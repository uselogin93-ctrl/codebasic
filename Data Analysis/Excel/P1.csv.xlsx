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13_ncr:1_{A78FC01C-2EAA-4E35-AFFA-5C1D8F9CC8F5}" xr6:coauthVersionLast="47" xr6:coauthVersionMax="47" xr10:uidLastSave="{00000000-0000-0000-0000-000000000000}"/>
  <bookViews>
    <workbookView xWindow="-108" yWindow="-108" windowWidth="23256" windowHeight="12456" activeTab="1" xr2:uid="{6A08CEAD-125F-44C1-8F93-929EECF26EE8}"/>
  </bookViews>
  <sheets>
    <sheet name="Sheet3" sheetId="5" r:id="rId1"/>
    <sheet name="employee_sales_dataset" sheetId="1" r:id="rId2"/>
  </sheets>
  <definedNames>
    <definedName name="_xlnm._FilterDatabase" localSheetId="1" hidden="1">employee_sales_dataset!$A$1:$T$1</definedName>
  </definedName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X12" i="1" l="1"/>
  <c r="X11" i="1"/>
  <c r="X10" i="1"/>
  <c r="O8" i="1"/>
  <c r="O3" i="1"/>
  <c r="O4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E623" i="1" s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662" i="1"/>
  <c r="E662" i="1" s="1"/>
  <c r="C663" i="1"/>
  <c r="E663" i="1" s="1"/>
  <c r="C664" i="1"/>
  <c r="E664" i="1" s="1"/>
  <c r="C665" i="1"/>
  <c r="E665" i="1" s="1"/>
  <c r="C666" i="1"/>
  <c r="E666" i="1" s="1"/>
  <c r="C667" i="1"/>
  <c r="E667" i="1" s="1"/>
  <c r="C668" i="1"/>
  <c r="E668" i="1" s="1"/>
  <c r="C669" i="1"/>
  <c r="E669" i="1" s="1"/>
  <c r="C670" i="1"/>
  <c r="E670" i="1" s="1"/>
  <c r="C671" i="1"/>
  <c r="E671" i="1" s="1"/>
  <c r="C672" i="1"/>
  <c r="E672" i="1" s="1"/>
  <c r="C673" i="1"/>
  <c r="E673" i="1" s="1"/>
  <c r="C674" i="1"/>
  <c r="E674" i="1" s="1"/>
  <c r="C675" i="1"/>
  <c r="E675" i="1" s="1"/>
  <c r="C676" i="1"/>
  <c r="E676" i="1" s="1"/>
  <c r="C677" i="1"/>
  <c r="E677" i="1" s="1"/>
  <c r="C678" i="1"/>
  <c r="E678" i="1" s="1"/>
  <c r="C679" i="1"/>
  <c r="E679" i="1" s="1"/>
  <c r="C680" i="1"/>
  <c r="E680" i="1" s="1"/>
  <c r="C681" i="1"/>
  <c r="E681" i="1" s="1"/>
  <c r="C682" i="1"/>
  <c r="E682" i="1" s="1"/>
  <c r="C683" i="1"/>
  <c r="E683" i="1" s="1"/>
  <c r="C684" i="1"/>
  <c r="E684" i="1" s="1"/>
  <c r="C685" i="1"/>
  <c r="E685" i="1" s="1"/>
  <c r="C686" i="1"/>
  <c r="E686" i="1" s="1"/>
  <c r="C687" i="1"/>
  <c r="E687" i="1" s="1"/>
  <c r="C688" i="1"/>
  <c r="E688" i="1" s="1"/>
  <c r="C689" i="1"/>
  <c r="E689" i="1" s="1"/>
  <c r="C690" i="1"/>
  <c r="E690" i="1" s="1"/>
  <c r="C691" i="1"/>
  <c r="E691" i="1" s="1"/>
  <c r="C692" i="1"/>
  <c r="E692" i="1" s="1"/>
  <c r="C693" i="1"/>
  <c r="E693" i="1" s="1"/>
  <c r="C694" i="1"/>
  <c r="E694" i="1" s="1"/>
  <c r="C695" i="1"/>
  <c r="E695" i="1" s="1"/>
  <c r="C696" i="1"/>
  <c r="E696" i="1" s="1"/>
  <c r="C697" i="1"/>
  <c r="E697" i="1" s="1"/>
  <c r="C698" i="1"/>
  <c r="E698" i="1" s="1"/>
  <c r="C699" i="1"/>
  <c r="E699" i="1" s="1"/>
  <c r="C700" i="1"/>
  <c r="E700" i="1" s="1"/>
  <c r="C701" i="1"/>
  <c r="E701" i="1" s="1"/>
  <c r="C702" i="1"/>
  <c r="E702" i="1" s="1"/>
  <c r="C703" i="1"/>
  <c r="E703" i="1" s="1"/>
  <c r="C704" i="1"/>
  <c r="E704" i="1" s="1"/>
  <c r="C705" i="1"/>
  <c r="E705" i="1" s="1"/>
  <c r="C706" i="1"/>
  <c r="E706" i="1" s="1"/>
  <c r="C707" i="1"/>
  <c r="E707" i="1" s="1"/>
  <c r="C708" i="1"/>
  <c r="E708" i="1" s="1"/>
  <c r="C709" i="1"/>
  <c r="E709" i="1" s="1"/>
  <c r="C710" i="1"/>
  <c r="E710" i="1" s="1"/>
  <c r="C711" i="1"/>
  <c r="E711" i="1" s="1"/>
  <c r="C712" i="1"/>
  <c r="E712" i="1" s="1"/>
  <c r="C713" i="1"/>
  <c r="E713" i="1" s="1"/>
  <c r="C714" i="1"/>
  <c r="E714" i="1" s="1"/>
  <c r="C715" i="1"/>
  <c r="E715" i="1" s="1"/>
  <c r="C716" i="1"/>
  <c r="E716" i="1" s="1"/>
  <c r="C717" i="1"/>
  <c r="E717" i="1" s="1"/>
  <c r="C718" i="1"/>
  <c r="E718" i="1" s="1"/>
  <c r="C719" i="1"/>
  <c r="E719" i="1" s="1"/>
  <c r="C720" i="1"/>
  <c r="E720" i="1" s="1"/>
  <c r="C721" i="1"/>
  <c r="E721" i="1" s="1"/>
  <c r="C722" i="1"/>
  <c r="E722" i="1" s="1"/>
  <c r="C723" i="1"/>
  <c r="E723" i="1" s="1"/>
  <c r="C724" i="1"/>
  <c r="E724" i="1" s="1"/>
  <c r="C725" i="1"/>
  <c r="E725" i="1" s="1"/>
  <c r="C726" i="1"/>
  <c r="E726" i="1" s="1"/>
  <c r="C727" i="1"/>
  <c r="E727" i="1" s="1"/>
  <c r="C728" i="1"/>
  <c r="E728" i="1" s="1"/>
  <c r="C729" i="1"/>
  <c r="E729" i="1" s="1"/>
  <c r="C730" i="1"/>
  <c r="E730" i="1" s="1"/>
  <c r="C731" i="1"/>
  <c r="E731" i="1" s="1"/>
  <c r="C732" i="1"/>
  <c r="E732" i="1" s="1"/>
  <c r="C733" i="1"/>
  <c r="E733" i="1" s="1"/>
  <c r="C734" i="1"/>
  <c r="E734" i="1" s="1"/>
  <c r="C735" i="1"/>
  <c r="E735" i="1" s="1"/>
  <c r="C736" i="1"/>
  <c r="E736" i="1" s="1"/>
  <c r="C737" i="1"/>
  <c r="E737" i="1" s="1"/>
  <c r="C738" i="1"/>
  <c r="E738" i="1" s="1"/>
  <c r="C739" i="1"/>
  <c r="E739" i="1" s="1"/>
  <c r="C740" i="1"/>
  <c r="E740" i="1" s="1"/>
  <c r="C741" i="1"/>
  <c r="E741" i="1" s="1"/>
  <c r="C742" i="1"/>
  <c r="E742" i="1" s="1"/>
  <c r="C743" i="1"/>
  <c r="E743" i="1" s="1"/>
  <c r="C744" i="1"/>
  <c r="E744" i="1" s="1"/>
  <c r="C745" i="1"/>
  <c r="E745" i="1" s="1"/>
  <c r="C746" i="1"/>
  <c r="E746" i="1" s="1"/>
  <c r="C747" i="1"/>
  <c r="E747" i="1" s="1"/>
  <c r="C748" i="1"/>
  <c r="E748" i="1" s="1"/>
  <c r="C749" i="1"/>
  <c r="E749" i="1" s="1"/>
  <c r="C750" i="1"/>
  <c r="E750" i="1" s="1"/>
  <c r="C751" i="1"/>
  <c r="E751" i="1" s="1"/>
  <c r="C752" i="1"/>
  <c r="E752" i="1" s="1"/>
  <c r="C753" i="1"/>
  <c r="E753" i="1" s="1"/>
  <c r="C754" i="1"/>
  <c r="E754" i="1" s="1"/>
  <c r="C755" i="1"/>
  <c r="E755" i="1" s="1"/>
  <c r="C756" i="1"/>
  <c r="E756" i="1" s="1"/>
  <c r="C757" i="1"/>
  <c r="E757" i="1" s="1"/>
  <c r="C758" i="1"/>
  <c r="E758" i="1" s="1"/>
  <c r="C759" i="1"/>
  <c r="E759" i="1" s="1"/>
  <c r="C760" i="1"/>
  <c r="E760" i="1" s="1"/>
  <c r="C761" i="1"/>
  <c r="E761" i="1" s="1"/>
  <c r="C762" i="1"/>
  <c r="E762" i="1" s="1"/>
  <c r="C763" i="1"/>
  <c r="E763" i="1" s="1"/>
  <c r="C764" i="1"/>
  <c r="E764" i="1" s="1"/>
  <c r="C765" i="1"/>
  <c r="E765" i="1" s="1"/>
  <c r="C766" i="1"/>
  <c r="E766" i="1" s="1"/>
  <c r="C767" i="1"/>
  <c r="E767" i="1" s="1"/>
  <c r="C768" i="1"/>
  <c r="E768" i="1" s="1"/>
  <c r="C769" i="1"/>
  <c r="E769" i="1" s="1"/>
  <c r="C770" i="1"/>
  <c r="E770" i="1" s="1"/>
  <c r="C771" i="1"/>
  <c r="E771" i="1" s="1"/>
  <c r="C772" i="1"/>
  <c r="E772" i="1" s="1"/>
  <c r="C773" i="1"/>
  <c r="E773" i="1" s="1"/>
  <c r="C774" i="1"/>
  <c r="E774" i="1" s="1"/>
  <c r="C775" i="1"/>
  <c r="E775" i="1" s="1"/>
  <c r="C776" i="1"/>
  <c r="E776" i="1" s="1"/>
  <c r="C777" i="1"/>
  <c r="E777" i="1" s="1"/>
  <c r="C778" i="1"/>
  <c r="E778" i="1" s="1"/>
  <c r="C779" i="1"/>
  <c r="E779" i="1" s="1"/>
  <c r="C780" i="1"/>
  <c r="E780" i="1" s="1"/>
  <c r="C781" i="1"/>
  <c r="E781" i="1" s="1"/>
  <c r="C782" i="1"/>
  <c r="E782" i="1" s="1"/>
  <c r="C783" i="1"/>
  <c r="E783" i="1" s="1"/>
  <c r="C784" i="1"/>
  <c r="E784" i="1" s="1"/>
  <c r="C785" i="1"/>
  <c r="E785" i="1" s="1"/>
  <c r="C786" i="1"/>
  <c r="E786" i="1" s="1"/>
  <c r="C787" i="1"/>
  <c r="E787" i="1" s="1"/>
  <c r="C788" i="1"/>
  <c r="E788" i="1" s="1"/>
  <c r="C789" i="1"/>
  <c r="E789" i="1" s="1"/>
  <c r="C790" i="1"/>
  <c r="E790" i="1" s="1"/>
  <c r="C791" i="1"/>
  <c r="E791" i="1" s="1"/>
  <c r="C792" i="1"/>
  <c r="E792" i="1" s="1"/>
  <c r="C793" i="1"/>
  <c r="E793" i="1" s="1"/>
  <c r="C794" i="1"/>
  <c r="E794" i="1" s="1"/>
  <c r="C795" i="1"/>
  <c r="E795" i="1" s="1"/>
  <c r="C796" i="1"/>
  <c r="E796" i="1" s="1"/>
  <c r="C797" i="1"/>
  <c r="E797" i="1" s="1"/>
  <c r="C798" i="1"/>
  <c r="E798" i="1" s="1"/>
  <c r="C799" i="1"/>
  <c r="E799" i="1" s="1"/>
  <c r="C800" i="1"/>
  <c r="E800" i="1" s="1"/>
  <c r="C801" i="1"/>
  <c r="E801" i="1" s="1"/>
  <c r="C802" i="1"/>
  <c r="E802" i="1" s="1"/>
  <c r="C803" i="1"/>
  <c r="E803" i="1" s="1"/>
  <c r="C804" i="1"/>
  <c r="E804" i="1" s="1"/>
  <c r="C805" i="1"/>
  <c r="E805" i="1" s="1"/>
  <c r="C806" i="1"/>
  <c r="E806" i="1" s="1"/>
  <c r="C807" i="1"/>
  <c r="E807" i="1" s="1"/>
  <c r="C808" i="1"/>
  <c r="E808" i="1" s="1"/>
  <c r="C809" i="1"/>
  <c r="E809" i="1" s="1"/>
  <c r="C810" i="1"/>
  <c r="E810" i="1" s="1"/>
  <c r="C811" i="1"/>
  <c r="E811" i="1" s="1"/>
  <c r="C812" i="1"/>
  <c r="E812" i="1" s="1"/>
  <c r="C813" i="1"/>
  <c r="E813" i="1" s="1"/>
  <c r="C814" i="1"/>
  <c r="E814" i="1" s="1"/>
  <c r="C815" i="1"/>
  <c r="E815" i="1" s="1"/>
  <c r="C816" i="1"/>
  <c r="E816" i="1" s="1"/>
  <c r="C817" i="1"/>
  <c r="E817" i="1" s="1"/>
  <c r="C818" i="1"/>
  <c r="E818" i="1" s="1"/>
  <c r="C819" i="1"/>
  <c r="E819" i="1" s="1"/>
  <c r="C820" i="1"/>
  <c r="E820" i="1" s="1"/>
  <c r="C821" i="1"/>
  <c r="E821" i="1" s="1"/>
  <c r="C822" i="1"/>
  <c r="E822" i="1" s="1"/>
  <c r="C823" i="1"/>
  <c r="E823" i="1" s="1"/>
  <c r="C824" i="1"/>
  <c r="E824" i="1" s="1"/>
  <c r="C825" i="1"/>
  <c r="E825" i="1" s="1"/>
  <c r="C826" i="1"/>
  <c r="E826" i="1" s="1"/>
  <c r="C827" i="1"/>
  <c r="E827" i="1" s="1"/>
  <c r="C828" i="1"/>
  <c r="E828" i="1" s="1"/>
  <c r="C829" i="1"/>
  <c r="E829" i="1" s="1"/>
  <c r="C830" i="1"/>
  <c r="E830" i="1" s="1"/>
  <c r="C831" i="1"/>
  <c r="E831" i="1" s="1"/>
  <c r="C832" i="1"/>
  <c r="E832" i="1" s="1"/>
  <c r="C833" i="1"/>
  <c r="E833" i="1" s="1"/>
  <c r="C834" i="1"/>
  <c r="E834" i="1" s="1"/>
  <c r="C835" i="1"/>
  <c r="E835" i="1" s="1"/>
  <c r="C836" i="1"/>
  <c r="E836" i="1" s="1"/>
  <c r="C837" i="1"/>
  <c r="E837" i="1" s="1"/>
  <c r="C838" i="1"/>
  <c r="E838" i="1" s="1"/>
  <c r="C839" i="1"/>
  <c r="E839" i="1" s="1"/>
  <c r="C840" i="1"/>
  <c r="E840" i="1" s="1"/>
  <c r="C841" i="1"/>
  <c r="E841" i="1" s="1"/>
  <c r="C842" i="1"/>
  <c r="E842" i="1" s="1"/>
  <c r="C843" i="1"/>
  <c r="E843" i="1" s="1"/>
  <c r="C844" i="1"/>
  <c r="E844" i="1" s="1"/>
  <c r="C845" i="1"/>
  <c r="E845" i="1" s="1"/>
  <c r="C846" i="1"/>
  <c r="E846" i="1" s="1"/>
  <c r="C847" i="1"/>
  <c r="E847" i="1" s="1"/>
  <c r="C848" i="1"/>
  <c r="E848" i="1" s="1"/>
  <c r="C849" i="1"/>
  <c r="E849" i="1" s="1"/>
  <c r="C850" i="1"/>
  <c r="E850" i="1" s="1"/>
  <c r="C851" i="1"/>
  <c r="E851" i="1" s="1"/>
  <c r="C852" i="1"/>
  <c r="E852" i="1" s="1"/>
  <c r="C853" i="1"/>
  <c r="E853" i="1" s="1"/>
  <c r="C854" i="1"/>
  <c r="E854" i="1" s="1"/>
  <c r="C855" i="1"/>
  <c r="E855" i="1" s="1"/>
  <c r="C856" i="1"/>
  <c r="E856" i="1" s="1"/>
  <c r="C857" i="1"/>
  <c r="E857" i="1" s="1"/>
  <c r="C858" i="1"/>
  <c r="E858" i="1" s="1"/>
  <c r="C859" i="1"/>
  <c r="E859" i="1" s="1"/>
  <c r="C860" i="1"/>
  <c r="E860" i="1" s="1"/>
  <c r="C861" i="1"/>
  <c r="E861" i="1" s="1"/>
  <c r="C862" i="1"/>
  <c r="E862" i="1" s="1"/>
  <c r="C863" i="1"/>
  <c r="E863" i="1" s="1"/>
  <c r="C864" i="1"/>
  <c r="E864" i="1" s="1"/>
  <c r="C865" i="1"/>
  <c r="E865" i="1" s="1"/>
  <c r="C866" i="1"/>
  <c r="E866" i="1" s="1"/>
  <c r="C867" i="1"/>
  <c r="E867" i="1" s="1"/>
  <c r="C868" i="1"/>
  <c r="E868" i="1" s="1"/>
  <c r="C869" i="1"/>
  <c r="E869" i="1" s="1"/>
  <c r="C870" i="1"/>
  <c r="E870" i="1" s="1"/>
  <c r="C871" i="1"/>
  <c r="E871" i="1" s="1"/>
  <c r="C872" i="1"/>
  <c r="E872" i="1" s="1"/>
  <c r="C873" i="1"/>
  <c r="E873" i="1" s="1"/>
  <c r="C874" i="1"/>
  <c r="E874" i="1" s="1"/>
  <c r="C875" i="1"/>
  <c r="E875" i="1" s="1"/>
  <c r="C876" i="1"/>
  <c r="E876" i="1" s="1"/>
  <c r="C877" i="1"/>
  <c r="E877" i="1" s="1"/>
  <c r="C878" i="1"/>
  <c r="E878" i="1" s="1"/>
  <c r="C879" i="1"/>
  <c r="E879" i="1" s="1"/>
  <c r="C880" i="1"/>
  <c r="E880" i="1" s="1"/>
  <c r="C881" i="1"/>
  <c r="E881" i="1" s="1"/>
  <c r="C882" i="1"/>
  <c r="E882" i="1" s="1"/>
  <c r="C883" i="1"/>
  <c r="E883" i="1" s="1"/>
  <c r="C884" i="1"/>
  <c r="E884" i="1" s="1"/>
  <c r="C885" i="1"/>
  <c r="E885" i="1" s="1"/>
  <c r="C886" i="1"/>
  <c r="E886" i="1" s="1"/>
  <c r="C887" i="1"/>
  <c r="E887" i="1" s="1"/>
  <c r="C888" i="1"/>
  <c r="E888" i="1" s="1"/>
  <c r="C889" i="1"/>
  <c r="E889" i="1" s="1"/>
  <c r="C890" i="1"/>
  <c r="E890" i="1" s="1"/>
  <c r="C891" i="1"/>
  <c r="E891" i="1" s="1"/>
  <c r="C892" i="1"/>
  <c r="E892" i="1" s="1"/>
  <c r="C893" i="1"/>
  <c r="E893" i="1" s="1"/>
  <c r="C894" i="1"/>
  <c r="E894" i="1" s="1"/>
  <c r="C895" i="1"/>
  <c r="E895" i="1" s="1"/>
  <c r="C896" i="1"/>
  <c r="E896" i="1" s="1"/>
  <c r="C897" i="1"/>
  <c r="E897" i="1" s="1"/>
  <c r="C898" i="1"/>
  <c r="E898" i="1" s="1"/>
  <c r="C899" i="1"/>
  <c r="E899" i="1" s="1"/>
  <c r="C900" i="1"/>
  <c r="E900" i="1" s="1"/>
  <c r="C901" i="1"/>
  <c r="E901" i="1" s="1"/>
  <c r="C902" i="1"/>
  <c r="E902" i="1" s="1"/>
  <c r="C903" i="1"/>
  <c r="E903" i="1" s="1"/>
  <c r="C904" i="1"/>
  <c r="E904" i="1" s="1"/>
  <c r="C905" i="1"/>
  <c r="E905" i="1" s="1"/>
  <c r="C906" i="1"/>
  <c r="E906" i="1" s="1"/>
  <c r="C907" i="1"/>
  <c r="E907" i="1" s="1"/>
  <c r="C908" i="1"/>
  <c r="E908" i="1" s="1"/>
  <c r="C909" i="1"/>
  <c r="E909" i="1" s="1"/>
  <c r="C910" i="1"/>
  <c r="E910" i="1" s="1"/>
  <c r="C911" i="1"/>
  <c r="E911" i="1" s="1"/>
  <c r="C912" i="1"/>
  <c r="E912" i="1" s="1"/>
  <c r="C913" i="1"/>
  <c r="E913" i="1" s="1"/>
  <c r="C914" i="1"/>
  <c r="E914" i="1" s="1"/>
  <c r="C915" i="1"/>
  <c r="E915" i="1" s="1"/>
  <c r="C916" i="1"/>
  <c r="E916" i="1" s="1"/>
  <c r="C917" i="1"/>
  <c r="E917" i="1" s="1"/>
  <c r="C918" i="1"/>
  <c r="E918" i="1" s="1"/>
  <c r="C919" i="1"/>
  <c r="E919" i="1" s="1"/>
  <c r="C920" i="1"/>
  <c r="E920" i="1" s="1"/>
  <c r="C921" i="1"/>
  <c r="E921" i="1" s="1"/>
  <c r="C922" i="1"/>
  <c r="E922" i="1" s="1"/>
  <c r="C923" i="1"/>
  <c r="E923" i="1" s="1"/>
  <c r="C924" i="1"/>
  <c r="E924" i="1" s="1"/>
  <c r="C925" i="1"/>
  <c r="E925" i="1" s="1"/>
  <c r="C926" i="1"/>
  <c r="E926" i="1" s="1"/>
  <c r="C927" i="1"/>
  <c r="E927" i="1" s="1"/>
  <c r="C928" i="1"/>
  <c r="E928" i="1" s="1"/>
  <c r="C929" i="1"/>
  <c r="E929" i="1" s="1"/>
  <c r="C930" i="1"/>
  <c r="E930" i="1" s="1"/>
  <c r="C931" i="1"/>
  <c r="E931" i="1" s="1"/>
  <c r="C932" i="1"/>
  <c r="E932" i="1" s="1"/>
  <c r="C933" i="1"/>
  <c r="E933" i="1" s="1"/>
  <c r="C934" i="1"/>
  <c r="E934" i="1" s="1"/>
  <c r="C935" i="1"/>
  <c r="E935" i="1" s="1"/>
  <c r="C936" i="1"/>
  <c r="E936" i="1" s="1"/>
  <c r="C937" i="1"/>
  <c r="E937" i="1" s="1"/>
  <c r="C938" i="1"/>
  <c r="E938" i="1" s="1"/>
  <c r="C939" i="1"/>
  <c r="E939" i="1" s="1"/>
  <c r="C940" i="1"/>
  <c r="E940" i="1" s="1"/>
  <c r="C941" i="1"/>
  <c r="E941" i="1" s="1"/>
  <c r="C942" i="1"/>
  <c r="E942" i="1" s="1"/>
  <c r="C943" i="1"/>
  <c r="E943" i="1" s="1"/>
  <c r="C944" i="1"/>
  <c r="E944" i="1" s="1"/>
  <c r="C945" i="1"/>
  <c r="E945" i="1" s="1"/>
  <c r="C946" i="1"/>
  <c r="E946" i="1" s="1"/>
  <c r="C947" i="1"/>
  <c r="E947" i="1" s="1"/>
  <c r="C948" i="1"/>
  <c r="E948" i="1" s="1"/>
  <c r="C949" i="1"/>
  <c r="E949" i="1" s="1"/>
  <c r="C950" i="1"/>
  <c r="E950" i="1" s="1"/>
  <c r="C951" i="1"/>
  <c r="E951" i="1" s="1"/>
  <c r="C952" i="1"/>
  <c r="E952" i="1" s="1"/>
  <c r="C953" i="1"/>
  <c r="E953" i="1" s="1"/>
  <c r="C954" i="1"/>
  <c r="E954" i="1" s="1"/>
  <c r="C955" i="1"/>
  <c r="E955" i="1" s="1"/>
  <c r="C956" i="1"/>
  <c r="E956" i="1" s="1"/>
  <c r="C957" i="1"/>
  <c r="E957" i="1" s="1"/>
  <c r="C958" i="1"/>
  <c r="E958" i="1" s="1"/>
  <c r="C959" i="1"/>
  <c r="E959" i="1" s="1"/>
  <c r="C960" i="1"/>
  <c r="E960" i="1" s="1"/>
  <c r="C961" i="1"/>
  <c r="E961" i="1" s="1"/>
  <c r="C962" i="1"/>
  <c r="E962" i="1" s="1"/>
  <c r="C963" i="1"/>
  <c r="E963" i="1" s="1"/>
  <c r="C964" i="1"/>
  <c r="E964" i="1" s="1"/>
  <c r="C965" i="1"/>
  <c r="E965" i="1" s="1"/>
  <c r="C966" i="1"/>
  <c r="E966" i="1" s="1"/>
  <c r="C967" i="1"/>
  <c r="E967" i="1" s="1"/>
  <c r="C968" i="1"/>
  <c r="E968" i="1" s="1"/>
  <c r="C969" i="1"/>
  <c r="E969" i="1" s="1"/>
  <c r="C970" i="1"/>
  <c r="E970" i="1" s="1"/>
  <c r="C971" i="1"/>
  <c r="E971" i="1" s="1"/>
  <c r="C972" i="1"/>
  <c r="E972" i="1" s="1"/>
  <c r="C973" i="1"/>
  <c r="E973" i="1" s="1"/>
  <c r="C974" i="1"/>
  <c r="E974" i="1" s="1"/>
  <c r="C975" i="1"/>
  <c r="E975" i="1" s="1"/>
  <c r="C976" i="1"/>
  <c r="E976" i="1" s="1"/>
  <c r="C977" i="1"/>
  <c r="E977" i="1" s="1"/>
  <c r="C978" i="1"/>
  <c r="E978" i="1" s="1"/>
  <c r="C979" i="1"/>
  <c r="E979" i="1" s="1"/>
  <c r="C980" i="1"/>
  <c r="E980" i="1" s="1"/>
  <c r="C981" i="1"/>
  <c r="E981" i="1" s="1"/>
  <c r="C982" i="1"/>
  <c r="E982" i="1" s="1"/>
  <c r="C983" i="1"/>
  <c r="E983" i="1" s="1"/>
  <c r="C984" i="1"/>
  <c r="E984" i="1" s="1"/>
  <c r="C985" i="1"/>
  <c r="E985" i="1" s="1"/>
  <c r="C986" i="1"/>
  <c r="E986" i="1" s="1"/>
  <c r="C987" i="1"/>
  <c r="E987" i="1" s="1"/>
  <c r="C988" i="1"/>
  <c r="E988" i="1" s="1"/>
  <c r="C989" i="1"/>
  <c r="E989" i="1" s="1"/>
  <c r="C990" i="1"/>
  <c r="E990" i="1" s="1"/>
  <c r="C991" i="1"/>
  <c r="E991" i="1" s="1"/>
  <c r="C992" i="1"/>
  <c r="E992" i="1" s="1"/>
  <c r="C993" i="1"/>
  <c r="E993" i="1" s="1"/>
  <c r="C994" i="1"/>
  <c r="E994" i="1" s="1"/>
  <c r="C995" i="1"/>
  <c r="E995" i="1" s="1"/>
  <c r="C996" i="1"/>
  <c r="E996" i="1" s="1"/>
  <c r="C997" i="1"/>
  <c r="E997" i="1" s="1"/>
  <c r="C998" i="1"/>
  <c r="E998" i="1" s="1"/>
  <c r="C999" i="1"/>
  <c r="E999" i="1" s="1"/>
  <c r="C1000" i="1"/>
  <c r="E1000" i="1" s="1"/>
  <c r="C1001" i="1"/>
  <c r="E1001" i="1" s="1"/>
  <c r="C1002" i="1"/>
  <c r="E1002" i="1" s="1"/>
  <c r="C1003" i="1"/>
  <c r="E1003" i="1" s="1"/>
  <c r="C1004" i="1"/>
  <c r="E1004" i="1" s="1"/>
  <c r="C1005" i="1"/>
  <c r="E1005" i="1" s="1"/>
  <c r="C1006" i="1"/>
  <c r="E1006" i="1" s="1"/>
  <c r="C1007" i="1"/>
  <c r="E1007" i="1" s="1"/>
  <c r="C1008" i="1"/>
  <c r="E1008" i="1" s="1"/>
  <c r="C1009" i="1"/>
  <c r="E1009" i="1" s="1"/>
  <c r="C1010" i="1"/>
  <c r="E1010" i="1" s="1"/>
  <c r="C1011" i="1"/>
  <c r="E1011" i="1" s="1"/>
  <c r="C1012" i="1"/>
  <c r="E1012" i="1" s="1"/>
  <c r="C1013" i="1"/>
  <c r="E1013" i="1" s="1"/>
  <c r="C1014" i="1"/>
  <c r="E1014" i="1" s="1"/>
  <c r="C1015" i="1"/>
  <c r="E1015" i="1" s="1"/>
  <c r="C1016" i="1"/>
  <c r="E1016" i="1" s="1"/>
  <c r="C1017" i="1"/>
  <c r="E1017" i="1" s="1"/>
  <c r="C1018" i="1"/>
  <c r="E1018" i="1" s="1"/>
  <c r="C1019" i="1"/>
  <c r="E1019" i="1" s="1"/>
  <c r="C1020" i="1"/>
  <c r="E1020" i="1" s="1"/>
  <c r="C1021" i="1"/>
  <c r="E1021" i="1" s="1"/>
  <c r="C1022" i="1"/>
  <c r="E1022" i="1" s="1"/>
  <c r="C1023" i="1"/>
  <c r="E1023" i="1" s="1"/>
  <c r="C1024" i="1"/>
  <c r="E1024" i="1" s="1"/>
  <c r="C1025" i="1"/>
  <c r="E1025" i="1" s="1"/>
  <c r="C1026" i="1"/>
  <c r="E1026" i="1" s="1"/>
  <c r="C1027" i="1"/>
  <c r="E1027" i="1" s="1"/>
  <c r="C1028" i="1"/>
  <c r="E1028" i="1" s="1"/>
  <c r="C1029" i="1"/>
  <c r="E1029" i="1" s="1"/>
  <c r="C1030" i="1"/>
  <c r="E1030" i="1" s="1"/>
  <c r="C1031" i="1"/>
  <c r="E1031" i="1" s="1"/>
  <c r="C1032" i="1"/>
  <c r="E1032" i="1" s="1"/>
  <c r="C1033" i="1"/>
  <c r="E1033" i="1" s="1"/>
  <c r="C1034" i="1"/>
  <c r="E1034" i="1" s="1"/>
  <c r="C1035" i="1"/>
  <c r="E1035" i="1" s="1"/>
  <c r="C1036" i="1"/>
  <c r="E1036" i="1" s="1"/>
  <c r="C1037" i="1"/>
  <c r="E1037" i="1" s="1"/>
  <c r="C1038" i="1"/>
  <c r="E1038" i="1" s="1"/>
  <c r="C1039" i="1"/>
  <c r="E1039" i="1" s="1"/>
  <c r="C1040" i="1"/>
  <c r="E1040" i="1" s="1"/>
  <c r="C1041" i="1"/>
  <c r="E1041" i="1" s="1"/>
  <c r="C1042" i="1"/>
  <c r="E1042" i="1" s="1"/>
  <c r="C1043" i="1"/>
  <c r="E1043" i="1" s="1"/>
  <c r="C1044" i="1"/>
  <c r="E1044" i="1" s="1"/>
  <c r="C1045" i="1"/>
  <c r="E1045" i="1" s="1"/>
  <c r="C1046" i="1"/>
  <c r="E1046" i="1" s="1"/>
  <c r="C1047" i="1"/>
  <c r="E1047" i="1" s="1"/>
  <c r="C1048" i="1"/>
  <c r="E1048" i="1" s="1"/>
  <c r="C1049" i="1"/>
  <c r="E1049" i="1" s="1"/>
  <c r="C1050" i="1"/>
  <c r="E1050" i="1" s="1"/>
  <c r="C1051" i="1"/>
  <c r="E1051" i="1" s="1"/>
  <c r="C1052" i="1"/>
  <c r="E1052" i="1" s="1"/>
  <c r="C1053" i="1"/>
  <c r="E1053" i="1" s="1"/>
  <c r="C1054" i="1"/>
  <c r="E1054" i="1" s="1"/>
  <c r="C1055" i="1"/>
  <c r="E1055" i="1" s="1"/>
  <c r="C1056" i="1"/>
  <c r="E1056" i="1" s="1"/>
  <c r="C1057" i="1"/>
  <c r="E1057" i="1" s="1"/>
  <c r="C1058" i="1"/>
  <c r="E1058" i="1" s="1"/>
  <c r="C1059" i="1"/>
  <c r="E1059" i="1" s="1"/>
  <c r="C1060" i="1"/>
  <c r="E1060" i="1" s="1"/>
  <c r="C1061" i="1"/>
  <c r="E1061" i="1" s="1"/>
  <c r="C1062" i="1"/>
  <c r="E1062" i="1" s="1"/>
  <c r="C1063" i="1"/>
  <c r="E1063" i="1" s="1"/>
  <c r="C1064" i="1"/>
  <c r="E1064" i="1" s="1"/>
  <c r="C1065" i="1"/>
  <c r="E1065" i="1" s="1"/>
  <c r="C1066" i="1"/>
  <c r="E1066" i="1" s="1"/>
  <c r="C1067" i="1"/>
  <c r="E1067" i="1" s="1"/>
  <c r="C1068" i="1"/>
  <c r="E1068" i="1" s="1"/>
  <c r="C1069" i="1"/>
  <c r="E1069" i="1" s="1"/>
  <c r="C1070" i="1"/>
  <c r="E1070" i="1" s="1"/>
  <c r="C1071" i="1"/>
  <c r="E1071" i="1" s="1"/>
  <c r="C1072" i="1"/>
  <c r="E1072" i="1" s="1"/>
  <c r="C1073" i="1"/>
  <c r="E1073" i="1" s="1"/>
  <c r="C1074" i="1"/>
  <c r="E1074" i="1" s="1"/>
  <c r="C1075" i="1"/>
  <c r="E1075" i="1" s="1"/>
  <c r="C1076" i="1"/>
  <c r="E1076" i="1" s="1"/>
  <c r="C1077" i="1"/>
  <c r="E1077" i="1" s="1"/>
  <c r="C1078" i="1"/>
  <c r="E1078" i="1" s="1"/>
  <c r="C1079" i="1"/>
  <c r="E1079" i="1" s="1"/>
  <c r="C1080" i="1"/>
  <c r="E1080" i="1" s="1"/>
  <c r="C1081" i="1"/>
  <c r="E1081" i="1" s="1"/>
  <c r="C1082" i="1"/>
  <c r="E1082" i="1" s="1"/>
  <c r="C1083" i="1"/>
  <c r="E1083" i="1" s="1"/>
  <c r="C1084" i="1"/>
  <c r="E1084" i="1" s="1"/>
  <c r="C1085" i="1"/>
  <c r="E1085" i="1" s="1"/>
  <c r="C1086" i="1"/>
  <c r="E1086" i="1" s="1"/>
  <c r="C1087" i="1"/>
  <c r="E1087" i="1" s="1"/>
  <c r="C1088" i="1"/>
  <c r="E1088" i="1" s="1"/>
  <c r="C1089" i="1"/>
  <c r="E1089" i="1" s="1"/>
  <c r="C1090" i="1"/>
  <c r="E1090" i="1" s="1"/>
  <c r="C1091" i="1"/>
  <c r="E1091" i="1" s="1"/>
  <c r="C1092" i="1"/>
  <c r="E1092" i="1" s="1"/>
  <c r="C1093" i="1"/>
  <c r="E1093" i="1" s="1"/>
  <c r="C1094" i="1"/>
  <c r="E1094" i="1" s="1"/>
  <c r="C1095" i="1"/>
  <c r="E1095" i="1" s="1"/>
  <c r="C1096" i="1"/>
  <c r="E1096" i="1" s="1"/>
  <c r="C1097" i="1"/>
  <c r="E1097" i="1" s="1"/>
  <c r="C1098" i="1"/>
  <c r="E1098" i="1" s="1"/>
  <c r="C1099" i="1"/>
  <c r="E1099" i="1" s="1"/>
  <c r="C1100" i="1"/>
  <c r="E1100" i="1" s="1"/>
  <c r="C1101" i="1"/>
  <c r="E1101" i="1" s="1"/>
  <c r="C1102" i="1"/>
  <c r="E1102" i="1" s="1"/>
  <c r="C1103" i="1"/>
  <c r="E1103" i="1" s="1"/>
  <c r="C1104" i="1"/>
  <c r="E1104" i="1" s="1"/>
  <c r="C1105" i="1"/>
  <c r="E1105" i="1" s="1"/>
  <c r="C1106" i="1"/>
  <c r="E1106" i="1" s="1"/>
  <c r="C1107" i="1"/>
  <c r="E1107" i="1" s="1"/>
  <c r="C1108" i="1"/>
  <c r="E1108" i="1" s="1"/>
  <c r="C1109" i="1"/>
  <c r="E1109" i="1" s="1"/>
  <c r="C1110" i="1"/>
  <c r="E1110" i="1" s="1"/>
  <c r="C1111" i="1"/>
  <c r="E1111" i="1" s="1"/>
  <c r="C1112" i="1"/>
  <c r="E1112" i="1" s="1"/>
  <c r="C1113" i="1"/>
  <c r="E1113" i="1" s="1"/>
  <c r="C1114" i="1"/>
  <c r="E1114" i="1" s="1"/>
  <c r="C1115" i="1"/>
  <c r="E1115" i="1" s="1"/>
  <c r="C1116" i="1"/>
  <c r="E1116" i="1" s="1"/>
  <c r="C1117" i="1"/>
  <c r="E1117" i="1" s="1"/>
  <c r="C1118" i="1"/>
  <c r="E1118" i="1" s="1"/>
  <c r="C1119" i="1"/>
  <c r="E1119" i="1" s="1"/>
  <c r="C1120" i="1"/>
  <c r="E1120" i="1" s="1"/>
  <c r="C1121" i="1"/>
  <c r="E1121" i="1" s="1"/>
  <c r="C1122" i="1"/>
  <c r="E1122" i="1" s="1"/>
  <c r="C1123" i="1"/>
  <c r="E1123" i="1" s="1"/>
  <c r="C1124" i="1"/>
  <c r="E1124" i="1" s="1"/>
  <c r="C1125" i="1"/>
  <c r="E1125" i="1" s="1"/>
  <c r="C1126" i="1"/>
  <c r="E1126" i="1" s="1"/>
  <c r="C1127" i="1"/>
  <c r="E1127" i="1" s="1"/>
  <c r="C1128" i="1"/>
  <c r="E1128" i="1" s="1"/>
  <c r="C1129" i="1"/>
  <c r="E1129" i="1" s="1"/>
  <c r="C1130" i="1"/>
  <c r="E1130" i="1" s="1"/>
  <c r="C1131" i="1"/>
  <c r="E1131" i="1" s="1"/>
  <c r="C1132" i="1"/>
  <c r="E1132" i="1" s="1"/>
  <c r="C1133" i="1"/>
  <c r="E1133" i="1" s="1"/>
  <c r="C1134" i="1"/>
  <c r="E1134" i="1" s="1"/>
  <c r="C1135" i="1"/>
  <c r="E1135" i="1" s="1"/>
  <c r="C1136" i="1"/>
  <c r="E1136" i="1" s="1"/>
  <c r="C1137" i="1"/>
  <c r="E1137" i="1" s="1"/>
  <c r="C1138" i="1"/>
  <c r="E1138" i="1" s="1"/>
  <c r="C1139" i="1"/>
  <c r="E1139" i="1" s="1"/>
  <c r="C1140" i="1"/>
  <c r="E1140" i="1" s="1"/>
  <c r="C1141" i="1"/>
  <c r="E1141" i="1" s="1"/>
  <c r="C1142" i="1"/>
  <c r="E1142" i="1" s="1"/>
  <c r="C1143" i="1"/>
  <c r="E1143" i="1" s="1"/>
  <c r="C1144" i="1"/>
  <c r="E1144" i="1" s="1"/>
  <c r="C1145" i="1"/>
  <c r="E1145" i="1" s="1"/>
  <c r="C1146" i="1"/>
  <c r="E1146" i="1" s="1"/>
  <c r="C1147" i="1"/>
  <c r="E1147" i="1" s="1"/>
  <c r="C1148" i="1"/>
  <c r="E1148" i="1" s="1"/>
  <c r="C1149" i="1"/>
  <c r="E1149" i="1" s="1"/>
  <c r="C1150" i="1"/>
  <c r="E1150" i="1" s="1"/>
  <c r="C1151" i="1"/>
  <c r="E1151" i="1" s="1"/>
  <c r="C1152" i="1"/>
  <c r="E1152" i="1" s="1"/>
  <c r="C1153" i="1"/>
  <c r="E1153" i="1" s="1"/>
  <c r="C1154" i="1"/>
  <c r="E1154" i="1" s="1"/>
  <c r="C1155" i="1"/>
  <c r="E1155" i="1" s="1"/>
  <c r="C1156" i="1"/>
  <c r="E1156" i="1" s="1"/>
  <c r="C1157" i="1"/>
  <c r="E1157" i="1" s="1"/>
  <c r="C1158" i="1"/>
  <c r="E1158" i="1" s="1"/>
  <c r="C1159" i="1"/>
  <c r="E1159" i="1" s="1"/>
  <c r="C1160" i="1"/>
  <c r="E1160" i="1" s="1"/>
  <c r="C1161" i="1"/>
  <c r="E1161" i="1" s="1"/>
  <c r="C1162" i="1"/>
  <c r="E1162" i="1" s="1"/>
  <c r="C1163" i="1"/>
  <c r="E1163" i="1" s="1"/>
  <c r="C1164" i="1"/>
  <c r="E1164" i="1" s="1"/>
  <c r="C1165" i="1"/>
  <c r="E1165" i="1" s="1"/>
  <c r="C1166" i="1"/>
  <c r="E1166" i="1" s="1"/>
  <c r="C1167" i="1"/>
  <c r="E1167" i="1" s="1"/>
  <c r="C1168" i="1"/>
  <c r="E1168" i="1" s="1"/>
  <c r="C1169" i="1"/>
  <c r="E1169" i="1" s="1"/>
  <c r="C1170" i="1"/>
  <c r="E1170" i="1" s="1"/>
  <c r="C1171" i="1"/>
  <c r="E1171" i="1" s="1"/>
  <c r="C1172" i="1"/>
  <c r="E1172" i="1" s="1"/>
  <c r="C1173" i="1"/>
  <c r="E1173" i="1" s="1"/>
  <c r="C1174" i="1"/>
  <c r="E1174" i="1" s="1"/>
  <c r="C1175" i="1"/>
  <c r="E1175" i="1" s="1"/>
  <c r="C1176" i="1"/>
  <c r="E1176" i="1" s="1"/>
  <c r="C1177" i="1"/>
  <c r="E1177" i="1" s="1"/>
  <c r="C1178" i="1"/>
  <c r="E1178" i="1" s="1"/>
  <c r="C1179" i="1"/>
  <c r="E1179" i="1" s="1"/>
  <c r="C1180" i="1"/>
  <c r="E1180" i="1" s="1"/>
  <c r="C1181" i="1"/>
  <c r="E1181" i="1" s="1"/>
  <c r="C1182" i="1"/>
  <c r="E1182" i="1" s="1"/>
  <c r="C1183" i="1"/>
  <c r="E1183" i="1" s="1"/>
  <c r="C1184" i="1"/>
  <c r="E1184" i="1" s="1"/>
  <c r="C1185" i="1"/>
  <c r="E1185" i="1" s="1"/>
  <c r="C1186" i="1"/>
  <c r="E1186" i="1" s="1"/>
  <c r="C1187" i="1"/>
  <c r="E1187" i="1" s="1"/>
  <c r="C1188" i="1"/>
  <c r="E1188" i="1" s="1"/>
  <c r="C1189" i="1"/>
  <c r="E1189" i="1" s="1"/>
  <c r="C1190" i="1"/>
  <c r="E1190" i="1" s="1"/>
  <c r="C1191" i="1"/>
  <c r="E1191" i="1" s="1"/>
  <c r="C1192" i="1"/>
  <c r="E1192" i="1" s="1"/>
  <c r="C1193" i="1"/>
  <c r="E1193" i="1" s="1"/>
  <c r="C1194" i="1"/>
  <c r="E1194" i="1" s="1"/>
  <c r="C1195" i="1"/>
  <c r="E1195" i="1" s="1"/>
  <c r="C1196" i="1"/>
  <c r="E1196" i="1" s="1"/>
  <c r="C1197" i="1"/>
  <c r="E1197" i="1" s="1"/>
  <c r="C1198" i="1"/>
  <c r="E1198" i="1" s="1"/>
  <c r="C1199" i="1"/>
  <c r="E1199" i="1" s="1"/>
  <c r="C1200" i="1"/>
  <c r="E1200" i="1" s="1"/>
  <c r="C1201" i="1"/>
  <c r="E1201" i="1" s="1"/>
  <c r="C1202" i="1"/>
  <c r="E1202" i="1" s="1"/>
  <c r="C1203" i="1"/>
  <c r="E1203" i="1" s="1"/>
  <c r="C1204" i="1"/>
  <c r="E1204" i="1" s="1"/>
  <c r="C1205" i="1"/>
  <c r="E1205" i="1" s="1"/>
  <c r="C1206" i="1"/>
  <c r="E1206" i="1" s="1"/>
  <c r="C1207" i="1"/>
  <c r="E1207" i="1" s="1"/>
  <c r="C1208" i="1"/>
  <c r="E1208" i="1" s="1"/>
  <c r="C1209" i="1"/>
  <c r="E1209" i="1" s="1"/>
  <c r="C1210" i="1"/>
  <c r="E1210" i="1" s="1"/>
  <c r="C1211" i="1"/>
  <c r="E1211" i="1" s="1"/>
  <c r="C1212" i="1"/>
  <c r="E1212" i="1" s="1"/>
  <c r="C1213" i="1"/>
  <c r="E1213" i="1" s="1"/>
  <c r="C1214" i="1"/>
  <c r="E1214" i="1" s="1"/>
  <c r="C1215" i="1"/>
  <c r="E1215" i="1" s="1"/>
  <c r="C1216" i="1"/>
  <c r="E1216" i="1" s="1"/>
  <c r="C1217" i="1"/>
  <c r="E1217" i="1" s="1"/>
  <c r="C1218" i="1"/>
  <c r="E1218" i="1" s="1"/>
  <c r="C1219" i="1"/>
  <c r="E1219" i="1" s="1"/>
  <c r="C1220" i="1"/>
  <c r="E1220" i="1" s="1"/>
  <c r="C1221" i="1"/>
  <c r="E1221" i="1" s="1"/>
  <c r="C1222" i="1"/>
  <c r="E1222" i="1" s="1"/>
  <c r="C1223" i="1"/>
  <c r="E1223" i="1" s="1"/>
  <c r="C1224" i="1"/>
  <c r="E1224" i="1" s="1"/>
  <c r="C1225" i="1"/>
  <c r="E1225" i="1" s="1"/>
  <c r="C1226" i="1"/>
  <c r="E1226" i="1" s="1"/>
  <c r="C1227" i="1"/>
  <c r="E1227" i="1" s="1"/>
  <c r="C1228" i="1"/>
  <c r="E1228" i="1" s="1"/>
  <c r="C1229" i="1"/>
  <c r="E1229" i="1" s="1"/>
  <c r="C1230" i="1"/>
  <c r="E1230" i="1" s="1"/>
  <c r="C1231" i="1"/>
  <c r="E1231" i="1" s="1"/>
  <c r="C1232" i="1"/>
  <c r="E1232" i="1" s="1"/>
  <c r="C1233" i="1"/>
  <c r="E1233" i="1" s="1"/>
  <c r="C1234" i="1"/>
  <c r="E1234" i="1" s="1"/>
  <c r="C1235" i="1"/>
  <c r="E1235" i="1" s="1"/>
  <c r="C1236" i="1"/>
  <c r="E1236" i="1" s="1"/>
  <c r="C1237" i="1"/>
  <c r="E1237" i="1" s="1"/>
  <c r="C1238" i="1"/>
  <c r="E1238" i="1" s="1"/>
  <c r="C1239" i="1"/>
  <c r="E1239" i="1" s="1"/>
  <c r="C1240" i="1"/>
  <c r="E1240" i="1" s="1"/>
  <c r="C1241" i="1"/>
  <c r="E1241" i="1" s="1"/>
  <c r="C1242" i="1"/>
  <c r="E1242" i="1" s="1"/>
  <c r="C1243" i="1"/>
  <c r="E1243" i="1" s="1"/>
  <c r="C1244" i="1"/>
  <c r="E1244" i="1" s="1"/>
  <c r="C1245" i="1"/>
  <c r="E1245" i="1" s="1"/>
  <c r="C1246" i="1"/>
  <c r="E1246" i="1" s="1"/>
  <c r="C1247" i="1"/>
  <c r="E1247" i="1" s="1"/>
  <c r="C1248" i="1"/>
  <c r="E1248" i="1" s="1"/>
  <c r="C1249" i="1"/>
  <c r="E1249" i="1" s="1"/>
  <c r="C1250" i="1"/>
  <c r="E1250" i="1" s="1"/>
  <c r="C1251" i="1"/>
  <c r="E1251" i="1" s="1"/>
  <c r="C1252" i="1"/>
  <c r="E1252" i="1" s="1"/>
  <c r="C1253" i="1"/>
  <c r="E1253" i="1" s="1"/>
  <c r="C1254" i="1"/>
  <c r="E1254" i="1" s="1"/>
  <c r="C1255" i="1"/>
  <c r="E1255" i="1" s="1"/>
  <c r="C1256" i="1"/>
  <c r="E1256" i="1" s="1"/>
  <c r="C1257" i="1"/>
  <c r="E1257" i="1" s="1"/>
  <c r="C1258" i="1"/>
  <c r="E1258" i="1" s="1"/>
  <c r="C1259" i="1"/>
  <c r="E1259" i="1" s="1"/>
  <c r="C1260" i="1"/>
  <c r="E1260" i="1" s="1"/>
  <c r="C1261" i="1"/>
  <c r="E1261" i="1" s="1"/>
  <c r="C1262" i="1"/>
  <c r="E1262" i="1" s="1"/>
  <c r="C1263" i="1"/>
  <c r="E1263" i="1" s="1"/>
  <c r="C1264" i="1"/>
  <c r="E1264" i="1" s="1"/>
  <c r="C1265" i="1"/>
  <c r="E1265" i="1" s="1"/>
  <c r="C1266" i="1"/>
  <c r="E1266" i="1" s="1"/>
  <c r="C1267" i="1"/>
  <c r="E1267" i="1" s="1"/>
  <c r="C1268" i="1"/>
  <c r="E1268" i="1" s="1"/>
  <c r="C1269" i="1"/>
  <c r="E1269" i="1" s="1"/>
  <c r="C1270" i="1"/>
  <c r="E1270" i="1" s="1"/>
  <c r="C1271" i="1"/>
  <c r="E1271" i="1" s="1"/>
  <c r="C1272" i="1"/>
  <c r="E1272" i="1" s="1"/>
  <c r="C1273" i="1"/>
  <c r="E1273" i="1" s="1"/>
  <c r="C1274" i="1"/>
  <c r="E1274" i="1" s="1"/>
  <c r="C1275" i="1"/>
  <c r="E1275" i="1" s="1"/>
  <c r="C1276" i="1"/>
  <c r="E1276" i="1" s="1"/>
  <c r="C1277" i="1"/>
  <c r="E1277" i="1" s="1"/>
  <c r="C1278" i="1"/>
  <c r="E1278" i="1" s="1"/>
  <c r="C1279" i="1"/>
  <c r="E1279" i="1" s="1"/>
  <c r="C1280" i="1"/>
  <c r="E1280" i="1" s="1"/>
  <c r="C1281" i="1"/>
  <c r="E1281" i="1" s="1"/>
  <c r="C1282" i="1"/>
  <c r="E1282" i="1" s="1"/>
  <c r="C1283" i="1"/>
  <c r="E1283" i="1" s="1"/>
  <c r="C1284" i="1"/>
  <c r="E1284" i="1" s="1"/>
  <c r="C1285" i="1"/>
  <c r="E1285" i="1" s="1"/>
  <c r="C1286" i="1"/>
  <c r="E1286" i="1" s="1"/>
  <c r="C1287" i="1"/>
  <c r="E1287" i="1" s="1"/>
  <c r="C1288" i="1"/>
  <c r="E1288" i="1" s="1"/>
  <c r="C1289" i="1"/>
  <c r="E1289" i="1" s="1"/>
  <c r="C1290" i="1"/>
  <c r="E1290" i="1" s="1"/>
  <c r="C1291" i="1"/>
  <c r="E1291" i="1" s="1"/>
  <c r="C1292" i="1"/>
  <c r="E1292" i="1" s="1"/>
  <c r="C1293" i="1"/>
  <c r="E1293" i="1" s="1"/>
  <c r="C1294" i="1"/>
  <c r="E1294" i="1" s="1"/>
  <c r="C1295" i="1"/>
  <c r="E1295" i="1" s="1"/>
  <c r="C1296" i="1"/>
  <c r="E1296" i="1" s="1"/>
  <c r="C1297" i="1"/>
  <c r="E1297" i="1" s="1"/>
  <c r="C1298" i="1"/>
  <c r="E1298" i="1" s="1"/>
  <c r="C1299" i="1"/>
  <c r="E1299" i="1" s="1"/>
  <c r="C1300" i="1"/>
  <c r="E1300" i="1" s="1"/>
  <c r="C1301" i="1"/>
  <c r="E1301" i="1" s="1"/>
  <c r="C1302" i="1"/>
  <c r="E1302" i="1" s="1"/>
  <c r="C1303" i="1"/>
  <c r="E1303" i="1" s="1"/>
  <c r="C1304" i="1"/>
  <c r="E1304" i="1" s="1"/>
  <c r="C1305" i="1"/>
  <c r="E1305" i="1" s="1"/>
  <c r="C1306" i="1"/>
  <c r="E1306" i="1" s="1"/>
  <c r="C1307" i="1"/>
  <c r="E1307" i="1" s="1"/>
  <c r="C1308" i="1"/>
  <c r="E1308" i="1" s="1"/>
  <c r="C1309" i="1"/>
  <c r="E1309" i="1" s="1"/>
  <c r="C1310" i="1"/>
  <c r="E1310" i="1" s="1"/>
  <c r="C1311" i="1"/>
  <c r="E1311" i="1" s="1"/>
  <c r="C1312" i="1"/>
  <c r="E1312" i="1" s="1"/>
  <c r="C1313" i="1"/>
  <c r="E1313" i="1" s="1"/>
  <c r="C1314" i="1"/>
  <c r="E1314" i="1" s="1"/>
  <c r="C1315" i="1"/>
  <c r="E1315" i="1" s="1"/>
  <c r="C1316" i="1"/>
  <c r="E1316" i="1" s="1"/>
  <c r="C1317" i="1"/>
  <c r="E1317" i="1" s="1"/>
  <c r="C1318" i="1"/>
  <c r="E1318" i="1" s="1"/>
  <c r="C1319" i="1"/>
  <c r="E1319" i="1" s="1"/>
  <c r="C1320" i="1"/>
  <c r="E1320" i="1" s="1"/>
  <c r="C1321" i="1"/>
  <c r="E1321" i="1" s="1"/>
  <c r="C1322" i="1"/>
  <c r="E1322" i="1" s="1"/>
  <c r="C1323" i="1"/>
  <c r="E1323" i="1" s="1"/>
  <c r="C1324" i="1"/>
  <c r="E1324" i="1" s="1"/>
  <c r="C1325" i="1"/>
  <c r="E1325" i="1" s="1"/>
  <c r="C1326" i="1"/>
  <c r="E1326" i="1" s="1"/>
  <c r="C1327" i="1"/>
  <c r="E1327" i="1" s="1"/>
  <c r="C1328" i="1"/>
  <c r="E1328" i="1" s="1"/>
  <c r="C1329" i="1"/>
  <c r="E1329" i="1" s="1"/>
  <c r="C1330" i="1"/>
  <c r="E1330" i="1" s="1"/>
  <c r="C1331" i="1"/>
  <c r="E1331" i="1" s="1"/>
  <c r="C1332" i="1"/>
  <c r="E1332" i="1" s="1"/>
  <c r="C1333" i="1"/>
  <c r="E1333" i="1" s="1"/>
  <c r="C1334" i="1"/>
  <c r="E1334" i="1" s="1"/>
  <c r="C1335" i="1"/>
  <c r="E1335" i="1" s="1"/>
  <c r="C1336" i="1"/>
  <c r="E1336" i="1" s="1"/>
  <c r="C1337" i="1"/>
  <c r="E1337" i="1" s="1"/>
  <c r="C1338" i="1"/>
  <c r="E1338" i="1" s="1"/>
  <c r="C1339" i="1"/>
  <c r="E1339" i="1" s="1"/>
  <c r="C1340" i="1"/>
  <c r="E1340" i="1" s="1"/>
  <c r="C1341" i="1"/>
  <c r="E1341" i="1" s="1"/>
  <c r="C1342" i="1"/>
  <c r="E1342" i="1" s="1"/>
  <c r="C1343" i="1"/>
  <c r="E1343" i="1" s="1"/>
  <c r="C1344" i="1"/>
  <c r="E1344" i="1" s="1"/>
  <c r="C1345" i="1"/>
  <c r="E1345" i="1" s="1"/>
  <c r="C1346" i="1"/>
  <c r="E1346" i="1" s="1"/>
  <c r="C1347" i="1"/>
  <c r="E1347" i="1" s="1"/>
  <c r="C1348" i="1"/>
  <c r="E1348" i="1" s="1"/>
  <c r="C1349" i="1"/>
  <c r="E1349" i="1" s="1"/>
  <c r="C1350" i="1"/>
  <c r="E1350" i="1" s="1"/>
  <c r="C1351" i="1"/>
  <c r="E1351" i="1" s="1"/>
  <c r="C1352" i="1"/>
  <c r="E1352" i="1" s="1"/>
  <c r="C1353" i="1"/>
  <c r="E1353" i="1" s="1"/>
  <c r="C1354" i="1"/>
  <c r="E1354" i="1" s="1"/>
  <c r="C1355" i="1"/>
  <c r="E1355" i="1" s="1"/>
  <c r="C1356" i="1"/>
  <c r="E1356" i="1" s="1"/>
  <c r="C1357" i="1"/>
  <c r="E1357" i="1" s="1"/>
  <c r="C1358" i="1"/>
  <c r="E1358" i="1" s="1"/>
  <c r="C1359" i="1"/>
  <c r="E1359" i="1" s="1"/>
  <c r="C1360" i="1"/>
  <c r="E1360" i="1" s="1"/>
  <c r="C1361" i="1"/>
  <c r="E1361" i="1" s="1"/>
  <c r="C1362" i="1"/>
  <c r="E1362" i="1" s="1"/>
  <c r="C1363" i="1"/>
  <c r="E1363" i="1" s="1"/>
  <c r="C1364" i="1"/>
  <c r="E1364" i="1" s="1"/>
  <c r="C1365" i="1"/>
  <c r="E1365" i="1" s="1"/>
  <c r="C1366" i="1"/>
  <c r="E1366" i="1" s="1"/>
  <c r="C1367" i="1"/>
  <c r="E1367" i="1" s="1"/>
  <c r="C1368" i="1"/>
  <c r="E1368" i="1" s="1"/>
  <c r="C1369" i="1"/>
  <c r="E1369" i="1" s="1"/>
  <c r="C1370" i="1"/>
  <c r="E1370" i="1" s="1"/>
  <c r="C1371" i="1"/>
  <c r="E1371" i="1" s="1"/>
  <c r="C1372" i="1"/>
  <c r="E1372" i="1" s="1"/>
  <c r="C1373" i="1"/>
  <c r="E1373" i="1" s="1"/>
  <c r="C1374" i="1"/>
  <c r="E1374" i="1" s="1"/>
  <c r="C1375" i="1"/>
  <c r="E1375" i="1" s="1"/>
  <c r="C1376" i="1"/>
  <c r="E1376" i="1" s="1"/>
  <c r="C1377" i="1"/>
  <c r="E1377" i="1" s="1"/>
  <c r="C1378" i="1"/>
  <c r="E1378" i="1" s="1"/>
  <c r="C1379" i="1"/>
  <c r="E1379" i="1" s="1"/>
  <c r="C1380" i="1"/>
  <c r="E1380" i="1" s="1"/>
  <c r="C1381" i="1"/>
  <c r="E1381" i="1" s="1"/>
  <c r="C1382" i="1"/>
  <c r="E1382" i="1" s="1"/>
  <c r="C1383" i="1"/>
  <c r="E1383" i="1" s="1"/>
  <c r="C1384" i="1"/>
  <c r="E1384" i="1" s="1"/>
  <c r="C1385" i="1"/>
  <c r="E1385" i="1" s="1"/>
  <c r="C1386" i="1"/>
  <c r="E1386" i="1" s="1"/>
  <c r="C1387" i="1"/>
  <c r="E1387" i="1" s="1"/>
  <c r="C1388" i="1"/>
  <c r="E1388" i="1" s="1"/>
  <c r="C1389" i="1"/>
  <c r="E1389" i="1" s="1"/>
  <c r="C1390" i="1"/>
  <c r="E1390" i="1" s="1"/>
  <c r="C1391" i="1"/>
  <c r="E1391" i="1" s="1"/>
  <c r="C1392" i="1"/>
  <c r="E1392" i="1" s="1"/>
  <c r="C1393" i="1"/>
  <c r="E1393" i="1" s="1"/>
  <c r="C1394" i="1"/>
  <c r="E1394" i="1" s="1"/>
  <c r="C1395" i="1"/>
  <c r="E1395" i="1" s="1"/>
  <c r="C1396" i="1"/>
  <c r="E1396" i="1" s="1"/>
  <c r="C1397" i="1"/>
  <c r="E1397" i="1" s="1"/>
  <c r="C1398" i="1"/>
  <c r="E1398" i="1" s="1"/>
  <c r="C1399" i="1"/>
  <c r="E1399" i="1" s="1"/>
  <c r="C1400" i="1"/>
  <c r="E1400" i="1" s="1"/>
  <c r="C1401" i="1"/>
  <c r="E1401" i="1" s="1"/>
  <c r="C1402" i="1"/>
  <c r="E1402" i="1" s="1"/>
  <c r="C1403" i="1"/>
  <c r="E1403" i="1" s="1"/>
  <c r="C1404" i="1"/>
  <c r="E1404" i="1" s="1"/>
  <c r="C1405" i="1"/>
  <c r="E1405" i="1" s="1"/>
  <c r="C1406" i="1"/>
  <c r="E1406" i="1" s="1"/>
  <c r="C1407" i="1"/>
  <c r="E1407" i="1" s="1"/>
  <c r="C1408" i="1"/>
  <c r="E1408" i="1" s="1"/>
  <c r="C1409" i="1"/>
  <c r="E1409" i="1" s="1"/>
  <c r="C1410" i="1"/>
  <c r="E1410" i="1" s="1"/>
  <c r="C1411" i="1"/>
  <c r="E1411" i="1" s="1"/>
  <c r="C1412" i="1"/>
  <c r="E1412" i="1" s="1"/>
  <c r="C1413" i="1"/>
  <c r="E1413" i="1" s="1"/>
  <c r="C1414" i="1"/>
  <c r="E1414" i="1" s="1"/>
  <c r="C1415" i="1"/>
  <c r="E1415" i="1" s="1"/>
  <c r="C1416" i="1"/>
  <c r="E1416" i="1" s="1"/>
  <c r="C1417" i="1"/>
  <c r="E1417" i="1" s="1"/>
  <c r="C1418" i="1"/>
  <c r="E1418" i="1" s="1"/>
  <c r="C1419" i="1"/>
  <c r="E1419" i="1" s="1"/>
  <c r="C1420" i="1"/>
  <c r="E1420" i="1" s="1"/>
  <c r="C1421" i="1"/>
  <c r="E1421" i="1" s="1"/>
  <c r="C1422" i="1"/>
  <c r="E1422" i="1" s="1"/>
  <c r="C1423" i="1"/>
  <c r="E1423" i="1" s="1"/>
  <c r="C1424" i="1"/>
  <c r="E1424" i="1" s="1"/>
  <c r="C1425" i="1"/>
  <c r="E1425" i="1" s="1"/>
  <c r="C1426" i="1"/>
  <c r="E1426" i="1" s="1"/>
  <c r="C1427" i="1"/>
  <c r="E1427" i="1" s="1"/>
  <c r="C1428" i="1"/>
  <c r="E1428" i="1" s="1"/>
  <c r="C1429" i="1"/>
  <c r="E1429" i="1" s="1"/>
  <c r="C1430" i="1"/>
  <c r="E1430" i="1" s="1"/>
  <c r="C1431" i="1"/>
  <c r="E1431" i="1" s="1"/>
  <c r="C1432" i="1"/>
  <c r="E1432" i="1" s="1"/>
  <c r="C1433" i="1"/>
  <c r="E1433" i="1" s="1"/>
  <c r="C1434" i="1"/>
  <c r="E1434" i="1" s="1"/>
  <c r="C1435" i="1"/>
  <c r="E1435" i="1" s="1"/>
  <c r="C1436" i="1"/>
  <c r="E1436" i="1" s="1"/>
  <c r="C1437" i="1"/>
  <c r="E1437" i="1" s="1"/>
  <c r="C1438" i="1"/>
  <c r="E1438" i="1" s="1"/>
  <c r="C1439" i="1"/>
  <c r="E1439" i="1" s="1"/>
  <c r="C1440" i="1"/>
  <c r="E1440" i="1" s="1"/>
  <c r="C1441" i="1"/>
  <c r="E1441" i="1" s="1"/>
  <c r="C1442" i="1"/>
  <c r="E1442" i="1" s="1"/>
  <c r="C1443" i="1"/>
  <c r="E1443" i="1" s="1"/>
  <c r="C1444" i="1"/>
  <c r="E1444" i="1" s="1"/>
  <c r="C1445" i="1"/>
  <c r="E1445" i="1" s="1"/>
  <c r="C1446" i="1"/>
  <c r="E1446" i="1" s="1"/>
  <c r="C1447" i="1"/>
  <c r="E1447" i="1" s="1"/>
  <c r="C1448" i="1"/>
  <c r="E1448" i="1" s="1"/>
  <c r="C1449" i="1"/>
  <c r="E1449" i="1" s="1"/>
  <c r="C1450" i="1"/>
  <c r="E1450" i="1" s="1"/>
  <c r="C1451" i="1"/>
  <c r="E1451" i="1" s="1"/>
  <c r="C1452" i="1"/>
  <c r="E1452" i="1" s="1"/>
  <c r="C1453" i="1"/>
  <c r="E1453" i="1" s="1"/>
  <c r="C1454" i="1"/>
  <c r="E1454" i="1" s="1"/>
  <c r="C1455" i="1"/>
  <c r="E1455" i="1" s="1"/>
  <c r="C1456" i="1"/>
  <c r="E1456" i="1" s="1"/>
  <c r="C1457" i="1"/>
  <c r="E1457" i="1" s="1"/>
  <c r="C1458" i="1"/>
  <c r="E1458" i="1" s="1"/>
  <c r="C1459" i="1"/>
  <c r="E1459" i="1" s="1"/>
  <c r="C1460" i="1"/>
  <c r="E1460" i="1" s="1"/>
  <c r="C1461" i="1"/>
  <c r="E1461" i="1" s="1"/>
  <c r="C1462" i="1"/>
  <c r="E1462" i="1" s="1"/>
  <c r="C1463" i="1"/>
  <c r="E1463" i="1" s="1"/>
  <c r="C1464" i="1"/>
  <c r="E1464" i="1" s="1"/>
  <c r="C1465" i="1"/>
  <c r="E1465" i="1" s="1"/>
  <c r="C1466" i="1"/>
  <c r="E1466" i="1" s="1"/>
  <c r="C1467" i="1"/>
  <c r="E1467" i="1" s="1"/>
  <c r="C1468" i="1"/>
  <c r="E1468" i="1" s="1"/>
  <c r="C1469" i="1"/>
  <c r="E1469" i="1" s="1"/>
  <c r="C1470" i="1"/>
  <c r="E1470" i="1" s="1"/>
  <c r="C1471" i="1"/>
  <c r="E1471" i="1" s="1"/>
  <c r="C1472" i="1"/>
  <c r="E1472" i="1" s="1"/>
  <c r="C1473" i="1"/>
  <c r="E1473" i="1" s="1"/>
  <c r="C1474" i="1"/>
  <c r="E1474" i="1" s="1"/>
  <c r="C1475" i="1"/>
  <c r="E1475" i="1" s="1"/>
  <c r="C1476" i="1"/>
  <c r="E1476" i="1" s="1"/>
  <c r="C1477" i="1"/>
  <c r="E1477" i="1" s="1"/>
  <c r="C1478" i="1"/>
  <c r="E1478" i="1" s="1"/>
  <c r="C1479" i="1"/>
  <c r="E1479" i="1" s="1"/>
  <c r="C1480" i="1"/>
  <c r="E1480" i="1" s="1"/>
  <c r="C1481" i="1"/>
  <c r="E1481" i="1" s="1"/>
  <c r="C1482" i="1"/>
  <c r="E1482" i="1" s="1"/>
  <c r="C1483" i="1"/>
  <c r="E1483" i="1" s="1"/>
  <c r="C1484" i="1"/>
  <c r="E1484" i="1" s="1"/>
  <c r="C1485" i="1"/>
  <c r="E1485" i="1" s="1"/>
  <c r="C1486" i="1"/>
  <c r="E1486" i="1" s="1"/>
  <c r="C1487" i="1"/>
  <c r="E1487" i="1" s="1"/>
  <c r="C1488" i="1"/>
  <c r="E1488" i="1" s="1"/>
  <c r="C1489" i="1"/>
  <c r="E1489" i="1" s="1"/>
  <c r="C1490" i="1"/>
  <c r="E1490" i="1" s="1"/>
  <c r="C1491" i="1"/>
  <c r="E1491" i="1" s="1"/>
  <c r="C1492" i="1"/>
  <c r="E1492" i="1" s="1"/>
  <c r="C1493" i="1"/>
  <c r="E1493" i="1" s="1"/>
  <c r="C1494" i="1"/>
  <c r="E1494" i="1" s="1"/>
  <c r="C1495" i="1"/>
  <c r="E1495" i="1" s="1"/>
  <c r="C1496" i="1"/>
  <c r="E1496" i="1" s="1"/>
  <c r="C1497" i="1"/>
  <c r="E1497" i="1" s="1"/>
  <c r="C1498" i="1"/>
  <c r="E1498" i="1" s="1"/>
  <c r="C1499" i="1"/>
  <c r="E1499" i="1" s="1"/>
  <c r="C1500" i="1"/>
  <c r="E1500" i="1" s="1"/>
  <c r="C1501" i="1"/>
  <c r="E1501" i="1" s="1"/>
  <c r="C1502" i="1"/>
  <c r="E1502" i="1" s="1"/>
  <c r="C1503" i="1"/>
  <c r="E1503" i="1" s="1"/>
  <c r="C1504" i="1"/>
  <c r="E1504" i="1" s="1"/>
  <c r="C1505" i="1"/>
  <c r="E1505" i="1" s="1"/>
  <c r="C1506" i="1"/>
  <c r="E1506" i="1" s="1"/>
  <c r="C1507" i="1"/>
  <c r="E1507" i="1" s="1"/>
  <c r="C1508" i="1"/>
  <c r="E1508" i="1" s="1"/>
  <c r="C1509" i="1"/>
  <c r="E1509" i="1" s="1"/>
  <c r="C1510" i="1"/>
  <c r="E1510" i="1" s="1"/>
  <c r="C1511" i="1"/>
  <c r="E1511" i="1" s="1"/>
  <c r="C1512" i="1"/>
  <c r="E1512" i="1" s="1"/>
  <c r="C1513" i="1"/>
  <c r="E1513" i="1" s="1"/>
  <c r="C1514" i="1"/>
  <c r="E1514" i="1" s="1"/>
  <c r="C1515" i="1"/>
  <c r="E1515" i="1" s="1"/>
  <c r="C1516" i="1"/>
  <c r="E1516" i="1" s="1"/>
  <c r="C1517" i="1"/>
  <c r="E1517" i="1" s="1"/>
  <c r="C1518" i="1"/>
  <c r="E1518" i="1" s="1"/>
  <c r="C1519" i="1"/>
  <c r="E1519" i="1" s="1"/>
  <c r="C1520" i="1"/>
  <c r="E1520" i="1" s="1"/>
  <c r="C1521" i="1"/>
  <c r="E1521" i="1" s="1"/>
  <c r="C1522" i="1"/>
  <c r="E1522" i="1" s="1"/>
  <c r="C1523" i="1"/>
  <c r="E1523" i="1" s="1"/>
  <c r="C1524" i="1"/>
  <c r="E1524" i="1" s="1"/>
  <c r="C1525" i="1"/>
  <c r="E1525" i="1" s="1"/>
  <c r="C1526" i="1"/>
  <c r="E1526" i="1" s="1"/>
  <c r="C1527" i="1"/>
  <c r="E1527" i="1" s="1"/>
  <c r="C1528" i="1"/>
  <c r="E1528" i="1" s="1"/>
  <c r="C1529" i="1"/>
  <c r="E1529" i="1" s="1"/>
  <c r="C1530" i="1"/>
  <c r="E1530" i="1" s="1"/>
  <c r="C1531" i="1"/>
  <c r="E1531" i="1" s="1"/>
  <c r="C1532" i="1"/>
  <c r="E1532" i="1" s="1"/>
  <c r="C1533" i="1"/>
  <c r="E1533" i="1" s="1"/>
  <c r="C1534" i="1"/>
  <c r="E1534" i="1" s="1"/>
  <c r="C1535" i="1"/>
  <c r="E1535" i="1" s="1"/>
  <c r="C1536" i="1"/>
  <c r="E1536" i="1" s="1"/>
  <c r="C1537" i="1"/>
  <c r="E1537" i="1" s="1"/>
  <c r="C1538" i="1"/>
  <c r="E1538" i="1" s="1"/>
  <c r="C1539" i="1"/>
  <c r="E1539" i="1" s="1"/>
  <c r="C1540" i="1"/>
  <c r="E1540" i="1" s="1"/>
  <c r="C1541" i="1"/>
  <c r="E1541" i="1" s="1"/>
  <c r="C1542" i="1"/>
  <c r="E1542" i="1" s="1"/>
  <c r="C1543" i="1"/>
  <c r="E1543" i="1" s="1"/>
  <c r="C1544" i="1"/>
  <c r="E1544" i="1" s="1"/>
  <c r="C1545" i="1"/>
  <c r="E1545" i="1" s="1"/>
  <c r="C1546" i="1"/>
  <c r="E1546" i="1" s="1"/>
  <c r="C1547" i="1"/>
  <c r="E1547" i="1" s="1"/>
  <c r="C1548" i="1"/>
  <c r="E1548" i="1" s="1"/>
  <c r="C1549" i="1"/>
  <c r="E1549" i="1" s="1"/>
  <c r="C1550" i="1"/>
  <c r="E1550" i="1" s="1"/>
  <c r="C1551" i="1"/>
  <c r="E1551" i="1" s="1"/>
  <c r="C1552" i="1"/>
  <c r="E1552" i="1" s="1"/>
  <c r="C1553" i="1"/>
  <c r="E1553" i="1" s="1"/>
  <c r="C1554" i="1"/>
  <c r="E1554" i="1" s="1"/>
  <c r="C1555" i="1"/>
  <c r="E1555" i="1" s="1"/>
  <c r="C1556" i="1"/>
  <c r="E1556" i="1" s="1"/>
  <c r="C1557" i="1"/>
  <c r="E1557" i="1" s="1"/>
  <c r="C1558" i="1"/>
  <c r="E1558" i="1" s="1"/>
  <c r="C1559" i="1"/>
  <c r="E1559" i="1" s="1"/>
  <c r="C1560" i="1"/>
  <c r="E1560" i="1" s="1"/>
  <c r="C1561" i="1"/>
  <c r="E1561" i="1" s="1"/>
  <c r="C1562" i="1"/>
  <c r="E1562" i="1" s="1"/>
  <c r="C1563" i="1"/>
  <c r="E1563" i="1" s="1"/>
  <c r="C1564" i="1"/>
  <c r="E1564" i="1" s="1"/>
  <c r="C1565" i="1"/>
  <c r="E1565" i="1" s="1"/>
  <c r="C1566" i="1"/>
  <c r="E1566" i="1" s="1"/>
  <c r="C1567" i="1"/>
  <c r="E1567" i="1" s="1"/>
  <c r="C1568" i="1"/>
  <c r="E1568" i="1" s="1"/>
  <c r="C1569" i="1"/>
  <c r="E1569" i="1" s="1"/>
  <c r="C1570" i="1"/>
  <c r="E1570" i="1" s="1"/>
  <c r="C1571" i="1"/>
  <c r="E1571" i="1" s="1"/>
  <c r="C1572" i="1"/>
  <c r="E1572" i="1" s="1"/>
  <c r="C1573" i="1"/>
  <c r="E1573" i="1" s="1"/>
  <c r="C1574" i="1"/>
  <c r="E1574" i="1" s="1"/>
  <c r="C1575" i="1"/>
  <c r="E1575" i="1" s="1"/>
  <c r="C1576" i="1"/>
  <c r="E1576" i="1" s="1"/>
  <c r="C1577" i="1"/>
  <c r="E1577" i="1" s="1"/>
  <c r="C1578" i="1"/>
  <c r="E1578" i="1" s="1"/>
  <c r="C1579" i="1"/>
  <c r="E1579" i="1" s="1"/>
  <c r="C1580" i="1"/>
  <c r="E1580" i="1" s="1"/>
  <c r="C1581" i="1"/>
  <c r="E1581" i="1" s="1"/>
  <c r="C1582" i="1"/>
  <c r="E1582" i="1" s="1"/>
  <c r="C1583" i="1"/>
  <c r="E1583" i="1" s="1"/>
  <c r="C1584" i="1"/>
  <c r="E1584" i="1" s="1"/>
  <c r="C1585" i="1"/>
  <c r="E1585" i="1" s="1"/>
  <c r="C1586" i="1"/>
  <c r="E1586" i="1" s="1"/>
  <c r="C1587" i="1"/>
  <c r="E1587" i="1" s="1"/>
  <c r="C1588" i="1"/>
  <c r="E1588" i="1" s="1"/>
  <c r="C1589" i="1"/>
  <c r="E1589" i="1" s="1"/>
  <c r="C1590" i="1"/>
  <c r="E1590" i="1" s="1"/>
  <c r="C1591" i="1"/>
  <c r="E1591" i="1" s="1"/>
  <c r="C1592" i="1"/>
  <c r="E1592" i="1" s="1"/>
  <c r="C1593" i="1"/>
  <c r="E1593" i="1" s="1"/>
  <c r="C1594" i="1"/>
  <c r="E1594" i="1" s="1"/>
  <c r="C1595" i="1"/>
  <c r="E1595" i="1" s="1"/>
  <c r="C1596" i="1"/>
  <c r="E1596" i="1" s="1"/>
  <c r="C1597" i="1"/>
  <c r="E1597" i="1" s="1"/>
  <c r="C1598" i="1"/>
  <c r="E1598" i="1" s="1"/>
  <c r="C1599" i="1"/>
  <c r="E1599" i="1" s="1"/>
  <c r="C1600" i="1"/>
  <c r="E1600" i="1" s="1"/>
  <c r="C1601" i="1"/>
  <c r="E1601" i="1" s="1"/>
  <c r="C1602" i="1"/>
  <c r="E1602" i="1" s="1"/>
  <c r="C1603" i="1"/>
  <c r="E1603" i="1" s="1"/>
  <c r="C1604" i="1"/>
  <c r="E1604" i="1" s="1"/>
  <c r="C1605" i="1"/>
  <c r="E1605" i="1" s="1"/>
  <c r="C1606" i="1"/>
  <c r="E1606" i="1" s="1"/>
  <c r="C1607" i="1"/>
  <c r="E1607" i="1" s="1"/>
  <c r="C1608" i="1"/>
  <c r="E1608" i="1" s="1"/>
  <c r="C1609" i="1"/>
  <c r="E1609" i="1" s="1"/>
  <c r="C1610" i="1"/>
  <c r="E1610" i="1" s="1"/>
  <c r="C1611" i="1"/>
  <c r="E1611" i="1" s="1"/>
  <c r="C1612" i="1"/>
  <c r="E1612" i="1" s="1"/>
  <c r="C1613" i="1"/>
  <c r="E1613" i="1" s="1"/>
  <c r="C1614" i="1"/>
  <c r="E1614" i="1" s="1"/>
  <c r="C1615" i="1"/>
  <c r="E1615" i="1" s="1"/>
  <c r="C1616" i="1"/>
  <c r="E1616" i="1" s="1"/>
  <c r="C1617" i="1"/>
  <c r="E1617" i="1" s="1"/>
  <c r="C1618" i="1"/>
  <c r="E1618" i="1" s="1"/>
  <c r="C1619" i="1"/>
  <c r="E1619" i="1" s="1"/>
  <c r="C1620" i="1"/>
  <c r="E1620" i="1" s="1"/>
  <c r="C1621" i="1"/>
  <c r="E1621" i="1" s="1"/>
  <c r="C1622" i="1"/>
  <c r="E1622" i="1" s="1"/>
  <c r="C1623" i="1"/>
  <c r="E1623" i="1" s="1"/>
  <c r="C1624" i="1"/>
  <c r="E1624" i="1" s="1"/>
  <c r="C1625" i="1"/>
  <c r="E1625" i="1" s="1"/>
  <c r="C1626" i="1"/>
  <c r="E1626" i="1" s="1"/>
  <c r="C1627" i="1"/>
  <c r="E1627" i="1" s="1"/>
  <c r="C1628" i="1"/>
  <c r="E1628" i="1" s="1"/>
  <c r="C1629" i="1"/>
  <c r="E1629" i="1" s="1"/>
  <c r="C1630" i="1"/>
  <c r="E1630" i="1" s="1"/>
  <c r="C1631" i="1"/>
  <c r="E1631" i="1" s="1"/>
  <c r="C1632" i="1"/>
  <c r="E1632" i="1" s="1"/>
  <c r="C1633" i="1"/>
  <c r="E1633" i="1" s="1"/>
  <c r="C1634" i="1"/>
  <c r="E1634" i="1" s="1"/>
  <c r="C1635" i="1"/>
  <c r="E1635" i="1" s="1"/>
  <c r="C1636" i="1"/>
  <c r="E1636" i="1" s="1"/>
  <c r="C1637" i="1"/>
  <c r="E1637" i="1" s="1"/>
  <c r="C1638" i="1"/>
  <c r="E1638" i="1" s="1"/>
  <c r="C1639" i="1"/>
  <c r="E1639" i="1" s="1"/>
  <c r="C1640" i="1"/>
  <c r="E1640" i="1" s="1"/>
  <c r="C1641" i="1"/>
  <c r="E1641" i="1" s="1"/>
  <c r="C1642" i="1"/>
  <c r="E1642" i="1" s="1"/>
  <c r="C1643" i="1"/>
  <c r="E1643" i="1" s="1"/>
  <c r="C1644" i="1"/>
  <c r="E1644" i="1" s="1"/>
  <c r="C1645" i="1"/>
  <c r="E1645" i="1" s="1"/>
  <c r="C1646" i="1"/>
  <c r="E1646" i="1" s="1"/>
  <c r="C1647" i="1"/>
  <c r="E1647" i="1" s="1"/>
  <c r="C1648" i="1"/>
  <c r="E1648" i="1" s="1"/>
  <c r="C1649" i="1"/>
  <c r="E1649" i="1" s="1"/>
  <c r="C1650" i="1"/>
  <c r="E1650" i="1" s="1"/>
  <c r="C1651" i="1"/>
  <c r="E1651" i="1" s="1"/>
  <c r="C1652" i="1"/>
  <c r="E1652" i="1" s="1"/>
  <c r="C1653" i="1"/>
  <c r="E1653" i="1" s="1"/>
  <c r="C1654" i="1"/>
  <c r="E1654" i="1" s="1"/>
  <c r="C1655" i="1"/>
  <c r="E1655" i="1" s="1"/>
  <c r="C1656" i="1"/>
  <c r="E1656" i="1" s="1"/>
  <c r="C1657" i="1"/>
  <c r="E1657" i="1" s="1"/>
  <c r="C1658" i="1"/>
  <c r="E1658" i="1" s="1"/>
  <c r="C1659" i="1"/>
  <c r="E1659" i="1" s="1"/>
  <c r="C1660" i="1"/>
  <c r="E1660" i="1" s="1"/>
  <c r="C1661" i="1"/>
  <c r="E1661" i="1" s="1"/>
  <c r="C1662" i="1"/>
  <c r="E1662" i="1" s="1"/>
  <c r="C1663" i="1"/>
  <c r="E1663" i="1" s="1"/>
  <c r="C1664" i="1"/>
  <c r="E1664" i="1" s="1"/>
  <c r="C1665" i="1"/>
  <c r="E1665" i="1" s="1"/>
  <c r="C1666" i="1"/>
  <c r="E1666" i="1" s="1"/>
  <c r="C1667" i="1"/>
  <c r="E1667" i="1" s="1"/>
  <c r="C1668" i="1"/>
  <c r="E1668" i="1" s="1"/>
  <c r="C1669" i="1"/>
  <c r="E1669" i="1" s="1"/>
  <c r="C1670" i="1"/>
  <c r="E1670" i="1" s="1"/>
  <c r="C1671" i="1"/>
  <c r="E1671" i="1" s="1"/>
  <c r="C1672" i="1"/>
  <c r="E1672" i="1" s="1"/>
  <c r="C1673" i="1"/>
  <c r="E1673" i="1" s="1"/>
  <c r="C1674" i="1"/>
  <c r="E1674" i="1" s="1"/>
  <c r="C1675" i="1"/>
  <c r="E1675" i="1" s="1"/>
  <c r="C1676" i="1"/>
  <c r="E1676" i="1" s="1"/>
  <c r="C1677" i="1"/>
  <c r="E1677" i="1" s="1"/>
  <c r="C1678" i="1"/>
  <c r="E1678" i="1" s="1"/>
  <c r="C1679" i="1"/>
  <c r="E1679" i="1" s="1"/>
  <c r="C1680" i="1"/>
  <c r="E1680" i="1" s="1"/>
  <c r="C1681" i="1"/>
  <c r="E1681" i="1" s="1"/>
  <c r="C1682" i="1"/>
  <c r="E1682" i="1" s="1"/>
  <c r="C1683" i="1"/>
  <c r="E1683" i="1" s="1"/>
  <c r="C1684" i="1"/>
  <c r="E1684" i="1" s="1"/>
  <c r="C1685" i="1"/>
  <c r="E1685" i="1" s="1"/>
  <c r="C1686" i="1"/>
  <c r="E1686" i="1" s="1"/>
  <c r="C1687" i="1"/>
  <c r="E1687" i="1" s="1"/>
  <c r="C1688" i="1"/>
  <c r="E1688" i="1" s="1"/>
  <c r="C1689" i="1"/>
  <c r="E1689" i="1" s="1"/>
  <c r="C1690" i="1"/>
  <c r="E1690" i="1" s="1"/>
  <c r="C1691" i="1"/>
  <c r="E1691" i="1" s="1"/>
  <c r="C1692" i="1"/>
  <c r="E1692" i="1" s="1"/>
  <c r="C1693" i="1"/>
  <c r="E1693" i="1" s="1"/>
  <c r="C1694" i="1"/>
  <c r="E1694" i="1" s="1"/>
  <c r="C1695" i="1"/>
  <c r="E1695" i="1" s="1"/>
  <c r="C1696" i="1"/>
  <c r="E1696" i="1" s="1"/>
  <c r="C1697" i="1"/>
  <c r="E1697" i="1" s="1"/>
  <c r="C1698" i="1"/>
  <c r="E1698" i="1" s="1"/>
  <c r="C1699" i="1"/>
  <c r="E1699" i="1" s="1"/>
  <c r="C1700" i="1"/>
  <c r="E1700" i="1" s="1"/>
  <c r="C1701" i="1"/>
  <c r="E1701" i="1" s="1"/>
  <c r="C1702" i="1"/>
  <c r="E1702" i="1" s="1"/>
  <c r="C1703" i="1"/>
  <c r="E1703" i="1" s="1"/>
  <c r="C1704" i="1"/>
  <c r="E1704" i="1" s="1"/>
  <c r="C1705" i="1"/>
  <c r="E1705" i="1" s="1"/>
  <c r="C1706" i="1"/>
  <c r="E1706" i="1" s="1"/>
  <c r="C1707" i="1"/>
  <c r="E1707" i="1" s="1"/>
  <c r="C1708" i="1"/>
  <c r="E1708" i="1" s="1"/>
  <c r="C1709" i="1"/>
  <c r="E1709" i="1" s="1"/>
  <c r="C1710" i="1"/>
  <c r="E1710" i="1" s="1"/>
  <c r="C1711" i="1"/>
  <c r="E1711" i="1" s="1"/>
  <c r="C1712" i="1"/>
  <c r="E1712" i="1" s="1"/>
  <c r="C1713" i="1"/>
  <c r="E1713" i="1" s="1"/>
  <c r="C1714" i="1"/>
  <c r="E1714" i="1" s="1"/>
  <c r="C1715" i="1"/>
  <c r="E1715" i="1" s="1"/>
  <c r="C1716" i="1"/>
  <c r="E1716" i="1" s="1"/>
  <c r="C1717" i="1"/>
  <c r="E1717" i="1" s="1"/>
  <c r="C1718" i="1"/>
  <c r="E1718" i="1" s="1"/>
  <c r="C1719" i="1"/>
  <c r="E1719" i="1" s="1"/>
  <c r="C1720" i="1"/>
  <c r="E1720" i="1" s="1"/>
  <c r="C1721" i="1"/>
  <c r="E1721" i="1" s="1"/>
  <c r="C1722" i="1"/>
  <c r="E1722" i="1" s="1"/>
  <c r="C1723" i="1"/>
  <c r="E1723" i="1" s="1"/>
  <c r="C1724" i="1"/>
  <c r="E1724" i="1" s="1"/>
  <c r="C1725" i="1"/>
  <c r="E1725" i="1" s="1"/>
  <c r="C1726" i="1"/>
  <c r="E1726" i="1" s="1"/>
  <c r="C1727" i="1"/>
  <c r="E1727" i="1" s="1"/>
  <c r="C1728" i="1"/>
  <c r="E1728" i="1" s="1"/>
  <c r="C1729" i="1"/>
  <c r="E1729" i="1" s="1"/>
  <c r="C1730" i="1"/>
  <c r="E1730" i="1" s="1"/>
  <c r="C1731" i="1"/>
  <c r="E1731" i="1" s="1"/>
  <c r="C1732" i="1"/>
  <c r="E1732" i="1" s="1"/>
  <c r="C1733" i="1"/>
  <c r="E1733" i="1" s="1"/>
  <c r="C1734" i="1"/>
  <c r="E1734" i="1" s="1"/>
  <c r="C1735" i="1"/>
  <c r="E1735" i="1" s="1"/>
  <c r="C1736" i="1"/>
  <c r="E1736" i="1" s="1"/>
  <c r="C1737" i="1"/>
  <c r="E1737" i="1" s="1"/>
  <c r="C1738" i="1"/>
  <c r="E1738" i="1" s="1"/>
  <c r="C1739" i="1"/>
  <c r="E1739" i="1" s="1"/>
  <c r="C1740" i="1"/>
  <c r="E1740" i="1" s="1"/>
  <c r="C1741" i="1"/>
  <c r="E1741" i="1" s="1"/>
  <c r="C1742" i="1"/>
  <c r="E1742" i="1" s="1"/>
  <c r="C1743" i="1"/>
  <c r="E1743" i="1" s="1"/>
  <c r="C1744" i="1"/>
  <c r="E1744" i="1" s="1"/>
  <c r="C1745" i="1"/>
  <c r="E1745" i="1" s="1"/>
  <c r="C1746" i="1"/>
  <c r="E1746" i="1" s="1"/>
  <c r="C1747" i="1"/>
  <c r="E1747" i="1" s="1"/>
  <c r="C1748" i="1"/>
  <c r="E1748" i="1" s="1"/>
  <c r="C1749" i="1"/>
  <c r="E1749" i="1" s="1"/>
  <c r="C1750" i="1"/>
  <c r="E1750" i="1" s="1"/>
  <c r="C1751" i="1"/>
  <c r="E1751" i="1" s="1"/>
  <c r="C1752" i="1"/>
  <c r="E1752" i="1" s="1"/>
  <c r="C1753" i="1"/>
  <c r="E1753" i="1" s="1"/>
  <c r="C1754" i="1"/>
  <c r="E1754" i="1" s="1"/>
  <c r="C1755" i="1"/>
  <c r="E1755" i="1" s="1"/>
  <c r="C1756" i="1"/>
  <c r="E1756" i="1" s="1"/>
  <c r="C1757" i="1"/>
  <c r="E1757" i="1" s="1"/>
  <c r="C1758" i="1"/>
  <c r="E1758" i="1" s="1"/>
  <c r="C1759" i="1"/>
  <c r="E1759" i="1" s="1"/>
  <c r="C1760" i="1"/>
  <c r="E1760" i="1" s="1"/>
  <c r="C1761" i="1"/>
  <c r="E1761" i="1" s="1"/>
  <c r="C1762" i="1"/>
  <c r="E1762" i="1" s="1"/>
  <c r="C1763" i="1"/>
  <c r="E1763" i="1" s="1"/>
  <c r="C1764" i="1"/>
  <c r="E1764" i="1" s="1"/>
  <c r="C1765" i="1"/>
  <c r="E1765" i="1" s="1"/>
  <c r="C1766" i="1"/>
  <c r="E1766" i="1" s="1"/>
  <c r="C1767" i="1"/>
  <c r="E1767" i="1" s="1"/>
  <c r="C1768" i="1"/>
  <c r="E1768" i="1" s="1"/>
  <c r="C1769" i="1"/>
  <c r="E1769" i="1" s="1"/>
  <c r="C1770" i="1"/>
  <c r="E1770" i="1" s="1"/>
  <c r="C1771" i="1"/>
  <c r="E1771" i="1" s="1"/>
  <c r="C1772" i="1"/>
  <c r="E1772" i="1" s="1"/>
  <c r="C1773" i="1"/>
  <c r="E1773" i="1" s="1"/>
  <c r="C1774" i="1"/>
  <c r="E1774" i="1" s="1"/>
  <c r="C1775" i="1"/>
  <c r="E1775" i="1" s="1"/>
  <c r="C1776" i="1"/>
  <c r="E1776" i="1" s="1"/>
  <c r="C1777" i="1"/>
  <c r="E1777" i="1" s="1"/>
  <c r="C1778" i="1"/>
  <c r="E1778" i="1" s="1"/>
  <c r="C1779" i="1"/>
  <c r="E1779" i="1" s="1"/>
  <c r="C1780" i="1"/>
  <c r="E1780" i="1" s="1"/>
  <c r="C1781" i="1"/>
  <c r="E1781" i="1" s="1"/>
  <c r="C1782" i="1"/>
  <c r="E1782" i="1" s="1"/>
  <c r="C1783" i="1"/>
  <c r="E1783" i="1" s="1"/>
  <c r="C1784" i="1"/>
  <c r="E1784" i="1" s="1"/>
  <c r="C1785" i="1"/>
  <c r="E1785" i="1" s="1"/>
  <c r="C1786" i="1"/>
  <c r="E1786" i="1" s="1"/>
  <c r="C1787" i="1"/>
  <c r="E1787" i="1" s="1"/>
  <c r="C1788" i="1"/>
  <c r="E1788" i="1" s="1"/>
  <c r="C1789" i="1"/>
  <c r="E1789" i="1" s="1"/>
  <c r="C1790" i="1"/>
  <c r="E1790" i="1" s="1"/>
  <c r="C1791" i="1"/>
  <c r="E1791" i="1" s="1"/>
  <c r="C1792" i="1"/>
  <c r="E1792" i="1" s="1"/>
  <c r="C1793" i="1"/>
  <c r="E1793" i="1" s="1"/>
  <c r="C1794" i="1"/>
  <c r="E1794" i="1" s="1"/>
  <c r="C1795" i="1"/>
  <c r="E1795" i="1" s="1"/>
  <c r="C1796" i="1"/>
  <c r="E1796" i="1" s="1"/>
  <c r="C1797" i="1"/>
  <c r="E1797" i="1" s="1"/>
  <c r="C1798" i="1"/>
  <c r="E1798" i="1" s="1"/>
  <c r="C1799" i="1"/>
  <c r="E1799" i="1" s="1"/>
  <c r="C1800" i="1"/>
  <c r="E1800" i="1" s="1"/>
  <c r="C1801" i="1"/>
  <c r="E1801" i="1" s="1"/>
  <c r="C1802" i="1"/>
  <c r="E1802" i="1" s="1"/>
  <c r="C1803" i="1"/>
  <c r="E1803" i="1" s="1"/>
  <c r="C1804" i="1"/>
  <c r="E1804" i="1" s="1"/>
  <c r="C1805" i="1"/>
  <c r="E1805" i="1" s="1"/>
  <c r="C1806" i="1"/>
  <c r="E1806" i="1" s="1"/>
  <c r="C1807" i="1"/>
  <c r="E1807" i="1" s="1"/>
  <c r="C1808" i="1"/>
  <c r="E1808" i="1" s="1"/>
  <c r="C1809" i="1"/>
  <c r="E1809" i="1" s="1"/>
  <c r="C1810" i="1"/>
  <c r="E1810" i="1" s="1"/>
  <c r="C1811" i="1"/>
  <c r="E1811" i="1" s="1"/>
  <c r="C1812" i="1"/>
  <c r="E1812" i="1" s="1"/>
  <c r="C1813" i="1"/>
  <c r="E1813" i="1" s="1"/>
  <c r="C1814" i="1"/>
  <c r="E1814" i="1" s="1"/>
  <c r="C1815" i="1"/>
  <c r="E1815" i="1" s="1"/>
  <c r="C1816" i="1"/>
  <c r="E1816" i="1" s="1"/>
  <c r="C1817" i="1"/>
  <c r="E1817" i="1" s="1"/>
  <c r="C1818" i="1"/>
  <c r="E1818" i="1" s="1"/>
  <c r="C1819" i="1"/>
  <c r="E1819" i="1" s="1"/>
  <c r="C1820" i="1"/>
  <c r="E1820" i="1" s="1"/>
  <c r="C1821" i="1"/>
  <c r="E1821" i="1" s="1"/>
  <c r="C1822" i="1"/>
  <c r="E1822" i="1" s="1"/>
  <c r="C1823" i="1"/>
  <c r="E1823" i="1" s="1"/>
  <c r="C1824" i="1"/>
  <c r="E1824" i="1" s="1"/>
  <c r="C1825" i="1"/>
  <c r="E1825" i="1" s="1"/>
  <c r="C1826" i="1"/>
  <c r="E1826" i="1" s="1"/>
  <c r="C1827" i="1"/>
  <c r="E1827" i="1" s="1"/>
  <c r="C1828" i="1"/>
  <c r="E1828" i="1" s="1"/>
  <c r="C1829" i="1"/>
  <c r="E1829" i="1" s="1"/>
  <c r="C1830" i="1"/>
  <c r="E1830" i="1" s="1"/>
  <c r="C1831" i="1"/>
  <c r="E1831" i="1" s="1"/>
  <c r="C1832" i="1"/>
  <c r="E1832" i="1" s="1"/>
  <c r="C1833" i="1"/>
  <c r="E1833" i="1" s="1"/>
  <c r="C1834" i="1"/>
  <c r="E1834" i="1" s="1"/>
  <c r="C1835" i="1"/>
  <c r="E1835" i="1" s="1"/>
  <c r="C1836" i="1"/>
  <c r="E1836" i="1" s="1"/>
  <c r="C1837" i="1"/>
  <c r="E1837" i="1" s="1"/>
  <c r="C1838" i="1"/>
  <c r="E1838" i="1" s="1"/>
  <c r="C1839" i="1"/>
  <c r="E1839" i="1" s="1"/>
  <c r="C1840" i="1"/>
  <c r="E1840" i="1" s="1"/>
  <c r="C1841" i="1"/>
  <c r="E1841" i="1" s="1"/>
  <c r="C1842" i="1"/>
  <c r="E1842" i="1" s="1"/>
  <c r="C1843" i="1"/>
  <c r="E1843" i="1" s="1"/>
  <c r="C1844" i="1"/>
  <c r="E1844" i="1" s="1"/>
  <c r="C1845" i="1"/>
  <c r="E1845" i="1" s="1"/>
  <c r="C1846" i="1"/>
  <c r="E1846" i="1" s="1"/>
  <c r="C1847" i="1"/>
  <c r="E1847" i="1" s="1"/>
  <c r="C1848" i="1"/>
  <c r="E1848" i="1" s="1"/>
  <c r="C1849" i="1"/>
  <c r="E1849" i="1" s="1"/>
  <c r="C1850" i="1"/>
  <c r="E1850" i="1" s="1"/>
  <c r="C1851" i="1"/>
  <c r="E1851" i="1" s="1"/>
  <c r="C1852" i="1"/>
  <c r="E1852" i="1" s="1"/>
  <c r="C1853" i="1"/>
  <c r="E1853" i="1" s="1"/>
  <c r="C1854" i="1"/>
  <c r="E1854" i="1" s="1"/>
  <c r="C1855" i="1"/>
  <c r="E1855" i="1" s="1"/>
  <c r="C1856" i="1"/>
  <c r="E1856" i="1" s="1"/>
  <c r="C1857" i="1"/>
  <c r="E1857" i="1" s="1"/>
  <c r="C1858" i="1"/>
  <c r="E1858" i="1" s="1"/>
  <c r="C1859" i="1"/>
  <c r="E1859" i="1" s="1"/>
  <c r="C1860" i="1"/>
  <c r="E1860" i="1" s="1"/>
  <c r="C1861" i="1"/>
  <c r="E1861" i="1" s="1"/>
  <c r="C1862" i="1"/>
  <c r="E1862" i="1" s="1"/>
  <c r="C1863" i="1"/>
  <c r="E1863" i="1" s="1"/>
  <c r="C1864" i="1"/>
  <c r="E1864" i="1" s="1"/>
  <c r="C1865" i="1"/>
  <c r="E1865" i="1" s="1"/>
  <c r="C1866" i="1"/>
  <c r="E1866" i="1" s="1"/>
  <c r="C1867" i="1"/>
  <c r="E1867" i="1" s="1"/>
  <c r="C1868" i="1"/>
  <c r="E1868" i="1" s="1"/>
  <c r="C1869" i="1"/>
  <c r="E1869" i="1" s="1"/>
  <c r="C1870" i="1"/>
  <c r="E1870" i="1" s="1"/>
  <c r="C1871" i="1"/>
  <c r="E1871" i="1" s="1"/>
  <c r="C1872" i="1"/>
  <c r="E1872" i="1" s="1"/>
  <c r="C1873" i="1"/>
  <c r="E1873" i="1" s="1"/>
  <c r="C1874" i="1"/>
  <c r="E1874" i="1" s="1"/>
  <c r="C1875" i="1"/>
  <c r="E1875" i="1" s="1"/>
  <c r="C1876" i="1"/>
  <c r="E1876" i="1" s="1"/>
  <c r="C1877" i="1"/>
  <c r="E1877" i="1" s="1"/>
  <c r="C1878" i="1"/>
  <c r="E1878" i="1" s="1"/>
  <c r="C1879" i="1"/>
  <c r="E1879" i="1" s="1"/>
  <c r="C1880" i="1"/>
  <c r="E1880" i="1" s="1"/>
  <c r="C1881" i="1"/>
  <c r="E1881" i="1" s="1"/>
  <c r="C1882" i="1"/>
  <c r="E1882" i="1" s="1"/>
  <c r="C1883" i="1"/>
  <c r="E1883" i="1" s="1"/>
  <c r="C1884" i="1"/>
  <c r="E1884" i="1" s="1"/>
  <c r="C1885" i="1"/>
  <c r="E1885" i="1" s="1"/>
  <c r="C1886" i="1"/>
  <c r="E1886" i="1" s="1"/>
  <c r="C1887" i="1"/>
  <c r="E1887" i="1" s="1"/>
  <c r="C1888" i="1"/>
  <c r="E1888" i="1" s="1"/>
  <c r="C1889" i="1"/>
  <c r="E1889" i="1" s="1"/>
  <c r="C1890" i="1"/>
  <c r="E1890" i="1" s="1"/>
  <c r="C1891" i="1"/>
  <c r="E1891" i="1" s="1"/>
  <c r="C1892" i="1"/>
  <c r="E1892" i="1" s="1"/>
  <c r="C1893" i="1"/>
  <c r="E1893" i="1" s="1"/>
  <c r="C1894" i="1"/>
  <c r="E1894" i="1" s="1"/>
  <c r="C1895" i="1"/>
  <c r="E1895" i="1" s="1"/>
  <c r="C1896" i="1"/>
  <c r="E1896" i="1" s="1"/>
  <c r="C1897" i="1"/>
  <c r="E1897" i="1" s="1"/>
  <c r="C1898" i="1"/>
  <c r="E1898" i="1" s="1"/>
  <c r="C1899" i="1"/>
  <c r="E1899" i="1" s="1"/>
  <c r="C1900" i="1"/>
  <c r="E1900" i="1" s="1"/>
  <c r="C1901" i="1"/>
  <c r="E1901" i="1" s="1"/>
  <c r="C1902" i="1"/>
  <c r="E1902" i="1" s="1"/>
  <c r="C1903" i="1"/>
  <c r="E1903" i="1" s="1"/>
  <c r="C1904" i="1"/>
  <c r="E1904" i="1" s="1"/>
  <c r="C1905" i="1"/>
  <c r="E1905" i="1" s="1"/>
  <c r="C1906" i="1"/>
  <c r="E1906" i="1" s="1"/>
  <c r="C1907" i="1"/>
  <c r="E1907" i="1" s="1"/>
  <c r="C1908" i="1"/>
  <c r="E1908" i="1" s="1"/>
  <c r="C1909" i="1"/>
  <c r="E1909" i="1" s="1"/>
  <c r="C1910" i="1"/>
  <c r="E1910" i="1" s="1"/>
  <c r="C1911" i="1"/>
  <c r="E1911" i="1" s="1"/>
  <c r="C1912" i="1"/>
  <c r="E1912" i="1" s="1"/>
  <c r="C1913" i="1"/>
  <c r="E1913" i="1" s="1"/>
  <c r="C1914" i="1"/>
  <c r="E1914" i="1" s="1"/>
  <c r="C1915" i="1"/>
  <c r="E1915" i="1" s="1"/>
  <c r="C1916" i="1"/>
  <c r="E1916" i="1" s="1"/>
  <c r="C1917" i="1"/>
  <c r="E1917" i="1" s="1"/>
  <c r="C1918" i="1"/>
  <c r="E1918" i="1" s="1"/>
  <c r="C1919" i="1"/>
  <c r="E1919" i="1" s="1"/>
  <c r="C1920" i="1"/>
  <c r="E1920" i="1" s="1"/>
  <c r="C1921" i="1"/>
  <c r="E1921" i="1" s="1"/>
  <c r="C1922" i="1"/>
  <c r="E1922" i="1" s="1"/>
  <c r="C1923" i="1"/>
  <c r="E1923" i="1" s="1"/>
  <c r="C1924" i="1"/>
  <c r="E1924" i="1" s="1"/>
  <c r="C1925" i="1"/>
  <c r="E1925" i="1" s="1"/>
  <c r="C1926" i="1"/>
  <c r="E1926" i="1" s="1"/>
  <c r="C1927" i="1"/>
  <c r="E1927" i="1" s="1"/>
  <c r="C1928" i="1"/>
  <c r="E1928" i="1" s="1"/>
  <c r="C1929" i="1"/>
  <c r="E1929" i="1" s="1"/>
  <c r="C1930" i="1"/>
  <c r="E1930" i="1" s="1"/>
  <c r="C1931" i="1"/>
  <c r="E1931" i="1" s="1"/>
  <c r="C1932" i="1"/>
  <c r="E1932" i="1" s="1"/>
  <c r="C1933" i="1"/>
  <c r="E1933" i="1" s="1"/>
  <c r="C1934" i="1"/>
  <c r="E1934" i="1" s="1"/>
  <c r="C1935" i="1"/>
  <c r="E1935" i="1" s="1"/>
  <c r="C1936" i="1"/>
  <c r="E1936" i="1" s="1"/>
  <c r="C1937" i="1"/>
  <c r="E1937" i="1" s="1"/>
  <c r="C1938" i="1"/>
  <c r="E1938" i="1" s="1"/>
  <c r="C1939" i="1"/>
  <c r="E1939" i="1" s="1"/>
  <c r="C1940" i="1"/>
  <c r="E1940" i="1" s="1"/>
  <c r="C1941" i="1"/>
  <c r="E1941" i="1" s="1"/>
  <c r="C1942" i="1"/>
  <c r="E1942" i="1" s="1"/>
  <c r="C1943" i="1"/>
  <c r="E1943" i="1" s="1"/>
  <c r="C1944" i="1"/>
  <c r="E1944" i="1" s="1"/>
  <c r="C1945" i="1"/>
  <c r="E1945" i="1" s="1"/>
  <c r="C1946" i="1"/>
  <c r="E1946" i="1" s="1"/>
  <c r="C1947" i="1"/>
  <c r="E1947" i="1" s="1"/>
  <c r="C1948" i="1"/>
  <c r="E1948" i="1" s="1"/>
  <c r="C1949" i="1"/>
  <c r="E1949" i="1" s="1"/>
  <c r="C1950" i="1"/>
  <c r="E1950" i="1" s="1"/>
  <c r="C1951" i="1"/>
  <c r="E1951" i="1" s="1"/>
  <c r="C1952" i="1"/>
  <c r="E1952" i="1" s="1"/>
  <c r="C1953" i="1"/>
  <c r="E1953" i="1" s="1"/>
  <c r="C1954" i="1"/>
  <c r="E1954" i="1" s="1"/>
  <c r="C1955" i="1"/>
  <c r="E1955" i="1" s="1"/>
  <c r="C1956" i="1"/>
  <c r="E1956" i="1" s="1"/>
  <c r="C1957" i="1"/>
  <c r="E1957" i="1" s="1"/>
  <c r="C1958" i="1"/>
  <c r="E1958" i="1" s="1"/>
  <c r="C1959" i="1"/>
  <c r="E1959" i="1" s="1"/>
  <c r="C1960" i="1"/>
  <c r="E1960" i="1" s="1"/>
  <c r="C1961" i="1"/>
  <c r="E1961" i="1" s="1"/>
  <c r="C1962" i="1"/>
  <c r="E1962" i="1" s="1"/>
  <c r="C1963" i="1"/>
  <c r="E1963" i="1" s="1"/>
  <c r="C1964" i="1"/>
  <c r="E1964" i="1" s="1"/>
  <c r="C1965" i="1"/>
  <c r="E1965" i="1" s="1"/>
  <c r="C1966" i="1"/>
  <c r="E1966" i="1" s="1"/>
  <c r="C1967" i="1"/>
  <c r="E1967" i="1" s="1"/>
  <c r="C1968" i="1"/>
  <c r="E1968" i="1" s="1"/>
  <c r="C1969" i="1"/>
  <c r="E1969" i="1" s="1"/>
  <c r="C1970" i="1"/>
  <c r="E1970" i="1" s="1"/>
  <c r="C1971" i="1"/>
  <c r="E1971" i="1" s="1"/>
  <c r="C1972" i="1"/>
  <c r="E1972" i="1" s="1"/>
  <c r="C1973" i="1"/>
  <c r="E1973" i="1" s="1"/>
  <c r="C1974" i="1"/>
  <c r="E1974" i="1" s="1"/>
  <c r="C1975" i="1"/>
  <c r="E1975" i="1" s="1"/>
  <c r="C1976" i="1"/>
  <c r="E1976" i="1" s="1"/>
  <c r="C1977" i="1"/>
  <c r="E1977" i="1" s="1"/>
  <c r="C1978" i="1"/>
  <c r="E1978" i="1" s="1"/>
  <c r="C1979" i="1"/>
  <c r="E1979" i="1" s="1"/>
  <c r="C1980" i="1"/>
  <c r="E1980" i="1" s="1"/>
  <c r="C1981" i="1"/>
  <c r="E1981" i="1" s="1"/>
  <c r="C1982" i="1"/>
  <c r="E1982" i="1" s="1"/>
  <c r="C1983" i="1"/>
  <c r="E1983" i="1" s="1"/>
  <c r="C1984" i="1"/>
  <c r="E1984" i="1" s="1"/>
  <c r="C1985" i="1"/>
  <c r="E1985" i="1" s="1"/>
  <c r="C1986" i="1"/>
  <c r="E1986" i="1" s="1"/>
  <c r="C1987" i="1"/>
  <c r="E1987" i="1" s="1"/>
  <c r="C1988" i="1"/>
  <c r="E1988" i="1" s="1"/>
  <c r="C1989" i="1"/>
  <c r="E1989" i="1" s="1"/>
  <c r="C1990" i="1"/>
  <c r="E1990" i="1" s="1"/>
  <c r="C1991" i="1"/>
  <c r="E1991" i="1" s="1"/>
  <c r="C1992" i="1"/>
  <c r="E1992" i="1" s="1"/>
  <c r="C1993" i="1"/>
  <c r="E1993" i="1" s="1"/>
  <c r="C1994" i="1"/>
  <c r="E1994" i="1" s="1"/>
  <c r="C1995" i="1"/>
  <c r="E1995" i="1" s="1"/>
  <c r="C1996" i="1"/>
  <c r="E1996" i="1" s="1"/>
  <c r="C1997" i="1"/>
  <c r="E1997" i="1" s="1"/>
  <c r="C1998" i="1"/>
  <c r="E1998" i="1" s="1"/>
  <c r="C1999" i="1"/>
  <c r="E1999" i="1" s="1"/>
  <c r="C2000" i="1"/>
  <c r="E2000" i="1" s="1"/>
  <c r="C2001" i="1"/>
  <c r="E2001" i="1" s="1"/>
  <c r="C2002" i="1"/>
  <c r="E2002" i="1" s="1"/>
  <c r="C2003" i="1"/>
  <c r="E2003" i="1" s="1"/>
  <c r="C2004" i="1"/>
  <c r="E2004" i="1" s="1"/>
  <c r="C2005" i="1"/>
  <c r="E2005" i="1" s="1"/>
  <c r="C2006" i="1"/>
  <c r="E2006" i="1" s="1"/>
  <c r="C2007" i="1"/>
  <c r="E2007" i="1" s="1"/>
  <c r="C2008" i="1"/>
  <c r="E2008" i="1" s="1"/>
  <c r="C2009" i="1"/>
  <c r="E2009" i="1" s="1"/>
  <c r="C2010" i="1"/>
  <c r="E2010" i="1" s="1"/>
  <c r="C2011" i="1"/>
  <c r="E2011" i="1" s="1"/>
  <c r="C2012" i="1"/>
  <c r="E2012" i="1" s="1"/>
  <c r="C2013" i="1"/>
  <c r="E2013" i="1" s="1"/>
  <c r="C2014" i="1"/>
  <c r="E2014" i="1" s="1"/>
  <c r="C2015" i="1"/>
  <c r="E2015" i="1" s="1"/>
  <c r="C2016" i="1"/>
  <c r="E2016" i="1" s="1"/>
  <c r="C2017" i="1"/>
  <c r="E2017" i="1" s="1"/>
  <c r="C2018" i="1"/>
  <c r="E2018" i="1" s="1"/>
  <c r="C2019" i="1"/>
  <c r="E2019" i="1" s="1"/>
  <c r="C2020" i="1"/>
  <c r="E2020" i="1" s="1"/>
  <c r="C2021" i="1"/>
  <c r="E2021" i="1" s="1"/>
  <c r="C2022" i="1"/>
  <c r="E2022" i="1" s="1"/>
  <c r="C2023" i="1"/>
  <c r="E2023" i="1" s="1"/>
  <c r="C2024" i="1"/>
  <c r="E2024" i="1" s="1"/>
  <c r="C2025" i="1"/>
  <c r="E2025" i="1" s="1"/>
  <c r="C2026" i="1"/>
  <c r="E2026" i="1" s="1"/>
  <c r="C2027" i="1"/>
  <c r="E2027" i="1" s="1"/>
  <c r="C2028" i="1"/>
  <c r="E2028" i="1" s="1"/>
  <c r="C2029" i="1"/>
  <c r="E2029" i="1" s="1"/>
  <c r="C2030" i="1"/>
  <c r="E2030" i="1" s="1"/>
  <c r="C2031" i="1"/>
  <c r="E2031" i="1" s="1"/>
  <c r="C2032" i="1"/>
  <c r="E2032" i="1" s="1"/>
  <c r="C2033" i="1"/>
  <c r="E2033" i="1" s="1"/>
  <c r="C2034" i="1"/>
  <c r="E2034" i="1" s="1"/>
  <c r="C2035" i="1"/>
  <c r="E2035" i="1" s="1"/>
  <c r="C2036" i="1"/>
  <c r="E2036" i="1" s="1"/>
  <c r="C2037" i="1"/>
  <c r="E2037" i="1" s="1"/>
  <c r="C2038" i="1"/>
  <c r="E2038" i="1" s="1"/>
  <c r="C2039" i="1"/>
  <c r="E2039" i="1" s="1"/>
  <c r="C2040" i="1"/>
  <c r="E2040" i="1" s="1"/>
  <c r="C2041" i="1"/>
  <c r="E2041" i="1" s="1"/>
  <c r="C2042" i="1"/>
  <c r="E2042" i="1" s="1"/>
  <c r="C2043" i="1"/>
  <c r="E2043" i="1" s="1"/>
  <c r="C2044" i="1"/>
  <c r="E2044" i="1" s="1"/>
  <c r="C2045" i="1"/>
  <c r="E2045" i="1" s="1"/>
  <c r="C2046" i="1"/>
  <c r="E2046" i="1" s="1"/>
  <c r="C2047" i="1"/>
  <c r="E2047" i="1" s="1"/>
  <c r="C2048" i="1"/>
  <c r="E2048" i="1" s="1"/>
  <c r="C2049" i="1"/>
  <c r="E2049" i="1" s="1"/>
  <c r="C2050" i="1"/>
  <c r="E2050" i="1" s="1"/>
  <c r="C2051" i="1"/>
  <c r="E2051" i="1" s="1"/>
  <c r="C2052" i="1"/>
  <c r="E2052" i="1" s="1"/>
  <c r="C2053" i="1"/>
  <c r="E2053" i="1" s="1"/>
  <c r="C2054" i="1"/>
  <c r="E2054" i="1" s="1"/>
  <c r="C2055" i="1"/>
  <c r="E2055" i="1" s="1"/>
  <c r="C2056" i="1"/>
  <c r="E2056" i="1" s="1"/>
  <c r="C2057" i="1"/>
  <c r="E2057" i="1" s="1"/>
  <c r="C2058" i="1"/>
  <c r="E2058" i="1" s="1"/>
  <c r="C2059" i="1"/>
  <c r="E2059" i="1" s="1"/>
  <c r="C2060" i="1"/>
  <c r="E2060" i="1" s="1"/>
  <c r="C2061" i="1"/>
  <c r="E2061" i="1" s="1"/>
  <c r="C2062" i="1"/>
  <c r="E2062" i="1" s="1"/>
  <c r="C2063" i="1"/>
  <c r="E2063" i="1" s="1"/>
  <c r="C2064" i="1"/>
  <c r="E2064" i="1" s="1"/>
  <c r="C2065" i="1"/>
  <c r="E2065" i="1" s="1"/>
  <c r="C2066" i="1"/>
  <c r="E2066" i="1" s="1"/>
  <c r="C2067" i="1"/>
  <c r="E2067" i="1" s="1"/>
  <c r="C2068" i="1"/>
  <c r="E2068" i="1" s="1"/>
  <c r="C2069" i="1"/>
  <c r="E2069" i="1" s="1"/>
  <c r="C2070" i="1"/>
  <c r="E2070" i="1" s="1"/>
  <c r="C2071" i="1"/>
  <c r="E2071" i="1" s="1"/>
  <c r="C2072" i="1"/>
  <c r="E2072" i="1" s="1"/>
  <c r="C2073" i="1"/>
  <c r="E2073" i="1" s="1"/>
  <c r="C2074" i="1"/>
  <c r="E2074" i="1" s="1"/>
  <c r="C2075" i="1"/>
  <c r="E2075" i="1" s="1"/>
  <c r="C2076" i="1"/>
  <c r="E2076" i="1" s="1"/>
  <c r="C2077" i="1"/>
  <c r="E2077" i="1" s="1"/>
  <c r="C2078" i="1"/>
  <c r="E2078" i="1" s="1"/>
  <c r="C2079" i="1"/>
  <c r="E2079" i="1" s="1"/>
  <c r="C2080" i="1"/>
  <c r="E2080" i="1" s="1"/>
  <c r="C2081" i="1"/>
  <c r="E2081" i="1" s="1"/>
  <c r="C2082" i="1"/>
  <c r="E2082" i="1" s="1"/>
  <c r="C2083" i="1"/>
  <c r="E2083" i="1" s="1"/>
  <c r="C2084" i="1"/>
  <c r="E2084" i="1" s="1"/>
  <c r="C2085" i="1"/>
  <c r="E2085" i="1" s="1"/>
  <c r="C2086" i="1"/>
  <c r="E2086" i="1" s="1"/>
  <c r="C2087" i="1"/>
  <c r="E2087" i="1" s="1"/>
  <c r="C2088" i="1"/>
  <c r="E2088" i="1" s="1"/>
  <c r="C2089" i="1"/>
  <c r="E2089" i="1" s="1"/>
  <c r="C2090" i="1"/>
  <c r="E2090" i="1" s="1"/>
  <c r="C2091" i="1"/>
  <c r="E2091" i="1" s="1"/>
  <c r="C2092" i="1"/>
  <c r="E2092" i="1" s="1"/>
  <c r="C2093" i="1"/>
  <c r="E2093" i="1" s="1"/>
  <c r="C2094" i="1"/>
  <c r="E2094" i="1" s="1"/>
  <c r="C2095" i="1"/>
  <c r="E2095" i="1" s="1"/>
  <c r="C2096" i="1"/>
  <c r="E2096" i="1" s="1"/>
  <c r="C2097" i="1"/>
  <c r="E2097" i="1" s="1"/>
  <c r="C2098" i="1"/>
  <c r="E2098" i="1" s="1"/>
  <c r="C2099" i="1"/>
  <c r="E2099" i="1" s="1"/>
  <c r="C2100" i="1"/>
  <c r="E2100" i="1" s="1"/>
  <c r="C2101" i="1"/>
  <c r="E2101" i="1" s="1"/>
  <c r="C2102" i="1"/>
  <c r="E2102" i="1" s="1"/>
  <c r="C2103" i="1"/>
  <c r="E2103" i="1" s="1"/>
  <c r="C2104" i="1"/>
  <c r="E2104" i="1" s="1"/>
  <c r="C2105" i="1"/>
  <c r="E2105" i="1" s="1"/>
  <c r="C2106" i="1"/>
  <c r="E2106" i="1" s="1"/>
  <c r="C2107" i="1"/>
  <c r="E2107" i="1" s="1"/>
  <c r="C2108" i="1"/>
  <c r="E2108" i="1" s="1"/>
  <c r="C2109" i="1"/>
  <c r="E2109" i="1" s="1"/>
  <c r="C2110" i="1"/>
  <c r="E2110" i="1" s="1"/>
  <c r="C2111" i="1"/>
  <c r="E2111" i="1" s="1"/>
  <c r="C2112" i="1"/>
  <c r="E2112" i="1" s="1"/>
  <c r="C2113" i="1"/>
  <c r="E2113" i="1" s="1"/>
  <c r="C2114" i="1"/>
  <c r="E2114" i="1" s="1"/>
  <c r="C2115" i="1"/>
  <c r="E2115" i="1" s="1"/>
  <c r="C2116" i="1"/>
  <c r="E2116" i="1" s="1"/>
  <c r="C2117" i="1"/>
  <c r="E2117" i="1" s="1"/>
  <c r="C2118" i="1"/>
  <c r="E2118" i="1" s="1"/>
  <c r="C2119" i="1"/>
  <c r="E2119" i="1" s="1"/>
  <c r="C2120" i="1"/>
  <c r="E2120" i="1" s="1"/>
  <c r="C2121" i="1"/>
  <c r="E2121" i="1" s="1"/>
  <c r="C2122" i="1"/>
  <c r="E2122" i="1" s="1"/>
  <c r="C2123" i="1"/>
  <c r="E2123" i="1" s="1"/>
  <c r="C2124" i="1"/>
  <c r="E2124" i="1" s="1"/>
  <c r="C2125" i="1"/>
  <c r="E2125" i="1" s="1"/>
  <c r="C2126" i="1"/>
  <c r="E2126" i="1" s="1"/>
  <c r="C2127" i="1"/>
  <c r="E2127" i="1" s="1"/>
  <c r="C2128" i="1"/>
  <c r="E2128" i="1" s="1"/>
  <c r="C2129" i="1"/>
  <c r="E2129" i="1" s="1"/>
  <c r="C2130" i="1"/>
  <c r="E2130" i="1" s="1"/>
  <c r="C2131" i="1"/>
  <c r="E2131" i="1" s="1"/>
  <c r="C2132" i="1"/>
  <c r="E2132" i="1" s="1"/>
  <c r="C2133" i="1"/>
  <c r="E2133" i="1" s="1"/>
  <c r="C2134" i="1"/>
  <c r="E2134" i="1" s="1"/>
  <c r="C2135" i="1"/>
  <c r="E2135" i="1" s="1"/>
  <c r="C2136" i="1"/>
  <c r="E2136" i="1" s="1"/>
  <c r="C2137" i="1"/>
  <c r="E2137" i="1" s="1"/>
  <c r="C2138" i="1"/>
  <c r="E2138" i="1" s="1"/>
  <c r="C2139" i="1"/>
  <c r="E2139" i="1" s="1"/>
  <c r="C2140" i="1"/>
  <c r="E2140" i="1" s="1"/>
  <c r="C2141" i="1"/>
  <c r="E2141" i="1" s="1"/>
  <c r="C2142" i="1"/>
  <c r="E2142" i="1" s="1"/>
  <c r="C2143" i="1"/>
  <c r="E2143" i="1" s="1"/>
  <c r="C2144" i="1"/>
  <c r="E2144" i="1" s="1"/>
  <c r="C2145" i="1"/>
  <c r="E2145" i="1" s="1"/>
  <c r="C2146" i="1"/>
  <c r="E2146" i="1" s="1"/>
  <c r="C2147" i="1"/>
  <c r="E2147" i="1" s="1"/>
  <c r="C2148" i="1"/>
  <c r="E2148" i="1" s="1"/>
  <c r="C2149" i="1"/>
  <c r="E2149" i="1" s="1"/>
  <c r="C2150" i="1"/>
  <c r="E2150" i="1" s="1"/>
  <c r="C2151" i="1"/>
  <c r="E2151" i="1" s="1"/>
  <c r="C2152" i="1"/>
  <c r="E2152" i="1" s="1"/>
  <c r="C2153" i="1"/>
  <c r="E2153" i="1" s="1"/>
  <c r="C2154" i="1"/>
  <c r="E2154" i="1" s="1"/>
  <c r="C2155" i="1"/>
  <c r="E2155" i="1" s="1"/>
  <c r="C2156" i="1"/>
  <c r="E2156" i="1" s="1"/>
  <c r="C2157" i="1"/>
  <c r="E2157" i="1" s="1"/>
  <c r="C2158" i="1"/>
  <c r="E2158" i="1" s="1"/>
  <c r="C2159" i="1"/>
  <c r="E2159" i="1" s="1"/>
  <c r="C2160" i="1"/>
  <c r="E2160" i="1" s="1"/>
  <c r="C2161" i="1"/>
  <c r="E2161" i="1" s="1"/>
  <c r="C2162" i="1"/>
  <c r="E2162" i="1" s="1"/>
  <c r="C2163" i="1"/>
  <c r="E2163" i="1" s="1"/>
  <c r="C2164" i="1"/>
  <c r="E2164" i="1" s="1"/>
  <c r="C2165" i="1"/>
  <c r="E2165" i="1" s="1"/>
  <c r="C2166" i="1"/>
  <c r="E2166" i="1" s="1"/>
  <c r="C2167" i="1"/>
  <c r="E2167" i="1" s="1"/>
  <c r="C2168" i="1"/>
  <c r="E2168" i="1" s="1"/>
  <c r="C2169" i="1"/>
  <c r="E2169" i="1" s="1"/>
  <c r="C2170" i="1"/>
  <c r="E2170" i="1" s="1"/>
  <c r="C2171" i="1"/>
  <c r="E2171" i="1" s="1"/>
  <c r="C2172" i="1"/>
  <c r="E2172" i="1" s="1"/>
  <c r="C2173" i="1"/>
  <c r="E2173" i="1" s="1"/>
  <c r="C2174" i="1"/>
  <c r="E2174" i="1" s="1"/>
  <c r="C2175" i="1"/>
  <c r="E2175" i="1" s="1"/>
  <c r="C2176" i="1"/>
  <c r="E2176" i="1" s="1"/>
  <c r="C2177" i="1"/>
  <c r="E2177" i="1" s="1"/>
  <c r="C2178" i="1"/>
  <c r="E2178" i="1" s="1"/>
  <c r="C2179" i="1"/>
  <c r="E2179" i="1" s="1"/>
  <c r="C2180" i="1"/>
  <c r="E2180" i="1" s="1"/>
  <c r="C2181" i="1"/>
  <c r="E2181" i="1" s="1"/>
  <c r="C2182" i="1"/>
  <c r="E2182" i="1" s="1"/>
  <c r="C2183" i="1"/>
  <c r="E2183" i="1" s="1"/>
  <c r="C2184" i="1"/>
  <c r="E2184" i="1" s="1"/>
  <c r="C2185" i="1"/>
  <c r="E2185" i="1" s="1"/>
  <c r="C2186" i="1"/>
  <c r="E2186" i="1" s="1"/>
  <c r="C2187" i="1"/>
  <c r="E2187" i="1" s="1"/>
  <c r="C2188" i="1"/>
  <c r="E2188" i="1" s="1"/>
  <c r="C2189" i="1"/>
  <c r="E2189" i="1" s="1"/>
  <c r="C2190" i="1"/>
  <c r="E2190" i="1" s="1"/>
  <c r="C2191" i="1"/>
  <c r="E2191" i="1" s="1"/>
  <c r="C2192" i="1"/>
  <c r="E2192" i="1" s="1"/>
  <c r="C2193" i="1"/>
  <c r="E2193" i="1" s="1"/>
  <c r="C2194" i="1"/>
  <c r="E2194" i="1" s="1"/>
  <c r="C2195" i="1"/>
  <c r="E2195" i="1" s="1"/>
  <c r="C2196" i="1"/>
  <c r="E2196" i="1" s="1"/>
  <c r="C2197" i="1"/>
  <c r="E2197" i="1" s="1"/>
  <c r="C2198" i="1"/>
  <c r="E2198" i="1" s="1"/>
  <c r="C2199" i="1"/>
  <c r="E2199" i="1" s="1"/>
  <c r="C2200" i="1"/>
  <c r="E2200" i="1" s="1"/>
  <c r="C2201" i="1"/>
  <c r="E2201" i="1" s="1"/>
  <c r="C2202" i="1"/>
  <c r="E2202" i="1" s="1"/>
  <c r="C2203" i="1"/>
  <c r="E2203" i="1" s="1"/>
  <c r="C2204" i="1"/>
  <c r="E2204" i="1" s="1"/>
  <c r="C2205" i="1"/>
  <c r="E2205" i="1" s="1"/>
  <c r="C2206" i="1"/>
  <c r="E2206" i="1" s="1"/>
  <c r="C2207" i="1"/>
  <c r="E2207" i="1" s="1"/>
  <c r="C2208" i="1"/>
  <c r="E2208" i="1" s="1"/>
  <c r="C2209" i="1"/>
  <c r="E2209" i="1" s="1"/>
  <c r="C2210" i="1"/>
  <c r="E2210" i="1" s="1"/>
  <c r="C2211" i="1"/>
  <c r="E2211" i="1" s="1"/>
  <c r="C2212" i="1"/>
  <c r="E2212" i="1" s="1"/>
  <c r="C2213" i="1"/>
  <c r="E2213" i="1" s="1"/>
  <c r="C2214" i="1"/>
  <c r="E2214" i="1" s="1"/>
  <c r="C2215" i="1"/>
  <c r="E2215" i="1" s="1"/>
  <c r="C2216" i="1"/>
  <c r="E2216" i="1" s="1"/>
  <c r="C2217" i="1"/>
  <c r="E2217" i="1" s="1"/>
  <c r="C2218" i="1"/>
  <c r="E2218" i="1" s="1"/>
  <c r="C2219" i="1"/>
  <c r="E2219" i="1" s="1"/>
  <c r="C2220" i="1"/>
  <c r="E2220" i="1" s="1"/>
  <c r="C2221" i="1"/>
  <c r="E2221" i="1" s="1"/>
  <c r="C2222" i="1"/>
  <c r="E2222" i="1" s="1"/>
  <c r="C2223" i="1"/>
  <c r="E2223" i="1" s="1"/>
  <c r="C2224" i="1"/>
  <c r="E2224" i="1" s="1"/>
  <c r="C2225" i="1"/>
  <c r="E2225" i="1" s="1"/>
  <c r="C2226" i="1"/>
  <c r="E2226" i="1" s="1"/>
  <c r="C2227" i="1"/>
  <c r="E2227" i="1" s="1"/>
  <c r="C2228" i="1"/>
  <c r="E2228" i="1" s="1"/>
  <c r="C2229" i="1"/>
  <c r="E2229" i="1" s="1"/>
  <c r="C2230" i="1"/>
  <c r="E2230" i="1" s="1"/>
  <c r="C2231" i="1"/>
  <c r="E2231" i="1" s="1"/>
  <c r="C2232" i="1"/>
  <c r="E2232" i="1" s="1"/>
  <c r="C2233" i="1"/>
  <c r="E2233" i="1" s="1"/>
  <c r="C2234" i="1"/>
  <c r="E2234" i="1" s="1"/>
  <c r="C2235" i="1"/>
  <c r="E2235" i="1" s="1"/>
  <c r="C2236" i="1"/>
  <c r="E2236" i="1" s="1"/>
  <c r="C2237" i="1"/>
  <c r="E2237" i="1" s="1"/>
  <c r="C2238" i="1"/>
  <c r="E2238" i="1" s="1"/>
  <c r="C2239" i="1"/>
  <c r="E2239" i="1" s="1"/>
  <c r="C2240" i="1"/>
  <c r="E2240" i="1" s="1"/>
  <c r="C2241" i="1"/>
  <c r="E2241" i="1" s="1"/>
  <c r="C2242" i="1"/>
  <c r="E2242" i="1" s="1"/>
  <c r="C2243" i="1"/>
  <c r="E2243" i="1" s="1"/>
  <c r="C2244" i="1"/>
  <c r="E2244" i="1" s="1"/>
  <c r="C2245" i="1"/>
  <c r="E2245" i="1" s="1"/>
  <c r="C2246" i="1"/>
  <c r="E2246" i="1" s="1"/>
  <c r="C2247" i="1"/>
  <c r="E2247" i="1" s="1"/>
  <c r="C2248" i="1"/>
  <c r="E2248" i="1" s="1"/>
  <c r="C2249" i="1"/>
  <c r="E2249" i="1" s="1"/>
  <c r="C2250" i="1"/>
  <c r="E2250" i="1" s="1"/>
  <c r="C2251" i="1"/>
  <c r="E2251" i="1" s="1"/>
  <c r="C2252" i="1"/>
  <c r="E2252" i="1" s="1"/>
  <c r="C2253" i="1"/>
  <c r="E2253" i="1" s="1"/>
  <c r="C2254" i="1"/>
  <c r="E2254" i="1" s="1"/>
  <c r="C2255" i="1"/>
  <c r="E2255" i="1" s="1"/>
  <c r="C2256" i="1"/>
  <c r="E2256" i="1" s="1"/>
  <c r="C2257" i="1"/>
  <c r="E2257" i="1" s="1"/>
  <c r="C2258" i="1"/>
  <c r="E2258" i="1" s="1"/>
  <c r="C2259" i="1"/>
  <c r="E2259" i="1" s="1"/>
  <c r="C2260" i="1"/>
  <c r="E2260" i="1" s="1"/>
  <c r="C2261" i="1"/>
  <c r="E2261" i="1" s="1"/>
  <c r="C2262" i="1"/>
  <c r="E2262" i="1" s="1"/>
  <c r="C2263" i="1"/>
  <c r="E2263" i="1" s="1"/>
  <c r="C2264" i="1"/>
  <c r="E2264" i="1" s="1"/>
  <c r="C2265" i="1"/>
  <c r="E2265" i="1" s="1"/>
  <c r="C2266" i="1"/>
  <c r="E2266" i="1" s="1"/>
  <c r="C2267" i="1"/>
  <c r="E2267" i="1" s="1"/>
  <c r="C2268" i="1"/>
  <c r="E2268" i="1" s="1"/>
  <c r="C2269" i="1"/>
  <c r="E2269" i="1" s="1"/>
  <c r="C2270" i="1"/>
  <c r="E2270" i="1" s="1"/>
  <c r="C2271" i="1"/>
  <c r="E2271" i="1" s="1"/>
  <c r="C2272" i="1"/>
  <c r="E2272" i="1" s="1"/>
  <c r="C2273" i="1"/>
  <c r="E2273" i="1" s="1"/>
  <c r="C2274" i="1"/>
  <c r="E2274" i="1" s="1"/>
  <c r="C2275" i="1"/>
  <c r="E2275" i="1" s="1"/>
  <c r="C2276" i="1"/>
  <c r="E2276" i="1" s="1"/>
  <c r="C2277" i="1"/>
  <c r="E2277" i="1" s="1"/>
  <c r="C2278" i="1"/>
  <c r="E2278" i="1" s="1"/>
  <c r="C2279" i="1"/>
  <c r="E2279" i="1" s="1"/>
  <c r="C2280" i="1"/>
  <c r="E2280" i="1" s="1"/>
  <c r="C2281" i="1"/>
  <c r="E2281" i="1" s="1"/>
  <c r="C2282" i="1"/>
  <c r="E2282" i="1" s="1"/>
  <c r="C2283" i="1"/>
  <c r="E2283" i="1" s="1"/>
  <c r="C2284" i="1"/>
  <c r="E2284" i="1" s="1"/>
  <c r="C2285" i="1"/>
  <c r="E2285" i="1" s="1"/>
  <c r="C2286" i="1"/>
  <c r="E2286" i="1" s="1"/>
  <c r="C2287" i="1"/>
  <c r="E2287" i="1" s="1"/>
  <c r="C2288" i="1"/>
  <c r="E2288" i="1" s="1"/>
  <c r="C2289" i="1"/>
  <c r="E2289" i="1" s="1"/>
  <c r="C2290" i="1"/>
  <c r="E2290" i="1" s="1"/>
  <c r="C2291" i="1"/>
  <c r="E2291" i="1" s="1"/>
  <c r="C2292" i="1"/>
  <c r="E2292" i="1" s="1"/>
  <c r="C2293" i="1"/>
  <c r="E2293" i="1" s="1"/>
  <c r="C2294" i="1"/>
  <c r="E2294" i="1" s="1"/>
  <c r="C2295" i="1"/>
  <c r="E2295" i="1" s="1"/>
  <c r="C2296" i="1"/>
  <c r="E2296" i="1" s="1"/>
  <c r="C2297" i="1"/>
  <c r="E2297" i="1" s="1"/>
  <c r="C2298" i="1"/>
  <c r="E2298" i="1" s="1"/>
  <c r="C2299" i="1"/>
  <c r="E2299" i="1" s="1"/>
  <c r="C2300" i="1"/>
  <c r="E2300" i="1" s="1"/>
  <c r="C2301" i="1"/>
  <c r="E2301" i="1" s="1"/>
  <c r="C2302" i="1"/>
  <c r="E2302" i="1" s="1"/>
  <c r="C2303" i="1"/>
  <c r="E2303" i="1" s="1"/>
  <c r="C2304" i="1"/>
  <c r="E2304" i="1" s="1"/>
  <c r="C2305" i="1"/>
  <c r="E2305" i="1" s="1"/>
  <c r="C2306" i="1"/>
  <c r="E2306" i="1" s="1"/>
  <c r="C2307" i="1"/>
  <c r="E2307" i="1" s="1"/>
  <c r="C2308" i="1"/>
  <c r="E2308" i="1" s="1"/>
  <c r="C2309" i="1"/>
  <c r="E2309" i="1" s="1"/>
  <c r="C2310" i="1"/>
  <c r="E2310" i="1" s="1"/>
  <c r="C2311" i="1"/>
  <c r="E2311" i="1" s="1"/>
  <c r="C2312" i="1"/>
  <c r="E2312" i="1" s="1"/>
  <c r="C2313" i="1"/>
  <c r="E2313" i="1" s="1"/>
  <c r="C2314" i="1"/>
  <c r="E2314" i="1" s="1"/>
  <c r="C2315" i="1"/>
  <c r="E2315" i="1" s="1"/>
  <c r="C2316" i="1"/>
  <c r="E2316" i="1" s="1"/>
  <c r="C2317" i="1"/>
  <c r="E2317" i="1" s="1"/>
  <c r="C2318" i="1"/>
  <c r="E2318" i="1" s="1"/>
  <c r="C2319" i="1"/>
  <c r="E2319" i="1" s="1"/>
  <c r="C2320" i="1"/>
  <c r="E2320" i="1" s="1"/>
  <c r="C2321" i="1"/>
  <c r="E2321" i="1" s="1"/>
  <c r="C2322" i="1"/>
  <c r="E2322" i="1" s="1"/>
  <c r="C2323" i="1"/>
  <c r="E2323" i="1" s="1"/>
  <c r="C2324" i="1"/>
  <c r="E2324" i="1" s="1"/>
  <c r="C2325" i="1"/>
  <c r="E2325" i="1" s="1"/>
  <c r="C2326" i="1"/>
  <c r="E2326" i="1" s="1"/>
  <c r="C2327" i="1"/>
  <c r="E2327" i="1" s="1"/>
  <c r="C2328" i="1"/>
  <c r="E2328" i="1" s="1"/>
  <c r="C2329" i="1"/>
  <c r="E2329" i="1" s="1"/>
  <c r="C2330" i="1"/>
  <c r="E2330" i="1" s="1"/>
  <c r="C2331" i="1"/>
  <c r="E2331" i="1" s="1"/>
  <c r="C2332" i="1"/>
  <c r="E2332" i="1" s="1"/>
  <c r="C2333" i="1"/>
  <c r="E2333" i="1" s="1"/>
  <c r="C2334" i="1"/>
  <c r="E2334" i="1" s="1"/>
  <c r="C2335" i="1"/>
  <c r="E2335" i="1" s="1"/>
  <c r="C2336" i="1"/>
  <c r="E2336" i="1" s="1"/>
  <c r="C2337" i="1"/>
  <c r="E2337" i="1" s="1"/>
  <c r="C2338" i="1"/>
  <c r="E2338" i="1" s="1"/>
  <c r="C2339" i="1"/>
  <c r="E2339" i="1" s="1"/>
  <c r="C2340" i="1"/>
  <c r="E2340" i="1" s="1"/>
  <c r="C2341" i="1"/>
  <c r="E2341" i="1" s="1"/>
  <c r="C2342" i="1"/>
  <c r="E2342" i="1" s="1"/>
  <c r="C2343" i="1"/>
  <c r="E2343" i="1" s="1"/>
  <c r="C2344" i="1"/>
  <c r="E2344" i="1" s="1"/>
  <c r="C2345" i="1"/>
  <c r="E2345" i="1" s="1"/>
  <c r="C2346" i="1"/>
  <c r="E2346" i="1" s="1"/>
  <c r="C2347" i="1"/>
  <c r="E2347" i="1" s="1"/>
  <c r="C2348" i="1"/>
  <c r="E2348" i="1" s="1"/>
  <c r="C2349" i="1"/>
  <c r="E2349" i="1" s="1"/>
  <c r="C2350" i="1"/>
  <c r="E2350" i="1" s="1"/>
  <c r="C2351" i="1"/>
  <c r="E2351" i="1" s="1"/>
  <c r="C2352" i="1"/>
  <c r="E2352" i="1" s="1"/>
  <c r="C2353" i="1"/>
  <c r="E2353" i="1" s="1"/>
  <c r="C2354" i="1"/>
  <c r="E2354" i="1" s="1"/>
  <c r="C2355" i="1"/>
  <c r="E2355" i="1" s="1"/>
  <c r="C2356" i="1"/>
  <c r="E2356" i="1" s="1"/>
  <c r="C2357" i="1"/>
  <c r="E2357" i="1" s="1"/>
  <c r="C2358" i="1"/>
  <c r="E2358" i="1" s="1"/>
  <c r="C2359" i="1"/>
  <c r="E2359" i="1" s="1"/>
  <c r="C2360" i="1"/>
  <c r="E2360" i="1" s="1"/>
  <c r="C2361" i="1"/>
  <c r="E2361" i="1" s="1"/>
  <c r="C2362" i="1"/>
  <c r="E2362" i="1" s="1"/>
  <c r="C2363" i="1"/>
  <c r="E2363" i="1" s="1"/>
  <c r="C2364" i="1"/>
  <c r="E2364" i="1" s="1"/>
  <c r="C2365" i="1"/>
  <c r="E2365" i="1" s="1"/>
  <c r="C2366" i="1"/>
  <c r="E2366" i="1" s="1"/>
  <c r="C2367" i="1"/>
  <c r="E2367" i="1" s="1"/>
  <c r="C2368" i="1"/>
  <c r="E2368" i="1" s="1"/>
  <c r="C2369" i="1"/>
  <c r="E2369" i="1" s="1"/>
  <c r="C2370" i="1"/>
  <c r="E2370" i="1" s="1"/>
  <c r="C2371" i="1"/>
  <c r="E2371" i="1" s="1"/>
  <c r="C2372" i="1"/>
  <c r="E2372" i="1" s="1"/>
  <c r="C2373" i="1"/>
  <c r="E2373" i="1" s="1"/>
  <c r="C2374" i="1"/>
  <c r="E2374" i="1" s="1"/>
  <c r="C2375" i="1"/>
  <c r="E2375" i="1" s="1"/>
  <c r="C2376" i="1"/>
  <c r="E2376" i="1" s="1"/>
  <c r="C2377" i="1"/>
  <c r="E2377" i="1" s="1"/>
  <c r="C2378" i="1"/>
  <c r="E2378" i="1" s="1"/>
  <c r="C2379" i="1"/>
  <c r="E2379" i="1" s="1"/>
  <c r="C2380" i="1"/>
  <c r="E2380" i="1" s="1"/>
  <c r="C2381" i="1"/>
  <c r="E2381" i="1" s="1"/>
  <c r="C2382" i="1"/>
  <c r="E2382" i="1" s="1"/>
  <c r="C2383" i="1"/>
  <c r="E2383" i="1" s="1"/>
  <c r="C2384" i="1"/>
  <c r="E2384" i="1" s="1"/>
  <c r="C2385" i="1"/>
  <c r="E2385" i="1" s="1"/>
  <c r="C2386" i="1"/>
  <c r="E2386" i="1" s="1"/>
  <c r="C2387" i="1"/>
  <c r="E2387" i="1" s="1"/>
  <c r="C2388" i="1"/>
  <c r="E2388" i="1" s="1"/>
  <c r="C2389" i="1"/>
  <c r="E2389" i="1" s="1"/>
  <c r="C2390" i="1"/>
  <c r="E2390" i="1" s="1"/>
  <c r="C2391" i="1"/>
  <c r="E2391" i="1" s="1"/>
  <c r="C2392" i="1"/>
  <c r="E2392" i="1" s="1"/>
  <c r="C2393" i="1"/>
  <c r="E2393" i="1" s="1"/>
  <c r="C2394" i="1"/>
  <c r="E2394" i="1" s="1"/>
  <c r="C2395" i="1"/>
  <c r="E2395" i="1" s="1"/>
  <c r="C2396" i="1"/>
  <c r="E2396" i="1" s="1"/>
  <c r="C2397" i="1"/>
  <c r="E2397" i="1" s="1"/>
  <c r="C2398" i="1"/>
  <c r="E2398" i="1" s="1"/>
  <c r="C2399" i="1"/>
  <c r="E2399" i="1" s="1"/>
  <c r="C2400" i="1"/>
  <c r="E2400" i="1" s="1"/>
  <c r="C2401" i="1"/>
  <c r="E2401" i="1" s="1"/>
  <c r="C2402" i="1"/>
  <c r="E2402" i="1" s="1"/>
  <c r="C2403" i="1"/>
  <c r="E2403" i="1" s="1"/>
  <c r="C2404" i="1"/>
  <c r="E2404" i="1" s="1"/>
  <c r="C2405" i="1"/>
  <c r="E2405" i="1" s="1"/>
  <c r="C2406" i="1"/>
  <c r="E2406" i="1" s="1"/>
  <c r="C2407" i="1"/>
  <c r="E2407" i="1" s="1"/>
  <c r="C2408" i="1"/>
  <c r="E2408" i="1" s="1"/>
  <c r="C2409" i="1"/>
  <c r="E2409" i="1" s="1"/>
  <c r="C2410" i="1"/>
  <c r="E2410" i="1" s="1"/>
  <c r="C2411" i="1"/>
  <c r="E2411" i="1" s="1"/>
  <c r="C2412" i="1"/>
  <c r="E2412" i="1" s="1"/>
  <c r="C2413" i="1"/>
  <c r="E2413" i="1" s="1"/>
  <c r="C2414" i="1"/>
  <c r="E2414" i="1" s="1"/>
  <c r="C2415" i="1"/>
  <c r="E2415" i="1" s="1"/>
  <c r="C2416" i="1"/>
  <c r="E2416" i="1" s="1"/>
  <c r="C2417" i="1"/>
  <c r="E2417" i="1" s="1"/>
  <c r="C2418" i="1"/>
  <c r="E2418" i="1" s="1"/>
  <c r="C2419" i="1"/>
  <c r="E2419" i="1" s="1"/>
  <c r="C2420" i="1"/>
  <c r="E2420" i="1" s="1"/>
  <c r="C2421" i="1"/>
  <c r="E2421" i="1" s="1"/>
  <c r="C2422" i="1"/>
  <c r="E2422" i="1" s="1"/>
  <c r="C2423" i="1"/>
  <c r="E2423" i="1" s="1"/>
  <c r="C2424" i="1"/>
  <c r="E2424" i="1" s="1"/>
  <c r="C2425" i="1"/>
  <c r="E2425" i="1" s="1"/>
  <c r="C2426" i="1"/>
  <c r="E2426" i="1" s="1"/>
  <c r="C2427" i="1"/>
  <c r="E2427" i="1" s="1"/>
  <c r="C2428" i="1"/>
  <c r="E2428" i="1" s="1"/>
  <c r="C2429" i="1"/>
  <c r="E2429" i="1" s="1"/>
  <c r="C2430" i="1"/>
  <c r="E2430" i="1" s="1"/>
  <c r="C2431" i="1"/>
  <c r="E2431" i="1" s="1"/>
  <c r="C2432" i="1"/>
  <c r="E2432" i="1" s="1"/>
  <c r="C2433" i="1"/>
  <c r="E2433" i="1" s="1"/>
  <c r="C2434" i="1"/>
  <c r="E2434" i="1" s="1"/>
  <c r="C2435" i="1"/>
  <c r="E2435" i="1" s="1"/>
  <c r="C2436" i="1"/>
  <c r="E2436" i="1" s="1"/>
  <c r="C2437" i="1"/>
  <c r="E2437" i="1" s="1"/>
  <c r="C2438" i="1"/>
  <c r="E2438" i="1" s="1"/>
  <c r="C2439" i="1"/>
  <c r="E2439" i="1" s="1"/>
  <c r="C2440" i="1"/>
  <c r="E2440" i="1" s="1"/>
  <c r="C2441" i="1"/>
  <c r="E2441" i="1" s="1"/>
  <c r="C2442" i="1"/>
  <c r="E2442" i="1" s="1"/>
  <c r="C2443" i="1"/>
  <c r="E2443" i="1" s="1"/>
  <c r="C2444" i="1"/>
  <c r="E2444" i="1" s="1"/>
  <c r="C2445" i="1"/>
  <c r="E2445" i="1" s="1"/>
  <c r="C2446" i="1"/>
  <c r="E2446" i="1" s="1"/>
  <c r="C2447" i="1"/>
  <c r="E2447" i="1" s="1"/>
  <c r="C2448" i="1"/>
  <c r="E2448" i="1" s="1"/>
  <c r="C2449" i="1"/>
  <c r="E2449" i="1" s="1"/>
  <c r="C2450" i="1"/>
  <c r="E2450" i="1" s="1"/>
  <c r="C2451" i="1"/>
  <c r="E2451" i="1" s="1"/>
  <c r="C2452" i="1"/>
  <c r="E2452" i="1" s="1"/>
  <c r="C2453" i="1"/>
  <c r="E2453" i="1" s="1"/>
  <c r="C2454" i="1"/>
  <c r="E2454" i="1" s="1"/>
  <c r="C2455" i="1"/>
  <c r="E2455" i="1" s="1"/>
  <c r="C2456" i="1"/>
  <c r="E2456" i="1" s="1"/>
  <c r="C2457" i="1"/>
  <c r="E2457" i="1" s="1"/>
  <c r="C2458" i="1"/>
  <c r="E2458" i="1" s="1"/>
  <c r="C2459" i="1"/>
  <c r="E2459" i="1" s="1"/>
  <c r="C2460" i="1"/>
  <c r="E2460" i="1" s="1"/>
  <c r="C2461" i="1"/>
  <c r="E2461" i="1" s="1"/>
  <c r="C2462" i="1"/>
  <c r="E2462" i="1" s="1"/>
  <c r="C2463" i="1"/>
  <c r="E2463" i="1" s="1"/>
  <c r="C2464" i="1"/>
  <c r="E2464" i="1" s="1"/>
  <c r="C2465" i="1"/>
  <c r="E2465" i="1" s="1"/>
  <c r="C2466" i="1"/>
  <c r="E2466" i="1" s="1"/>
  <c r="C2467" i="1"/>
  <c r="E2467" i="1" s="1"/>
  <c r="C2468" i="1"/>
  <c r="E2468" i="1" s="1"/>
  <c r="C2469" i="1"/>
  <c r="E2469" i="1" s="1"/>
  <c r="C2470" i="1"/>
  <c r="E2470" i="1" s="1"/>
  <c r="C2471" i="1"/>
  <c r="E2471" i="1" s="1"/>
  <c r="C2472" i="1"/>
  <c r="E2472" i="1" s="1"/>
  <c r="C2473" i="1"/>
  <c r="E2473" i="1" s="1"/>
  <c r="C2474" i="1"/>
  <c r="E2474" i="1" s="1"/>
  <c r="C2475" i="1"/>
  <c r="E2475" i="1" s="1"/>
  <c r="C2476" i="1"/>
  <c r="E2476" i="1" s="1"/>
  <c r="C2477" i="1"/>
  <c r="E2477" i="1" s="1"/>
  <c r="C2478" i="1"/>
  <c r="E2478" i="1" s="1"/>
  <c r="C2479" i="1"/>
  <c r="E2479" i="1" s="1"/>
  <c r="C2480" i="1"/>
  <c r="E2480" i="1" s="1"/>
  <c r="C2481" i="1"/>
  <c r="E2481" i="1" s="1"/>
  <c r="C2482" i="1"/>
  <c r="E2482" i="1" s="1"/>
  <c r="C2483" i="1"/>
  <c r="E2483" i="1" s="1"/>
  <c r="C2484" i="1"/>
  <c r="E2484" i="1" s="1"/>
  <c r="C2485" i="1"/>
  <c r="E2485" i="1" s="1"/>
  <c r="C2486" i="1"/>
  <c r="E2486" i="1" s="1"/>
  <c r="C2487" i="1"/>
  <c r="E2487" i="1" s="1"/>
  <c r="C2488" i="1"/>
  <c r="E2488" i="1" s="1"/>
  <c r="C2489" i="1"/>
  <c r="E2489" i="1" s="1"/>
  <c r="C2490" i="1"/>
  <c r="E2490" i="1" s="1"/>
  <c r="C2491" i="1"/>
  <c r="E2491" i="1" s="1"/>
  <c r="C2492" i="1"/>
  <c r="E2492" i="1" s="1"/>
  <c r="C2493" i="1"/>
  <c r="E2493" i="1" s="1"/>
  <c r="C2494" i="1"/>
  <c r="E2494" i="1" s="1"/>
  <c r="C2495" i="1"/>
  <c r="E2495" i="1" s="1"/>
  <c r="C2496" i="1"/>
  <c r="E2496" i="1" s="1"/>
  <c r="C2497" i="1"/>
  <c r="E2497" i="1" s="1"/>
  <c r="C2498" i="1"/>
  <c r="E2498" i="1" s="1"/>
  <c r="C2499" i="1"/>
  <c r="E2499" i="1" s="1"/>
  <c r="C2500" i="1"/>
  <c r="E2500" i="1" s="1"/>
  <c r="C2501" i="1"/>
  <c r="E2501" i="1" s="1"/>
  <c r="C2502" i="1"/>
  <c r="E2502" i="1" s="1"/>
  <c r="C2503" i="1"/>
  <c r="E2503" i="1" s="1"/>
  <c r="C2504" i="1"/>
  <c r="E2504" i="1" s="1"/>
  <c r="C2505" i="1"/>
  <c r="E2505" i="1" s="1"/>
  <c r="C2506" i="1"/>
  <c r="E2506" i="1" s="1"/>
  <c r="C2507" i="1"/>
  <c r="E2507" i="1" s="1"/>
  <c r="C2508" i="1"/>
  <c r="E2508" i="1" s="1"/>
  <c r="C2509" i="1"/>
  <c r="E2509" i="1" s="1"/>
  <c r="C2510" i="1"/>
  <c r="E2510" i="1" s="1"/>
  <c r="C2511" i="1"/>
  <c r="E2511" i="1" s="1"/>
  <c r="C2512" i="1"/>
  <c r="E2512" i="1" s="1"/>
  <c r="C2513" i="1"/>
  <c r="E2513" i="1" s="1"/>
  <c r="C2514" i="1"/>
  <c r="E2514" i="1" s="1"/>
  <c r="C2515" i="1"/>
  <c r="E2515" i="1" s="1"/>
  <c r="C2516" i="1"/>
  <c r="E2516" i="1" s="1"/>
  <c r="C2517" i="1"/>
  <c r="E2517" i="1" s="1"/>
  <c r="C2518" i="1"/>
  <c r="E2518" i="1" s="1"/>
  <c r="C2519" i="1"/>
  <c r="E2519" i="1" s="1"/>
  <c r="C2520" i="1"/>
  <c r="E2520" i="1" s="1"/>
  <c r="C2521" i="1"/>
  <c r="E2521" i="1" s="1"/>
  <c r="C2522" i="1"/>
  <c r="E2522" i="1" s="1"/>
  <c r="C2523" i="1"/>
  <c r="E2523" i="1" s="1"/>
  <c r="C2524" i="1"/>
  <c r="E2524" i="1" s="1"/>
  <c r="C2525" i="1"/>
  <c r="E2525" i="1" s="1"/>
  <c r="C2526" i="1"/>
  <c r="E2526" i="1" s="1"/>
  <c r="C2527" i="1"/>
  <c r="E2527" i="1" s="1"/>
  <c r="C2528" i="1"/>
  <c r="E2528" i="1" s="1"/>
  <c r="C2529" i="1"/>
  <c r="E2529" i="1" s="1"/>
  <c r="C2530" i="1"/>
  <c r="E2530" i="1" s="1"/>
  <c r="C2531" i="1"/>
  <c r="E2531" i="1" s="1"/>
  <c r="C2532" i="1"/>
  <c r="E2532" i="1" s="1"/>
  <c r="C2533" i="1"/>
  <c r="E2533" i="1" s="1"/>
  <c r="C2534" i="1"/>
  <c r="E2534" i="1" s="1"/>
  <c r="C2535" i="1"/>
  <c r="E2535" i="1" s="1"/>
  <c r="C2536" i="1"/>
  <c r="E2536" i="1" s="1"/>
  <c r="C2537" i="1"/>
  <c r="E2537" i="1" s="1"/>
  <c r="C2538" i="1"/>
  <c r="E2538" i="1" s="1"/>
  <c r="C2539" i="1"/>
  <c r="E2539" i="1" s="1"/>
  <c r="C2540" i="1"/>
  <c r="E2540" i="1" s="1"/>
  <c r="C2541" i="1"/>
  <c r="E2541" i="1" s="1"/>
  <c r="C2542" i="1"/>
  <c r="E2542" i="1" s="1"/>
  <c r="C2543" i="1"/>
  <c r="E2543" i="1" s="1"/>
  <c r="C2544" i="1"/>
  <c r="E2544" i="1" s="1"/>
  <c r="C2545" i="1"/>
  <c r="E2545" i="1" s="1"/>
  <c r="C2546" i="1"/>
  <c r="E2546" i="1" s="1"/>
  <c r="C2547" i="1"/>
  <c r="E2547" i="1" s="1"/>
  <c r="C2548" i="1"/>
  <c r="E2548" i="1" s="1"/>
  <c r="C2549" i="1"/>
  <c r="E2549" i="1" s="1"/>
  <c r="C2550" i="1"/>
  <c r="E2550" i="1" s="1"/>
  <c r="C2551" i="1"/>
  <c r="E2551" i="1" s="1"/>
  <c r="C2552" i="1"/>
  <c r="E2552" i="1" s="1"/>
  <c r="C2553" i="1"/>
  <c r="E2553" i="1" s="1"/>
  <c r="C2554" i="1"/>
  <c r="E2554" i="1" s="1"/>
  <c r="C2555" i="1"/>
  <c r="E2555" i="1" s="1"/>
  <c r="C2556" i="1"/>
  <c r="E2556" i="1" s="1"/>
  <c r="C2557" i="1"/>
  <c r="E2557" i="1" s="1"/>
  <c r="C2558" i="1"/>
  <c r="E2558" i="1" s="1"/>
  <c r="C2559" i="1"/>
  <c r="E2559" i="1" s="1"/>
  <c r="C2560" i="1"/>
  <c r="E2560" i="1" s="1"/>
  <c r="C2561" i="1"/>
  <c r="E2561" i="1" s="1"/>
  <c r="C2562" i="1"/>
  <c r="E2562" i="1" s="1"/>
  <c r="C2563" i="1"/>
  <c r="E2563" i="1" s="1"/>
  <c r="C2564" i="1"/>
  <c r="E2564" i="1" s="1"/>
  <c r="C2565" i="1"/>
  <c r="E2565" i="1" s="1"/>
  <c r="C2566" i="1"/>
  <c r="E2566" i="1" s="1"/>
  <c r="C2567" i="1"/>
  <c r="E2567" i="1" s="1"/>
  <c r="C2568" i="1"/>
  <c r="E2568" i="1" s="1"/>
  <c r="C2569" i="1"/>
  <c r="E2569" i="1" s="1"/>
  <c r="C2570" i="1"/>
  <c r="E2570" i="1" s="1"/>
  <c r="C2571" i="1"/>
  <c r="E2571" i="1" s="1"/>
  <c r="C2572" i="1"/>
  <c r="E2572" i="1" s="1"/>
  <c r="C2573" i="1"/>
  <c r="E2573" i="1" s="1"/>
  <c r="C2574" i="1"/>
  <c r="E2574" i="1" s="1"/>
  <c r="C2575" i="1"/>
  <c r="E2575" i="1" s="1"/>
  <c r="C2576" i="1"/>
  <c r="E2576" i="1" s="1"/>
  <c r="C2577" i="1"/>
  <c r="E2577" i="1" s="1"/>
  <c r="C2578" i="1"/>
  <c r="E2578" i="1" s="1"/>
  <c r="C2579" i="1"/>
  <c r="E2579" i="1" s="1"/>
  <c r="C2580" i="1"/>
  <c r="E2580" i="1" s="1"/>
  <c r="C2581" i="1"/>
  <c r="E2581" i="1" s="1"/>
  <c r="C2582" i="1"/>
  <c r="E2582" i="1" s="1"/>
  <c r="C2583" i="1"/>
  <c r="E2583" i="1" s="1"/>
  <c r="C2584" i="1"/>
  <c r="E2584" i="1" s="1"/>
  <c r="C2585" i="1"/>
  <c r="E2585" i="1" s="1"/>
  <c r="C2586" i="1"/>
  <c r="E2586" i="1" s="1"/>
  <c r="C2587" i="1"/>
  <c r="E2587" i="1" s="1"/>
  <c r="C2588" i="1"/>
  <c r="E2588" i="1" s="1"/>
  <c r="C2589" i="1"/>
  <c r="E2589" i="1" s="1"/>
  <c r="C2590" i="1"/>
  <c r="E2590" i="1" s="1"/>
  <c r="C2591" i="1"/>
  <c r="E2591" i="1" s="1"/>
  <c r="C2592" i="1"/>
  <c r="E2592" i="1" s="1"/>
  <c r="C2593" i="1"/>
  <c r="E2593" i="1" s="1"/>
  <c r="C2594" i="1"/>
  <c r="E2594" i="1" s="1"/>
  <c r="C2595" i="1"/>
  <c r="E2595" i="1" s="1"/>
  <c r="C2596" i="1"/>
  <c r="E2596" i="1" s="1"/>
  <c r="C2597" i="1"/>
  <c r="E2597" i="1" s="1"/>
  <c r="C2598" i="1"/>
  <c r="E2598" i="1" s="1"/>
  <c r="C2599" i="1"/>
  <c r="E2599" i="1" s="1"/>
  <c r="C2600" i="1"/>
  <c r="E2600" i="1" s="1"/>
  <c r="C2601" i="1"/>
  <c r="E2601" i="1" s="1"/>
  <c r="C2602" i="1"/>
  <c r="E2602" i="1" s="1"/>
  <c r="C2603" i="1"/>
  <c r="E2603" i="1" s="1"/>
  <c r="C2604" i="1"/>
  <c r="E2604" i="1" s="1"/>
  <c r="C2605" i="1"/>
  <c r="E2605" i="1" s="1"/>
  <c r="C2606" i="1"/>
  <c r="E2606" i="1" s="1"/>
  <c r="C2607" i="1"/>
  <c r="E2607" i="1" s="1"/>
  <c r="C2608" i="1"/>
  <c r="E2608" i="1" s="1"/>
  <c r="C2609" i="1"/>
  <c r="E2609" i="1" s="1"/>
  <c r="C2610" i="1"/>
  <c r="E2610" i="1" s="1"/>
  <c r="C2611" i="1"/>
  <c r="E2611" i="1" s="1"/>
  <c r="C2612" i="1"/>
  <c r="E2612" i="1" s="1"/>
  <c r="C2613" i="1"/>
  <c r="E2613" i="1" s="1"/>
  <c r="C2614" i="1"/>
  <c r="E2614" i="1" s="1"/>
  <c r="C2615" i="1"/>
  <c r="E2615" i="1" s="1"/>
  <c r="C2616" i="1"/>
  <c r="E2616" i="1" s="1"/>
  <c r="C2617" i="1"/>
  <c r="E2617" i="1" s="1"/>
  <c r="C2618" i="1"/>
  <c r="E2618" i="1" s="1"/>
  <c r="C2619" i="1"/>
  <c r="E2619" i="1" s="1"/>
  <c r="C2620" i="1"/>
  <c r="E2620" i="1" s="1"/>
  <c r="C2621" i="1"/>
  <c r="E2621" i="1" s="1"/>
  <c r="C2622" i="1"/>
  <c r="E2622" i="1" s="1"/>
  <c r="C2623" i="1"/>
  <c r="E2623" i="1" s="1"/>
  <c r="C2624" i="1"/>
  <c r="E2624" i="1" s="1"/>
  <c r="C2625" i="1"/>
  <c r="E2625" i="1" s="1"/>
  <c r="C2626" i="1"/>
  <c r="E2626" i="1" s="1"/>
  <c r="C2627" i="1"/>
  <c r="E2627" i="1" s="1"/>
  <c r="C2628" i="1"/>
  <c r="E2628" i="1" s="1"/>
  <c r="C2629" i="1"/>
  <c r="E2629" i="1" s="1"/>
  <c r="C2630" i="1"/>
  <c r="E2630" i="1" s="1"/>
  <c r="C2631" i="1"/>
  <c r="E2631" i="1" s="1"/>
  <c r="C2632" i="1"/>
  <c r="E2632" i="1" s="1"/>
  <c r="C2633" i="1"/>
  <c r="E2633" i="1" s="1"/>
  <c r="C2634" i="1"/>
  <c r="E2634" i="1" s="1"/>
  <c r="C2635" i="1"/>
  <c r="E2635" i="1" s="1"/>
  <c r="C2636" i="1"/>
  <c r="E2636" i="1" s="1"/>
  <c r="C2637" i="1"/>
  <c r="E2637" i="1" s="1"/>
  <c r="C2638" i="1"/>
  <c r="E2638" i="1" s="1"/>
  <c r="C2639" i="1"/>
  <c r="E2639" i="1" s="1"/>
  <c r="C2640" i="1"/>
  <c r="E2640" i="1" s="1"/>
  <c r="C2641" i="1"/>
  <c r="E2641" i="1" s="1"/>
  <c r="C2642" i="1"/>
  <c r="E2642" i="1" s="1"/>
  <c r="C2643" i="1"/>
  <c r="E2643" i="1" s="1"/>
  <c r="C2644" i="1"/>
  <c r="E2644" i="1" s="1"/>
  <c r="C2645" i="1"/>
  <c r="E2645" i="1" s="1"/>
  <c r="C2646" i="1"/>
  <c r="E2646" i="1" s="1"/>
  <c r="C2647" i="1"/>
  <c r="E2647" i="1" s="1"/>
  <c r="C2648" i="1"/>
  <c r="E2648" i="1" s="1"/>
  <c r="C2649" i="1"/>
  <c r="E2649" i="1" s="1"/>
  <c r="C2650" i="1"/>
  <c r="E2650" i="1" s="1"/>
  <c r="C2651" i="1"/>
  <c r="E2651" i="1" s="1"/>
  <c r="C2652" i="1"/>
  <c r="E2652" i="1" s="1"/>
  <c r="C2653" i="1"/>
  <c r="E2653" i="1" s="1"/>
  <c r="C2654" i="1"/>
  <c r="E2654" i="1" s="1"/>
  <c r="C2655" i="1"/>
  <c r="E2655" i="1" s="1"/>
  <c r="C2656" i="1"/>
  <c r="E2656" i="1" s="1"/>
  <c r="C2657" i="1"/>
  <c r="E2657" i="1" s="1"/>
  <c r="C2658" i="1"/>
  <c r="E2658" i="1" s="1"/>
  <c r="C2659" i="1"/>
  <c r="E2659" i="1" s="1"/>
  <c r="C2660" i="1"/>
  <c r="E2660" i="1" s="1"/>
  <c r="C2661" i="1"/>
  <c r="E2661" i="1" s="1"/>
  <c r="C2662" i="1"/>
  <c r="E2662" i="1" s="1"/>
  <c r="C2663" i="1"/>
  <c r="E2663" i="1" s="1"/>
  <c r="C2664" i="1"/>
  <c r="E2664" i="1" s="1"/>
  <c r="C2665" i="1"/>
  <c r="E2665" i="1" s="1"/>
  <c r="C2666" i="1"/>
  <c r="E2666" i="1" s="1"/>
  <c r="C2667" i="1"/>
  <c r="E2667" i="1" s="1"/>
  <c r="C2668" i="1"/>
  <c r="E2668" i="1" s="1"/>
  <c r="C2669" i="1"/>
  <c r="E2669" i="1" s="1"/>
  <c r="C2670" i="1"/>
  <c r="E2670" i="1" s="1"/>
  <c r="C2671" i="1"/>
  <c r="E2671" i="1" s="1"/>
  <c r="C2672" i="1"/>
  <c r="E2672" i="1" s="1"/>
  <c r="C2673" i="1"/>
  <c r="E2673" i="1" s="1"/>
  <c r="C2674" i="1"/>
  <c r="E2674" i="1" s="1"/>
  <c r="C2675" i="1"/>
  <c r="E2675" i="1" s="1"/>
  <c r="C2676" i="1"/>
  <c r="E2676" i="1" s="1"/>
  <c r="C2677" i="1"/>
  <c r="E2677" i="1" s="1"/>
  <c r="C2678" i="1"/>
  <c r="E2678" i="1" s="1"/>
  <c r="C2679" i="1"/>
  <c r="E2679" i="1" s="1"/>
  <c r="C2680" i="1"/>
  <c r="E2680" i="1" s="1"/>
  <c r="C2681" i="1"/>
  <c r="E2681" i="1" s="1"/>
  <c r="C2682" i="1"/>
  <c r="E2682" i="1" s="1"/>
  <c r="C2683" i="1"/>
  <c r="E2683" i="1" s="1"/>
  <c r="C2684" i="1"/>
  <c r="E2684" i="1" s="1"/>
  <c r="C2685" i="1"/>
  <c r="E2685" i="1" s="1"/>
  <c r="C2686" i="1"/>
  <c r="E2686" i="1" s="1"/>
  <c r="C2687" i="1"/>
  <c r="E2687" i="1" s="1"/>
  <c r="C2688" i="1"/>
  <c r="E2688" i="1" s="1"/>
  <c r="C2689" i="1"/>
  <c r="E2689" i="1" s="1"/>
  <c r="C2690" i="1"/>
  <c r="E2690" i="1" s="1"/>
  <c r="C2691" i="1"/>
  <c r="E2691" i="1" s="1"/>
  <c r="C2692" i="1"/>
  <c r="E2692" i="1" s="1"/>
  <c r="C2693" i="1"/>
  <c r="E2693" i="1" s="1"/>
  <c r="C2694" i="1"/>
  <c r="E2694" i="1" s="1"/>
  <c r="C2695" i="1"/>
  <c r="E2695" i="1" s="1"/>
  <c r="C2696" i="1"/>
  <c r="E2696" i="1" s="1"/>
  <c r="C2697" i="1"/>
  <c r="E2697" i="1" s="1"/>
  <c r="C2698" i="1"/>
  <c r="E2698" i="1" s="1"/>
  <c r="C2699" i="1"/>
  <c r="E2699" i="1" s="1"/>
  <c r="C2700" i="1"/>
  <c r="E2700" i="1" s="1"/>
  <c r="C2701" i="1"/>
  <c r="E2701" i="1" s="1"/>
  <c r="C2702" i="1"/>
  <c r="E2702" i="1" s="1"/>
  <c r="C2703" i="1"/>
  <c r="E2703" i="1" s="1"/>
  <c r="C2704" i="1"/>
  <c r="E2704" i="1" s="1"/>
  <c r="C2705" i="1"/>
  <c r="E2705" i="1" s="1"/>
  <c r="C2706" i="1"/>
  <c r="E2706" i="1" s="1"/>
  <c r="C2707" i="1"/>
  <c r="E2707" i="1" s="1"/>
  <c r="C2708" i="1"/>
  <c r="E2708" i="1" s="1"/>
  <c r="C2709" i="1"/>
  <c r="E2709" i="1" s="1"/>
  <c r="C2710" i="1"/>
  <c r="E2710" i="1" s="1"/>
  <c r="C2711" i="1"/>
  <c r="E2711" i="1" s="1"/>
  <c r="C2712" i="1"/>
  <c r="E2712" i="1" s="1"/>
  <c r="C2713" i="1"/>
  <c r="E2713" i="1" s="1"/>
  <c r="C2714" i="1"/>
  <c r="E2714" i="1" s="1"/>
  <c r="C2715" i="1"/>
  <c r="E2715" i="1" s="1"/>
  <c r="C2716" i="1"/>
  <c r="E2716" i="1" s="1"/>
  <c r="C2717" i="1"/>
  <c r="E2717" i="1" s="1"/>
  <c r="C2718" i="1"/>
  <c r="E2718" i="1" s="1"/>
  <c r="C2719" i="1"/>
  <c r="E2719" i="1" s="1"/>
  <c r="C2720" i="1"/>
  <c r="E2720" i="1" s="1"/>
  <c r="C2721" i="1"/>
  <c r="E2721" i="1" s="1"/>
  <c r="C2722" i="1"/>
  <c r="E2722" i="1" s="1"/>
  <c r="C2723" i="1"/>
  <c r="E2723" i="1" s="1"/>
  <c r="C2724" i="1"/>
  <c r="E2724" i="1" s="1"/>
  <c r="C2725" i="1"/>
  <c r="E2725" i="1" s="1"/>
  <c r="C2726" i="1"/>
  <c r="E2726" i="1" s="1"/>
  <c r="C2727" i="1"/>
  <c r="E2727" i="1" s="1"/>
  <c r="C2728" i="1"/>
  <c r="E2728" i="1" s="1"/>
  <c r="C2729" i="1"/>
  <c r="E2729" i="1" s="1"/>
  <c r="C2730" i="1"/>
  <c r="E2730" i="1" s="1"/>
  <c r="C2731" i="1"/>
  <c r="E2731" i="1" s="1"/>
  <c r="C2732" i="1"/>
  <c r="E2732" i="1" s="1"/>
  <c r="C2733" i="1"/>
  <c r="E2733" i="1" s="1"/>
  <c r="C2734" i="1"/>
  <c r="E2734" i="1" s="1"/>
  <c r="C2735" i="1"/>
  <c r="E2735" i="1" s="1"/>
  <c r="C2736" i="1"/>
  <c r="E2736" i="1" s="1"/>
  <c r="C2737" i="1"/>
  <c r="E2737" i="1" s="1"/>
  <c r="C2738" i="1"/>
  <c r="E2738" i="1" s="1"/>
  <c r="C2739" i="1"/>
  <c r="E2739" i="1" s="1"/>
  <c r="C2740" i="1"/>
  <c r="E2740" i="1" s="1"/>
  <c r="C2741" i="1"/>
  <c r="E2741" i="1" s="1"/>
  <c r="C2742" i="1"/>
  <c r="E2742" i="1" s="1"/>
  <c r="C2743" i="1"/>
  <c r="E2743" i="1" s="1"/>
  <c r="C2744" i="1"/>
  <c r="E2744" i="1" s="1"/>
  <c r="C2745" i="1"/>
  <c r="E2745" i="1" s="1"/>
  <c r="C2746" i="1"/>
  <c r="E2746" i="1" s="1"/>
  <c r="C2747" i="1"/>
  <c r="E2747" i="1" s="1"/>
  <c r="C2748" i="1"/>
  <c r="E2748" i="1" s="1"/>
  <c r="C2749" i="1"/>
  <c r="E2749" i="1" s="1"/>
  <c r="C2750" i="1"/>
  <c r="E2750" i="1" s="1"/>
  <c r="C2751" i="1"/>
  <c r="E2751" i="1" s="1"/>
  <c r="C2752" i="1"/>
  <c r="E2752" i="1" s="1"/>
  <c r="C2753" i="1"/>
  <c r="E2753" i="1" s="1"/>
  <c r="C2754" i="1"/>
  <c r="E2754" i="1" s="1"/>
  <c r="C2755" i="1"/>
  <c r="E2755" i="1" s="1"/>
  <c r="C2756" i="1"/>
  <c r="E2756" i="1" s="1"/>
  <c r="C2757" i="1"/>
  <c r="E2757" i="1" s="1"/>
  <c r="C2758" i="1"/>
  <c r="E2758" i="1" s="1"/>
  <c r="C2759" i="1"/>
  <c r="E2759" i="1" s="1"/>
  <c r="C2760" i="1"/>
  <c r="E2760" i="1" s="1"/>
  <c r="C2761" i="1"/>
  <c r="E2761" i="1" s="1"/>
  <c r="C2762" i="1"/>
  <c r="E2762" i="1" s="1"/>
  <c r="C2763" i="1"/>
  <c r="E2763" i="1" s="1"/>
  <c r="C2764" i="1"/>
  <c r="E2764" i="1" s="1"/>
  <c r="C2765" i="1"/>
  <c r="E2765" i="1" s="1"/>
  <c r="C2766" i="1"/>
  <c r="E2766" i="1" s="1"/>
  <c r="C2767" i="1"/>
  <c r="E2767" i="1" s="1"/>
  <c r="C2768" i="1"/>
  <c r="E2768" i="1" s="1"/>
  <c r="C2769" i="1"/>
  <c r="E2769" i="1" s="1"/>
  <c r="C2770" i="1"/>
  <c r="E2770" i="1" s="1"/>
  <c r="C2771" i="1"/>
  <c r="E2771" i="1" s="1"/>
  <c r="C2772" i="1"/>
  <c r="E2772" i="1" s="1"/>
  <c r="C2773" i="1"/>
  <c r="E2773" i="1" s="1"/>
  <c r="C2774" i="1"/>
  <c r="E2774" i="1" s="1"/>
  <c r="C2775" i="1"/>
  <c r="E2775" i="1" s="1"/>
  <c r="C2776" i="1"/>
  <c r="E2776" i="1" s="1"/>
  <c r="C2777" i="1"/>
  <c r="E2777" i="1" s="1"/>
  <c r="C2778" i="1"/>
  <c r="E2778" i="1" s="1"/>
  <c r="C2779" i="1"/>
  <c r="E2779" i="1" s="1"/>
  <c r="C2780" i="1"/>
  <c r="E2780" i="1" s="1"/>
  <c r="C2781" i="1"/>
  <c r="E2781" i="1" s="1"/>
  <c r="C2782" i="1"/>
  <c r="E2782" i="1" s="1"/>
  <c r="C2783" i="1"/>
  <c r="E2783" i="1" s="1"/>
  <c r="C2784" i="1"/>
  <c r="E2784" i="1" s="1"/>
  <c r="C2785" i="1"/>
  <c r="E2785" i="1" s="1"/>
  <c r="C2786" i="1"/>
  <c r="E2786" i="1" s="1"/>
  <c r="C2787" i="1"/>
  <c r="E2787" i="1" s="1"/>
  <c r="C2788" i="1"/>
  <c r="E2788" i="1" s="1"/>
  <c r="C2789" i="1"/>
  <c r="E2789" i="1" s="1"/>
  <c r="C2790" i="1"/>
  <c r="E2790" i="1" s="1"/>
  <c r="C2791" i="1"/>
  <c r="E2791" i="1" s="1"/>
  <c r="C2792" i="1"/>
  <c r="E2792" i="1" s="1"/>
  <c r="C2793" i="1"/>
  <c r="E2793" i="1" s="1"/>
  <c r="C2794" i="1"/>
  <c r="E2794" i="1" s="1"/>
  <c r="C2795" i="1"/>
  <c r="E2795" i="1" s="1"/>
  <c r="C2796" i="1"/>
  <c r="E2796" i="1" s="1"/>
  <c r="C2797" i="1"/>
  <c r="E2797" i="1" s="1"/>
  <c r="C2798" i="1"/>
  <c r="E2798" i="1" s="1"/>
  <c r="C2799" i="1"/>
  <c r="E2799" i="1" s="1"/>
  <c r="C2800" i="1"/>
  <c r="E2800" i="1" s="1"/>
  <c r="C2801" i="1"/>
  <c r="E2801" i="1" s="1"/>
  <c r="C2802" i="1"/>
  <c r="E2802" i="1" s="1"/>
  <c r="C2803" i="1"/>
  <c r="E2803" i="1" s="1"/>
  <c r="C2804" i="1"/>
  <c r="E2804" i="1" s="1"/>
  <c r="C2805" i="1"/>
  <c r="E2805" i="1" s="1"/>
  <c r="C2806" i="1"/>
  <c r="E2806" i="1" s="1"/>
  <c r="C2807" i="1"/>
  <c r="E2807" i="1" s="1"/>
  <c r="C2808" i="1"/>
  <c r="E2808" i="1" s="1"/>
  <c r="C2809" i="1"/>
  <c r="E2809" i="1" s="1"/>
  <c r="C2810" i="1"/>
  <c r="E2810" i="1" s="1"/>
  <c r="C2811" i="1"/>
  <c r="E2811" i="1" s="1"/>
  <c r="C2812" i="1"/>
  <c r="E2812" i="1" s="1"/>
  <c r="C2813" i="1"/>
  <c r="E2813" i="1" s="1"/>
  <c r="C2814" i="1"/>
  <c r="E2814" i="1" s="1"/>
  <c r="C2815" i="1"/>
  <c r="E2815" i="1" s="1"/>
  <c r="C2816" i="1"/>
  <c r="E2816" i="1" s="1"/>
  <c r="C2817" i="1"/>
  <c r="E2817" i="1" s="1"/>
  <c r="C2818" i="1"/>
  <c r="E2818" i="1" s="1"/>
  <c r="C2819" i="1"/>
  <c r="E2819" i="1" s="1"/>
  <c r="C2820" i="1"/>
  <c r="E2820" i="1" s="1"/>
  <c r="C2821" i="1"/>
  <c r="E2821" i="1" s="1"/>
  <c r="C2822" i="1"/>
  <c r="E2822" i="1" s="1"/>
  <c r="C2823" i="1"/>
  <c r="E2823" i="1" s="1"/>
  <c r="C2824" i="1"/>
  <c r="E2824" i="1" s="1"/>
  <c r="C2825" i="1"/>
  <c r="E2825" i="1" s="1"/>
  <c r="C2826" i="1"/>
  <c r="E2826" i="1" s="1"/>
  <c r="C2827" i="1"/>
  <c r="E2827" i="1" s="1"/>
  <c r="C2828" i="1"/>
  <c r="E2828" i="1" s="1"/>
  <c r="C2829" i="1"/>
  <c r="E2829" i="1" s="1"/>
  <c r="C2830" i="1"/>
  <c r="E2830" i="1" s="1"/>
  <c r="C2831" i="1"/>
  <c r="E2831" i="1" s="1"/>
  <c r="C2832" i="1"/>
  <c r="E2832" i="1" s="1"/>
  <c r="C2833" i="1"/>
  <c r="E2833" i="1" s="1"/>
  <c r="C2834" i="1"/>
  <c r="E2834" i="1" s="1"/>
  <c r="C2835" i="1"/>
  <c r="E2835" i="1" s="1"/>
  <c r="C2836" i="1"/>
  <c r="E2836" i="1" s="1"/>
  <c r="C2837" i="1"/>
  <c r="E2837" i="1" s="1"/>
  <c r="C2838" i="1"/>
  <c r="E2838" i="1" s="1"/>
  <c r="C2839" i="1"/>
  <c r="E2839" i="1" s="1"/>
  <c r="C2840" i="1"/>
  <c r="E2840" i="1" s="1"/>
  <c r="C2841" i="1"/>
  <c r="E2841" i="1" s="1"/>
  <c r="C2842" i="1"/>
  <c r="E2842" i="1" s="1"/>
  <c r="C2843" i="1"/>
  <c r="E2843" i="1" s="1"/>
  <c r="C2844" i="1"/>
  <c r="E2844" i="1" s="1"/>
  <c r="C2845" i="1"/>
  <c r="E2845" i="1" s="1"/>
  <c r="C2846" i="1"/>
  <c r="E2846" i="1" s="1"/>
  <c r="C2847" i="1"/>
  <c r="E2847" i="1" s="1"/>
  <c r="C2848" i="1"/>
  <c r="E2848" i="1" s="1"/>
  <c r="C2849" i="1"/>
  <c r="E2849" i="1" s="1"/>
  <c r="C2850" i="1"/>
  <c r="E2850" i="1" s="1"/>
  <c r="C2851" i="1"/>
  <c r="E2851" i="1" s="1"/>
  <c r="C2852" i="1"/>
  <c r="E2852" i="1" s="1"/>
  <c r="C2853" i="1"/>
  <c r="E2853" i="1" s="1"/>
  <c r="C2854" i="1"/>
  <c r="E2854" i="1" s="1"/>
  <c r="C2855" i="1"/>
  <c r="E2855" i="1" s="1"/>
  <c r="C2856" i="1"/>
  <c r="E2856" i="1" s="1"/>
  <c r="C2857" i="1"/>
  <c r="E2857" i="1" s="1"/>
  <c r="C2858" i="1"/>
  <c r="E2858" i="1" s="1"/>
  <c r="C2859" i="1"/>
  <c r="E2859" i="1" s="1"/>
  <c r="C2860" i="1"/>
  <c r="E2860" i="1" s="1"/>
  <c r="C2861" i="1"/>
  <c r="E2861" i="1" s="1"/>
  <c r="C2862" i="1"/>
  <c r="E2862" i="1" s="1"/>
  <c r="C2863" i="1"/>
  <c r="E2863" i="1" s="1"/>
  <c r="C2864" i="1"/>
  <c r="E2864" i="1" s="1"/>
  <c r="C2865" i="1"/>
  <c r="E2865" i="1" s="1"/>
  <c r="C2866" i="1"/>
  <c r="E2866" i="1" s="1"/>
  <c r="C2867" i="1"/>
  <c r="E2867" i="1" s="1"/>
  <c r="C2868" i="1"/>
  <c r="E2868" i="1" s="1"/>
  <c r="C2869" i="1"/>
  <c r="E2869" i="1" s="1"/>
  <c r="C2870" i="1"/>
  <c r="E2870" i="1" s="1"/>
  <c r="C2871" i="1"/>
  <c r="E2871" i="1" s="1"/>
  <c r="C2872" i="1"/>
  <c r="E2872" i="1" s="1"/>
  <c r="C2873" i="1"/>
  <c r="E2873" i="1" s="1"/>
  <c r="C2874" i="1"/>
  <c r="E2874" i="1" s="1"/>
  <c r="C2875" i="1"/>
  <c r="E2875" i="1" s="1"/>
  <c r="C2876" i="1"/>
  <c r="E2876" i="1" s="1"/>
  <c r="C2877" i="1"/>
  <c r="E2877" i="1" s="1"/>
  <c r="C2878" i="1"/>
  <c r="E2878" i="1" s="1"/>
  <c r="C2879" i="1"/>
  <c r="E2879" i="1" s="1"/>
  <c r="C2880" i="1"/>
  <c r="E2880" i="1" s="1"/>
  <c r="C2881" i="1"/>
  <c r="E2881" i="1" s="1"/>
  <c r="C2882" i="1"/>
  <c r="E2882" i="1" s="1"/>
  <c r="C2883" i="1"/>
  <c r="E2883" i="1" s="1"/>
  <c r="C2884" i="1"/>
  <c r="E2884" i="1" s="1"/>
  <c r="C2885" i="1"/>
  <c r="E2885" i="1" s="1"/>
  <c r="C2886" i="1"/>
  <c r="E2886" i="1" s="1"/>
  <c r="C2887" i="1"/>
  <c r="E2887" i="1" s="1"/>
  <c r="C2888" i="1"/>
  <c r="E2888" i="1" s="1"/>
  <c r="C2889" i="1"/>
  <c r="E2889" i="1" s="1"/>
  <c r="C2890" i="1"/>
  <c r="E2890" i="1" s="1"/>
  <c r="C2891" i="1"/>
  <c r="E2891" i="1" s="1"/>
  <c r="C2892" i="1"/>
  <c r="E2892" i="1" s="1"/>
  <c r="C2893" i="1"/>
  <c r="E2893" i="1" s="1"/>
  <c r="C2894" i="1"/>
  <c r="E2894" i="1" s="1"/>
  <c r="C2895" i="1"/>
  <c r="E2895" i="1" s="1"/>
  <c r="C2896" i="1"/>
  <c r="E2896" i="1" s="1"/>
  <c r="C2897" i="1"/>
  <c r="E2897" i="1" s="1"/>
  <c r="C2898" i="1"/>
  <c r="E2898" i="1" s="1"/>
  <c r="C2899" i="1"/>
  <c r="E2899" i="1" s="1"/>
  <c r="C2900" i="1"/>
  <c r="E2900" i="1" s="1"/>
  <c r="C2901" i="1"/>
  <c r="E2901" i="1" s="1"/>
  <c r="C2902" i="1"/>
  <c r="E2902" i="1" s="1"/>
  <c r="C2903" i="1"/>
  <c r="E2903" i="1" s="1"/>
  <c r="C2904" i="1"/>
  <c r="E2904" i="1" s="1"/>
  <c r="C2905" i="1"/>
  <c r="E2905" i="1" s="1"/>
  <c r="C2906" i="1"/>
  <c r="E2906" i="1" s="1"/>
  <c r="C2907" i="1"/>
  <c r="E2907" i="1" s="1"/>
  <c r="C2908" i="1"/>
  <c r="E2908" i="1" s="1"/>
  <c r="C2909" i="1"/>
  <c r="E2909" i="1" s="1"/>
  <c r="C2910" i="1"/>
  <c r="E2910" i="1" s="1"/>
  <c r="C2911" i="1"/>
  <c r="E2911" i="1" s="1"/>
  <c r="C2912" i="1"/>
  <c r="E2912" i="1" s="1"/>
  <c r="C2913" i="1"/>
  <c r="E2913" i="1" s="1"/>
  <c r="C2914" i="1"/>
  <c r="E2914" i="1" s="1"/>
  <c r="C2915" i="1"/>
  <c r="E2915" i="1" s="1"/>
  <c r="C2916" i="1"/>
  <c r="E2916" i="1" s="1"/>
  <c r="C2917" i="1"/>
  <c r="E2917" i="1" s="1"/>
  <c r="C2918" i="1"/>
  <c r="E2918" i="1" s="1"/>
  <c r="C2919" i="1"/>
  <c r="E2919" i="1" s="1"/>
  <c r="C2920" i="1"/>
  <c r="E2920" i="1" s="1"/>
  <c r="C2921" i="1"/>
  <c r="E2921" i="1" s="1"/>
  <c r="C2922" i="1"/>
  <c r="E2922" i="1" s="1"/>
  <c r="C2923" i="1"/>
  <c r="E2923" i="1" s="1"/>
  <c r="C2924" i="1"/>
  <c r="E2924" i="1" s="1"/>
  <c r="C2925" i="1"/>
  <c r="E2925" i="1" s="1"/>
  <c r="C2926" i="1"/>
  <c r="E2926" i="1" s="1"/>
  <c r="C2927" i="1"/>
  <c r="E2927" i="1" s="1"/>
  <c r="C2928" i="1"/>
  <c r="E2928" i="1" s="1"/>
  <c r="C2929" i="1"/>
  <c r="E2929" i="1" s="1"/>
  <c r="C2930" i="1"/>
  <c r="E2930" i="1" s="1"/>
  <c r="C2931" i="1"/>
  <c r="E2931" i="1" s="1"/>
  <c r="C2932" i="1"/>
  <c r="E2932" i="1" s="1"/>
  <c r="C2933" i="1"/>
  <c r="E2933" i="1" s="1"/>
  <c r="C2934" i="1"/>
  <c r="E2934" i="1" s="1"/>
  <c r="C2935" i="1"/>
  <c r="E2935" i="1" s="1"/>
  <c r="C2936" i="1"/>
  <c r="E2936" i="1" s="1"/>
  <c r="C2937" i="1"/>
  <c r="E2937" i="1" s="1"/>
  <c r="C2938" i="1"/>
  <c r="E2938" i="1" s="1"/>
  <c r="C2939" i="1"/>
  <c r="E2939" i="1" s="1"/>
  <c r="C2940" i="1"/>
  <c r="E2940" i="1" s="1"/>
  <c r="C2941" i="1"/>
  <c r="E2941" i="1" s="1"/>
  <c r="C2942" i="1"/>
  <c r="E2942" i="1" s="1"/>
  <c r="C2943" i="1"/>
  <c r="E2943" i="1" s="1"/>
  <c r="C2944" i="1"/>
  <c r="E2944" i="1" s="1"/>
  <c r="C2945" i="1"/>
  <c r="E2945" i="1" s="1"/>
  <c r="C2946" i="1"/>
  <c r="E2946" i="1" s="1"/>
  <c r="C2947" i="1"/>
  <c r="E2947" i="1" s="1"/>
  <c r="C2948" i="1"/>
  <c r="E2948" i="1" s="1"/>
  <c r="C2949" i="1"/>
  <c r="E2949" i="1" s="1"/>
  <c r="C2950" i="1"/>
  <c r="E2950" i="1" s="1"/>
  <c r="C2951" i="1"/>
  <c r="E2951" i="1" s="1"/>
  <c r="C2952" i="1"/>
  <c r="E2952" i="1" s="1"/>
  <c r="C2953" i="1"/>
  <c r="E2953" i="1" s="1"/>
  <c r="C2954" i="1"/>
  <c r="E2954" i="1" s="1"/>
  <c r="C2955" i="1"/>
  <c r="E2955" i="1" s="1"/>
  <c r="C2956" i="1"/>
  <c r="E2956" i="1" s="1"/>
  <c r="C2957" i="1"/>
  <c r="E2957" i="1" s="1"/>
  <c r="C2958" i="1"/>
  <c r="E2958" i="1" s="1"/>
  <c r="C2959" i="1"/>
  <c r="E2959" i="1" s="1"/>
  <c r="C2960" i="1"/>
  <c r="E2960" i="1" s="1"/>
  <c r="C2961" i="1"/>
  <c r="E2961" i="1" s="1"/>
  <c r="C2962" i="1"/>
  <c r="E2962" i="1" s="1"/>
  <c r="C2963" i="1"/>
  <c r="E2963" i="1" s="1"/>
  <c r="C2964" i="1"/>
  <c r="E2964" i="1" s="1"/>
  <c r="C2965" i="1"/>
  <c r="E2965" i="1" s="1"/>
  <c r="C2966" i="1"/>
  <c r="E2966" i="1" s="1"/>
  <c r="C2967" i="1"/>
  <c r="E2967" i="1" s="1"/>
  <c r="C2968" i="1"/>
  <c r="E2968" i="1" s="1"/>
  <c r="C2969" i="1"/>
  <c r="E2969" i="1" s="1"/>
  <c r="C2970" i="1"/>
  <c r="E2970" i="1" s="1"/>
  <c r="C2971" i="1"/>
  <c r="E2971" i="1" s="1"/>
  <c r="C2972" i="1"/>
  <c r="E2972" i="1" s="1"/>
  <c r="C2973" i="1"/>
  <c r="E2973" i="1" s="1"/>
  <c r="C2974" i="1"/>
  <c r="E2974" i="1" s="1"/>
  <c r="C2975" i="1"/>
  <c r="E2975" i="1" s="1"/>
  <c r="C2976" i="1"/>
  <c r="E2976" i="1" s="1"/>
  <c r="C2977" i="1"/>
  <c r="E2977" i="1" s="1"/>
  <c r="C2978" i="1"/>
  <c r="E2978" i="1" s="1"/>
  <c r="C2979" i="1"/>
  <c r="E2979" i="1" s="1"/>
  <c r="C2980" i="1"/>
  <c r="E2980" i="1" s="1"/>
  <c r="C2981" i="1"/>
  <c r="E2981" i="1" s="1"/>
  <c r="C2982" i="1"/>
  <c r="E2982" i="1" s="1"/>
  <c r="C2983" i="1"/>
  <c r="E2983" i="1" s="1"/>
  <c r="C2984" i="1"/>
  <c r="E2984" i="1" s="1"/>
  <c r="C2985" i="1"/>
  <c r="E2985" i="1" s="1"/>
  <c r="C2986" i="1"/>
  <c r="E2986" i="1" s="1"/>
  <c r="C2987" i="1"/>
  <c r="E2987" i="1" s="1"/>
  <c r="C2988" i="1"/>
  <c r="E2988" i="1" s="1"/>
  <c r="C2989" i="1"/>
  <c r="E2989" i="1" s="1"/>
  <c r="C2990" i="1"/>
  <c r="E2990" i="1" s="1"/>
  <c r="C2991" i="1"/>
  <c r="E2991" i="1" s="1"/>
  <c r="C2992" i="1"/>
  <c r="E2992" i="1" s="1"/>
  <c r="C2993" i="1"/>
  <c r="E2993" i="1" s="1"/>
  <c r="C2994" i="1"/>
  <c r="E2994" i="1" s="1"/>
  <c r="C2995" i="1"/>
  <c r="E2995" i="1" s="1"/>
  <c r="C2996" i="1"/>
  <c r="E2996" i="1" s="1"/>
  <c r="C2997" i="1"/>
  <c r="E2997" i="1" s="1"/>
  <c r="C2998" i="1"/>
  <c r="E2998" i="1" s="1"/>
  <c r="C2999" i="1"/>
  <c r="E2999" i="1" s="1"/>
  <c r="C3000" i="1"/>
  <c r="E3000" i="1" s="1"/>
  <c r="C3001" i="1"/>
  <c r="E3001" i="1" s="1"/>
  <c r="C2" i="1"/>
  <c r="E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2" i="1"/>
  <c r="X9" i="1"/>
  <c r="X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2" i="1"/>
  <c r="X6" i="1"/>
  <c r="X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2" i="1"/>
  <c r="X5" i="1" l="1"/>
  <c r="X7" i="1"/>
  <c r="X2" i="1"/>
  <c r="X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A0265-8462-4FBC-8C7B-62B1D9B9059E}" keepAlive="1" name="Query - Join Date" description="Connection to the 'Join Date' query in the workbook." type="5" refreshedVersion="0" background="1">
    <dbPr connection="Provider=Microsoft.Mashup.OleDb.1;Data Source=$Workbook$;Location=&quot;Join Date&quot;;Extended Properties=&quot;&quot;" command="SELECT * FROM [Join Date]"/>
  </connection>
</connections>
</file>

<file path=xl/sharedStrings.xml><?xml version="1.0" encoding="utf-8"?>
<sst xmlns="http://schemas.openxmlformats.org/spreadsheetml/2006/main" count="14565" uniqueCount="4133">
  <si>
    <t>Emp_ID</t>
  </si>
  <si>
    <t>Name</t>
  </si>
  <si>
    <t>Gender</t>
  </si>
  <si>
    <t>Department</t>
  </si>
  <si>
    <t>City</t>
  </si>
  <si>
    <t>Salary</t>
  </si>
  <si>
    <t>Bonus</t>
  </si>
  <si>
    <t>Sales</t>
  </si>
  <si>
    <t>Target</t>
  </si>
  <si>
    <t>Join_Date</t>
  </si>
  <si>
    <t>Emp_1</t>
  </si>
  <si>
    <t>Male</t>
  </si>
  <si>
    <t>HR</t>
  </si>
  <si>
    <t>Delhi</t>
  </si>
  <si>
    <t>Emp_2</t>
  </si>
  <si>
    <t>Female</t>
  </si>
  <si>
    <t>Pune</t>
  </si>
  <si>
    <t>Emp_3</t>
  </si>
  <si>
    <t>Finance</t>
  </si>
  <si>
    <t>Hyderabad</t>
  </si>
  <si>
    <t>Emp_4</t>
  </si>
  <si>
    <t>IT</t>
  </si>
  <si>
    <t>Mumbai</t>
  </si>
  <si>
    <t>Emp_5</t>
  </si>
  <si>
    <t>Marketing</t>
  </si>
  <si>
    <t>Bangalore</t>
  </si>
  <si>
    <t>Emp_6</t>
  </si>
  <si>
    <t>Emp_7</t>
  </si>
  <si>
    <t>12/19/2024</t>
  </si>
  <si>
    <t>Emp_8</t>
  </si>
  <si>
    <t>Emp_9</t>
  </si>
  <si>
    <t>10/21/2020</t>
  </si>
  <si>
    <t>Emp_10</t>
  </si>
  <si>
    <t>2/20/2019</t>
  </si>
  <si>
    <t>Emp_11</t>
  </si>
  <si>
    <t>11/14/2021</t>
  </si>
  <si>
    <t>Emp_12</t>
  </si>
  <si>
    <t>Emp_13</t>
  </si>
  <si>
    <t>Emp_14</t>
  </si>
  <si>
    <t>2/28/2018</t>
  </si>
  <si>
    <t>Emp_15</t>
  </si>
  <si>
    <t>11/19/2023</t>
  </si>
  <si>
    <t>Emp_16</t>
  </si>
  <si>
    <t>Emp_17</t>
  </si>
  <si>
    <t>3/22/2018</t>
  </si>
  <si>
    <t>Emp_18</t>
  </si>
  <si>
    <t>8/23/2023</t>
  </si>
  <si>
    <t>Emp_19</t>
  </si>
  <si>
    <t>4/17/2020</t>
  </si>
  <si>
    <t>Emp_20</t>
  </si>
  <si>
    <t>12/13/2021</t>
  </si>
  <si>
    <t>Emp_21</t>
  </si>
  <si>
    <t>Emp_22</t>
  </si>
  <si>
    <t>11/29/2024</t>
  </si>
  <si>
    <t>Emp_23</t>
  </si>
  <si>
    <t>10/13/2020</t>
  </si>
  <si>
    <t>Emp_24</t>
  </si>
  <si>
    <t>Emp_25</t>
  </si>
  <si>
    <t>1/22/2022</t>
  </si>
  <si>
    <t>Emp_26</t>
  </si>
  <si>
    <t>Emp_27</t>
  </si>
  <si>
    <t>9/14/2023</t>
  </si>
  <si>
    <t>Emp_28</t>
  </si>
  <si>
    <t>Emp_29</t>
  </si>
  <si>
    <t>Emp_30</t>
  </si>
  <si>
    <t>12/19/2023</t>
  </si>
  <si>
    <t>Emp_31</t>
  </si>
  <si>
    <t>Emp_32</t>
  </si>
  <si>
    <t>2/15/2019</t>
  </si>
  <si>
    <t>Emp_33</t>
  </si>
  <si>
    <t>3/31/2019</t>
  </si>
  <si>
    <t>Emp_34</t>
  </si>
  <si>
    <t>2/23/2019</t>
  </si>
  <si>
    <t>Emp_35</t>
  </si>
  <si>
    <t>6/28/2020</t>
  </si>
  <si>
    <t>Emp_36</t>
  </si>
  <si>
    <t>10/26/2020</t>
  </si>
  <si>
    <t>Emp_37</t>
  </si>
  <si>
    <t>9/29/2023</t>
  </si>
  <si>
    <t>Emp_38</t>
  </si>
  <si>
    <t>6/22/2020</t>
  </si>
  <si>
    <t>Emp_39</t>
  </si>
  <si>
    <t>12/19/2020</t>
  </si>
  <si>
    <t>Emp_40</t>
  </si>
  <si>
    <t>Emp_41</t>
  </si>
  <si>
    <t>11/23/2024</t>
  </si>
  <si>
    <t>Emp_42</t>
  </si>
  <si>
    <t>4/13/2022</t>
  </si>
  <si>
    <t>Emp_43</t>
  </si>
  <si>
    <t>7/25/2020</t>
  </si>
  <si>
    <t>Emp_44</t>
  </si>
  <si>
    <t>Emp_45</t>
  </si>
  <si>
    <t>12/29/2018</t>
  </si>
  <si>
    <t>Emp_46</t>
  </si>
  <si>
    <t>11/23/2020</t>
  </si>
  <si>
    <t>Emp_47</t>
  </si>
  <si>
    <t>8/19/2024</t>
  </si>
  <si>
    <t>Emp_48</t>
  </si>
  <si>
    <t>Emp_49</t>
  </si>
  <si>
    <t>Emp_50</t>
  </si>
  <si>
    <t>6/29/2019</t>
  </si>
  <si>
    <t>Emp_51</t>
  </si>
  <si>
    <t>Emp_52</t>
  </si>
  <si>
    <t>6/26/2018</t>
  </si>
  <si>
    <t>Emp_53</t>
  </si>
  <si>
    <t>11/28/2019</t>
  </si>
  <si>
    <t>Emp_54</t>
  </si>
  <si>
    <t>Emp_55</t>
  </si>
  <si>
    <t>6/19/2022</t>
  </si>
  <si>
    <t>Emp_56</t>
  </si>
  <si>
    <t>Emp_57</t>
  </si>
  <si>
    <t>8/25/2020</t>
  </si>
  <si>
    <t>Emp_58</t>
  </si>
  <si>
    <t>Emp_59</t>
  </si>
  <si>
    <t>Emp_60</t>
  </si>
  <si>
    <t>6/18/2024</t>
  </si>
  <si>
    <t>Emp_61</t>
  </si>
  <si>
    <t>Emp_62</t>
  </si>
  <si>
    <t>5/29/2019</t>
  </si>
  <si>
    <t>Emp_63</t>
  </si>
  <si>
    <t>8/30/2024</t>
  </si>
  <si>
    <t>Emp_64</t>
  </si>
  <si>
    <t>10/27/2022</t>
  </si>
  <si>
    <t>Emp_65</t>
  </si>
  <si>
    <t>4/24/2020</t>
  </si>
  <si>
    <t>Emp_66</t>
  </si>
  <si>
    <t>Emp_67</t>
  </si>
  <si>
    <t>1/29/2021</t>
  </si>
  <si>
    <t>Emp_68</t>
  </si>
  <si>
    <t>8/19/2023</t>
  </si>
  <si>
    <t>Emp_69</t>
  </si>
  <si>
    <t>1/16/2019</t>
  </si>
  <si>
    <t>Emp_70</t>
  </si>
  <si>
    <t>8/13/2024</t>
  </si>
  <si>
    <t>Emp_71</t>
  </si>
  <si>
    <t>3/15/2020</t>
  </si>
  <si>
    <t>Emp_72</t>
  </si>
  <si>
    <t>4/20/2020</t>
  </si>
  <si>
    <t>Emp_73</t>
  </si>
  <si>
    <t>Emp_74</t>
  </si>
  <si>
    <t>12/20/2024</t>
  </si>
  <si>
    <t>Emp_75</t>
  </si>
  <si>
    <t>1/18/2020</t>
  </si>
  <si>
    <t>Emp_76</t>
  </si>
  <si>
    <t>2/17/2021</t>
  </si>
  <si>
    <t>Emp_77</t>
  </si>
  <si>
    <t>11/20/2018</t>
  </si>
  <si>
    <t>Emp_78</t>
  </si>
  <si>
    <t>Emp_79</t>
  </si>
  <si>
    <t>5/24/2021</t>
  </si>
  <si>
    <t>Emp_80</t>
  </si>
  <si>
    <t>10/20/2023</t>
  </si>
  <si>
    <t>Emp_81</t>
  </si>
  <si>
    <t>Emp_82</t>
  </si>
  <si>
    <t>Emp_83</t>
  </si>
  <si>
    <t>7/28/2018</t>
  </si>
  <si>
    <t>Emp_84</t>
  </si>
  <si>
    <t>Emp_85</t>
  </si>
  <si>
    <t>Emp_86</t>
  </si>
  <si>
    <t>Emp_87</t>
  </si>
  <si>
    <t>Emp_88</t>
  </si>
  <si>
    <t>8/17/2021</t>
  </si>
  <si>
    <t>Emp_89</t>
  </si>
  <si>
    <t>12/18/2023</t>
  </si>
  <si>
    <t>Emp_90</t>
  </si>
  <si>
    <t>11/29/2022</t>
  </si>
  <si>
    <t>Emp_91</t>
  </si>
  <si>
    <t>4/20/2023</t>
  </si>
  <si>
    <t>Emp_92</t>
  </si>
  <si>
    <t>3/14/2022</t>
  </si>
  <si>
    <t>Emp_93</t>
  </si>
  <si>
    <t>9/30/2023</t>
  </si>
  <si>
    <t>Emp_94</t>
  </si>
  <si>
    <t>Emp_95</t>
  </si>
  <si>
    <t>9/14/2022</t>
  </si>
  <si>
    <t>Emp_96</t>
  </si>
  <si>
    <t>4/27/2021</t>
  </si>
  <si>
    <t>Emp_97</t>
  </si>
  <si>
    <t>Emp_98</t>
  </si>
  <si>
    <t>Emp_99</t>
  </si>
  <si>
    <t>12/24/2019</t>
  </si>
  <si>
    <t>Emp_100</t>
  </si>
  <si>
    <t>3/26/2023</t>
  </si>
  <si>
    <t>Emp_101</t>
  </si>
  <si>
    <t>Emp_102</t>
  </si>
  <si>
    <t>Emp_103</t>
  </si>
  <si>
    <t>9/19/2018</t>
  </si>
  <si>
    <t>Emp_104</t>
  </si>
  <si>
    <t>9/21/2023</t>
  </si>
  <si>
    <t>Emp_105</t>
  </si>
  <si>
    <t>Emp_106</t>
  </si>
  <si>
    <t>8/15/2021</t>
  </si>
  <si>
    <t>Emp_107</t>
  </si>
  <si>
    <t>3/18/2019</t>
  </si>
  <si>
    <t>Emp_108</t>
  </si>
  <si>
    <t>7/31/2019</t>
  </si>
  <si>
    <t>Emp_109</t>
  </si>
  <si>
    <t>8/27/2024</t>
  </si>
  <si>
    <t>Emp_110</t>
  </si>
  <si>
    <t>Emp_111</t>
  </si>
  <si>
    <t>Emp_112</t>
  </si>
  <si>
    <t>3/30/2023</t>
  </si>
  <si>
    <t>Emp_113</t>
  </si>
  <si>
    <t>8/21/2023</t>
  </si>
  <si>
    <t>Emp_114</t>
  </si>
  <si>
    <t>12/30/2020</t>
  </si>
  <si>
    <t>Emp_115</t>
  </si>
  <si>
    <t>6/14/2018</t>
  </si>
  <si>
    <t>Emp_116</t>
  </si>
  <si>
    <t>2/27/2023</t>
  </si>
  <si>
    <t>Emp_117</t>
  </si>
  <si>
    <t>Emp_118</t>
  </si>
  <si>
    <t>11/15/2022</t>
  </si>
  <si>
    <t>Emp_119</t>
  </si>
  <si>
    <t>Emp_120</t>
  </si>
  <si>
    <t>9/23/2020</t>
  </si>
  <si>
    <t>Emp_121</t>
  </si>
  <si>
    <t>8/16/2019</t>
  </si>
  <si>
    <t>Emp_122</t>
  </si>
  <si>
    <t>4/27/2022</t>
  </si>
  <si>
    <t>Emp_123</t>
  </si>
  <si>
    <t>Emp_124</t>
  </si>
  <si>
    <t>3/14/2018</t>
  </si>
  <si>
    <t>Emp_125</t>
  </si>
  <si>
    <t>2/23/2023</t>
  </si>
  <si>
    <t>Emp_126</t>
  </si>
  <si>
    <t>5/14/2019</t>
  </si>
  <si>
    <t>Emp_127</t>
  </si>
  <si>
    <t>3/30/2022</t>
  </si>
  <si>
    <t>Emp_128</t>
  </si>
  <si>
    <t>7/25/2024</t>
  </si>
  <si>
    <t>Emp_129</t>
  </si>
  <si>
    <t>5/23/2022</t>
  </si>
  <si>
    <t>Emp_130</t>
  </si>
  <si>
    <t>Emp_131</t>
  </si>
  <si>
    <t>Emp_132</t>
  </si>
  <si>
    <t>11/15/2023</t>
  </si>
  <si>
    <t>Emp_133</t>
  </si>
  <si>
    <t>Emp_134</t>
  </si>
  <si>
    <t>8/23/2019</t>
  </si>
  <si>
    <t>Emp_135</t>
  </si>
  <si>
    <t>6/15/2018</t>
  </si>
  <si>
    <t>Emp_136</t>
  </si>
  <si>
    <t>8/24/2018</t>
  </si>
  <si>
    <t>Emp_137</t>
  </si>
  <si>
    <t>Emp_138</t>
  </si>
  <si>
    <t>12/22/2023</t>
  </si>
  <si>
    <t>Emp_139</t>
  </si>
  <si>
    <t>Emp_140</t>
  </si>
  <si>
    <t>Emp_141</t>
  </si>
  <si>
    <t>Emp_142</t>
  </si>
  <si>
    <t>Emp_143</t>
  </si>
  <si>
    <t>5/16/2021</t>
  </si>
  <si>
    <t>Emp_144</t>
  </si>
  <si>
    <t>7/20/2019</t>
  </si>
  <si>
    <t>Emp_145</t>
  </si>
  <si>
    <t>1/19/2021</t>
  </si>
  <si>
    <t>Emp_146</t>
  </si>
  <si>
    <t>10/22/2021</t>
  </si>
  <si>
    <t>Emp_147</t>
  </si>
  <si>
    <t>Emp_148</t>
  </si>
  <si>
    <t>Emp_149</t>
  </si>
  <si>
    <t>8/28/2018</t>
  </si>
  <si>
    <t>Emp_150</t>
  </si>
  <si>
    <t>Emp_151</t>
  </si>
  <si>
    <t>Emp_152</t>
  </si>
  <si>
    <t>9/19/2020</t>
  </si>
  <si>
    <t>Emp_153</t>
  </si>
  <si>
    <t>1/21/2022</t>
  </si>
  <si>
    <t>Emp_154</t>
  </si>
  <si>
    <t>9/29/2018</t>
  </si>
  <si>
    <t>Emp_155</t>
  </si>
  <si>
    <t>5/17/2022</t>
  </si>
  <si>
    <t>Emp_156</t>
  </si>
  <si>
    <t>8/31/2023</t>
  </si>
  <si>
    <t>Emp_157</t>
  </si>
  <si>
    <t>Emp_158</t>
  </si>
  <si>
    <t>3/18/2022</t>
  </si>
  <si>
    <t>Emp_159</t>
  </si>
  <si>
    <t>12/15/2022</t>
  </si>
  <si>
    <t>Emp_160</t>
  </si>
  <si>
    <t>Emp_161</t>
  </si>
  <si>
    <t>Emp_162</t>
  </si>
  <si>
    <t>8/25/2019</t>
  </si>
  <si>
    <t>Emp_163</t>
  </si>
  <si>
    <t>8/14/2021</t>
  </si>
  <si>
    <t>Emp_164</t>
  </si>
  <si>
    <t>1/30/2018</t>
  </si>
  <si>
    <t>Emp_165</t>
  </si>
  <si>
    <t>Emp_166</t>
  </si>
  <si>
    <t>10/13/2018</t>
  </si>
  <si>
    <t>Emp_167</t>
  </si>
  <si>
    <t>6/26/2021</t>
  </si>
  <si>
    <t>Emp_168</t>
  </si>
  <si>
    <t>3/19/2022</t>
  </si>
  <si>
    <t>Emp_169</t>
  </si>
  <si>
    <t>Emp_170</t>
  </si>
  <si>
    <t>Emp_171</t>
  </si>
  <si>
    <t>Emp_172</t>
  </si>
  <si>
    <t>Emp_173</t>
  </si>
  <si>
    <t>10/25/2019</t>
  </si>
  <si>
    <t>Emp_174</t>
  </si>
  <si>
    <t>4/17/2024</t>
  </si>
  <si>
    <t>Emp_175</t>
  </si>
  <si>
    <t>Emp_176</t>
  </si>
  <si>
    <t>Emp_177</t>
  </si>
  <si>
    <t>3/27/2020</t>
  </si>
  <si>
    <t>Emp_178</t>
  </si>
  <si>
    <t>8/20/2020</t>
  </si>
  <si>
    <t>Emp_179</t>
  </si>
  <si>
    <t>Emp_180</t>
  </si>
  <si>
    <t>8/25/2023</t>
  </si>
  <si>
    <t>Emp_181</t>
  </si>
  <si>
    <t>5/27/2019</t>
  </si>
  <si>
    <t>Emp_182</t>
  </si>
  <si>
    <t>5/21/2021</t>
  </si>
  <si>
    <t>Emp_183</t>
  </si>
  <si>
    <t>Emp_184</t>
  </si>
  <si>
    <t>3/14/2021</t>
  </si>
  <si>
    <t>Emp_185</t>
  </si>
  <si>
    <t>Emp_186</t>
  </si>
  <si>
    <t>Emp_187</t>
  </si>
  <si>
    <t>Emp_188</t>
  </si>
  <si>
    <t>Emp_189</t>
  </si>
  <si>
    <t>Emp_190</t>
  </si>
  <si>
    <t>10/28/2019</t>
  </si>
  <si>
    <t>Emp_191</t>
  </si>
  <si>
    <t>Emp_192</t>
  </si>
  <si>
    <t>Emp_193</t>
  </si>
  <si>
    <t>Emp_194</t>
  </si>
  <si>
    <t>Emp_195</t>
  </si>
  <si>
    <t>Emp_196</t>
  </si>
  <si>
    <t>Emp_197</t>
  </si>
  <si>
    <t>9/13/2023</t>
  </si>
  <si>
    <t>Emp_198</t>
  </si>
  <si>
    <t>5/13/2023</t>
  </si>
  <si>
    <t>Emp_199</t>
  </si>
  <si>
    <t>Emp_200</t>
  </si>
  <si>
    <t>8/27/2022</t>
  </si>
  <si>
    <t>Emp_201</t>
  </si>
  <si>
    <t>Emp_202</t>
  </si>
  <si>
    <t>11/18/2018</t>
  </si>
  <si>
    <t>Emp_203</t>
  </si>
  <si>
    <t>6/19/2020</t>
  </si>
  <si>
    <t>Emp_204</t>
  </si>
  <si>
    <t>10/24/2023</t>
  </si>
  <si>
    <t>Emp_205</t>
  </si>
  <si>
    <t>8/21/2024</t>
  </si>
  <si>
    <t>Emp_206</t>
  </si>
  <si>
    <t>Emp_207</t>
  </si>
  <si>
    <t>2/25/2021</t>
  </si>
  <si>
    <t>Emp_208</t>
  </si>
  <si>
    <t>Emp_209</t>
  </si>
  <si>
    <t>Emp_210</t>
  </si>
  <si>
    <t>8/21/2022</t>
  </si>
  <si>
    <t>Emp_211</t>
  </si>
  <si>
    <t>6/25/2023</t>
  </si>
  <si>
    <t>Emp_212</t>
  </si>
  <si>
    <t>2/23/2018</t>
  </si>
  <si>
    <t>Emp_213</t>
  </si>
  <si>
    <t>Emp_214</t>
  </si>
  <si>
    <t>10/16/2018</t>
  </si>
  <si>
    <t>Emp_215</t>
  </si>
  <si>
    <t>Emp_216</t>
  </si>
  <si>
    <t>3/17/2022</t>
  </si>
  <si>
    <t>Emp_217</t>
  </si>
  <si>
    <t>Emp_218</t>
  </si>
  <si>
    <t>3/31/2023</t>
  </si>
  <si>
    <t>Emp_219</t>
  </si>
  <si>
    <t>Emp_220</t>
  </si>
  <si>
    <t>11/26/2023</t>
  </si>
  <si>
    <t>Emp_221</t>
  </si>
  <si>
    <t>2/25/2024</t>
  </si>
  <si>
    <t>Emp_222</t>
  </si>
  <si>
    <t>9/21/2018</t>
  </si>
  <si>
    <t>Emp_223</t>
  </si>
  <si>
    <t>3/28/2018</t>
  </si>
  <si>
    <t>Emp_224</t>
  </si>
  <si>
    <t>Emp_225</t>
  </si>
  <si>
    <t>5/23/2023</t>
  </si>
  <si>
    <t>Emp_226</t>
  </si>
  <si>
    <t>Emp_227</t>
  </si>
  <si>
    <t>Emp_228</t>
  </si>
  <si>
    <t>9/16/2024</t>
  </si>
  <si>
    <t>Emp_229</t>
  </si>
  <si>
    <t>9/14/2020</t>
  </si>
  <si>
    <t>Emp_230</t>
  </si>
  <si>
    <t>Emp_231</t>
  </si>
  <si>
    <t>6/13/2022</t>
  </si>
  <si>
    <t>Emp_232</t>
  </si>
  <si>
    <t>Emp_233</t>
  </si>
  <si>
    <t>Emp_234</t>
  </si>
  <si>
    <t>Emp_235</t>
  </si>
  <si>
    <t>9/28/2020</t>
  </si>
  <si>
    <t>Emp_236</t>
  </si>
  <si>
    <t>12/25/2018</t>
  </si>
  <si>
    <t>Emp_237</t>
  </si>
  <si>
    <t>2/17/2024</t>
  </si>
  <si>
    <t>Emp_238</t>
  </si>
  <si>
    <t>12/15/2020</t>
  </si>
  <si>
    <t>Emp_239</t>
  </si>
  <si>
    <t>Emp_240</t>
  </si>
  <si>
    <t>10/17/2021</t>
  </si>
  <si>
    <t>Emp_241</t>
  </si>
  <si>
    <t>Emp_242</t>
  </si>
  <si>
    <t>Emp_243</t>
  </si>
  <si>
    <t>10/22/2023</t>
  </si>
  <si>
    <t>Emp_244</t>
  </si>
  <si>
    <t>Emp_245</t>
  </si>
  <si>
    <t>Emp_246</t>
  </si>
  <si>
    <t>11/17/2021</t>
  </si>
  <si>
    <t>Emp_247</t>
  </si>
  <si>
    <t>4/29/2024</t>
  </si>
  <si>
    <t>Emp_248</t>
  </si>
  <si>
    <t>Emp_249</t>
  </si>
  <si>
    <t>3/16/2022</t>
  </si>
  <si>
    <t>Emp_250</t>
  </si>
  <si>
    <t>Emp_251</t>
  </si>
  <si>
    <t>Emp_252</t>
  </si>
  <si>
    <t>Emp_253</t>
  </si>
  <si>
    <t>Emp_254</t>
  </si>
  <si>
    <t>11/15/2019</t>
  </si>
  <si>
    <t>Emp_255</t>
  </si>
  <si>
    <t>12/24/2024</t>
  </si>
  <si>
    <t>Emp_256</t>
  </si>
  <si>
    <t>Emp_257</t>
  </si>
  <si>
    <t>Emp_258</t>
  </si>
  <si>
    <t>8/14/2019</t>
  </si>
  <si>
    <t>Emp_259</t>
  </si>
  <si>
    <t>Emp_260</t>
  </si>
  <si>
    <t>Emp_261</t>
  </si>
  <si>
    <t>10/20/2022</t>
  </si>
  <si>
    <t>Emp_262</t>
  </si>
  <si>
    <t>9/17/2018</t>
  </si>
  <si>
    <t>Emp_263</t>
  </si>
  <si>
    <t>3/28/2021</t>
  </si>
  <si>
    <t>Emp_264</t>
  </si>
  <si>
    <t>Emp_265</t>
  </si>
  <si>
    <t>11/13/2018</t>
  </si>
  <si>
    <t>Emp_266</t>
  </si>
  <si>
    <t>11/28/2023</t>
  </si>
  <si>
    <t>Emp_267</t>
  </si>
  <si>
    <t>2/16/2019</t>
  </si>
  <si>
    <t>Emp_268</t>
  </si>
  <si>
    <t>Emp_269</t>
  </si>
  <si>
    <t>6/23/2023</t>
  </si>
  <si>
    <t>Emp_270</t>
  </si>
  <si>
    <t>9/15/2019</t>
  </si>
  <si>
    <t>Emp_271</t>
  </si>
  <si>
    <t>Emp_272</t>
  </si>
  <si>
    <t>2/19/2023</t>
  </si>
  <si>
    <t>Emp_273</t>
  </si>
  <si>
    <t>Emp_274</t>
  </si>
  <si>
    <t>5/20/2019</t>
  </si>
  <si>
    <t>Emp_275</t>
  </si>
  <si>
    <t>Emp_276</t>
  </si>
  <si>
    <t>Emp_277</t>
  </si>
  <si>
    <t>9/14/2019</t>
  </si>
  <si>
    <t>Emp_278</t>
  </si>
  <si>
    <t>7/25/2021</t>
  </si>
  <si>
    <t>Emp_279</t>
  </si>
  <si>
    <t>9/25/2019</t>
  </si>
  <si>
    <t>Emp_280</t>
  </si>
  <si>
    <t>Emp_281</t>
  </si>
  <si>
    <t>9/13/2019</t>
  </si>
  <si>
    <t>Emp_282</t>
  </si>
  <si>
    <t>9/26/2020</t>
  </si>
  <si>
    <t>Emp_283</t>
  </si>
  <si>
    <t>10/27/2020</t>
  </si>
  <si>
    <t>Emp_284</t>
  </si>
  <si>
    <t>Emp_285</t>
  </si>
  <si>
    <t>7/20/2020</t>
  </si>
  <si>
    <t>Emp_286</t>
  </si>
  <si>
    <t>12/20/2018</t>
  </si>
  <si>
    <t>Emp_287</t>
  </si>
  <si>
    <t>Emp_288</t>
  </si>
  <si>
    <t>Emp_289</t>
  </si>
  <si>
    <t>3/26/2019</t>
  </si>
  <si>
    <t>Emp_290</t>
  </si>
  <si>
    <t>2/22/2020</t>
  </si>
  <si>
    <t>Emp_291</t>
  </si>
  <si>
    <t>11/30/2024</t>
  </si>
  <si>
    <t>Emp_292</t>
  </si>
  <si>
    <t>9/29/2022</t>
  </si>
  <si>
    <t>Emp_293</t>
  </si>
  <si>
    <t>Emp_294</t>
  </si>
  <si>
    <t>3/13/2019</t>
  </si>
  <si>
    <t>Emp_295</t>
  </si>
  <si>
    <t>Emp_296</t>
  </si>
  <si>
    <t>Emp_297</t>
  </si>
  <si>
    <t>Emp_298</t>
  </si>
  <si>
    <t>Emp_299</t>
  </si>
  <si>
    <t>10/25/2021</t>
  </si>
  <si>
    <t>Emp_300</t>
  </si>
  <si>
    <t>Emp_301</t>
  </si>
  <si>
    <t>5/26/2019</t>
  </si>
  <si>
    <t>Emp_302</t>
  </si>
  <si>
    <t>4/30/2024</t>
  </si>
  <si>
    <t>Emp_303</t>
  </si>
  <si>
    <t>6/18/2023</t>
  </si>
  <si>
    <t>Emp_304</t>
  </si>
  <si>
    <t>5/22/2018</t>
  </si>
  <si>
    <t>Emp_305</t>
  </si>
  <si>
    <t>7/27/2022</t>
  </si>
  <si>
    <t>Emp_306</t>
  </si>
  <si>
    <t>Emp_307</t>
  </si>
  <si>
    <t>9/15/2024</t>
  </si>
  <si>
    <t>Emp_308</t>
  </si>
  <si>
    <t>Emp_309</t>
  </si>
  <si>
    <t>2/23/2020</t>
  </si>
  <si>
    <t>Emp_310</t>
  </si>
  <si>
    <t>Emp_311</t>
  </si>
  <si>
    <t>11/16/2022</t>
  </si>
  <si>
    <t>Emp_312</t>
  </si>
  <si>
    <t>Emp_313</t>
  </si>
  <si>
    <t>10/18/2024</t>
  </si>
  <si>
    <t>Emp_314</t>
  </si>
  <si>
    <t>Emp_315</t>
  </si>
  <si>
    <t>Emp_316</t>
  </si>
  <si>
    <t>7/20/2018</t>
  </si>
  <si>
    <t>Emp_317</t>
  </si>
  <si>
    <t>Emp_318</t>
  </si>
  <si>
    <t>3/15/2018</t>
  </si>
  <si>
    <t>Emp_319</t>
  </si>
  <si>
    <t>8/17/2022</t>
  </si>
  <si>
    <t>Emp_320</t>
  </si>
  <si>
    <t>12/14/2019</t>
  </si>
  <si>
    <t>Emp_321</t>
  </si>
  <si>
    <t>12/13/2023</t>
  </si>
  <si>
    <t>Emp_322</t>
  </si>
  <si>
    <t>2/17/2019</t>
  </si>
  <si>
    <t>Emp_323</t>
  </si>
  <si>
    <t>7/23/2018</t>
  </si>
  <si>
    <t>Emp_324</t>
  </si>
  <si>
    <t>9/24/2019</t>
  </si>
  <si>
    <t>Emp_325</t>
  </si>
  <si>
    <t>Emp_326</t>
  </si>
  <si>
    <t>12/14/2022</t>
  </si>
  <si>
    <t>Emp_327</t>
  </si>
  <si>
    <t>Emp_328</t>
  </si>
  <si>
    <t>7/14/2019</t>
  </si>
  <si>
    <t>Emp_329</t>
  </si>
  <si>
    <t>12/28/2022</t>
  </si>
  <si>
    <t>Emp_330</t>
  </si>
  <si>
    <t>Emp_331</t>
  </si>
  <si>
    <t>Emp_332</t>
  </si>
  <si>
    <t>Emp_333</t>
  </si>
  <si>
    <t>Emp_334</t>
  </si>
  <si>
    <t>Emp_335</t>
  </si>
  <si>
    <t>Emp_336</t>
  </si>
  <si>
    <t>Emp_337</t>
  </si>
  <si>
    <t>6/13/2021</t>
  </si>
  <si>
    <t>Emp_338</t>
  </si>
  <si>
    <t>6/24/2024</t>
  </si>
  <si>
    <t>Emp_339</t>
  </si>
  <si>
    <t>Emp_340</t>
  </si>
  <si>
    <t>9/30/2024</t>
  </si>
  <si>
    <t>Emp_341</t>
  </si>
  <si>
    <t>Emp_342</t>
  </si>
  <si>
    <t>12/28/2018</t>
  </si>
  <si>
    <t>Emp_343</t>
  </si>
  <si>
    <t>2/16/2022</t>
  </si>
  <si>
    <t>Emp_344</t>
  </si>
  <si>
    <t>Emp_345</t>
  </si>
  <si>
    <t>Emp_346</t>
  </si>
  <si>
    <t>7/15/2021</t>
  </si>
  <si>
    <t>Emp_347</t>
  </si>
  <si>
    <t>Emp_348</t>
  </si>
  <si>
    <t>Emp_349</t>
  </si>
  <si>
    <t>Emp_350</t>
  </si>
  <si>
    <t>Emp_351</t>
  </si>
  <si>
    <t>Emp_352</t>
  </si>
  <si>
    <t>8/19/2020</t>
  </si>
  <si>
    <t>Emp_353</t>
  </si>
  <si>
    <t>10/28/2023</t>
  </si>
  <si>
    <t>Emp_354</t>
  </si>
  <si>
    <t>6/17/2022</t>
  </si>
  <si>
    <t>Emp_355</t>
  </si>
  <si>
    <t>Emp_356</t>
  </si>
  <si>
    <t>11/27/2018</t>
  </si>
  <si>
    <t>Emp_357</t>
  </si>
  <si>
    <t>Emp_358</t>
  </si>
  <si>
    <t>Emp_359</t>
  </si>
  <si>
    <t>12/26/2022</t>
  </si>
  <si>
    <t>Emp_360</t>
  </si>
  <si>
    <t>Emp_361</t>
  </si>
  <si>
    <t>Emp_362</t>
  </si>
  <si>
    <t>Emp_363</t>
  </si>
  <si>
    <t>Emp_364</t>
  </si>
  <si>
    <t>11/20/2022</t>
  </si>
  <si>
    <t>Emp_365</t>
  </si>
  <si>
    <t>10/27/2024</t>
  </si>
  <si>
    <t>Emp_366</t>
  </si>
  <si>
    <t>Emp_367</t>
  </si>
  <si>
    <t>11/27/2020</t>
  </si>
  <si>
    <t>Emp_368</t>
  </si>
  <si>
    <t>Emp_369</t>
  </si>
  <si>
    <t>1/15/2018</t>
  </si>
  <si>
    <t>Emp_370</t>
  </si>
  <si>
    <t>10/19/2022</t>
  </si>
  <si>
    <t>Emp_371</t>
  </si>
  <si>
    <t>3/23/2023</t>
  </si>
  <si>
    <t>Emp_372</t>
  </si>
  <si>
    <t>7/21/2020</t>
  </si>
  <si>
    <t>Emp_373</t>
  </si>
  <si>
    <t>12/20/2019</t>
  </si>
  <si>
    <t>Emp_374</t>
  </si>
  <si>
    <t>Emp_375</t>
  </si>
  <si>
    <t>5/29/2024</t>
  </si>
  <si>
    <t>Emp_376</t>
  </si>
  <si>
    <t>Emp_377</t>
  </si>
  <si>
    <t>4/29/2019</t>
  </si>
  <si>
    <t>Emp_378</t>
  </si>
  <si>
    <t>2/24/2019</t>
  </si>
  <si>
    <t>Emp_379</t>
  </si>
  <si>
    <t>10/19/2023</t>
  </si>
  <si>
    <t>Emp_380</t>
  </si>
  <si>
    <t>10/15/2022</t>
  </si>
  <si>
    <t>Emp_381</t>
  </si>
  <si>
    <t>Emp_382</t>
  </si>
  <si>
    <t>11/14/2022</t>
  </si>
  <si>
    <t>Emp_383</t>
  </si>
  <si>
    <t>3/28/2019</t>
  </si>
  <si>
    <t>Emp_384</t>
  </si>
  <si>
    <t>1/21/2024</t>
  </si>
  <si>
    <t>Emp_385</t>
  </si>
  <si>
    <t>5/24/2022</t>
  </si>
  <si>
    <t>Emp_386</t>
  </si>
  <si>
    <t>Emp_387</t>
  </si>
  <si>
    <t>3/21/2023</t>
  </si>
  <si>
    <t>Emp_388</t>
  </si>
  <si>
    <t>7/15/2022</t>
  </si>
  <si>
    <t>Emp_389</t>
  </si>
  <si>
    <t>Emp_390</t>
  </si>
  <si>
    <t>Emp_391</t>
  </si>
  <si>
    <t>Emp_392</t>
  </si>
  <si>
    <t>8/23/2021</t>
  </si>
  <si>
    <t>Emp_393</t>
  </si>
  <si>
    <t>11/20/2023</t>
  </si>
  <si>
    <t>Emp_394</t>
  </si>
  <si>
    <t>6/15/2022</t>
  </si>
  <si>
    <t>Emp_395</t>
  </si>
  <si>
    <t>Emp_396</t>
  </si>
  <si>
    <t>Emp_397</t>
  </si>
  <si>
    <t>Emp_398</t>
  </si>
  <si>
    <t>9/22/2019</t>
  </si>
  <si>
    <t>Emp_399</t>
  </si>
  <si>
    <t>Emp_400</t>
  </si>
  <si>
    <t>Emp_401</t>
  </si>
  <si>
    <t>Emp_402</t>
  </si>
  <si>
    <t>10/19/2018</t>
  </si>
  <si>
    <t>Emp_403</t>
  </si>
  <si>
    <t>4/23/2018</t>
  </si>
  <si>
    <t>Emp_404</t>
  </si>
  <si>
    <t>Emp_405</t>
  </si>
  <si>
    <t>Emp_406</t>
  </si>
  <si>
    <t>Emp_407</t>
  </si>
  <si>
    <t>11/21/2022</t>
  </si>
  <si>
    <t>Emp_408</t>
  </si>
  <si>
    <t>7/20/2022</t>
  </si>
  <si>
    <t>Emp_409</t>
  </si>
  <si>
    <t>Emp_410</t>
  </si>
  <si>
    <t>12/23/2023</t>
  </si>
  <si>
    <t>Emp_411</t>
  </si>
  <si>
    <t>8/18/2019</t>
  </si>
  <si>
    <t>Emp_412</t>
  </si>
  <si>
    <t>Emp_413</t>
  </si>
  <si>
    <t>Emp_414</t>
  </si>
  <si>
    <t>7/18/2021</t>
  </si>
  <si>
    <t>Emp_415</t>
  </si>
  <si>
    <t>Emp_416</t>
  </si>
  <si>
    <t>10/28/2018</t>
  </si>
  <si>
    <t>Emp_417</t>
  </si>
  <si>
    <t>Emp_418</t>
  </si>
  <si>
    <t>9/25/2022</t>
  </si>
  <si>
    <t>Emp_419</t>
  </si>
  <si>
    <t>Emp_420</t>
  </si>
  <si>
    <t>Emp_421</t>
  </si>
  <si>
    <t>7/19/2019</t>
  </si>
  <si>
    <t>Emp_422</t>
  </si>
  <si>
    <t>Emp_423</t>
  </si>
  <si>
    <t>Emp_424</t>
  </si>
  <si>
    <t>8/17/2024</t>
  </si>
  <si>
    <t>Emp_425</t>
  </si>
  <si>
    <t>Emp_426</t>
  </si>
  <si>
    <t>12/13/2019</t>
  </si>
  <si>
    <t>Emp_427</t>
  </si>
  <si>
    <t>6/26/2022</t>
  </si>
  <si>
    <t>Emp_428</t>
  </si>
  <si>
    <t>9/20/2023</t>
  </si>
  <si>
    <t>Emp_429</t>
  </si>
  <si>
    <t>2/20/2024</t>
  </si>
  <si>
    <t>Emp_430</t>
  </si>
  <si>
    <t>Emp_431</t>
  </si>
  <si>
    <t>Emp_432</t>
  </si>
  <si>
    <t>Emp_433</t>
  </si>
  <si>
    <t>1/20/2023</t>
  </si>
  <si>
    <t>Emp_434</t>
  </si>
  <si>
    <t>12/28/2024</t>
  </si>
  <si>
    <t>Emp_435</t>
  </si>
  <si>
    <t>8/29/2020</t>
  </si>
  <si>
    <t>Emp_436</t>
  </si>
  <si>
    <t>12/14/2024</t>
  </si>
  <si>
    <t>Emp_437</t>
  </si>
  <si>
    <t>Emp_438</t>
  </si>
  <si>
    <t>Emp_439</t>
  </si>
  <si>
    <t>2/29/2024</t>
  </si>
  <si>
    <t>Emp_440</t>
  </si>
  <si>
    <t>Emp_441</t>
  </si>
  <si>
    <t>7/21/2024</t>
  </si>
  <si>
    <t>Emp_442</t>
  </si>
  <si>
    <t>10/21/2018</t>
  </si>
  <si>
    <t>Emp_443</t>
  </si>
  <si>
    <t>5/24/2018</t>
  </si>
  <si>
    <t>Emp_444</t>
  </si>
  <si>
    <t>7/22/2018</t>
  </si>
  <si>
    <t>Emp_445</t>
  </si>
  <si>
    <t>Emp_446</t>
  </si>
  <si>
    <t>1/28/2022</t>
  </si>
  <si>
    <t>Emp_447</t>
  </si>
  <si>
    <t>11/21/2020</t>
  </si>
  <si>
    <t>Emp_448</t>
  </si>
  <si>
    <t>Emp_449</t>
  </si>
  <si>
    <t>3/22/2020</t>
  </si>
  <si>
    <t>Emp_450</t>
  </si>
  <si>
    <t>Emp_451</t>
  </si>
  <si>
    <t>Emp_452</t>
  </si>
  <si>
    <t>Emp_453</t>
  </si>
  <si>
    <t>Emp_454</t>
  </si>
  <si>
    <t>Emp_455</t>
  </si>
  <si>
    <t>Emp_456</t>
  </si>
  <si>
    <t>2/21/2024</t>
  </si>
  <si>
    <t>Emp_457</t>
  </si>
  <si>
    <t>Emp_458</t>
  </si>
  <si>
    <t>4/26/2024</t>
  </si>
  <si>
    <t>Emp_459</t>
  </si>
  <si>
    <t>5/22/2021</t>
  </si>
  <si>
    <t>Emp_460</t>
  </si>
  <si>
    <t>Emp_461</t>
  </si>
  <si>
    <t>Emp_462</t>
  </si>
  <si>
    <t>9/23/2024</t>
  </si>
  <si>
    <t>Emp_463</t>
  </si>
  <si>
    <t>4/28/2018</t>
  </si>
  <si>
    <t>Emp_464</t>
  </si>
  <si>
    <t>10/13/2021</t>
  </si>
  <si>
    <t>Emp_465</t>
  </si>
  <si>
    <t>9/23/2023</t>
  </si>
  <si>
    <t>Emp_466</t>
  </si>
  <si>
    <t>Emp_467</t>
  </si>
  <si>
    <t>Emp_468</t>
  </si>
  <si>
    <t>Emp_469</t>
  </si>
  <si>
    <t>1/30/2019</t>
  </si>
  <si>
    <t>Emp_470</t>
  </si>
  <si>
    <t>Emp_471</t>
  </si>
  <si>
    <t>7/14/2021</t>
  </si>
  <si>
    <t>Emp_472</t>
  </si>
  <si>
    <t>Emp_473</t>
  </si>
  <si>
    <t>Emp_474</t>
  </si>
  <si>
    <t>Emp_475</t>
  </si>
  <si>
    <t>5/31/2023</t>
  </si>
  <si>
    <t>Emp_476</t>
  </si>
  <si>
    <t>10/26/2021</t>
  </si>
  <si>
    <t>Emp_477</t>
  </si>
  <si>
    <t>Emp_478</t>
  </si>
  <si>
    <t>Emp_479</t>
  </si>
  <si>
    <t>7/19/2022</t>
  </si>
  <si>
    <t>Emp_480</t>
  </si>
  <si>
    <t>Emp_481</t>
  </si>
  <si>
    <t>10/18/2019</t>
  </si>
  <si>
    <t>Emp_482</t>
  </si>
  <si>
    <t>1/23/2020</t>
  </si>
  <si>
    <t>Emp_483</t>
  </si>
  <si>
    <t>7/22/2024</t>
  </si>
  <si>
    <t>Emp_484</t>
  </si>
  <si>
    <t>8/30/2020</t>
  </si>
  <si>
    <t>Emp_485</t>
  </si>
  <si>
    <t>Emp_486</t>
  </si>
  <si>
    <t>1/13/2018</t>
  </si>
  <si>
    <t>Emp_487</t>
  </si>
  <si>
    <t>Emp_488</t>
  </si>
  <si>
    <t>10/17/2023</t>
  </si>
  <si>
    <t>Emp_489</t>
  </si>
  <si>
    <t>Emp_490</t>
  </si>
  <si>
    <t>9/26/2019</t>
  </si>
  <si>
    <t>Emp_491</t>
  </si>
  <si>
    <t>11/26/2022</t>
  </si>
  <si>
    <t>Emp_492</t>
  </si>
  <si>
    <t>Emp_493</t>
  </si>
  <si>
    <t>12/26/2020</t>
  </si>
  <si>
    <t>Emp_494</t>
  </si>
  <si>
    <t>3/31/2021</t>
  </si>
  <si>
    <t>Emp_495</t>
  </si>
  <si>
    <t>5/23/2019</t>
  </si>
  <si>
    <t>Emp_496</t>
  </si>
  <si>
    <t>Emp_497</t>
  </si>
  <si>
    <t>5/25/2021</t>
  </si>
  <si>
    <t>Emp_498</t>
  </si>
  <si>
    <t>Emp_499</t>
  </si>
  <si>
    <t>6/15/2021</t>
  </si>
  <si>
    <t>Emp_500</t>
  </si>
  <si>
    <t>4/16/2018</t>
  </si>
  <si>
    <t>Emp_501</t>
  </si>
  <si>
    <t>7/26/2024</t>
  </si>
  <si>
    <t>Emp_502</t>
  </si>
  <si>
    <t>4/17/2021</t>
  </si>
  <si>
    <t>Emp_503</t>
  </si>
  <si>
    <t>2/15/2024</t>
  </si>
  <si>
    <t>Emp_504</t>
  </si>
  <si>
    <t>1/17/2019</t>
  </si>
  <si>
    <t>Emp_505</t>
  </si>
  <si>
    <t>10/31/2020</t>
  </si>
  <si>
    <t>Emp_506</t>
  </si>
  <si>
    <t>12/30/2023</t>
  </si>
  <si>
    <t>Emp_507</t>
  </si>
  <si>
    <t>Emp_508</t>
  </si>
  <si>
    <t>Emp_509</t>
  </si>
  <si>
    <t>Emp_510</t>
  </si>
  <si>
    <t>Emp_511</t>
  </si>
  <si>
    <t>Emp_512</t>
  </si>
  <si>
    <t>Emp_513</t>
  </si>
  <si>
    <t>6/27/2024</t>
  </si>
  <si>
    <t>Emp_514</t>
  </si>
  <si>
    <t>Emp_515</t>
  </si>
  <si>
    <t>1/25/2022</t>
  </si>
  <si>
    <t>Emp_516</t>
  </si>
  <si>
    <t>3/27/2022</t>
  </si>
  <si>
    <t>Emp_517</t>
  </si>
  <si>
    <t>4/29/2022</t>
  </si>
  <si>
    <t>Emp_518</t>
  </si>
  <si>
    <t>6/18/2020</t>
  </si>
  <si>
    <t>Emp_519</t>
  </si>
  <si>
    <t>Emp_520</t>
  </si>
  <si>
    <t>4/13/2020</t>
  </si>
  <si>
    <t>Emp_521</t>
  </si>
  <si>
    <t>Emp_522</t>
  </si>
  <si>
    <t>Emp_523</t>
  </si>
  <si>
    <t>2/15/2018</t>
  </si>
  <si>
    <t>Emp_524</t>
  </si>
  <si>
    <t>Emp_525</t>
  </si>
  <si>
    <t>7/22/2022</t>
  </si>
  <si>
    <t>Emp_526</t>
  </si>
  <si>
    <t>Emp_527</t>
  </si>
  <si>
    <t>8/20/2019</t>
  </si>
  <si>
    <t>Emp_528</t>
  </si>
  <si>
    <t>12/20/2023</t>
  </si>
  <si>
    <t>Emp_529</t>
  </si>
  <si>
    <t>Emp_530</t>
  </si>
  <si>
    <t>8/13/2018</t>
  </si>
  <si>
    <t>Emp_531</t>
  </si>
  <si>
    <t>12/17/2020</t>
  </si>
  <si>
    <t>Emp_532</t>
  </si>
  <si>
    <t>12/20/2021</t>
  </si>
  <si>
    <t>Emp_533</t>
  </si>
  <si>
    <t>Emp_534</t>
  </si>
  <si>
    <t>Emp_535</t>
  </si>
  <si>
    <t>Emp_536</t>
  </si>
  <si>
    <t>Emp_537</t>
  </si>
  <si>
    <t>9/17/2021</t>
  </si>
  <si>
    <t>Emp_538</t>
  </si>
  <si>
    <t>2/17/2020</t>
  </si>
  <si>
    <t>Emp_539</t>
  </si>
  <si>
    <t>Emp_540</t>
  </si>
  <si>
    <t>3/17/2024</t>
  </si>
  <si>
    <t>Emp_541</t>
  </si>
  <si>
    <t>Emp_542</t>
  </si>
  <si>
    <t>Emp_543</t>
  </si>
  <si>
    <t>7/16/2018</t>
  </si>
  <si>
    <t>Emp_544</t>
  </si>
  <si>
    <t>Emp_545</t>
  </si>
  <si>
    <t>Emp_546</t>
  </si>
  <si>
    <t>Emp_547</t>
  </si>
  <si>
    <t>2/27/2020</t>
  </si>
  <si>
    <t>Emp_548</t>
  </si>
  <si>
    <t>Emp_549</t>
  </si>
  <si>
    <t>8/21/2020</t>
  </si>
  <si>
    <t>Emp_550</t>
  </si>
  <si>
    <t>Emp_551</t>
  </si>
  <si>
    <t>3/20/2018</t>
  </si>
  <si>
    <t>Emp_552</t>
  </si>
  <si>
    <t>9/27/2021</t>
  </si>
  <si>
    <t>Emp_553</t>
  </si>
  <si>
    <t>4/21/2022</t>
  </si>
  <si>
    <t>Emp_554</t>
  </si>
  <si>
    <t>Emp_555</t>
  </si>
  <si>
    <t>Emp_556</t>
  </si>
  <si>
    <t>12/28/2021</t>
  </si>
  <si>
    <t>Emp_557</t>
  </si>
  <si>
    <t>7/26/2018</t>
  </si>
  <si>
    <t>Emp_558</t>
  </si>
  <si>
    <t>Emp_559</t>
  </si>
  <si>
    <t>Emp_560</t>
  </si>
  <si>
    <t>Emp_561</t>
  </si>
  <si>
    <t>Emp_562</t>
  </si>
  <si>
    <t>Emp_563</t>
  </si>
  <si>
    <t>8/26/2018</t>
  </si>
  <si>
    <t>Emp_564</t>
  </si>
  <si>
    <t>Emp_565</t>
  </si>
  <si>
    <t>Emp_566</t>
  </si>
  <si>
    <t>Emp_567</t>
  </si>
  <si>
    <t>11/14/2019</t>
  </si>
  <si>
    <t>Emp_568</t>
  </si>
  <si>
    <t>Emp_569</t>
  </si>
  <si>
    <t>2/24/2024</t>
  </si>
  <si>
    <t>Emp_570</t>
  </si>
  <si>
    <t>6/24/2020</t>
  </si>
  <si>
    <t>Emp_571</t>
  </si>
  <si>
    <t>Emp_572</t>
  </si>
  <si>
    <t>12/21/2022</t>
  </si>
  <si>
    <t>Emp_573</t>
  </si>
  <si>
    <t>Emp_574</t>
  </si>
  <si>
    <t>3/16/2020</t>
  </si>
  <si>
    <t>Emp_575</t>
  </si>
  <si>
    <t>7/21/2018</t>
  </si>
  <si>
    <t>Emp_576</t>
  </si>
  <si>
    <t>10/13/2022</t>
  </si>
  <si>
    <t>Emp_577</t>
  </si>
  <si>
    <t>3/16/2018</t>
  </si>
  <si>
    <t>Emp_578</t>
  </si>
  <si>
    <t>8/16/2020</t>
  </si>
  <si>
    <t>Emp_579</t>
  </si>
  <si>
    <t>9/25/2023</t>
  </si>
  <si>
    <t>Emp_580</t>
  </si>
  <si>
    <t>Emp_581</t>
  </si>
  <si>
    <t>7/26/2021</t>
  </si>
  <si>
    <t>Emp_582</t>
  </si>
  <si>
    <t>8/31/2020</t>
  </si>
  <si>
    <t>Emp_583</t>
  </si>
  <si>
    <t>Emp_584</t>
  </si>
  <si>
    <t>Emp_585</t>
  </si>
  <si>
    <t>Emp_586</t>
  </si>
  <si>
    <t>Emp_587</t>
  </si>
  <si>
    <t>Emp_588</t>
  </si>
  <si>
    <t>Emp_589</t>
  </si>
  <si>
    <t>Emp_590</t>
  </si>
  <si>
    <t>9/27/2024</t>
  </si>
  <si>
    <t>Emp_591</t>
  </si>
  <si>
    <t>5/22/2020</t>
  </si>
  <si>
    <t>Emp_592</t>
  </si>
  <si>
    <t>2/27/2024</t>
  </si>
  <si>
    <t>Emp_593</t>
  </si>
  <si>
    <t>6/16/2019</t>
  </si>
  <si>
    <t>Emp_594</t>
  </si>
  <si>
    <t>Emp_595</t>
  </si>
  <si>
    <t>Emp_596</t>
  </si>
  <si>
    <t>Emp_597</t>
  </si>
  <si>
    <t>Emp_598</t>
  </si>
  <si>
    <t>10/20/2019</t>
  </si>
  <si>
    <t>Emp_599</t>
  </si>
  <si>
    <t>Emp_600</t>
  </si>
  <si>
    <t>Emp_601</t>
  </si>
  <si>
    <t>Emp_602</t>
  </si>
  <si>
    <t>Emp_603</t>
  </si>
  <si>
    <t>10/30/2024</t>
  </si>
  <si>
    <t>Emp_604</t>
  </si>
  <si>
    <t>Emp_605</t>
  </si>
  <si>
    <t>4/27/2024</t>
  </si>
  <si>
    <t>Emp_606</t>
  </si>
  <si>
    <t>12/15/2024</t>
  </si>
  <si>
    <t>Emp_607</t>
  </si>
  <si>
    <t>11/25/2020</t>
  </si>
  <si>
    <t>Emp_608</t>
  </si>
  <si>
    <t>Emp_609</t>
  </si>
  <si>
    <t>3/28/2023</t>
  </si>
  <si>
    <t>Emp_610</t>
  </si>
  <si>
    <t>8/13/2019</t>
  </si>
  <si>
    <t>Emp_611</t>
  </si>
  <si>
    <t>9/27/2020</t>
  </si>
  <si>
    <t>Emp_612</t>
  </si>
  <si>
    <t>Emp_613</t>
  </si>
  <si>
    <t>Emp_614</t>
  </si>
  <si>
    <t>Emp_615</t>
  </si>
  <si>
    <t>7/26/2022</t>
  </si>
  <si>
    <t>Emp_616</t>
  </si>
  <si>
    <t>11/24/2018</t>
  </si>
  <si>
    <t>Emp_617</t>
  </si>
  <si>
    <t>3/14/2024</t>
  </si>
  <si>
    <t>Emp_618</t>
  </si>
  <si>
    <t>4/30/2023</t>
  </si>
  <si>
    <t>Emp_619</t>
  </si>
  <si>
    <t>Emp_620</t>
  </si>
  <si>
    <t>10/27/2019</t>
  </si>
  <si>
    <t>Emp_621</t>
  </si>
  <si>
    <t>11/28/2021</t>
  </si>
  <si>
    <t>Emp_622</t>
  </si>
  <si>
    <t>1/16/2024</t>
  </si>
  <si>
    <t>Emp_623</t>
  </si>
  <si>
    <t>Emp_624</t>
  </si>
  <si>
    <t>2/25/2018</t>
  </si>
  <si>
    <t>Emp_625</t>
  </si>
  <si>
    <t>Emp_626</t>
  </si>
  <si>
    <t>10/31/2018</t>
  </si>
  <si>
    <t>Emp_627</t>
  </si>
  <si>
    <t>Emp_628</t>
  </si>
  <si>
    <t>9/30/2019</t>
  </si>
  <si>
    <t>Emp_629</t>
  </si>
  <si>
    <t>Emp_630</t>
  </si>
  <si>
    <t>Emp_631</t>
  </si>
  <si>
    <t>11/23/2019</t>
  </si>
  <si>
    <t>Emp_632</t>
  </si>
  <si>
    <t>6/13/2018</t>
  </si>
  <si>
    <t>Emp_633</t>
  </si>
  <si>
    <t>11/14/2023</t>
  </si>
  <si>
    <t>Emp_634</t>
  </si>
  <si>
    <t>2/14/2018</t>
  </si>
  <si>
    <t>Emp_635</t>
  </si>
  <si>
    <t>10/30/2023</t>
  </si>
  <si>
    <t>Emp_636</t>
  </si>
  <si>
    <t>8/15/2023</t>
  </si>
  <si>
    <t>Emp_637</t>
  </si>
  <si>
    <t>Emp_638</t>
  </si>
  <si>
    <t>11/18/2022</t>
  </si>
  <si>
    <t>Emp_639</t>
  </si>
  <si>
    <t>Emp_640</t>
  </si>
  <si>
    <t>3/28/2020</t>
  </si>
  <si>
    <t>Emp_641</t>
  </si>
  <si>
    <t>Emp_642</t>
  </si>
  <si>
    <t>Emp_643</t>
  </si>
  <si>
    <t>11/17/2023</t>
  </si>
  <si>
    <t>Emp_644</t>
  </si>
  <si>
    <t>4/20/2024</t>
  </si>
  <si>
    <t>Emp_645</t>
  </si>
  <si>
    <t>Emp_646</t>
  </si>
  <si>
    <t>Emp_647</t>
  </si>
  <si>
    <t>6/29/2023</t>
  </si>
  <si>
    <t>Emp_648</t>
  </si>
  <si>
    <t>6/25/2018</t>
  </si>
  <si>
    <t>Emp_649</t>
  </si>
  <si>
    <t>Emp_650</t>
  </si>
  <si>
    <t>1/25/2018</t>
  </si>
  <si>
    <t>Emp_651</t>
  </si>
  <si>
    <t>1/22/2018</t>
  </si>
  <si>
    <t>Emp_652</t>
  </si>
  <si>
    <t>8/27/2019</t>
  </si>
  <si>
    <t>Emp_653</t>
  </si>
  <si>
    <t>8/18/2024</t>
  </si>
  <si>
    <t>Emp_654</t>
  </si>
  <si>
    <t>Emp_655</t>
  </si>
  <si>
    <t>Emp_656</t>
  </si>
  <si>
    <t>Emp_657</t>
  </si>
  <si>
    <t>Emp_658</t>
  </si>
  <si>
    <t>Emp_659</t>
  </si>
  <si>
    <t>Emp_660</t>
  </si>
  <si>
    <t>Emp_661</t>
  </si>
  <si>
    <t>3/15/2021</t>
  </si>
  <si>
    <t>Emp_662</t>
  </si>
  <si>
    <t>12/17/2024</t>
  </si>
  <si>
    <t>Emp_663</t>
  </si>
  <si>
    <t>Emp_664</t>
  </si>
  <si>
    <t>2/25/2019</t>
  </si>
  <si>
    <t>Emp_665</t>
  </si>
  <si>
    <t>Emp_666</t>
  </si>
  <si>
    <t>Emp_667</t>
  </si>
  <si>
    <t>7/25/2023</t>
  </si>
  <si>
    <t>Emp_668</t>
  </si>
  <si>
    <t>11/30/2019</t>
  </si>
  <si>
    <t>Emp_669</t>
  </si>
  <si>
    <t>9/13/2024</t>
  </si>
  <si>
    <t>Emp_670</t>
  </si>
  <si>
    <t>12/18/2021</t>
  </si>
  <si>
    <t>Emp_671</t>
  </si>
  <si>
    <t>6/21/2020</t>
  </si>
  <si>
    <t>Emp_672</t>
  </si>
  <si>
    <t>5/15/2024</t>
  </si>
  <si>
    <t>Emp_673</t>
  </si>
  <si>
    <t>10/29/2018</t>
  </si>
  <si>
    <t>Emp_674</t>
  </si>
  <si>
    <t>8/18/2021</t>
  </si>
  <si>
    <t>Emp_675</t>
  </si>
  <si>
    <t>Emp_676</t>
  </si>
  <si>
    <t>5/21/2018</t>
  </si>
  <si>
    <t>Emp_677</t>
  </si>
  <si>
    <t>Emp_678</t>
  </si>
  <si>
    <t>Emp_679</t>
  </si>
  <si>
    <t>Emp_680</t>
  </si>
  <si>
    <t>9/22/2022</t>
  </si>
  <si>
    <t>Emp_681</t>
  </si>
  <si>
    <t>Emp_682</t>
  </si>
  <si>
    <t>Emp_683</t>
  </si>
  <si>
    <t>Emp_684</t>
  </si>
  <si>
    <t>3/16/2021</t>
  </si>
  <si>
    <t>Emp_685</t>
  </si>
  <si>
    <t>Emp_686</t>
  </si>
  <si>
    <t>4/18/2024</t>
  </si>
  <si>
    <t>Emp_687</t>
  </si>
  <si>
    <t>Emp_688</t>
  </si>
  <si>
    <t>Emp_689</t>
  </si>
  <si>
    <t>Emp_690</t>
  </si>
  <si>
    <t>1/27/2021</t>
  </si>
  <si>
    <t>Emp_691</t>
  </si>
  <si>
    <t>Emp_692</t>
  </si>
  <si>
    <t>Emp_693</t>
  </si>
  <si>
    <t>10/25/2023</t>
  </si>
  <si>
    <t>Emp_694</t>
  </si>
  <si>
    <t>11/15/2018</t>
  </si>
  <si>
    <t>Emp_695</t>
  </si>
  <si>
    <t>Emp_696</t>
  </si>
  <si>
    <t>Emp_697</t>
  </si>
  <si>
    <t>Emp_698</t>
  </si>
  <si>
    <t>Emp_699</t>
  </si>
  <si>
    <t>Emp_700</t>
  </si>
  <si>
    <t>Emp_701</t>
  </si>
  <si>
    <t>Emp_702</t>
  </si>
  <si>
    <t>Emp_703</t>
  </si>
  <si>
    <t>Emp_704</t>
  </si>
  <si>
    <t>Emp_705</t>
  </si>
  <si>
    <t>2/22/2021</t>
  </si>
  <si>
    <t>Emp_706</t>
  </si>
  <si>
    <t>Emp_707</t>
  </si>
  <si>
    <t>12/31/2020</t>
  </si>
  <si>
    <t>Emp_708</t>
  </si>
  <si>
    <t>Emp_709</t>
  </si>
  <si>
    <t>Emp_710</t>
  </si>
  <si>
    <t>Emp_711</t>
  </si>
  <si>
    <t>Emp_712</t>
  </si>
  <si>
    <t>Emp_713</t>
  </si>
  <si>
    <t>12/22/2022</t>
  </si>
  <si>
    <t>Emp_714</t>
  </si>
  <si>
    <t>1/27/2024</t>
  </si>
  <si>
    <t>Emp_715</t>
  </si>
  <si>
    <t>Emp_716</t>
  </si>
  <si>
    <t>Emp_717</t>
  </si>
  <si>
    <t>Emp_718</t>
  </si>
  <si>
    <t>Emp_719</t>
  </si>
  <si>
    <t>12/19/2021</t>
  </si>
  <si>
    <t>Emp_720</t>
  </si>
  <si>
    <t>Emp_721</t>
  </si>
  <si>
    <t>Emp_722</t>
  </si>
  <si>
    <t>5/19/2024</t>
  </si>
  <si>
    <t>Emp_723</t>
  </si>
  <si>
    <t>Emp_724</t>
  </si>
  <si>
    <t>6/22/2018</t>
  </si>
  <si>
    <t>Emp_725</t>
  </si>
  <si>
    <t>Emp_726</t>
  </si>
  <si>
    <t>Emp_727</t>
  </si>
  <si>
    <t>Emp_728</t>
  </si>
  <si>
    <t>Emp_729</t>
  </si>
  <si>
    <t>Emp_730</t>
  </si>
  <si>
    <t>Emp_731</t>
  </si>
  <si>
    <t>Emp_732</t>
  </si>
  <si>
    <t>2/28/2019</t>
  </si>
  <si>
    <t>Emp_733</t>
  </si>
  <si>
    <t>8/22/2023</t>
  </si>
  <si>
    <t>Emp_734</t>
  </si>
  <si>
    <t>Emp_735</t>
  </si>
  <si>
    <t>Emp_736</t>
  </si>
  <si>
    <t>Emp_737</t>
  </si>
  <si>
    <t>3/24/2023</t>
  </si>
  <si>
    <t>Emp_738</t>
  </si>
  <si>
    <t>2/22/2018</t>
  </si>
  <si>
    <t>Emp_739</t>
  </si>
  <si>
    <t>Emp_740</t>
  </si>
  <si>
    <t>10/26/2022</t>
  </si>
  <si>
    <t>Emp_741</t>
  </si>
  <si>
    <t>5/26/2024</t>
  </si>
  <si>
    <t>Emp_742</t>
  </si>
  <si>
    <t>5/22/2024</t>
  </si>
  <si>
    <t>Emp_743</t>
  </si>
  <si>
    <t>Emp_744</t>
  </si>
  <si>
    <t>Emp_745</t>
  </si>
  <si>
    <t>Emp_746</t>
  </si>
  <si>
    <t>Emp_747</t>
  </si>
  <si>
    <t>Emp_748</t>
  </si>
  <si>
    <t>Emp_749</t>
  </si>
  <si>
    <t>1/13/2024</t>
  </si>
  <si>
    <t>Emp_750</t>
  </si>
  <si>
    <t>Emp_751</t>
  </si>
  <si>
    <t>Emp_752</t>
  </si>
  <si>
    <t>Emp_753</t>
  </si>
  <si>
    <t>7/17/2019</t>
  </si>
  <si>
    <t>Emp_754</t>
  </si>
  <si>
    <t>10/20/2024</t>
  </si>
  <si>
    <t>Emp_755</t>
  </si>
  <si>
    <t>Emp_756</t>
  </si>
  <si>
    <t>9/20/2024</t>
  </si>
  <si>
    <t>Emp_757</t>
  </si>
  <si>
    <t>6/29/2024</t>
  </si>
  <si>
    <t>Emp_758</t>
  </si>
  <si>
    <t>Emp_759</t>
  </si>
  <si>
    <t>5/28/2019</t>
  </si>
  <si>
    <t>Emp_760</t>
  </si>
  <si>
    <t>12/26/2018</t>
  </si>
  <si>
    <t>Emp_761</t>
  </si>
  <si>
    <t>1/15/2019</t>
  </si>
  <si>
    <t>Emp_762</t>
  </si>
  <si>
    <t>Emp_763</t>
  </si>
  <si>
    <t>Emp_764</t>
  </si>
  <si>
    <t>10/24/2018</t>
  </si>
  <si>
    <t>Emp_765</t>
  </si>
  <si>
    <t>11/14/2024</t>
  </si>
  <si>
    <t>Emp_766</t>
  </si>
  <si>
    <t>3/15/2019</t>
  </si>
  <si>
    <t>Emp_767</t>
  </si>
  <si>
    <t>Emp_768</t>
  </si>
  <si>
    <t>6/17/2023</t>
  </si>
  <si>
    <t>Emp_769</t>
  </si>
  <si>
    <t>7/27/2024</t>
  </si>
  <si>
    <t>Emp_770</t>
  </si>
  <si>
    <t>Emp_771</t>
  </si>
  <si>
    <t>Emp_772</t>
  </si>
  <si>
    <t>Emp_773</t>
  </si>
  <si>
    <t>Emp_774</t>
  </si>
  <si>
    <t>Emp_775</t>
  </si>
  <si>
    <t>Emp_776</t>
  </si>
  <si>
    <t>Emp_777</t>
  </si>
  <si>
    <t>7/29/2019</t>
  </si>
  <si>
    <t>Emp_778</t>
  </si>
  <si>
    <t>Emp_779</t>
  </si>
  <si>
    <t>Emp_780</t>
  </si>
  <si>
    <t>Emp_781</t>
  </si>
  <si>
    <t>8/20/2023</t>
  </si>
  <si>
    <t>Emp_782</t>
  </si>
  <si>
    <t>12/14/2023</t>
  </si>
  <si>
    <t>Emp_783</t>
  </si>
  <si>
    <t>11/13/2020</t>
  </si>
  <si>
    <t>Emp_784</t>
  </si>
  <si>
    <t>4/14/2018</t>
  </si>
  <si>
    <t>Emp_785</t>
  </si>
  <si>
    <t>Emp_786</t>
  </si>
  <si>
    <t>Emp_787</t>
  </si>
  <si>
    <t>2/23/2024</t>
  </si>
  <si>
    <t>Emp_788</t>
  </si>
  <si>
    <t>1/24/2020</t>
  </si>
  <si>
    <t>Emp_789</t>
  </si>
  <si>
    <t>Emp_790</t>
  </si>
  <si>
    <t>Emp_791</t>
  </si>
  <si>
    <t>12/27/2023</t>
  </si>
  <si>
    <t>Emp_792</t>
  </si>
  <si>
    <t>Emp_793</t>
  </si>
  <si>
    <t>Emp_794</t>
  </si>
  <si>
    <t>8/13/2020</t>
  </si>
  <si>
    <t>Emp_795</t>
  </si>
  <si>
    <t>Emp_796</t>
  </si>
  <si>
    <t>8/26/2020</t>
  </si>
  <si>
    <t>Emp_797</t>
  </si>
  <si>
    <t>Emp_798</t>
  </si>
  <si>
    <t>Emp_799</t>
  </si>
  <si>
    <t>Emp_800</t>
  </si>
  <si>
    <t>Emp_801</t>
  </si>
  <si>
    <t>5/29/2018</t>
  </si>
  <si>
    <t>Emp_802</t>
  </si>
  <si>
    <t>Emp_803</t>
  </si>
  <si>
    <t>Emp_804</t>
  </si>
  <si>
    <t>10/24/2022</t>
  </si>
  <si>
    <t>Emp_805</t>
  </si>
  <si>
    <t>2/18/2018</t>
  </si>
  <si>
    <t>Emp_806</t>
  </si>
  <si>
    <t>4/15/2019</t>
  </si>
  <si>
    <t>Emp_807</t>
  </si>
  <si>
    <t>12/27/2019</t>
  </si>
  <si>
    <t>Emp_808</t>
  </si>
  <si>
    <t>Emp_809</t>
  </si>
  <si>
    <t>Emp_810</t>
  </si>
  <si>
    <t>Emp_811</t>
  </si>
  <si>
    <t>Emp_812</t>
  </si>
  <si>
    <t>Emp_813</t>
  </si>
  <si>
    <t>Emp_814</t>
  </si>
  <si>
    <t>5/17/2024</t>
  </si>
  <si>
    <t>Emp_815</t>
  </si>
  <si>
    <t>Emp_816</t>
  </si>
  <si>
    <t>Emp_817</t>
  </si>
  <si>
    <t>Emp_818</t>
  </si>
  <si>
    <t>5/27/2024</t>
  </si>
  <si>
    <t>Emp_819</t>
  </si>
  <si>
    <t>Emp_820</t>
  </si>
  <si>
    <t>4/20/2021</t>
  </si>
  <si>
    <t>Emp_821</t>
  </si>
  <si>
    <t>Emp_822</t>
  </si>
  <si>
    <t>12/30/2021</t>
  </si>
  <si>
    <t>Emp_823</t>
  </si>
  <si>
    <t>7/24/2023</t>
  </si>
  <si>
    <t>Emp_824</t>
  </si>
  <si>
    <t>6/29/2022</t>
  </si>
  <si>
    <t>Emp_825</t>
  </si>
  <si>
    <t>4/27/2020</t>
  </si>
  <si>
    <t>Emp_826</t>
  </si>
  <si>
    <t>Emp_827</t>
  </si>
  <si>
    <t>9/18/2020</t>
  </si>
  <si>
    <t>Emp_828</t>
  </si>
  <si>
    <t>Emp_829</t>
  </si>
  <si>
    <t>Emp_830</t>
  </si>
  <si>
    <t>Emp_831</t>
  </si>
  <si>
    <t>Emp_832</t>
  </si>
  <si>
    <t>Emp_833</t>
  </si>
  <si>
    <t>5/21/2024</t>
  </si>
  <si>
    <t>Emp_834</t>
  </si>
  <si>
    <t>Emp_835</t>
  </si>
  <si>
    <t>10/30/2022</t>
  </si>
  <si>
    <t>Emp_836</t>
  </si>
  <si>
    <t>11/24/2020</t>
  </si>
  <si>
    <t>Emp_837</t>
  </si>
  <si>
    <t>Emp_838</t>
  </si>
  <si>
    <t>Emp_839</t>
  </si>
  <si>
    <t>Emp_840</t>
  </si>
  <si>
    <t>Emp_841</t>
  </si>
  <si>
    <t>2/22/2022</t>
  </si>
  <si>
    <t>Emp_842</t>
  </si>
  <si>
    <t>1/18/2021</t>
  </si>
  <si>
    <t>Emp_843</t>
  </si>
  <si>
    <t>11/28/2020</t>
  </si>
  <si>
    <t>Emp_844</t>
  </si>
  <si>
    <t>Emp_845</t>
  </si>
  <si>
    <t>12/28/2023</t>
  </si>
  <si>
    <t>Emp_846</t>
  </si>
  <si>
    <t>5/27/2022</t>
  </si>
  <si>
    <t>Emp_847</t>
  </si>
  <si>
    <t>5/15/2021</t>
  </si>
  <si>
    <t>Emp_848</t>
  </si>
  <si>
    <t>12/21/2020</t>
  </si>
  <si>
    <t>Emp_849</t>
  </si>
  <si>
    <t>Emp_850</t>
  </si>
  <si>
    <t>2/14/2022</t>
  </si>
  <si>
    <t>Emp_851</t>
  </si>
  <si>
    <t>11/30/2022</t>
  </si>
  <si>
    <t>Emp_852</t>
  </si>
  <si>
    <t>Emp_853</t>
  </si>
  <si>
    <t>7/16/2023</t>
  </si>
  <si>
    <t>Emp_854</t>
  </si>
  <si>
    <t>8/26/2023</t>
  </si>
  <si>
    <t>Emp_855</t>
  </si>
  <si>
    <t>Emp_856</t>
  </si>
  <si>
    <t>Emp_857</t>
  </si>
  <si>
    <t>Emp_858</t>
  </si>
  <si>
    <t>2/27/2021</t>
  </si>
  <si>
    <t>Emp_859</t>
  </si>
  <si>
    <t>Emp_860</t>
  </si>
  <si>
    <t>Emp_861</t>
  </si>
  <si>
    <t>Emp_862</t>
  </si>
  <si>
    <t>Emp_863</t>
  </si>
  <si>
    <t>Emp_864</t>
  </si>
  <si>
    <t>Emp_865</t>
  </si>
  <si>
    <t>Emp_866</t>
  </si>
  <si>
    <t>4/21/2024</t>
  </si>
  <si>
    <t>Emp_867</t>
  </si>
  <si>
    <t>10/17/2022</t>
  </si>
  <si>
    <t>Emp_868</t>
  </si>
  <si>
    <t>Emp_869</t>
  </si>
  <si>
    <t>7/18/2020</t>
  </si>
  <si>
    <t>Emp_870</t>
  </si>
  <si>
    <t>Emp_871</t>
  </si>
  <si>
    <t>Emp_872</t>
  </si>
  <si>
    <t>Emp_873</t>
  </si>
  <si>
    <t>5/27/2021</t>
  </si>
  <si>
    <t>Emp_874</t>
  </si>
  <si>
    <t>Emp_875</t>
  </si>
  <si>
    <t>Emp_876</t>
  </si>
  <si>
    <t>12/29/2024</t>
  </si>
  <si>
    <t>Emp_877</t>
  </si>
  <si>
    <t>Emp_878</t>
  </si>
  <si>
    <t>Emp_879</t>
  </si>
  <si>
    <t>1/28/2019</t>
  </si>
  <si>
    <t>Emp_880</t>
  </si>
  <si>
    <t>Emp_881</t>
  </si>
  <si>
    <t>Emp_882</t>
  </si>
  <si>
    <t>Emp_883</t>
  </si>
  <si>
    <t>Emp_884</t>
  </si>
  <si>
    <t>Emp_885</t>
  </si>
  <si>
    <t>Emp_886</t>
  </si>
  <si>
    <t>7/28/2020</t>
  </si>
  <si>
    <t>Emp_887</t>
  </si>
  <si>
    <t>Emp_888</t>
  </si>
  <si>
    <t>Emp_889</t>
  </si>
  <si>
    <t>7/15/2024</t>
  </si>
  <si>
    <t>Emp_890</t>
  </si>
  <si>
    <t>11/16/2023</t>
  </si>
  <si>
    <t>Emp_891</t>
  </si>
  <si>
    <t>Emp_892</t>
  </si>
  <si>
    <t>6/21/2022</t>
  </si>
  <si>
    <t>Emp_893</t>
  </si>
  <si>
    <t>Emp_894</t>
  </si>
  <si>
    <t>4/22/2022</t>
  </si>
  <si>
    <t>Emp_895</t>
  </si>
  <si>
    <t>Emp_896</t>
  </si>
  <si>
    <t>Emp_897</t>
  </si>
  <si>
    <t>Emp_898</t>
  </si>
  <si>
    <t>7/26/2023</t>
  </si>
  <si>
    <t>Emp_899</t>
  </si>
  <si>
    <t>Emp_900</t>
  </si>
  <si>
    <t>2/13/2024</t>
  </si>
  <si>
    <t>Emp_901</t>
  </si>
  <si>
    <t>2/19/2019</t>
  </si>
  <si>
    <t>Emp_902</t>
  </si>
  <si>
    <t>Emp_903</t>
  </si>
  <si>
    <t>6/17/2020</t>
  </si>
  <si>
    <t>Emp_904</t>
  </si>
  <si>
    <t>1/16/2020</t>
  </si>
  <si>
    <t>Emp_905</t>
  </si>
  <si>
    <t>Emp_906</t>
  </si>
  <si>
    <t>9/26/2022</t>
  </si>
  <si>
    <t>Emp_907</t>
  </si>
  <si>
    <t>Emp_908</t>
  </si>
  <si>
    <t>Emp_909</t>
  </si>
  <si>
    <t>8/15/2019</t>
  </si>
  <si>
    <t>Emp_910</t>
  </si>
  <si>
    <t>Emp_911</t>
  </si>
  <si>
    <t>4/23/2020</t>
  </si>
  <si>
    <t>Emp_912</t>
  </si>
  <si>
    <t>Emp_913</t>
  </si>
  <si>
    <t>8/30/2023</t>
  </si>
  <si>
    <t>Emp_914</t>
  </si>
  <si>
    <t>12/13/2018</t>
  </si>
  <si>
    <t>Emp_915</t>
  </si>
  <si>
    <t>Emp_916</t>
  </si>
  <si>
    <t>Emp_917</t>
  </si>
  <si>
    <t>4/16/2021</t>
  </si>
  <si>
    <t>Emp_918</t>
  </si>
  <si>
    <t>12/16/2021</t>
  </si>
  <si>
    <t>Emp_919</t>
  </si>
  <si>
    <t>Emp_920</t>
  </si>
  <si>
    <t>12/28/2020</t>
  </si>
  <si>
    <t>Emp_921</t>
  </si>
  <si>
    <t>Emp_922</t>
  </si>
  <si>
    <t>Emp_923</t>
  </si>
  <si>
    <t>Emp_924</t>
  </si>
  <si>
    <t>Emp_925</t>
  </si>
  <si>
    <t>Emp_926</t>
  </si>
  <si>
    <t>Emp_927</t>
  </si>
  <si>
    <t>Emp_928</t>
  </si>
  <si>
    <t>Emp_929</t>
  </si>
  <si>
    <t>1/25/2019</t>
  </si>
  <si>
    <t>Emp_930</t>
  </si>
  <si>
    <t>Emp_931</t>
  </si>
  <si>
    <t>Emp_932</t>
  </si>
  <si>
    <t>Emp_933</t>
  </si>
  <si>
    <t>12/27/2021</t>
  </si>
  <si>
    <t>Emp_934</t>
  </si>
  <si>
    <t>1/15/2022</t>
  </si>
  <si>
    <t>Emp_935</t>
  </si>
  <si>
    <t>Emp_936</t>
  </si>
  <si>
    <t>1/19/2022</t>
  </si>
  <si>
    <t>Emp_937</t>
  </si>
  <si>
    <t>Emp_938</t>
  </si>
  <si>
    <t>7/13/2020</t>
  </si>
  <si>
    <t>Emp_939</t>
  </si>
  <si>
    <t>Emp_940</t>
  </si>
  <si>
    <t>7/22/2021</t>
  </si>
  <si>
    <t>Emp_941</t>
  </si>
  <si>
    <t>Emp_942</t>
  </si>
  <si>
    <t>Emp_943</t>
  </si>
  <si>
    <t>5/28/2024</t>
  </si>
  <si>
    <t>Emp_944</t>
  </si>
  <si>
    <t>Emp_945</t>
  </si>
  <si>
    <t>Emp_946</t>
  </si>
  <si>
    <t>8/24/2020</t>
  </si>
  <si>
    <t>Emp_947</t>
  </si>
  <si>
    <t>Emp_948</t>
  </si>
  <si>
    <t>Emp_949</t>
  </si>
  <si>
    <t>8/17/2020</t>
  </si>
  <si>
    <t>Emp_950</t>
  </si>
  <si>
    <t>Emp_951</t>
  </si>
  <si>
    <t>7/13/2019</t>
  </si>
  <si>
    <t>Emp_952</t>
  </si>
  <si>
    <t>5/21/2023</t>
  </si>
  <si>
    <t>Emp_953</t>
  </si>
  <si>
    <t>Emp_954</t>
  </si>
  <si>
    <t>8/16/2018</t>
  </si>
  <si>
    <t>Emp_955</t>
  </si>
  <si>
    <t>1/23/2018</t>
  </si>
  <si>
    <t>Emp_956</t>
  </si>
  <si>
    <t>11/17/2020</t>
  </si>
  <si>
    <t>Emp_957</t>
  </si>
  <si>
    <t>Emp_958</t>
  </si>
  <si>
    <t>Emp_959</t>
  </si>
  <si>
    <t>Emp_960</t>
  </si>
  <si>
    <t>1/30/2021</t>
  </si>
  <si>
    <t>Emp_961</t>
  </si>
  <si>
    <t>Emp_962</t>
  </si>
  <si>
    <t>8/27/2020</t>
  </si>
  <si>
    <t>Emp_963</t>
  </si>
  <si>
    <t>8/22/2020</t>
  </si>
  <si>
    <t>Emp_964</t>
  </si>
  <si>
    <t>Emp_965</t>
  </si>
  <si>
    <t>6/27/2023</t>
  </si>
  <si>
    <t>Emp_966</t>
  </si>
  <si>
    <t>Emp_967</t>
  </si>
  <si>
    <t>Emp_968</t>
  </si>
  <si>
    <t>9/16/2019</t>
  </si>
  <si>
    <t>Emp_969</t>
  </si>
  <si>
    <t>Emp_970</t>
  </si>
  <si>
    <t>10/25/2022</t>
  </si>
  <si>
    <t>Emp_971</t>
  </si>
  <si>
    <t>Emp_972</t>
  </si>
  <si>
    <t>Emp_973</t>
  </si>
  <si>
    <t>Emp_974</t>
  </si>
  <si>
    <t>Emp_975</t>
  </si>
  <si>
    <t>Emp_976</t>
  </si>
  <si>
    <t>9/28/2021</t>
  </si>
  <si>
    <t>Emp_977</t>
  </si>
  <si>
    <t>10/14/2019</t>
  </si>
  <si>
    <t>Emp_978</t>
  </si>
  <si>
    <t>11/28/2018</t>
  </si>
  <si>
    <t>Emp_979</t>
  </si>
  <si>
    <t>Emp_980</t>
  </si>
  <si>
    <t>5/16/2022</t>
  </si>
  <si>
    <t>Emp_981</t>
  </si>
  <si>
    <t>Emp_982</t>
  </si>
  <si>
    <t>Emp_983</t>
  </si>
  <si>
    <t>7/26/2019</t>
  </si>
  <si>
    <t>Emp_984</t>
  </si>
  <si>
    <t>9/30/2021</t>
  </si>
  <si>
    <t>Emp_985</t>
  </si>
  <si>
    <t>Emp_986</t>
  </si>
  <si>
    <t>2/13/2023</t>
  </si>
  <si>
    <t>Emp_987</t>
  </si>
  <si>
    <t>4/25/2022</t>
  </si>
  <si>
    <t>Emp_988</t>
  </si>
  <si>
    <t>9/13/2020</t>
  </si>
  <si>
    <t>Emp_989</t>
  </si>
  <si>
    <t>Emp_990</t>
  </si>
  <si>
    <t>Emp_991</t>
  </si>
  <si>
    <t>12/16/2020</t>
  </si>
  <si>
    <t>Emp_992</t>
  </si>
  <si>
    <t>Emp_993</t>
  </si>
  <si>
    <t>Emp_994</t>
  </si>
  <si>
    <t>Emp_995</t>
  </si>
  <si>
    <t>Emp_996</t>
  </si>
  <si>
    <t>Emp_997</t>
  </si>
  <si>
    <t>Emp_998</t>
  </si>
  <si>
    <t>9/19/2021</t>
  </si>
  <si>
    <t>Emp_999</t>
  </si>
  <si>
    <t>12/26/2021</t>
  </si>
  <si>
    <t>Emp_1000</t>
  </si>
  <si>
    <t>8/24/2019</t>
  </si>
  <si>
    <t>Emp_1001</t>
  </si>
  <si>
    <t>3/16/2023</t>
  </si>
  <si>
    <t>Emp_1002</t>
  </si>
  <si>
    <t>7/31/2022</t>
  </si>
  <si>
    <t>Emp_1003</t>
  </si>
  <si>
    <t>Emp_1004</t>
  </si>
  <si>
    <t>11/23/2021</t>
  </si>
  <si>
    <t>Emp_1005</t>
  </si>
  <si>
    <t>Emp_1006</t>
  </si>
  <si>
    <t>Emp_1007</t>
  </si>
  <si>
    <t>Emp_1008</t>
  </si>
  <si>
    <t>5/15/2018</t>
  </si>
  <si>
    <t>Emp_1009</t>
  </si>
  <si>
    <t>Emp_1010</t>
  </si>
  <si>
    <t>5/13/2024</t>
  </si>
  <si>
    <t>Emp_1011</t>
  </si>
  <si>
    <t>1/13/2020</t>
  </si>
  <si>
    <t>Emp_1012</t>
  </si>
  <si>
    <t>Emp_1013</t>
  </si>
  <si>
    <t>1/29/2020</t>
  </si>
  <si>
    <t>Emp_1014</t>
  </si>
  <si>
    <t>Emp_1015</t>
  </si>
  <si>
    <t>2/26/2019</t>
  </si>
  <si>
    <t>Emp_1016</t>
  </si>
  <si>
    <t>Emp_1017</t>
  </si>
  <si>
    <t>Emp_1018</t>
  </si>
  <si>
    <t>Emp_1019</t>
  </si>
  <si>
    <t>3/20/2019</t>
  </si>
  <si>
    <t>Emp_1020</t>
  </si>
  <si>
    <t>9/16/2018</t>
  </si>
  <si>
    <t>Emp_1021</t>
  </si>
  <si>
    <t>11/22/2018</t>
  </si>
  <si>
    <t>Emp_1022</t>
  </si>
  <si>
    <t>Emp_1023</t>
  </si>
  <si>
    <t>Emp_1024</t>
  </si>
  <si>
    <t>3/17/2019</t>
  </si>
  <si>
    <t>Emp_1025</t>
  </si>
  <si>
    <t>Emp_1026</t>
  </si>
  <si>
    <t>9/22/2023</t>
  </si>
  <si>
    <t>Emp_1027</t>
  </si>
  <si>
    <t>7/30/2021</t>
  </si>
  <si>
    <t>Emp_1028</t>
  </si>
  <si>
    <t>Emp_1029</t>
  </si>
  <si>
    <t>11/13/2023</t>
  </si>
  <si>
    <t>Emp_1030</t>
  </si>
  <si>
    <t>4/17/2023</t>
  </si>
  <si>
    <t>Emp_1031</t>
  </si>
  <si>
    <t>Emp_1032</t>
  </si>
  <si>
    <t>2/14/2024</t>
  </si>
  <si>
    <t>Emp_1033</t>
  </si>
  <si>
    <t>Emp_1034</t>
  </si>
  <si>
    <t>Emp_1035</t>
  </si>
  <si>
    <t>Emp_1036</t>
  </si>
  <si>
    <t>Emp_1037</t>
  </si>
  <si>
    <t>Emp_1038</t>
  </si>
  <si>
    <t>8/28/2022</t>
  </si>
  <si>
    <t>Emp_1039</t>
  </si>
  <si>
    <t>Emp_1040</t>
  </si>
  <si>
    <t>9/28/2022</t>
  </si>
  <si>
    <t>Emp_1041</t>
  </si>
  <si>
    <t>Emp_1042</t>
  </si>
  <si>
    <t>Emp_1043</t>
  </si>
  <si>
    <t>Emp_1044</t>
  </si>
  <si>
    <t>Emp_1045</t>
  </si>
  <si>
    <t>Emp_1046</t>
  </si>
  <si>
    <t>Emp_1047</t>
  </si>
  <si>
    <t>9/22/2018</t>
  </si>
  <si>
    <t>Emp_1048</t>
  </si>
  <si>
    <t>8/26/2021</t>
  </si>
  <si>
    <t>Emp_1049</t>
  </si>
  <si>
    <t>Emp_1050</t>
  </si>
  <si>
    <t>Emp_1051</t>
  </si>
  <si>
    <t>1/19/2024</t>
  </si>
  <si>
    <t>Emp_1052</t>
  </si>
  <si>
    <t>9/24/2024</t>
  </si>
  <si>
    <t>Emp_1053</t>
  </si>
  <si>
    <t>3/31/2020</t>
  </si>
  <si>
    <t>Emp_1054</t>
  </si>
  <si>
    <t>Emp_1055</t>
  </si>
  <si>
    <t>Emp_1056</t>
  </si>
  <si>
    <t>Emp_1057</t>
  </si>
  <si>
    <t>Emp_1058</t>
  </si>
  <si>
    <t>Emp_1059</t>
  </si>
  <si>
    <t>12/24/2018</t>
  </si>
  <si>
    <t>Emp_1060</t>
  </si>
  <si>
    <t>Emp_1061</t>
  </si>
  <si>
    <t>Emp_1062</t>
  </si>
  <si>
    <t>12/25/2020</t>
  </si>
  <si>
    <t>Emp_1063</t>
  </si>
  <si>
    <t>8/29/2019</t>
  </si>
  <si>
    <t>Emp_1064</t>
  </si>
  <si>
    <t>Emp_1065</t>
  </si>
  <si>
    <t>12/26/2023</t>
  </si>
  <si>
    <t>Emp_1066</t>
  </si>
  <si>
    <t>Emp_1067</t>
  </si>
  <si>
    <t>Emp_1068</t>
  </si>
  <si>
    <t>4/15/2022</t>
  </si>
  <si>
    <t>Emp_1069</t>
  </si>
  <si>
    <t>Emp_1070</t>
  </si>
  <si>
    <t>Emp_1071</t>
  </si>
  <si>
    <t>Emp_1072</t>
  </si>
  <si>
    <t>7/29/2021</t>
  </si>
  <si>
    <t>Emp_1073</t>
  </si>
  <si>
    <t>Emp_1074</t>
  </si>
  <si>
    <t>Emp_1075</t>
  </si>
  <si>
    <t>11/15/2021</t>
  </si>
  <si>
    <t>Emp_1076</t>
  </si>
  <si>
    <t>Emp_1077</t>
  </si>
  <si>
    <t>7/24/2021</t>
  </si>
  <si>
    <t>Emp_1078</t>
  </si>
  <si>
    <t>Emp_1079</t>
  </si>
  <si>
    <t>10/26/2019</t>
  </si>
  <si>
    <t>Emp_1080</t>
  </si>
  <si>
    <t>Emp_1081</t>
  </si>
  <si>
    <t>Emp_1082</t>
  </si>
  <si>
    <t>Emp_1083</t>
  </si>
  <si>
    <t>10/25/2018</t>
  </si>
  <si>
    <t>Emp_1084</t>
  </si>
  <si>
    <t>3/27/2019</t>
  </si>
  <si>
    <t>Emp_1085</t>
  </si>
  <si>
    <t>Emp_1086</t>
  </si>
  <si>
    <t>3/13/2018</t>
  </si>
  <si>
    <t>Emp_1087</t>
  </si>
  <si>
    <t>10/16/2019</t>
  </si>
  <si>
    <t>Emp_1088</t>
  </si>
  <si>
    <t>Emp_1089</t>
  </si>
  <si>
    <t>Emp_1090</t>
  </si>
  <si>
    <t>Emp_1091</t>
  </si>
  <si>
    <t>Emp_1092</t>
  </si>
  <si>
    <t>8/27/2023</t>
  </si>
  <si>
    <t>Emp_1093</t>
  </si>
  <si>
    <t>Emp_1094</t>
  </si>
  <si>
    <t>5/28/2021</t>
  </si>
  <si>
    <t>Emp_1095</t>
  </si>
  <si>
    <t>2/27/2022</t>
  </si>
  <si>
    <t>Emp_1096</t>
  </si>
  <si>
    <t>Emp_1097</t>
  </si>
  <si>
    <t>Emp_1098</t>
  </si>
  <si>
    <t>9/24/2022</t>
  </si>
  <si>
    <t>Emp_1099</t>
  </si>
  <si>
    <t>8/25/2018</t>
  </si>
  <si>
    <t>Emp_1100</t>
  </si>
  <si>
    <t>7/23/2023</t>
  </si>
  <si>
    <t>Emp_1101</t>
  </si>
  <si>
    <t>Emp_1102</t>
  </si>
  <si>
    <t>Emp_1103</t>
  </si>
  <si>
    <t>Emp_1104</t>
  </si>
  <si>
    <t>Emp_1105</t>
  </si>
  <si>
    <t>Emp_1106</t>
  </si>
  <si>
    <t>4/14/2019</t>
  </si>
  <si>
    <t>Emp_1107</t>
  </si>
  <si>
    <t>Emp_1108</t>
  </si>
  <si>
    <t>9/28/2019</t>
  </si>
  <si>
    <t>Emp_1109</t>
  </si>
  <si>
    <t>Emp_1110</t>
  </si>
  <si>
    <t>Emp_1111</t>
  </si>
  <si>
    <t>6/19/2023</t>
  </si>
  <si>
    <t>Emp_1112</t>
  </si>
  <si>
    <t>2/28/2024</t>
  </si>
  <si>
    <t>Emp_1113</t>
  </si>
  <si>
    <t>Emp_1114</t>
  </si>
  <si>
    <t>12/16/2018</t>
  </si>
  <si>
    <t>Emp_1115</t>
  </si>
  <si>
    <t>11/18/2019</t>
  </si>
  <si>
    <t>Emp_1116</t>
  </si>
  <si>
    <t>Emp_1117</t>
  </si>
  <si>
    <t>Emp_1118</t>
  </si>
  <si>
    <t>9/22/2024</t>
  </si>
  <si>
    <t>Emp_1119</t>
  </si>
  <si>
    <t>3/22/2022</t>
  </si>
  <si>
    <t>Emp_1120</t>
  </si>
  <si>
    <t>Emp_1121</t>
  </si>
  <si>
    <t>6/29/2021</t>
  </si>
  <si>
    <t>Emp_1122</t>
  </si>
  <si>
    <t>2/13/2022</t>
  </si>
  <si>
    <t>Emp_1123</t>
  </si>
  <si>
    <t>2/22/2019</t>
  </si>
  <si>
    <t>Emp_1124</t>
  </si>
  <si>
    <t>5/15/2022</t>
  </si>
  <si>
    <t>Emp_1125</t>
  </si>
  <si>
    <t>Emp_1126</t>
  </si>
  <si>
    <t>Emp_1127</t>
  </si>
  <si>
    <t>12/24/2021</t>
  </si>
  <si>
    <t>Emp_1128</t>
  </si>
  <si>
    <t>Emp_1129</t>
  </si>
  <si>
    <t>5/19/2023</t>
  </si>
  <si>
    <t>Emp_1130</t>
  </si>
  <si>
    <t>Emp_1131</t>
  </si>
  <si>
    <t>Emp_1132</t>
  </si>
  <si>
    <t>Emp_1133</t>
  </si>
  <si>
    <t>Emp_1134</t>
  </si>
  <si>
    <t>12/22/2018</t>
  </si>
  <si>
    <t>Emp_1135</t>
  </si>
  <si>
    <t>Emp_1136</t>
  </si>
  <si>
    <t>6/17/2018</t>
  </si>
  <si>
    <t>Emp_1137</t>
  </si>
  <si>
    <t>Emp_1138</t>
  </si>
  <si>
    <t>Emp_1139</t>
  </si>
  <si>
    <t>Emp_1140</t>
  </si>
  <si>
    <t>Emp_1141</t>
  </si>
  <si>
    <t>Emp_1142</t>
  </si>
  <si>
    <t>3/24/2024</t>
  </si>
  <si>
    <t>Emp_1143</t>
  </si>
  <si>
    <t>9/19/2022</t>
  </si>
  <si>
    <t>Emp_1144</t>
  </si>
  <si>
    <t>Emp_1145</t>
  </si>
  <si>
    <t>11/30/2023</t>
  </si>
  <si>
    <t>Emp_1146</t>
  </si>
  <si>
    <t>Emp_1147</t>
  </si>
  <si>
    <t>1/15/2020</t>
  </si>
  <si>
    <t>Emp_1148</t>
  </si>
  <si>
    <t>7/13/2018</t>
  </si>
  <si>
    <t>Emp_1149</t>
  </si>
  <si>
    <t>Emp_1150</t>
  </si>
  <si>
    <t>Emp_1151</t>
  </si>
  <si>
    <t>2/21/2021</t>
  </si>
  <si>
    <t>Emp_1152</t>
  </si>
  <si>
    <t>Emp_1153</t>
  </si>
  <si>
    <t>Emp_1154</t>
  </si>
  <si>
    <t>Emp_1155</t>
  </si>
  <si>
    <t>Emp_1156</t>
  </si>
  <si>
    <t>Emp_1157</t>
  </si>
  <si>
    <t>Emp_1158</t>
  </si>
  <si>
    <t>Emp_1159</t>
  </si>
  <si>
    <t>8/28/2021</t>
  </si>
  <si>
    <t>Emp_1160</t>
  </si>
  <si>
    <t>3/19/2024</t>
  </si>
  <si>
    <t>Emp_1161</t>
  </si>
  <si>
    <t>Emp_1162</t>
  </si>
  <si>
    <t>10/28/2020</t>
  </si>
  <si>
    <t>Emp_1163</t>
  </si>
  <si>
    <t>11/26/2020</t>
  </si>
  <si>
    <t>Emp_1164</t>
  </si>
  <si>
    <t>Emp_1165</t>
  </si>
  <si>
    <t>Emp_1166</t>
  </si>
  <si>
    <t>8/14/2018</t>
  </si>
  <si>
    <t>Emp_1167</t>
  </si>
  <si>
    <t>12/23/2019</t>
  </si>
  <si>
    <t>Emp_1168</t>
  </si>
  <si>
    <t>Emp_1169</t>
  </si>
  <si>
    <t>Emp_1170</t>
  </si>
  <si>
    <t>Emp_1171</t>
  </si>
  <si>
    <t>Emp_1172</t>
  </si>
  <si>
    <t>Emp_1173</t>
  </si>
  <si>
    <t>7/25/2022</t>
  </si>
  <si>
    <t>Emp_1174</t>
  </si>
  <si>
    <t>Emp_1175</t>
  </si>
  <si>
    <t>Emp_1176</t>
  </si>
  <si>
    <t>7/18/2022</t>
  </si>
  <si>
    <t>Emp_1177</t>
  </si>
  <si>
    <t>Emp_1178</t>
  </si>
  <si>
    <t>Emp_1179</t>
  </si>
  <si>
    <t>Emp_1180</t>
  </si>
  <si>
    <t>3/21/2021</t>
  </si>
  <si>
    <t>Emp_1181</t>
  </si>
  <si>
    <t>3/30/2019</t>
  </si>
  <si>
    <t>Emp_1182</t>
  </si>
  <si>
    <t>8/25/2021</t>
  </si>
  <si>
    <t>Emp_1183</t>
  </si>
  <si>
    <t>Emp_1184</t>
  </si>
  <si>
    <t>Emp_1185</t>
  </si>
  <si>
    <t>4/24/2018</t>
  </si>
  <si>
    <t>Emp_1186</t>
  </si>
  <si>
    <t>Emp_1187</t>
  </si>
  <si>
    <t>3/21/2020</t>
  </si>
  <si>
    <t>Emp_1188</t>
  </si>
  <si>
    <t>5/14/2023</t>
  </si>
  <si>
    <t>Emp_1189</t>
  </si>
  <si>
    <t>8/28/2024</t>
  </si>
  <si>
    <t>Emp_1190</t>
  </si>
  <si>
    <t>Emp_1191</t>
  </si>
  <si>
    <t>4/23/2021</t>
  </si>
  <si>
    <t>Emp_1192</t>
  </si>
  <si>
    <t>Emp_1193</t>
  </si>
  <si>
    <t>2/14/2019</t>
  </si>
  <si>
    <t>Emp_1194</t>
  </si>
  <si>
    <t>12/14/2018</t>
  </si>
  <si>
    <t>Emp_1195</t>
  </si>
  <si>
    <t>5/16/2020</t>
  </si>
  <si>
    <t>Emp_1196</t>
  </si>
  <si>
    <t>6/13/2023</t>
  </si>
  <si>
    <t>Emp_1197</t>
  </si>
  <si>
    <t>3/23/2021</t>
  </si>
  <si>
    <t>Emp_1198</t>
  </si>
  <si>
    <t>Emp_1199</t>
  </si>
  <si>
    <t>4/20/2019</t>
  </si>
  <si>
    <t>Emp_1200</t>
  </si>
  <si>
    <t>Emp_1201</t>
  </si>
  <si>
    <t>Emp_1202</t>
  </si>
  <si>
    <t>Emp_1203</t>
  </si>
  <si>
    <t>9/13/2021</t>
  </si>
  <si>
    <t>Emp_1204</t>
  </si>
  <si>
    <t>Emp_1205</t>
  </si>
  <si>
    <t>Emp_1206</t>
  </si>
  <si>
    <t>Emp_1207</t>
  </si>
  <si>
    <t>Emp_1208</t>
  </si>
  <si>
    <t>1/14/2022</t>
  </si>
  <si>
    <t>Emp_1209</t>
  </si>
  <si>
    <t>4/26/2019</t>
  </si>
  <si>
    <t>Emp_1210</t>
  </si>
  <si>
    <t>4/21/2019</t>
  </si>
  <si>
    <t>Emp_1211</t>
  </si>
  <si>
    <t>9/16/2022</t>
  </si>
  <si>
    <t>Emp_1212</t>
  </si>
  <si>
    <t>7/31/2021</t>
  </si>
  <si>
    <t>Emp_1213</t>
  </si>
  <si>
    <t>8/20/2018</t>
  </si>
  <si>
    <t>Emp_1214</t>
  </si>
  <si>
    <t>6/26/2023</t>
  </si>
  <si>
    <t>Emp_1215</t>
  </si>
  <si>
    <t>Emp_1216</t>
  </si>
  <si>
    <t>Emp_1217</t>
  </si>
  <si>
    <t>5/19/2018</t>
  </si>
  <si>
    <t>Emp_1218</t>
  </si>
  <si>
    <t>Emp_1219</t>
  </si>
  <si>
    <t>Emp_1220</t>
  </si>
  <si>
    <t>Emp_1221</t>
  </si>
  <si>
    <t>8/21/2018</t>
  </si>
  <si>
    <t>Emp_1222</t>
  </si>
  <si>
    <t>Emp_1223</t>
  </si>
  <si>
    <t>6/24/2022</t>
  </si>
  <si>
    <t>Emp_1224</t>
  </si>
  <si>
    <t>Emp_1225</t>
  </si>
  <si>
    <t>6/14/2020</t>
  </si>
  <si>
    <t>Emp_1226</t>
  </si>
  <si>
    <t>Emp_1227</t>
  </si>
  <si>
    <t>5/20/2021</t>
  </si>
  <si>
    <t>Emp_1228</t>
  </si>
  <si>
    <t>11/30/2018</t>
  </si>
  <si>
    <t>Emp_1229</t>
  </si>
  <si>
    <t>Emp_1230</t>
  </si>
  <si>
    <t>Emp_1231</t>
  </si>
  <si>
    <t>12/22/2020</t>
  </si>
  <si>
    <t>Emp_1232</t>
  </si>
  <si>
    <t>Emp_1233</t>
  </si>
  <si>
    <t>5/18/2018</t>
  </si>
  <si>
    <t>Emp_1234</t>
  </si>
  <si>
    <t>Emp_1235</t>
  </si>
  <si>
    <t>11/30/2021</t>
  </si>
  <si>
    <t>Emp_1236</t>
  </si>
  <si>
    <t>Emp_1237</t>
  </si>
  <si>
    <t>Emp_1238</t>
  </si>
  <si>
    <t>Emp_1239</t>
  </si>
  <si>
    <t>Emp_1240</t>
  </si>
  <si>
    <t>9/29/2021</t>
  </si>
  <si>
    <t>Emp_1241</t>
  </si>
  <si>
    <t>Emp_1242</t>
  </si>
  <si>
    <t>Emp_1243</t>
  </si>
  <si>
    <t>6/28/2021</t>
  </si>
  <si>
    <t>Emp_1244</t>
  </si>
  <si>
    <t>Emp_1245</t>
  </si>
  <si>
    <t>Emp_1246</t>
  </si>
  <si>
    <t>6/21/2019</t>
  </si>
  <si>
    <t>Emp_1247</t>
  </si>
  <si>
    <t>Emp_1248</t>
  </si>
  <si>
    <t>1/29/2022</t>
  </si>
  <si>
    <t>Emp_1249</t>
  </si>
  <si>
    <t>Emp_1250</t>
  </si>
  <si>
    <t>Emp_1251</t>
  </si>
  <si>
    <t>Emp_1252</t>
  </si>
  <si>
    <t>Emp_1253</t>
  </si>
  <si>
    <t>Emp_1254</t>
  </si>
  <si>
    <t>Emp_1255</t>
  </si>
  <si>
    <t>Emp_1256</t>
  </si>
  <si>
    <t>Emp_1257</t>
  </si>
  <si>
    <t>6/27/2020</t>
  </si>
  <si>
    <t>Emp_1258</t>
  </si>
  <si>
    <t>Emp_1259</t>
  </si>
  <si>
    <t>Emp_1260</t>
  </si>
  <si>
    <t>Emp_1261</t>
  </si>
  <si>
    <t>Emp_1262</t>
  </si>
  <si>
    <t>Emp_1263</t>
  </si>
  <si>
    <t>5/23/2018</t>
  </si>
  <si>
    <t>Emp_1264</t>
  </si>
  <si>
    <t>9/23/2021</t>
  </si>
  <si>
    <t>Emp_1265</t>
  </si>
  <si>
    <t>Emp_1266</t>
  </si>
  <si>
    <t>5/25/2022</t>
  </si>
  <si>
    <t>Emp_1267</t>
  </si>
  <si>
    <t>Emp_1268</t>
  </si>
  <si>
    <t>2/25/2020</t>
  </si>
  <si>
    <t>Emp_1269</t>
  </si>
  <si>
    <t>Emp_1270</t>
  </si>
  <si>
    <t>Emp_1271</t>
  </si>
  <si>
    <t>Emp_1272</t>
  </si>
  <si>
    <t>7/31/2024</t>
  </si>
  <si>
    <t>Emp_1273</t>
  </si>
  <si>
    <t>Emp_1274</t>
  </si>
  <si>
    <t>3/25/2021</t>
  </si>
  <si>
    <t>Emp_1275</t>
  </si>
  <si>
    <t>1/31/2019</t>
  </si>
  <si>
    <t>Emp_1276</t>
  </si>
  <si>
    <t>12/23/2020</t>
  </si>
  <si>
    <t>Emp_1277</t>
  </si>
  <si>
    <t>Emp_1278</t>
  </si>
  <si>
    <t>9/24/2023</t>
  </si>
  <si>
    <t>Emp_1279</t>
  </si>
  <si>
    <t>Emp_1280</t>
  </si>
  <si>
    <t>Emp_1281</t>
  </si>
  <si>
    <t>Emp_1282</t>
  </si>
  <si>
    <t>Emp_1283</t>
  </si>
  <si>
    <t>10/13/2019</t>
  </si>
  <si>
    <t>Emp_1284</t>
  </si>
  <si>
    <t>2/20/2021</t>
  </si>
  <si>
    <t>Emp_1285</t>
  </si>
  <si>
    <t>8/30/2022</t>
  </si>
  <si>
    <t>Emp_1286</t>
  </si>
  <si>
    <t>8/16/2023</t>
  </si>
  <si>
    <t>Emp_1287</t>
  </si>
  <si>
    <t>Emp_1288</t>
  </si>
  <si>
    <t>9/24/2020</t>
  </si>
  <si>
    <t>Emp_1289</t>
  </si>
  <si>
    <t>Emp_1290</t>
  </si>
  <si>
    <t>Emp_1291</t>
  </si>
  <si>
    <t>Emp_1292</t>
  </si>
  <si>
    <t>Emp_1293</t>
  </si>
  <si>
    <t>Emp_1294</t>
  </si>
  <si>
    <t>1/28/2024</t>
  </si>
  <si>
    <t>Emp_1295</t>
  </si>
  <si>
    <t>Emp_1296</t>
  </si>
  <si>
    <t>5/20/2023</t>
  </si>
  <si>
    <t>Emp_1297</t>
  </si>
  <si>
    <t>3/21/2022</t>
  </si>
  <si>
    <t>Emp_1298</t>
  </si>
  <si>
    <t>Emp_1299</t>
  </si>
  <si>
    <t>3/17/2023</t>
  </si>
  <si>
    <t>Emp_1300</t>
  </si>
  <si>
    <t>6/16/2018</t>
  </si>
  <si>
    <t>Emp_1301</t>
  </si>
  <si>
    <t>Emp_1302</t>
  </si>
  <si>
    <t>Emp_1303</t>
  </si>
  <si>
    <t>Emp_1304</t>
  </si>
  <si>
    <t>Emp_1305</t>
  </si>
  <si>
    <t>Emp_1306</t>
  </si>
  <si>
    <t>Emp_1307</t>
  </si>
  <si>
    <t>Emp_1308</t>
  </si>
  <si>
    <t>Emp_1309</t>
  </si>
  <si>
    <t>Emp_1310</t>
  </si>
  <si>
    <t>1/14/2024</t>
  </si>
  <si>
    <t>Emp_1311</t>
  </si>
  <si>
    <t>3/24/2019</t>
  </si>
  <si>
    <t>Emp_1312</t>
  </si>
  <si>
    <t>3/23/2022</t>
  </si>
  <si>
    <t>Emp_1313</t>
  </si>
  <si>
    <t>Emp_1314</t>
  </si>
  <si>
    <t>Emp_1315</t>
  </si>
  <si>
    <t>Emp_1316</t>
  </si>
  <si>
    <t>Emp_1317</t>
  </si>
  <si>
    <t>Emp_1318</t>
  </si>
  <si>
    <t>12/25/2021</t>
  </si>
  <si>
    <t>Emp_1319</t>
  </si>
  <si>
    <t>Emp_1320</t>
  </si>
  <si>
    <t>5/30/2019</t>
  </si>
  <si>
    <t>Emp_1321</t>
  </si>
  <si>
    <t>5/17/2020</t>
  </si>
  <si>
    <t>Emp_1322</t>
  </si>
  <si>
    <t>1/27/2020</t>
  </si>
  <si>
    <t>Emp_1323</t>
  </si>
  <si>
    <t>Emp_1324</t>
  </si>
  <si>
    <t>Emp_1325</t>
  </si>
  <si>
    <t>Emp_1326</t>
  </si>
  <si>
    <t>Emp_1327</t>
  </si>
  <si>
    <t>Emp_1328</t>
  </si>
  <si>
    <t>7/18/2018</t>
  </si>
  <si>
    <t>Emp_1329</t>
  </si>
  <si>
    <t>10/15/2021</t>
  </si>
  <si>
    <t>Emp_1330</t>
  </si>
  <si>
    <t>6/20/2018</t>
  </si>
  <si>
    <t>Emp_1331</t>
  </si>
  <si>
    <t>Emp_1332</t>
  </si>
  <si>
    <t>Emp_1333</t>
  </si>
  <si>
    <t>5/24/2023</t>
  </si>
  <si>
    <t>Emp_1334</t>
  </si>
  <si>
    <t>10/16/2022</t>
  </si>
  <si>
    <t>Emp_1335</t>
  </si>
  <si>
    <t>Emp_1336</t>
  </si>
  <si>
    <t>Emp_1337</t>
  </si>
  <si>
    <t>11/25/2018</t>
  </si>
  <si>
    <t>Emp_1338</t>
  </si>
  <si>
    <t>Emp_1339</t>
  </si>
  <si>
    <t>Emp_1340</t>
  </si>
  <si>
    <t>Emp_1341</t>
  </si>
  <si>
    <t>3/21/2019</t>
  </si>
  <si>
    <t>Emp_1342</t>
  </si>
  <si>
    <t>Emp_1343</t>
  </si>
  <si>
    <t>Emp_1344</t>
  </si>
  <si>
    <t>10/18/2021</t>
  </si>
  <si>
    <t>Emp_1345</t>
  </si>
  <si>
    <t>1/26/2021</t>
  </si>
  <si>
    <t>Emp_1346</t>
  </si>
  <si>
    <t>8/30/2021</t>
  </si>
  <si>
    <t>Emp_1347</t>
  </si>
  <si>
    <t>Emp_1348</t>
  </si>
  <si>
    <t>Emp_1349</t>
  </si>
  <si>
    <t>Emp_1350</t>
  </si>
  <si>
    <t>Emp_1351</t>
  </si>
  <si>
    <t>8/31/2019</t>
  </si>
  <si>
    <t>Emp_1352</t>
  </si>
  <si>
    <t>Emp_1353</t>
  </si>
  <si>
    <t>4/22/2020</t>
  </si>
  <si>
    <t>Emp_1354</t>
  </si>
  <si>
    <t>1/26/2023</t>
  </si>
  <si>
    <t>Emp_1355</t>
  </si>
  <si>
    <t>Emp_1356</t>
  </si>
  <si>
    <t>6/15/2023</t>
  </si>
  <si>
    <t>Emp_1357</t>
  </si>
  <si>
    <t>3/23/2019</t>
  </si>
  <si>
    <t>Emp_1358</t>
  </si>
  <si>
    <t>Emp_1359</t>
  </si>
  <si>
    <t>Emp_1360</t>
  </si>
  <si>
    <t>9/20/2018</t>
  </si>
  <si>
    <t>Emp_1361</t>
  </si>
  <si>
    <t>Emp_1362</t>
  </si>
  <si>
    <t>12/21/2021</t>
  </si>
  <si>
    <t>Emp_1363</t>
  </si>
  <si>
    <t>Emp_1364</t>
  </si>
  <si>
    <t>Emp_1365</t>
  </si>
  <si>
    <t>Emp_1366</t>
  </si>
  <si>
    <t>1/23/2022</t>
  </si>
  <si>
    <t>Emp_1367</t>
  </si>
  <si>
    <t>10/29/2022</t>
  </si>
  <si>
    <t>Emp_1368</t>
  </si>
  <si>
    <t>Emp_1369</t>
  </si>
  <si>
    <t>Emp_1370</t>
  </si>
  <si>
    <t>Emp_1371</t>
  </si>
  <si>
    <t>8/19/2019</t>
  </si>
  <si>
    <t>Emp_1372</t>
  </si>
  <si>
    <t>1/29/2019</t>
  </si>
  <si>
    <t>Emp_1373</t>
  </si>
  <si>
    <t>Emp_1374</t>
  </si>
  <si>
    <t>Emp_1375</t>
  </si>
  <si>
    <t>Emp_1376</t>
  </si>
  <si>
    <t>2/13/2021</t>
  </si>
  <si>
    <t>Emp_1377</t>
  </si>
  <si>
    <t>Emp_1378</t>
  </si>
  <si>
    <t>12/22/2024</t>
  </si>
  <si>
    <t>Emp_1379</t>
  </si>
  <si>
    <t>12/31/2019</t>
  </si>
  <si>
    <t>Emp_1380</t>
  </si>
  <si>
    <t>Emp_1381</t>
  </si>
  <si>
    <t>7/14/2023</t>
  </si>
  <si>
    <t>Emp_1382</t>
  </si>
  <si>
    <t>Emp_1383</t>
  </si>
  <si>
    <t>11/22/2022</t>
  </si>
  <si>
    <t>Emp_1384</t>
  </si>
  <si>
    <t>Emp_1385</t>
  </si>
  <si>
    <t>7/24/2022</t>
  </si>
  <si>
    <t>Emp_1386</t>
  </si>
  <si>
    <t>Emp_1387</t>
  </si>
  <si>
    <t>2/16/2020</t>
  </si>
  <si>
    <t>Emp_1388</t>
  </si>
  <si>
    <t>Emp_1389</t>
  </si>
  <si>
    <t>Emp_1390</t>
  </si>
  <si>
    <t>Emp_1391</t>
  </si>
  <si>
    <t>Emp_1392</t>
  </si>
  <si>
    <t>Emp_1393</t>
  </si>
  <si>
    <t>Emp_1394</t>
  </si>
  <si>
    <t>Emp_1395</t>
  </si>
  <si>
    <t>Emp_1396</t>
  </si>
  <si>
    <t>Emp_1397</t>
  </si>
  <si>
    <t>12/18/2019</t>
  </si>
  <si>
    <t>Emp_1398</t>
  </si>
  <si>
    <t>11/25/2022</t>
  </si>
  <si>
    <t>Emp_1399</t>
  </si>
  <si>
    <t>Emp_1400</t>
  </si>
  <si>
    <t>Emp_1401</t>
  </si>
  <si>
    <t>4/28/2024</t>
  </si>
  <si>
    <t>Emp_1402</t>
  </si>
  <si>
    <t>Emp_1403</t>
  </si>
  <si>
    <t>8/15/2022</t>
  </si>
  <si>
    <t>Emp_1404</t>
  </si>
  <si>
    <t>2/19/2021</t>
  </si>
  <si>
    <t>Emp_1405</t>
  </si>
  <si>
    <t>Emp_1406</t>
  </si>
  <si>
    <t>4/28/2020</t>
  </si>
  <si>
    <t>Emp_1407</t>
  </si>
  <si>
    <t>1/31/2018</t>
  </si>
  <si>
    <t>Emp_1408</t>
  </si>
  <si>
    <t>Emp_1409</t>
  </si>
  <si>
    <t>Emp_1410</t>
  </si>
  <si>
    <t>Emp_1411</t>
  </si>
  <si>
    <t>Emp_1412</t>
  </si>
  <si>
    <t>Emp_1413</t>
  </si>
  <si>
    <t>Emp_1414</t>
  </si>
  <si>
    <t>1/20/2021</t>
  </si>
  <si>
    <t>Emp_1415</t>
  </si>
  <si>
    <t>10/22/2020</t>
  </si>
  <si>
    <t>Emp_1416</t>
  </si>
  <si>
    <t>Emp_1417</t>
  </si>
  <si>
    <t>4/19/2024</t>
  </si>
  <si>
    <t>Emp_1418</t>
  </si>
  <si>
    <t>Emp_1419</t>
  </si>
  <si>
    <t>7/21/2019</t>
  </si>
  <si>
    <t>Emp_1420</t>
  </si>
  <si>
    <t>Emp_1421</t>
  </si>
  <si>
    <t>Emp_1422</t>
  </si>
  <si>
    <t>Emp_1423</t>
  </si>
  <si>
    <t>Emp_1424</t>
  </si>
  <si>
    <t>Emp_1425</t>
  </si>
  <si>
    <t>Emp_1426</t>
  </si>
  <si>
    <t>12/26/2019</t>
  </si>
  <si>
    <t>Emp_1427</t>
  </si>
  <si>
    <t>12/29/2023</t>
  </si>
  <si>
    <t>Emp_1428</t>
  </si>
  <si>
    <t>Emp_1429</t>
  </si>
  <si>
    <t>Emp_1430</t>
  </si>
  <si>
    <t>Emp_1431</t>
  </si>
  <si>
    <t>4/16/2024</t>
  </si>
  <si>
    <t>Emp_1432</t>
  </si>
  <si>
    <t>Emp_1433</t>
  </si>
  <si>
    <t>Emp_1434</t>
  </si>
  <si>
    <t>7/19/2018</t>
  </si>
  <si>
    <t>Emp_1435</t>
  </si>
  <si>
    <t>Emp_1436</t>
  </si>
  <si>
    <t>Emp_1437</t>
  </si>
  <si>
    <t>Emp_1438</t>
  </si>
  <si>
    <t>Emp_1439</t>
  </si>
  <si>
    <t>Emp_1440</t>
  </si>
  <si>
    <t>9/29/2024</t>
  </si>
  <si>
    <t>Emp_1441</t>
  </si>
  <si>
    <t>Emp_1442</t>
  </si>
  <si>
    <t>Emp_1443</t>
  </si>
  <si>
    <t>Emp_1444</t>
  </si>
  <si>
    <t>Emp_1445</t>
  </si>
  <si>
    <t>Emp_1446</t>
  </si>
  <si>
    <t>Emp_1447</t>
  </si>
  <si>
    <t>Emp_1448</t>
  </si>
  <si>
    <t>Emp_1449</t>
  </si>
  <si>
    <t>Emp_1450</t>
  </si>
  <si>
    <t>1/26/2022</t>
  </si>
  <si>
    <t>Emp_1451</t>
  </si>
  <si>
    <t>Emp_1452</t>
  </si>
  <si>
    <t>Emp_1453</t>
  </si>
  <si>
    <t>6/16/2024</t>
  </si>
  <si>
    <t>Emp_1454</t>
  </si>
  <si>
    <t>Emp_1455</t>
  </si>
  <si>
    <t>Emp_1456</t>
  </si>
  <si>
    <t>Emp_1457</t>
  </si>
  <si>
    <t>4/21/2023</t>
  </si>
  <si>
    <t>Emp_1458</t>
  </si>
  <si>
    <t>Emp_1459</t>
  </si>
  <si>
    <t>11/16/2018</t>
  </si>
  <si>
    <t>Emp_1460</t>
  </si>
  <si>
    <t>Emp_1461</t>
  </si>
  <si>
    <t>7/25/2018</t>
  </si>
  <si>
    <t>Emp_1462</t>
  </si>
  <si>
    <t>8/31/2024</t>
  </si>
  <si>
    <t>Emp_1463</t>
  </si>
  <si>
    <t>11/21/2024</t>
  </si>
  <si>
    <t>Emp_1464</t>
  </si>
  <si>
    <t>2/21/2022</t>
  </si>
  <si>
    <t>Emp_1465</t>
  </si>
  <si>
    <t>Emp_1466</t>
  </si>
  <si>
    <t>Emp_1467</t>
  </si>
  <si>
    <t>Emp_1468</t>
  </si>
  <si>
    <t>Emp_1469</t>
  </si>
  <si>
    <t>Emp_1470</t>
  </si>
  <si>
    <t>Emp_1471</t>
  </si>
  <si>
    <t>8/31/2018</t>
  </si>
  <si>
    <t>Emp_1472</t>
  </si>
  <si>
    <t>11/26/2019</t>
  </si>
  <si>
    <t>Emp_1473</t>
  </si>
  <si>
    <t>11/16/2021</t>
  </si>
  <si>
    <t>Emp_1474</t>
  </si>
  <si>
    <t>3/15/2024</t>
  </si>
  <si>
    <t>Emp_1475</t>
  </si>
  <si>
    <t>Emp_1476</t>
  </si>
  <si>
    <t>Emp_1477</t>
  </si>
  <si>
    <t>Emp_1478</t>
  </si>
  <si>
    <t>7/29/2018</t>
  </si>
  <si>
    <t>Emp_1479</t>
  </si>
  <si>
    <t>Emp_1480</t>
  </si>
  <si>
    <t>5/30/2022</t>
  </si>
  <si>
    <t>Emp_1481</t>
  </si>
  <si>
    <t>7/15/2023</t>
  </si>
  <si>
    <t>Emp_1482</t>
  </si>
  <si>
    <t>11/15/2020</t>
  </si>
  <si>
    <t>Emp_1483</t>
  </si>
  <si>
    <t>Emp_1484</t>
  </si>
  <si>
    <t>Emp_1485</t>
  </si>
  <si>
    <t>Emp_1486</t>
  </si>
  <si>
    <t>Emp_1487</t>
  </si>
  <si>
    <t>Emp_1488</t>
  </si>
  <si>
    <t>Emp_1489</t>
  </si>
  <si>
    <t>Emp_1490</t>
  </si>
  <si>
    <t>Emp_1491</t>
  </si>
  <si>
    <t>Emp_1492</t>
  </si>
  <si>
    <t>1/25/2024</t>
  </si>
  <si>
    <t>Emp_1493</t>
  </si>
  <si>
    <t>Emp_1494</t>
  </si>
  <si>
    <t>6/19/2018</t>
  </si>
  <si>
    <t>Emp_1495</t>
  </si>
  <si>
    <t>3/31/2018</t>
  </si>
  <si>
    <t>Emp_1496</t>
  </si>
  <si>
    <t>6/30/2021</t>
  </si>
  <si>
    <t>Emp_1497</t>
  </si>
  <si>
    <t>Emp_1498</t>
  </si>
  <si>
    <t>Emp_1499</t>
  </si>
  <si>
    <t>Emp_1500</t>
  </si>
  <si>
    <t>Emp_1501</t>
  </si>
  <si>
    <t>Emp_1502</t>
  </si>
  <si>
    <t>7/19/2020</t>
  </si>
  <si>
    <t>Emp_1503</t>
  </si>
  <si>
    <t>5/15/2019</t>
  </si>
  <si>
    <t>Emp_1504</t>
  </si>
  <si>
    <t>Emp_1505</t>
  </si>
  <si>
    <t>Emp_1506</t>
  </si>
  <si>
    <t>Emp_1507</t>
  </si>
  <si>
    <t>Emp_1508</t>
  </si>
  <si>
    <t>6/21/2024</t>
  </si>
  <si>
    <t>Emp_1509</t>
  </si>
  <si>
    <t>Emp_1510</t>
  </si>
  <si>
    <t>Emp_1511</t>
  </si>
  <si>
    <t>Emp_1512</t>
  </si>
  <si>
    <t>Emp_1513</t>
  </si>
  <si>
    <t>Emp_1514</t>
  </si>
  <si>
    <t>12/15/2023</t>
  </si>
  <si>
    <t>Emp_1515</t>
  </si>
  <si>
    <t>1/19/2018</t>
  </si>
  <si>
    <t>Emp_1516</t>
  </si>
  <si>
    <t>5/24/2024</t>
  </si>
  <si>
    <t>Emp_1517</t>
  </si>
  <si>
    <t>7/29/2023</t>
  </si>
  <si>
    <t>Emp_1518</t>
  </si>
  <si>
    <t>Emp_1519</t>
  </si>
  <si>
    <t>Emp_1520</t>
  </si>
  <si>
    <t>11/24/2023</t>
  </si>
  <si>
    <t>Emp_1521</t>
  </si>
  <si>
    <t>12/25/2023</t>
  </si>
  <si>
    <t>Emp_1522</t>
  </si>
  <si>
    <t>Emp_1523</t>
  </si>
  <si>
    <t>5/31/2019</t>
  </si>
  <si>
    <t>Emp_1524</t>
  </si>
  <si>
    <t>Emp_1525</t>
  </si>
  <si>
    <t>Emp_1526</t>
  </si>
  <si>
    <t>Emp_1527</t>
  </si>
  <si>
    <t>5/31/2020</t>
  </si>
  <si>
    <t>Emp_1528</t>
  </si>
  <si>
    <t>Emp_1529</t>
  </si>
  <si>
    <t>8/31/2022</t>
  </si>
  <si>
    <t>Emp_1530</t>
  </si>
  <si>
    <t>Emp_1531</t>
  </si>
  <si>
    <t>Emp_1532</t>
  </si>
  <si>
    <t>Emp_1533</t>
  </si>
  <si>
    <t>Emp_1534</t>
  </si>
  <si>
    <t>4/26/2022</t>
  </si>
  <si>
    <t>Emp_1535</t>
  </si>
  <si>
    <t>11/29/2019</t>
  </si>
  <si>
    <t>Emp_1536</t>
  </si>
  <si>
    <t>Emp_1537</t>
  </si>
  <si>
    <t>8/15/2024</t>
  </si>
  <si>
    <t>Emp_1538</t>
  </si>
  <si>
    <t>Emp_1539</t>
  </si>
  <si>
    <t>3/18/2018</t>
  </si>
  <si>
    <t>Emp_1540</t>
  </si>
  <si>
    <t>Emp_1541</t>
  </si>
  <si>
    <t>Emp_1542</t>
  </si>
  <si>
    <t>Emp_1543</t>
  </si>
  <si>
    <t>1/27/2023</t>
  </si>
  <si>
    <t>Emp_1544</t>
  </si>
  <si>
    <t>4/28/2023</t>
  </si>
  <si>
    <t>Emp_1545</t>
  </si>
  <si>
    <t>Emp_1546</t>
  </si>
  <si>
    <t>5/26/2018</t>
  </si>
  <si>
    <t>Emp_1547</t>
  </si>
  <si>
    <t>Emp_1548</t>
  </si>
  <si>
    <t>Emp_1549</t>
  </si>
  <si>
    <t>Emp_1550</t>
  </si>
  <si>
    <t>8/26/2019</t>
  </si>
  <si>
    <t>Emp_1551</t>
  </si>
  <si>
    <t>Emp_1552</t>
  </si>
  <si>
    <t>Emp_1553</t>
  </si>
  <si>
    <t>3/20/2022</t>
  </si>
  <si>
    <t>Emp_1554</t>
  </si>
  <si>
    <t>Emp_1555</t>
  </si>
  <si>
    <t>Emp_1556</t>
  </si>
  <si>
    <t>Emp_1557</t>
  </si>
  <si>
    <t>11/16/2024</t>
  </si>
  <si>
    <t>Emp_1558</t>
  </si>
  <si>
    <t>7/27/2019</t>
  </si>
  <si>
    <t>Emp_1559</t>
  </si>
  <si>
    <t>Emp_1560</t>
  </si>
  <si>
    <t>11/20/2021</t>
  </si>
  <si>
    <t>Emp_1561</t>
  </si>
  <si>
    <t>Emp_1562</t>
  </si>
  <si>
    <t>Emp_1563</t>
  </si>
  <si>
    <t>Emp_1564</t>
  </si>
  <si>
    <t>4/28/2019</t>
  </si>
  <si>
    <t>Emp_1565</t>
  </si>
  <si>
    <t>4/30/2022</t>
  </si>
  <si>
    <t>Emp_1566</t>
  </si>
  <si>
    <t>2/28/2021</t>
  </si>
  <si>
    <t>Emp_1567</t>
  </si>
  <si>
    <t>Emp_1568</t>
  </si>
  <si>
    <t>Emp_1569</t>
  </si>
  <si>
    <t>Emp_1570</t>
  </si>
  <si>
    <t>Emp_1571</t>
  </si>
  <si>
    <t>4/25/2024</t>
  </si>
  <si>
    <t>Emp_1572</t>
  </si>
  <si>
    <t>11/19/2020</t>
  </si>
  <si>
    <t>Emp_1573</t>
  </si>
  <si>
    <t>6/13/2024</t>
  </si>
  <si>
    <t>Emp_1574</t>
  </si>
  <si>
    <t>11/18/2024</t>
  </si>
  <si>
    <t>Emp_1575</t>
  </si>
  <si>
    <t>10/25/2020</t>
  </si>
  <si>
    <t>Emp_1576</t>
  </si>
  <si>
    <t>7/13/2023</t>
  </si>
  <si>
    <t>Emp_1577</t>
  </si>
  <si>
    <t>Emp_1578</t>
  </si>
  <si>
    <t>Emp_1579</t>
  </si>
  <si>
    <t>Emp_1580</t>
  </si>
  <si>
    <t>Emp_1581</t>
  </si>
  <si>
    <t>Emp_1582</t>
  </si>
  <si>
    <t>Emp_1583</t>
  </si>
  <si>
    <t>5/16/2024</t>
  </si>
  <si>
    <t>Emp_1584</t>
  </si>
  <si>
    <t>Emp_1585</t>
  </si>
  <si>
    <t>11/22/2020</t>
  </si>
  <si>
    <t>Emp_1586</t>
  </si>
  <si>
    <t>Emp_1587</t>
  </si>
  <si>
    <t>Emp_1588</t>
  </si>
  <si>
    <t>Emp_1589</t>
  </si>
  <si>
    <t>Emp_1590</t>
  </si>
  <si>
    <t>Emp_1591</t>
  </si>
  <si>
    <t>Emp_1592</t>
  </si>
  <si>
    <t>10/31/2021</t>
  </si>
  <si>
    <t>Emp_1593</t>
  </si>
  <si>
    <t>6/23/2018</t>
  </si>
  <si>
    <t>Emp_1594</t>
  </si>
  <si>
    <t>Emp_1595</t>
  </si>
  <si>
    <t>10/13/2024</t>
  </si>
  <si>
    <t>Emp_1596</t>
  </si>
  <si>
    <t>Emp_1597</t>
  </si>
  <si>
    <t>Emp_1598</t>
  </si>
  <si>
    <t>Emp_1599</t>
  </si>
  <si>
    <t>Emp_1600</t>
  </si>
  <si>
    <t>12/29/2019</t>
  </si>
  <si>
    <t>Emp_1601</t>
  </si>
  <si>
    <t>Emp_1602</t>
  </si>
  <si>
    <t>7/30/2022</t>
  </si>
  <si>
    <t>Emp_1603</t>
  </si>
  <si>
    <t>Emp_1604</t>
  </si>
  <si>
    <t>10/30/2021</t>
  </si>
  <si>
    <t>Emp_1605</t>
  </si>
  <si>
    <t>8/20/2024</t>
  </si>
  <si>
    <t>Emp_1606</t>
  </si>
  <si>
    <t>3/26/2022</t>
  </si>
  <si>
    <t>Emp_1607</t>
  </si>
  <si>
    <t>Emp_1608</t>
  </si>
  <si>
    <t>Emp_1609</t>
  </si>
  <si>
    <t>Emp_1610</t>
  </si>
  <si>
    <t>Emp_1611</t>
  </si>
  <si>
    <t>9/25/2020</t>
  </si>
  <si>
    <t>Emp_1612</t>
  </si>
  <si>
    <t>Emp_1613</t>
  </si>
  <si>
    <t>Emp_1614</t>
  </si>
  <si>
    <t>11/24/2024</t>
  </si>
  <si>
    <t>Emp_1615</t>
  </si>
  <si>
    <t>Emp_1616</t>
  </si>
  <si>
    <t>Emp_1617</t>
  </si>
  <si>
    <t>Emp_1618</t>
  </si>
  <si>
    <t>Emp_1619</t>
  </si>
  <si>
    <t>Emp_1620</t>
  </si>
  <si>
    <t>6/14/2021</t>
  </si>
  <si>
    <t>Emp_1621</t>
  </si>
  <si>
    <t>Emp_1622</t>
  </si>
  <si>
    <t>Emp_1623</t>
  </si>
  <si>
    <t>Emp_1624</t>
  </si>
  <si>
    <t>6/23/2022</t>
  </si>
  <si>
    <t>Emp_1625</t>
  </si>
  <si>
    <t>Emp_1626</t>
  </si>
  <si>
    <t>Emp_1627</t>
  </si>
  <si>
    <t>Emp_1628</t>
  </si>
  <si>
    <t>Emp_1629</t>
  </si>
  <si>
    <t>Emp_1630</t>
  </si>
  <si>
    <t>1/14/2018</t>
  </si>
  <si>
    <t>Emp_1631</t>
  </si>
  <si>
    <t>Emp_1632</t>
  </si>
  <si>
    <t>7/14/2024</t>
  </si>
  <si>
    <t>Emp_1633</t>
  </si>
  <si>
    <t>Emp_1634</t>
  </si>
  <si>
    <t>1/27/2018</t>
  </si>
  <si>
    <t>Emp_1635</t>
  </si>
  <si>
    <t>Emp_1636</t>
  </si>
  <si>
    <t>9/15/2018</t>
  </si>
  <si>
    <t>Emp_1637</t>
  </si>
  <si>
    <t>Emp_1638</t>
  </si>
  <si>
    <t>Emp_1639</t>
  </si>
  <si>
    <t>Emp_1640</t>
  </si>
  <si>
    <t>Emp_1641</t>
  </si>
  <si>
    <t>Emp_1642</t>
  </si>
  <si>
    <t>9/14/2018</t>
  </si>
  <si>
    <t>Emp_1643</t>
  </si>
  <si>
    <t>Emp_1644</t>
  </si>
  <si>
    <t>Emp_1645</t>
  </si>
  <si>
    <t>7/17/2018</t>
  </si>
  <si>
    <t>Emp_1646</t>
  </si>
  <si>
    <t>7/31/2018</t>
  </si>
  <si>
    <t>Emp_1647</t>
  </si>
  <si>
    <t>Emp_1648</t>
  </si>
  <si>
    <t>Emp_1649</t>
  </si>
  <si>
    <t>9/16/2020</t>
  </si>
  <si>
    <t>Emp_1650</t>
  </si>
  <si>
    <t>1/30/2024</t>
  </si>
  <si>
    <t>Emp_1651</t>
  </si>
  <si>
    <t>2/27/2018</t>
  </si>
  <si>
    <t>Emp_1652</t>
  </si>
  <si>
    <t>Emp_1653</t>
  </si>
  <si>
    <t>Emp_1654</t>
  </si>
  <si>
    <t>Emp_1655</t>
  </si>
  <si>
    <t>7/19/2023</t>
  </si>
  <si>
    <t>Emp_1656</t>
  </si>
  <si>
    <t>Emp_1657</t>
  </si>
  <si>
    <t>3/20/2021</t>
  </si>
  <si>
    <t>Emp_1658</t>
  </si>
  <si>
    <t>Emp_1659</t>
  </si>
  <si>
    <t>4/24/2022</t>
  </si>
  <si>
    <t>Emp_1660</t>
  </si>
  <si>
    <t>Emp_1661</t>
  </si>
  <si>
    <t>Emp_1662</t>
  </si>
  <si>
    <t>1/28/2020</t>
  </si>
  <si>
    <t>Emp_1663</t>
  </si>
  <si>
    <t>Emp_1664</t>
  </si>
  <si>
    <t>Emp_1665</t>
  </si>
  <si>
    <t>1/20/2018</t>
  </si>
  <si>
    <t>Emp_1666</t>
  </si>
  <si>
    <t>Emp_1667</t>
  </si>
  <si>
    <t>Emp_1668</t>
  </si>
  <si>
    <t>5/17/2021</t>
  </si>
  <si>
    <t>Emp_1669</t>
  </si>
  <si>
    <t>Emp_1670</t>
  </si>
  <si>
    <t>8/13/2021</t>
  </si>
  <si>
    <t>Emp_1671</t>
  </si>
  <si>
    <t>Emp_1672</t>
  </si>
  <si>
    <t>6/24/2019</t>
  </si>
  <si>
    <t>Emp_1673</t>
  </si>
  <si>
    <t>1/22/2019</t>
  </si>
  <si>
    <t>Emp_1674</t>
  </si>
  <si>
    <t>Emp_1675</t>
  </si>
  <si>
    <t>Emp_1676</t>
  </si>
  <si>
    <t>Emp_1677</t>
  </si>
  <si>
    <t>4/22/2021</t>
  </si>
  <si>
    <t>Emp_1678</t>
  </si>
  <si>
    <t>Emp_1679</t>
  </si>
  <si>
    <t>Emp_1680</t>
  </si>
  <si>
    <t>1/20/2022</t>
  </si>
  <si>
    <t>Emp_1681</t>
  </si>
  <si>
    <t>1/19/2020</t>
  </si>
  <si>
    <t>Emp_1682</t>
  </si>
  <si>
    <t>2/20/2023</t>
  </si>
  <si>
    <t>Emp_1683</t>
  </si>
  <si>
    <t>Emp_1684</t>
  </si>
  <si>
    <t>Emp_1685</t>
  </si>
  <si>
    <t>10/20/2018</t>
  </si>
  <si>
    <t>Emp_1686</t>
  </si>
  <si>
    <t>Emp_1687</t>
  </si>
  <si>
    <t>Emp_1688</t>
  </si>
  <si>
    <t>Emp_1689</t>
  </si>
  <si>
    <t>Emp_1690</t>
  </si>
  <si>
    <t>Emp_1691</t>
  </si>
  <si>
    <t>Emp_1692</t>
  </si>
  <si>
    <t>Emp_1693</t>
  </si>
  <si>
    <t>Emp_1694</t>
  </si>
  <si>
    <t>Emp_1695</t>
  </si>
  <si>
    <t>Emp_1696</t>
  </si>
  <si>
    <t>Emp_1697</t>
  </si>
  <si>
    <t>Emp_1698</t>
  </si>
  <si>
    <t>Emp_1699</t>
  </si>
  <si>
    <t>6/27/2018</t>
  </si>
  <si>
    <t>Emp_1700</t>
  </si>
  <si>
    <t>2/22/2024</t>
  </si>
  <si>
    <t>Emp_1701</t>
  </si>
  <si>
    <t>Emp_1702</t>
  </si>
  <si>
    <t>6/14/2019</t>
  </si>
  <si>
    <t>Emp_1703</t>
  </si>
  <si>
    <t>Emp_1704</t>
  </si>
  <si>
    <t>7/27/2018</t>
  </si>
  <si>
    <t>Emp_1705</t>
  </si>
  <si>
    <t>8/20/2022</t>
  </si>
  <si>
    <t>Emp_1706</t>
  </si>
  <si>
    <t>Emp_1707</t>
  </si>
  <si>
    <t>Emp_1708</t>
  </si>
  <si>
    <t>Emp_1709</t>
  </si>
  <si>
    <t>6/15/2020</t>
  </si>
  <si>
    <t>Emp_1710</t>
  </si>
  <si>
    <t>9/15/2020</t>
  </si>
  <si>
    <t>Emp_1711</t>
  </si>
  <si>
    <t>Emp_1712</t>
  </si>
  <si>
    <t>Emp_1713</t>
  </si>
  <si>
    <t>10/17/2024</t>
  </si>
  <si>
    <t>Emp_1714</t>
  </si>
  <si>
    <t>Emp_1715</t>
  </si>
  <si>
    <t>4/17/2018</t>
  </si>
  <si>
    <t>Emp_1716</t>
  </si>
  <si>
    <t>Emp_1717</t>
  </si>
  <si>
    <t>Emp_1718</t>
  </si>
  <si>
    <t>5/24/2019</t>
  </si>
  <si>
    <t>Emp_1719</t>
  </si>
  <si>
    <t>6/19/2019</t>
  </si>
  <si>
    <t>Emp_1720</t>
  </si>
  <si>
    <t>Emp_1721</t>
  </si>
  <si>
    <t>Emp_1722</t>
  </si>
  <si>
    <t>11/22/2024</t>
  </si>
  <si>
    <t>Emp_1723</t>
  </si>
  <si>
    <t>Emp_1724</t>
  </si>
  <si>
    <t>Emp_1725</t>
  </si>
  <si>
    <t>Emp_1726</t>
  </si>
  <si>
    <t>Emp_1727</t>
  </si>
  <si>
    <t>Emp_1728</t>
  </si>
  <si>
    <t>Emp_1729</t>
  </si>
  <si>
    <t>Emp_1730</t>
  </si>
  <si>
    <t>Emp_1731</t>
  </si>
  <si>
    <t>1/25/2020</t>
  </si>
  <si>
    <t>Emp_1732</t>
  </si>
  <si>
    <t>Emp_1733</t>
  </si>
  <si>
    <t>Emp_1734</t>
  </si>
  <si>
    <t>Emp_1735</t>
  </si>
  <si>
    <t>Emp_1736</t>
  </si>
  <si>
    <t>Emp_1737</t>
  </si>
  <si>
    <t>8/28/2020</t>
  </si>
  <si>
    <t>Emp_1738</t>
  </si>
  <si>
    <t>Emp_1739</t>
  </si>
  <si>
    <t>10/31/2019</t>
  </si>
  <si>
    <t>Emp_1740</t>
  </si>
  <si>
    <t>Emp_1741</t>
  </si>
  <si>
    <t>Emp_1742</t>
  </si>
  <si>
    <t>Emp_1743</t>
  </si>
  <si>
    <t>Emp_1744</t>
  </si>
  <si>
    <t>Emp_1745</t>
  </si>
  <si>
    <t>2/19/2024</t>
  </si>
  <si>
    <t>Emp_1746</t>
  </si>
  <si>
    <t>6/15/2024</t>
  </si>
  <si>
    <t>Emp_1747</t>
  </si>
  <si>
    <t>Emp_1748</t>
  </si>
  <si>
    <t>Emp_1749</t>
  </si>
  <si>
    <t>Emp_1750</t>
  </si>
  <si>
    <t>Emp_1751</t>
  </si>
  <si>
    <t>2/25/2022</t>
  </si>
  <si>
    <t>Emp_1752</t>
  </si>
  <si>
    <t>Emp_1753</t>
  </si>
  <si>
    <t>7/16/2024</t>
  </si>
  <si>
    <t>Emp_1754</t>
  </si>
  <si>
    <t>Emp_1755</t>
  </si>
  <si>
    <t>Emp_1756</t>
  </si>
  <si>
    <t>Emp_1757</t>
  </si>
  <si>
    <t>Emp_1758</t>
  </si>
  <si>
    <t>Emp_1759</t>
  </si>
  <si>
    <t>Emp_1760</t>
  </si>
  <si>
    <t>Emp_1761</t>
  </si>
  <si>
    <t>Emp_1762</t>
  </si>
  <si>
    <t>3/14/2023</t>
  </si>
  <si>
    <t>Emp_1763</t>
  </si>
  <si>
    <t>Emp_1764</t>
  </si>
  <si>
    <t>3/15/2023</t>
  </si>
  <si>
    <t>Emp_1765</t>
  </si>
  <si>
    <t>7/22/2023</t>
  </si>
  <si>
    <t>Emp_1766</t>
  </si>
  <si>
    <t>Emp_1767</t>
  </si>
  <si>
    <t>3/21/2018</t>
  </si>
  <si>
    <t>Emp_1768</t>
  </si>
  <si>
    <t>Emp_1769</t>
  </si>
  <si>
    <t>Emp_1770</t>
  </si>
  <si>
    <t>Emp_1771</t>
  </si>
  <si>
    <t>Emp_1772</t>
  </si>
  <si>
    <t>12/24/2023</t>
  </si>
  <si>
    <t>Emp_1773</t>
  </si>
  <si>
    <t>Emp_1774</t>
  </si>
  <si>
    <t>Emp_1775</t>
  </si>
  <si>
    <t>Emp_1776</t>
  </si>
  <si>
    <t>Emp_1777</t>
  </si>
  <si>
    <t>Emp_1778</t>
  </si>
  <si>
    <t>Emp_1779</t>
  </si>
  <si>
    <t>5/31/2022</t>
  </si>
  <si>
    <t>Emp_1780</t>
  </si>
  <si>
    <t>Emp_1781</t>
  </si>
  <si>
    <t>Emp_1782</t>
  </si>
  <si>
    <t>Emp_1783</t>
  </si>
  <si>
    <t>Emp_1784</t>
  </si>
  <si>
    <t>10/23/2022</t>
  </si>
  <si>
    <t>Emp_1785</t>
  </si>
  <si>
    <t>Emp_1786</t>
  </si>
  <si>
    <t>Emp_1787</t>
  </si>
  <si>
    <t>Emp_1788</t>
  </si>
  <si>
    <t>Emp_1789</t>
  </si>
  <si>
    <t>Emp_1790</t>
  </si>
  <si>
    <t>Emp_1791</t>
  </si>
  <si>
    <t>Emp_1792</t>
  </si>
  <si>
    <t>Emp_1793</t>
  </si>
  <si>
    <t>Emp_1794</t>
  </si>
  <si>
    <t>Emp_1795</t>
  </si>
  <si>
    <t>Emp_1796</t>
  </si>
  <si>
    <t>Emp_1797</t>
  </si>
  <si>
    <t>Emp_1798</t>
  </si>
  <si>
    <t>Emp_1799</t>
  </si>
  <si>
    <t>Emp_1800</t>
  </si>
  <si>
    <t>11/23/2018</t>
  </si>
  <si>
    <t>Emp_1801</t>
  </si>
  <si>
    <t>11/21/2019</t>
  </si>
  <si>
    <t>Emp_1802</t>
  </si>
  <si>
    <t>Emp_1803</t>
  </si>
  <si>
    <t>Emp_1804</t>
  </si>
  <si>
    <t>Emp_1805</t>
  </si>
  <si>
    <t>3/17/2021</t>
  </si>
  <si>
    <t>Emp_1806</t>
  </si>
  <si>
    <t>Emp_1807</t>
  </si>
  <si>
    <t>Emp_1808</t>
  </si>
  <si>
    <t>Emp_1809</t>
  </si>
  <si>
    <t>3/23/2024</t>
  </si>
  <si>
    <t>Emp_1810</t>
  </si>
  <si>
    <t>Emp_1811</t>
  </si>
  <si>
    <t>10/22/2019</t>
  </si>
  <si>
    <t>Emp_1812</t>
  </si>
  <si>
    <t>4/18/2018</t>
  </si>
  <si>
    <t>Emp_1813</t>
  </si>
  <si>
    <t>Emp_1814</t>
  </si>
  <si>
    <t>3/23/2020</t>
  </si>
  <si>
    <t>Emp_1815</t>
  </si>
  <si>
    <t>Emp_1816</t>
  </si>
  <si>
    <t>3/13/2022</t>
  </si>
  <si>
    <t>Emp_1817</t>
  </si>
  <si>
    <t>Emp_1818</t>
  </si>
  <si>
    <t>Emp_1819</t>
  </si>
  <si>
    <t>Emp_1820</t>
  </si>
  <si>
    <t>Emp_1821</t>
  </si>
  <si>
    <t>Emp_1822</t>
  </si>
  <si>
    <t>8/16/2021</t>
  </si>
  <si>
    <t>Emp_1823</t>
  </si>
  <si>
    <t>Emp_1824</t>
  </si>
  <si>
    <t>Emp_1825</t>
  </si>
  <si>
    <t>6/28/2019</t>
  </si>
  <si>
    <t>Emp_1826</t>
  </si>
  <si>
    <t>Emp_1827</t>
  </si>
  <si>
    <t>Emp_1828</t>
  </si>
  <si>
    <t>Emp_1829</t>
  </si>
  <si>
    <t>1/15/2021</t>
  </si>
  <si>
    <t>Emp_1830</t>
  </si>
  <si>
    <t>8/24/2021</t>
  </si>
  <si>
    <t>Emp_1831</t>
  </si>
  <si>
    <t>5/14/2022</t>
  </si>
  <si>
    <t>Emp_1832</t>
  </si>
  <si>
    <t>6/30/2018</t>
  </si>
  <si>
    <t>Emp_1833</t>
  </si>
  <si>
    <t>Emp_1834</t>
  </si>
  <si>
    <t>11/29/2018</t>
  </si>
  <si>
    <t>Emp_1835</t>
  </si>
  <si>
    <t>Emp_1836</t>
  </si>
  <si>
    <t>Emp_1837</t>
  </si>
  <si>
    <t>2/14/2020</t>
  </si>
  <si>
    <t>Emp_1838</t>
  </si>
  <si>
    <t>Emp_1839</t>
  </si>
  <si>
    <t>8/24/2024</t>
  </si>
  <si>
    <t>Emp_1840</t>
  </si>
  <si>
    <t>Emp_1841</t>
  </si>
  <si>
    <t>Emp_1842</t>
  </si>
  <si>
    <t>Emp_1843</t>
  </si>
  <si>
    <t>Emp_1844</t>
  </si>
  <si>
    <t>Emp_1845</t>
  </si>
  <si>
    <t>4/19/2018</t>
  </si>
  <si>
    <t>Emp_1846</t>
  </si>
  <si>
    <t>Emp_1847</t>
  </si>
  <si>
    <t>Emp_1848</t>
  </si>
  <si>
    <t>4/15/2018</t>
  </si>
  <si>
    <t>Emp_1849</t>
  </si>
  <si>
    <t>Emp_1850</t>
  </si>
  <si>
    <t>Emp_1851</t>
  </si>
  <si>
    <t>Emp_1852</t>
  </si>
  <si>
    <t>Emp_1853</t>
  </si>
  <si>
    <t>Emp_1854</t>
  </si>
  <si>
    <t>1/21/2018</t>
  </si>
  <si>
    <t>Emp_1855</t>
  </si>
  <si>
    <t>1/23/2023</t>
  </si>
  <si>
    <t>Emp_1856</t>
  </si>
  <si>
    <t>Emp_1857</t>
  </si>
  <si>
    <t>6/17/2019</t>
  </si>
  <si>
    <t>Emp_1858</t>
  </si>
  <si>
    <t>Emp_1859</t>
  </si>
  <si>
    <t>Emp_1860</t>
  </si>
  <si>
    <t>Emp_1861</t>
  </si>
  <si>
    <t>9/29/2020</t>
  </si>
  <si>
    <t>Emp_1862</t>
  </si>
  <si>
    <t>Emp_1863</t>
  </si>
  <si>
    <t>11/27/2022</t>
  </si>
  <si>
    <t>Emp_1864</t>
  </si>
  <si>
    <t>Emp_1865</t>
  </si>
  <si>
    <t>3/28/2022</t>
  </si>
  <si>
    <t>Emp_1866</t>
  </si>
  <si>
    <t>Emp_1867</t>
  </si>
  <si>
    <t>Emp_1868</t>
  </si>
  <si>
    <t>Emp_1869</t>
  </si>
  <si>
    <t>11/25/2023</t>
  </si>
  <si>
    <t>Emp_1870</t>
  </si>
  <si>
    <t>Emp_1871</t>
  </si>
  <si>
    <t>Emp_1872</t>
  </si>
  <si>
    <t>11/25/2024</t>
  </si>
  <si>
    <t>Emp_1873</t>
  </si>
  <si>
    <t>Emp_1874</t>
  </si>
  <si>
    <t>Emp_1875</t>
  </si>
  <si>
    <t>Emp_1876</t>
  </si>
  <si>
    <t>Emp_1877</t>
  </si>
  <si>
    <t>Emp_1878</t>
  </si>
  <si>
    <t>Emp_1879</t>
  </si>
  <si>
    <t>3/29/2022</t>
  </si>
  <si>
    <t>Emp_1880</t>
  </si>
  <si>
    <t>12/24/2022</t>
  </si>
  <si>
    <t>Emp_1881</t>
  </si>
  <si>
    <t>4/16/2019</t>
  </si>
  <si>
    <t>Emp_1882</t>
  </si>
  <si>
    <t>Emp_1883</t>
  </si>
  <si>
    <t>12/15/2018</t>
  </si>
  <si>
    <t>Emp_1884</t>
  </si>
  <si>
    <t>4/25/2020</t>
  </si>
  <si>
    <t>Emp_1885</t>
  </si>
  <si>
    <t>Emp_1886</t>
  </si>
  <si>
    <t>Emp_1887</t>
  </si>
  <si>
    <t>1/20/2020</t>
  </si>
  <si>
    <t>Emp_1888</t>
  </si>
  <si>
    <t>Emp_1889</t>
  </si>
  <si>
    <t>10/23/2021</t>
  </si>
  <si>
    <t>Emp_1890</t>
  </si>
  <si>
    <t>Emp_1891</t>
  </si>
  <si>
    <t>5/30/2023</t>
  </si>
  <si>
    <t>Emp_1892</t>
  </si>
  <si>
    <t>Emp_1893</t>
  </si>
  <si>
    <t>6/25/2022</t>
  </si>
  <si>
    <t>Emp_1894</t>
  </si>
  <si>
    <t>Emp_1895</t>
  </si>
  <si>
    <t>8/16/2022</t>
  </si>
  <si>
    <t>Emp_1896</t>
  </si>
  <si>
    <t>Emp_1897</t>
  </si>
  <si>
    <t>Emp_1898</t>
  </si>
  <si>
    <t>Emp_1899</t>
  </si>
  <si>
    <t>Emp_1900</t>
  </si>
  <si>
    <t>Emp_1901</t>
  </si>
  <si>
    <t>Emp_1902</t>
  </si>
  <si>
    <t>Emp_1903</t>
  </si>
  <si>
    <t>Emp_1904</t>
  </si>
  <si>
    <t>Emp_1905</t>
  </si>
  <si>
    <t>4/24/2019</t>
  </si>
  <si>
    <t>Emp_1906</t>
  </si>
  <si>
    <t>Emp_1907</t>
  </si>
  <si>
    <t>Emp_1908</t>
  </si>
  <si>
    <t>Emp_1909</t>
  </si>
  <si>
    <t>Emp_1910</t>
  </si>
  <si>
    <t>Emp_1911</t>
  </si>
  <si>
    <t>Emp_1912</t>
  </si>
  <si>
    <t>Emp_1913</t>
  </si>
  <si>
    <t>Emp_1914</t>
  </si>
  <si>
    <t>Emp_1915</t>
  </si>
  <si>
    <t>Emp_1916</t>
  </si>
  <si>
    <t>Emp_1917</t>
  </si>
  <si>
    <t>Emp_1918</t>
  </si>
  <si>
    <t>12/15/2021</t>
  </si>
  <si>
    <t>Emp_1919</t>
  </si>
  <si>
    <t>7/29/2020</t>
  </si>
  <si>
    <t>Emp_1920</t>
  </si>
  <si>
    <t>Emp_1921</t>
  </si>
  <si>
    <t>Emp_1922</t>
  </si>
  <si>
    <t>Emp_1923</t>
  </si>
  <si>
    <t>Emp_1924</t>
  </si>
  <si>
    <t>Emp_1925</t>
  </si>
  <si>
    <t>11/26/2024</t>
  </si>
  <si>
    <t>Emp_1926</t>
  </si>
  <si>
    <t>Emp_1927</t>
  </si>
  <si>
    <t>Emp_1928</t>
  </si>
  <si>
    <t>Emp_1929</t>
  </si>
  <si>
    <t>Emp_1930</t>
  </si>
  <si>
    <t>1/31/2020</t>
  </si>
  <si>
    <t>Emp_1931</t>
  </si>
  <si>
    <t>9/20/2019</t>
  </si>
  <si>
    <t>Emp_1932</t>
  </si>
  <si>
    <t>Emp_1933</t>
  </si>
  <si>
    <t>Emp_1934</t>
  </si>
  <si>
    <t>Emp_1935</t>
  </si>
  <si>
    <t>Emp_1936</t>
  </si>
  <si>
    <t>Emp_1937</t>
  </si>
  <si>
    <t>Emp_1938</t>
  </si>
  <si>
    <t>Emp_1939</t>
  </si>
  <si>
    <t>Emp_1940</t>
  </si>
  <si>
    <t>Emp_1941</t>
  </si>
  <si>
    <t>5/16/2019</t>
  </si>
  <si>
    <t>Emp_1942</t>
  </si>
  <si>
    <t>Emp_1943</t>
  </si>
  <si>
    <t>Emp_1944</t>
  </si>
  <si>
    <t>6/16/2022</t>
  </si>
  <si>
    <t>Emp_1945</t>
  </si>
  <si>
    <t>Emp_1946</t>
  </si>
  <si>
    <t>4/19/2019</t>
  </si>
  <si>
    <t>Emp_1947</t>
  </si>
  <si>
    <t>Emp_1948</t>
  </si>
  <si>
    <t>Emp_1949</t>
  </si>
  <si>
    <t>Emp_1950</t>
  </si>
  <si>
    <t>Emp_1951</t>
  </si>
  <si>
    <t>Emp_1952</t>
  </si>
  <si>
    <t>Emp_1953</t>
  </si>
  <si>
    <t>Emp_1954</t>
  </si>
  <si>
    <t>Emp_1955</t>
  </si>
  <si>
    <t>Emp_1956</t>
  </si>
  <si>
    <t>Emp_1957</t>
  </si>
  <si>
    <t>Emp_1958</t>
  </si>
  <si>
    <t>Emp_1959</t>
  </si>
  <si>
    <t>4/20/2018</t>
  </si>
  <si>
    <t>Emp_1960</t>
  </si>
  <si>
    <t>Emp_1961</t>
  </si>
  <si>
    <t>Emp_1962</t>
  </si>
  <si>
    <t>Emp_1963</t>
  </si>
  <si>
    <t>Emp_1964</t>
  </si>
  <si>
    <t>Emp_1965</t>
  </si>
  <si>
    <t>Emp_1966</t>
  </si>
  <si>
    <t>Emp_1967</t>
  </si>
  <si>
    <t>Emp_1968</t>
  </si>
  <si>
    <t>9/19/2024</t>
  </si>
  <si>
    <t>Emp_1969</t>
  </si>
  <si>
    <t>Emp_1970</t>
  </si>
  <si>
    <t>Emp_1971</t>
  </si>
  <si>
    <t>Emp_1972</t>
  </si>
  <si>
    <t>Emp_1973</t>
  </si>
  <si>
    <t>5/23/2020</t>
  </si>
  <si>
    <t>Emp_1974</t>
  </si>
  <si>
    <t>Emp_1975</t>
  </si>
  <si>
    <t>3/29/2019</t>
  </si>
  <si>
    <t>Emp_1976</t>
  </si>
  <si>
    <t>Emp_1977</t>
  </si>
  <si>
    <t>Emp_1978</t>
  </si>
  <si>
    <t>Emp_1979</t>
  </si>
  <si>
    <t>Emp_1980</t>
  </si>
  <si>
    <t>Emp_1981</t>
  </si>
  <si>
    <t>Emp_1982</t>
  </si>
  <si>
    <t>Emp_1983</t>
  </si>
  <si>
    <t>Emp_1984</t>
  </si>
  <si>
    <t>Emp_1985</t>
  </si>
  <si>
    <t>Emp_1986</t>
  </si>
  <si>
    <t>1/15/2023</t>
  </si>
  <si>
    <t>Emp_1987</t>
  </si>
  <si>
    <t>Emp_1988</t>
  </si>
  <si>
    <t>Emp_1989</t>
  </si>
  <si>
    <t>2/18/2019</t>
  </si>
  <si>
    <t>Emp_1990</t>
  </si>
  <si>
    <t>11/25/2019</t>
  </si>
  <si>
    <t>Emp_1991</t>
  </si>
  <si>
    <t>6/20/2024</t>
  </si>
  <si>
    <t>Emp_1992</t>
  </si>
  <si>
    <t>12/17/2023</t>
  </si>
  <si>
    <t>Emp_1993</t>
  </si>
  <si>
    <t>3/22/2021</t>
  </si>
  <si>
    <t>Emp_1994</t>
  </si>
  <si>
    <t>5/19/2020</t>
  </si>
  <si>
    <t>Emp_1995</t>
  </si>
  <si>
    <t>Emp_1996</t>
  </si>
  <si>
    <t>Emp_1997</t>
  </si>
  <si>
    <t>Emp_1998</t>
  </si>
  <si>
    <t>Emp_1999</t>
  </si>
  <si>
    <t>Emp_2000</t>
  </si>
  <si>
    <t>Emp_2001</t>
  </si>
  <si>
    <t>Emp_2002</t>
  </si>
  <si>
    <t>Emp_2003</t>
  </si>
  <si>
    <t>Emp_2004</t>
  </si>
  <si>
    <t>10/30/2019</t>
  </si>
  <si>
    <t>Emp_2005</t>
  </si>
  <si>
    <t>12/13/2020</t>
  </si>
  <si>
    <t>Emp_2006</t>
  </si>
  <si>
    <t>Emp_2007</t>
  </si>
  <si>
    <t>Emp_2008</t>
  </si>
  <si>
    <t>Emp_2009</t>
  </si>
  <si>
    <t>Emp_2010</t>
  </si>
  <si>
    <t>10/31/2022</t>
  </si>
  <si>
    <t>Emp_2011</t>
  </si>
  <si>
    <t>Emp_2012</t>
  </si>
  <si>
    <t>3/30/2020</t>
  </si>
  <si>
    <t>Emp_2013</t>
  </si>
  <si>
    <t>2/26/2023</t>
  </si>
  <si>
    <t>Emp_2014</t>
  </si>
  <si>
    <t>Emp_2015</t>
  </si>
  <si>
    <t>Emp_2016</t>
  </si>
  <si>
    <t>10/21/2019</t>
  </si>
  <si>
    <t>Emp_2017</t>
  </si>
  <si>
    <t>Emp_2018</t>
  </si>
  <si>
    <t>7/17/2021</t>
  </si>
  <si>
    <t>Emp_2019</t>
  </si>
  <si>
    <t>2/19/2022</t>
  </si>
  <si>
    <t>Emp_2020</t>
  </si>
  <si>
    <t>3/29/2024</t>
  </si>
  <si>
    <t>Emp_2021</t>
  </si>
  <si>
    <t>Emp_2022</t>
  </si>
  <si>
    <t>Emp_2023</t>
  </si>
  <si>
    <t>Emp_2024</t>
  </si>
  <si>
    <t>Emp_2025</t>
  </si>
  <si>
    <t>Emp_2026</t>
  </si>
  <si>
    <t>Emp_2027</t>
  </si>
  <si>
    <t>8/22/2019</t>
  </si>
  <si>
    <t>Emp_2028</t>
  </si>
  <si>
    <t>Emp_2029</t>
  </si>
  <si>
    <t>10/28/2024</t>
  </si>
  <si>
    <t>Emp_2030</t>
  </si>
  <si>
    <t>Emp_2031</t>
  </si>
  <si>
    <t>Emp_2032</t>
  </si>
  <si>
    <t>Emp_2033</t>
  </si>
  <si>
    <t>Emp_2034</t>
  </si>
  <si>
    <t>2/14/2021</t>
  </si>
  <si>
    <t>Emp_2035</t>
  </si>
  <si>
    <t>Emp_2036</t>
  </si>
  <si>
    <t>Emp_2037</t>
  </si>
  <si>
    <t>Emp_2038</t>
  </si>
  <si>
    <t>Emp_2039</t>
  </si>
  <si>
    <t>1/21/2020</t>
  </si>
  <si>
    <t>Emp_2040</t>
  </si>
  <si>
    <t>Emp_2041</t>
  </si>
  <si>
    <t>Emp_2042</t>
  </si>
  <si>
    <t>4/25/2019</t>
  </si>
  <si>
    <t>Emp_2043</t>
  </si>
  <si>
    <t>11/16/2019</t>
  </si>
  <si>
    <t>Emp_2044</t>
  </si>
  <si>
    <t>10/14/2022</t>
  </si>
  <si>
    <t>Emp_2045</t>
  </si>
  <si>
    <t>Emp_2046</t>
  </si>
  <si>
    <t>Emp_2047</t>
  </si>
  <si>
    <t>Emp_2048</t>
  </si>
  <si>
    <t>2/16/2024</t>
  </si>
  <si>
    <t>Emp_2049</t>
  </si>
  <si>
    <t>Emp_2050</t>
  </si>
  <si>
    <t>Emp_2051</t>
  </si>
  <si>
    <t>Emp_2052</t>
  </si>
  <si>
    <t>10/23/2019</t>
  </si>
  <si>
    <t>Emp_2053</t>
  </si>
  <si>
    <t>Emp_2054</t>
  </si>
  <si>
    <t>Emp_2055</t>
  </si>
  <si>
    <t>Emp_2056</t>
  </si>
  <si>
    <t>12/31/2023</t>
  </si>
  <si>
    <t>Emp_2057</t>
  </si>
  <si>
    <t>4/17/2022</t>
  </si>
  <si>
    <t>Emp_2058</t>
  </si>
  <si>
    <t>3/13/2024</t>
  </si>
  <si>
    <t>Emp_2059</t>
  </si>
  <si>
    <t>12/18/2024</t>
  </si>
  <si>
    <t>Emp_2060</t>
  </si>
  <si>
    <t>Emp_2061</t>
  </si>
  <si>
    <t>Emp_2062</t>
  </si>
  <si>
    <t>Emp_2063</t>
  </si>
  <si>
    <t>Emp_2064</t>
  </si>
  <si>
    <t>8/25/2022</t>
  </si>
  <si>
    <t>Emp_2065</t>
  </si>
  <si>
    <t>Emp_2066</t>
  </si>
  <si>
    <t>Emp_2067</t>
  </si>
  <si>
    <t>6/28/2022</t>
  </si>
  <si>
    <t>Emp_2068</t>
  </si>
  <si>
    <t>Emp_2069</t>
  </si>
  <si>
    <t>Emp_2070</t>
  </si>
  <si>
    <t>1/22/2024</t>
  </si>
  <si>
    <t>Emp_2071</t>
  </si>
  <si>
    <t>9/13/2022</t>
  </si>
  <si>
    <t>Emp_2072</t>
  </si>
  <si>
    <t>Emp_2073</t>
  </si>
  <si>
    <t>Emp_2074</t>
  </si>
  <si>
    <t>Emp_2075</t>
  </si>
  <si>
    <t>11/21/2018</t>
  </si>
  <si>
    <t>Emp_2076</t>
  </si>
  <si>
    <t>Emp_2077</t>
  </si>
  <si>
    <t>Emp_2078</t>
  </si>
  <si>
    <t>Emp_2079</t>
  </si>
  <si>
    <t>5/19/2019</t>
  </si>
  <si>
    <t>Emp_2080</t>
  </si>
  <si>
    <t>Emp_2081</t>
  </si>
  <si>
    <t>Emp_2082</t>
  </si>
  <si>
    <t>Emp_2083</t>
  </si>
  <si>
    <t>Emp_2084</t>
  </si>
  <si>
    <t>Emp_2085</t>
  </si>
  <si>
    <t>8/23/2024</t>
  </si>
  <si>
    <t>Emp_2086</t>
  </si>
  <si>
    <t>Emp_2087</t>
  </si>
  <si>
    <t>Emp_2088</t>
  </si>
  <si>
    <t>Emp_2089</t>
  </si>
  <si>
    <t>1/18/2019</t>
  </si>
  <si>
    <t>Emp_2090</t>
  </si>
  <si>
    <t>Emp_2091</t>
  </si>
  <si>
    <t>Emp_2092</t>
  </si>
  <si>
    <t>1/17/2018</t>
  </si>
  <si>
    <t>Emp_2093</t>
  </si>
  <si>
    <t>Emp_2094</t>
  </si>
  <si>
    <t>Emp_2095</t>
  </si>
  <si>
    <t>11/17/2022</t>
  </si>
  <si>
    <t>Emp_2096</t>
  </si>
  <si>
    <t>Emp_2097</t>
  </si>
  <si>
    <t>Emp_2098</t>
  </si>
  <si>
    <t>Emp_2099</t>
  </si>
  <si>
    <t>12/29/2020</t>
  </si>
  <si>
    <t>Emp_2100</t>
  </si>
  <si>
    <t>Emp_2101</t>
  </si>
  <si>
    <t>11/19/2024</t>
  </si>
  <si>
    <t>Emp_2102</t>
  </si>
  <si>
    <t>Emp_2103</t>
  </si>
  <si>
    <t>Emp_2104</t>
  </si>
  <si>
    <t>4/25/2018</t>
  </si>
  <si>
    <t>Emp_2105</t>
  </si>
  <si>
    <t>Emp_2106</t>
  </si>
  <si>
    <t>Emp_2107</t>
  </si>
  <si>
    <t>Emp_2108</t>
  </si>
  <si>
    <t>6/16/2020</t>
  </si>
  <si>
    <t>Emp_2109</t>
  </si>
  <si>
    <t>Emp_2110</t>
  </si>
  <si>
    <t>Emp_2111</t>
  </si>
  <si>
    <t>11/19/2018</t>
  </si>
  <si>
    <t>Emp_2112</t>
  </si>
  <si>
    <t>Emp_2113</t>
  </si>
  <si>
    <t>Emp_2114</t>
  </si>
  <si>
    <t>Emp_2115</t>
  </si>
  <si>
    <t>6/29/2020</t>
  </si>
  <si>
    <t>Emp_2116</t>
  </si>
  <si>
    <t>Emp_2117</t>
  </si>
  <si>
    <t>Emp_2118</t>
  </si>
  <si>
    <t>8/23/2018</t>
  </si>
  <si>
    <t>Emp_2119</t>
  </si>
  <si>
    <t>1/30/2020</t>
  </si>
  <si>
    <t>Emp_2120</t>
  </si>
  <si>
    <t>4/18/2022</t>
  </si>
  <si>
    <t>Emp_2121</t>
  </si>
  <si>
    <t>Emp_2122</t>
  </si>
  <si>
    <t>Emp_2123</t>
  </si>
  <si>
    <t>5/14/2020</t>
  </si>
  <si>
    <t>Emp_2124</t>
  </si>
  <si>
    <t>Emp_2125</t>
  </si>
  <si>
    <t>Emp_2126</t>
  </si>
  <si>
    <t>Emp_2127</t>
  </si>
  <si>
    <t>Emp_2128</t>
  </si>
  <si>
    <t>Emp_2129</t>
  </si>
  <si>
    <t>6/18/2018</t>
  </si>
  <si>
    <t>Emp_2130</t>
  </si>
  <si>
    <t>Emp_2131</t>
  </si>
  <si>
    <t>Emp_2132</t>
  </si>
  <si>
    <t>Emp_2133</t>
  </si>
  <si>
    <t>2/24/2020</t>
  </si>
  <si>
    <t>Emp_2134</t>
  </si>
  <si>
    <t>9/27/2022</t>
  </si>
  <si>
    <t>Emp_2135</t>
  </si>
  <si>
    <t>Emp_2136</t>
  </si>
  <si>
    <t>Emp_2137</t>
  </si>
  <si>
    <t>Emp_2138</t>
  </si>
  <si>
    <t>Emp_2139</t>
  </si>
  <si>
    <t>9/26/2021</t>
  </si>
  <si>
    <t>Emp_2140</t>
  </si>
  <si>
    <t>Emp_2141</t>
  </si>
  <si>
    <t>Emp_2142</t>
  </si>
  <si>
    <t>Emp_2143</t>
  </si>
  <si>
    <t>5/25/2024</t>
  </si>
  <si>
    <t>Emp_2144</t>
  </si>
  <si>
    <t>Emp_2145</t>
  </si>
  <si>
    <t>Emp_2146</t>
  </si>
  <si>
    <t>Emp_2147</t>
  </si>
  <si>
    <t>Emp_2148</t>
  </si>
  <si>
    <t>8/29/2022</t>
  </si>
  <si>
    <t>Emp_2149</t>
  </si>
  <si>
    <t>Emp_2150</t>
  </si>
  <si>
    <t>Emp_2151</t>
  </si>
  <si>
    <t>Emp_2152</t>
  </si>
  <si>
    <t>Emp_2153</t>
  </si>
  <si>
    <t>Emp_2154</t>
  </si>
  <si>
    <t>Emp_2155</t>
  </si>
  <si>
    <t>Emp_2156</t>
  </si>
  <si>
    <t>Emp_2157</t>
  </si>
  <si>
    <t>11/22/2023</t>
  </si>
  <si>
    <t>Emp_2158</t>
  </si>
  <si>
    <t>Emp_2159</t>
  </si>
  <si>
    <t>9/18/2023</t>
  </si>
  <si>
    <t>Emp_2160</t>
  </si>
  <si>
    <t>Emp_2161</t>
  </si>
  <si>
    <t>Emp_2162</t>
  </si>
  <si>
    <t>3/24/2018</t>
  </si>
  <si>
    <t>Emp_2163</t>
  </si>
  <si>
    <t>7/25/2019</t>
  </si>
  <si>
    <t>Emp_2164</t>
  </si>
  <si>
    <t>Emp_2165</t>
  </si>
  <si>
    <t>Emp_2166</t>
  </si>
  <si>
    <t>Emp_2167</t>
  </si>
  <si>
    <t>11/28/2024</t>
  </si>
  <si>
    <t>Emp_2168</t>
  </si>
  <si>
    <t>Emp_2169</t>
  </si>
  <si>
    <t>Emp_2170</t>
  </si>
  <si>
    <t>11/24/2019</t>
  </si>
  <si>
    <t>Emp_2171</t>
  </si>
  <si>
    <t>Emp_2172</t>
  </si>
  <si>
    <t>9/25/2021</t>
  </si>
  <si>
    <t>Emp_2173</t>
  </si>
  <si>
    <t>Emp_2174</t>
  </si>
  <si>
    <t>Emp_2175</t>
  </si>
  <si>
    <t>Emp_2176</t>
  </si>
  <si>
    <t>6/21/2018</t>
  </si>
  <si>
    <t>Emp_2177</t>
  </si>
  <si>
    <t>Emp_2178</t>
  </si>
  <si>
    <t>Emp_2179</t>
  </si>
  <si>
    <t>4/14/2024</t>
  </si>
  <si>
    <t>Emp_2180</t>
  </si>
  <si>
    <t>3/29/2018</t>
  </si>
  <si>
    <t>Emp_2181</t>
  </si>
  <si>
    <t>Emp_2182</t>
  </si>
  <si>
    <t>5/30/2018</t>
  </si>
  <si>
    <t>Emp_2183</t>
  </si>
  <si>
    <t>Emp_2184</t>
  </si>
  <si>
    <t>Emp_2185</t>
  </si>
  <si>
    <t>9/28/2023</t>
  </si>
  <si>
    <t>Emp_2186</t>
  </si>
  <si>
    <t>Emp_2187</t>
  </si>
  <si>
    <t>Emp_2188</t>
  </si>
  <si>
    <t>Emp_2189</t>
  </si>
  <si>
    <t>6/23/2024</t>
  </si>
  <si>
    <t>Emp_2190</t>
  </si>
  <si>
    <t>Emp_2191</t>
  </si>
  <si>
    <t>Emp_2192</t>
  </si>
  <si>
    <t>11/27/2019</t>
  </si>
  <si>
    <t>Emp_2193</t>
  </si>
  <si>
    <t>5/13/2019</t>
  </si>
  <si>
    <t>Emp_2194</t>
  </si>
  <si>
    <t>Emp_2195</t>
  </si>
  <si>
    <t>Emp_2196</t>
  </si>
  <si>
    <t>Emp_2197</t>
  </si>
  <si>
    <t>4/30/2019</t>
  </si>
  <si>
    <t>Emp_2198</t>
  </si>
  <si>
    <t>Emp_2199</t>
  </si>
  <si>
    <t>Emp_2200</t>
  </si>
  <si>
    <t>12/28/2019</t>
  </si>
  <si>
    <t>Emp_2201</t>
  </si>
  <si>
    <t>Emp_2202</t>
  </si>
  <si>
    <t>10/19/2020</t>
  </si>
  <si>
    <t>Emp_2203</t>
  </si>
  <si>
    <t>Emp_2204</t>
  </si>
  <si>
    <t>2/21/2020</t>
  </si>
  <si>
    <t>Emp_2205</t>
  </si>
  <si>
    <t>Emp_2206</t>
  </si>
  <si>
    <t>Emp_2207</t>
  </si>
  <si>
    <t>Emp_2208</t>
  </si>
  <si>
    <t>Emp_2209</t>
  </si>
  <si>
    <t>Emp_2210</t>
  </si>
  <si>
    <t>Emp_2211</t>
  </si>
  <si>
    <t>3/17/2020</t>
  </si>
  <si>
    <t>Emp_2212</t>
  </si>
  <si>
    <t>2/20/2020</t>
  </si>
  <si>
    <t>Emp_2213</t>
  </si>
  <si>
    <t>Emp_2214</t>
  </si>
  <si>
    <t>Emp_2215</t>
  </si>
  <si>
    <t>2/21/2019</t>
  </si>
  <si>
    <t>Emp_2216</t>
  </si>
  <si>
    <t>Emp_2217</t>
  </si>
  <si>
    <t>Emp_2218</t>
  </si>
  <si>
    <t>Emp_2219</t>
  </si>
  <si>
    <t>Emp_2220</t>
  </si>
  <si>
    <t>Emp_2221</t>
  </si>
  <si>
    <t>Emp_2222</t>
  </si>
  <si>
    <t>Emp_2223</t>
  </si>
  <si>
    <t>Emp_2224</t>
  </si>
  <si>
    <t>Emp_2225</t>
  </si>
  <si>
    <t>Emp_2226</t>
  </si>
  <si>
    <t>Emp_2227</t>
  </si>
  <si>
    <t>Emp_2228</t>
  </si>
  <si>
    <t>Emp_2229</t>
  </si>
  <si>
    <t>Emp_2230</t>
  </si>
  <si>
    <t>Emp_2231</t>
  </si>
  <si>
    <t>Emp_2232</t>
  </si>
  <si>
    <t>Emp_2233</t>
  </si>
  <si>
    <t>Emp_2234</t>
  </si>
  <si>
    <t>11/28/2022</t>
  </si>
  <si>
    <t>Emp_2235</t>
  </si>
  <si>
    <t>Emp_2236</t>
  </si>
  <si>
    <t>Emp_2237</t>
  </si>
  <si>
    <t>Emp_2238</t>
  </si>
  <si>
    <t>5/28/2020</t>
  </si>
  <si>
    <t>Emp_2239</t>
  </si>
  <si>
    <t>1/23/2024</t>
  </si>
  <si>
    <t>Emp_2240</t>
  </si>
  <si>
    <t>Emp_2241</t>
  </si>
  <si>
    <t>Emp_2242</t>
  </si>
  <si>
    <t>8/21/2021</t>
  </si>
  <si>
    <t>Emp_2243</t>
  </si>
  <si>
    <t>Emp_2244</t>
  </si>
  <si>
    <t>Emp_2245</t>
  </si>
  <si>
    <t>8/27/2018</t>
  </si>
  <si>
    <t>Emp_2246</t>
  </si>
  <si>
    <t>4/22/2023</t>
  </si>
  <si>
    <t>Emp_2247</t>
  </si>
  <si>
    <t>Emp_2248</t>
  </si>
  <si>
    <t>1/22/2020</t>
  </si>
  <si>
    <t>Emp_2249</t>
  </si>
  <si>
    <t>7/24/2024</t>
  </si>
  <si>
    <t>Emp_2250</t>
  </si>
  <si>
    <t>5/21/2022</t>
  </si>
  <si>
    <t>Emp_2251</t>
  </si>
  <si>
    <t>Emp_2252</t>
  </si>
  <si>
    <t>Emp_2253</t>
  </si>
  <si>
    <t>Emp_2254</t>
  </si>
  <si>
    <t>Emp_2255</t>
  </si>
  <si>
    <t>Emp_2256</t>
  </si>
  <si>
    <t>Emp_2257</t>
  </si>
  <si>
    <t>Emp_2258</t>
  </si>
  <si>
    <t>Emp_2259</t>
  </si>
  <si>
    <t>Emp_2260</t>
  </si>
  <si>
    <t>Emp_2261</t>
  </si>
  <si>
    <t>Emp_2262</t>
  </si>
  <si>
    <t>Emp_2263</t>
  </si>
  <si>
    <t>12/22/2019</t>
  </si>
  <si>
    <t>Emp_2264</t>
  </si>
  <si>
    <t>4/14/2021</t>
  </si>
  <si>
    <t>Emp_2265</t>
  </si>
  <si>
    <t>Emp_2266</t>
  </si>
  <si>
    <t>Emp_2267</t>
  </si>
  <si>
    <t>Emp_2268</t>
  </si>
  <si>
    <t>6/30/2023</t>
  </si>
  <si>
    <t>Emp_2269</t>
  </si>
  <si>
    <t>12/19/2022</t>
  </si>
  <si>
    <t>Emp_2270</t>
  </si>
  <si>
    <t>Emp_2271</t>
  </si>
  <si>
    <t>Emp_2272</t>
  </si>
  <si>
    <t>Emp_2273</t>
  </si>
  <si>
    <t>12/30/2019</t>
  </si>
  <si>
    <t>Emp_2274</t>
  </si>
  <si>
    <t>Emp_2275</t>
  </si>
  <si>
    <t>Emp_2276</t>
  </si>
  <si>
    <t>Emp_2277</t>
  </si>
  <si>
    <t>Emp_2278</t>
  </si>
  <si>
    <t>2/20/2022</t>
  </si>
  <si>
    <t>Emp_2279</t>
  </si>
  <si>
    <t>Emp_2280</t>
  </si>
  <si>
    <t>Emp_2281</t>
  </si>
  <si>
    <t>Emp_2282</t>
  </si>
  <si>
    <t>Emp_2283</t>
  </si>
  <si>
    <t>Emp_2284</t>
  </si>
  <si>
    <t>10/16/2021</t>
  </si>
  <si>
    <t>Emp_2285</t>
  </si>
  <si>
    <t>4/16/2023</t>
  </si>
  <si>
    <t>Emp_2286</t>
  </si>
  <si>
    <t>Emp_2287</t>
  </si>
  <si>
    <t>3/22/2023</t>
  </si>
  <si>
    <t>Emp_2288</t>
  </si>
  <si>
    <t>Emp_2289</t>
  </si>
  <si>
    <t>Emp_2290</t>
  </si>
  <si>
    <t>Emp_2291</t>
  </si>
  <si>
    <t>Emp_2292</t>
  </si>
  <si>
    <t>Emp_2293</t>
  </si>
  <si>
    <t>Emp_2294</t>
  </si>
  <si>
    <t>Emp_2295</t>
  </si>
  <si>
    <t>Emp_2296</t>
  </si>
  <si>
    <t>Emp_2297</t>
  </si>
  <si>
    <t>Emp_2298</t>
  </si>
  <si>
    <t>6/26/2019</t>
  </si>
  <si>
    <t>Emp_2299</t>
  </si>
  <si>
    <t>Emp_2300</t>
  </si>
  <si>
    <t>Emp_2301</t>
  </si>
  <si>
    <t>2/17/2018</t>
  </si>
  <si>
    <t>Emp_2302</t>
  </si>
  <si>
    <t>7/21/2023</t>
  </si>
  <si>
    <t>Emp_2303</t>
  </si>
  <si>
    <t>Emp_2304</t>
  </si>
  <si>
    <t>Emp_2305</t>
  </si>
  <si>
    <t>Emp_2306</t>
  </si>
  <si>
    <t>2/18/2024</t>
  </si>
  <si>
    <t>Emp_2307</t>
  </si>
  <si>
    <t>6/22/2022</t>
  </si>
  <si>
    <t>Emp_2308</t>
  </si>
  <si>
    <t>3/30/2024</t>
  </si>
  <si>
    <t>Emp_2309</t>
  </si>
  <si>
    <t>Emp_2310</t>
  </si>
  <si>
    <t>Emp_2311</t>
  </si>
  <si>
    <t>Emp_2312</t>
  </si>
  <si>
    <t>Emp_2313</t>
  </si>
  <si>
    <t>Emp_2314</t>
  </si>
  <si>
    <t>Emp_2315</t>
  </si>
  <si>
    <t>Emp_2316</t>
  </si>
  <si>
    <t>5/28/2023</t>
  </si>
  <si>
    <t>Emp_2317</t>
  </si>
  <si>
    <t>Emp_2318</t>
  </si>
  <si>
    <t>Emp_2319</t>
  </si>
  <si>
    <t>Emp_2320</t>
  </si>
  <si>
    <t>Emp_2321</t>
  </si>
  <si>
    <t>Emp_2322</t>
  </si>
  <si>
    <t>Emp_2323</t>
  </si>
  <si>
    <t>Emp_2324</t>
  </si>
  <si>
    <t>Emp_2325</t>
  </si>
  <si>
    <t>Emp_2326</t>
  </si>
  <si>
    <t>4/19/2020</t>
  </si>
  <si>
    <t>Emp_2327</t>
  </si>
  <si>
    <t>Emp_2328</t>
  </si>
  <si>
    <t>Emp_2329</t>
  </si>
  <si>
    <t>Emp_2330</t>
  </si>
  <si>
    <t>10/24/2021</t>
  </si>
  <si>
    <t>Emp_2331</t>
  </si>
  <si>
    <t>Emp_2332</t>
  </si>
  <si>
    <t>Emp_2333</t>
  </si>
  <si>
    <t>11/29/2023</t>
  </si>
  <si>
    <t>Emp_2334</t>
  </si>
  <si>
    <t>Emp_2335</t>
  </si>
  <si>
    <t>Emp_2336</t>
  </si>
  <si>
    <t>Emp_2337</t>
  </si>
  <si>
    <t>Emp_2338</t>
  </si>
  <si>
    <t>Emp_2339</t>
  </si>
  <si>
    <t>Emp_2340</t>
  </si>
  <si>
    <t>6/30/2024</t>
  </si>
  <si>
    <t>Emp_2341</t>
  </si>
  <si>
    <t>Emp_2342</t>
  </si>
  <si>
    <t>Emp_2343</t>
  </si>
  <si>
    <t>Emp_2344</t>
  </si>
  <si>
    <t>Emp_2345</t>
  </si>
  <si>
    <t>9/18/2022</t>
  </si>
  <si>
    <t>Emp_2346</t>
  </si>
  <si>
    <t>Emp_2347</t>
  </si>
  <si>
    <t>Emp_2348</t>
  </si>
  <si>
    <t>9/27/2019</t>
  </si>
  <si>
    <t>Emp_2349</t>
  </si>
  <si>
    <t>4/16/2022</t>
  </si>
  <si>
    <t>Emp_2350</t>
  </si>
  <si>
    <t>Emp_2351</t>
  </si>
  <si>
    <t>10/28/2021</t>
  </si>
  <si>
    <t>Emp_2352</t>
  </si>
  <si>
    <t>Emp_2353</t>
  </si>
  <si>
    <t>Emp_2354</t>
  </si>
  <si>
    <t>9/17/2019</t>
  </si>
  <si>
    <t>Emp_2355</t>
  </si>
  <si>
    <t>Emp_2356</t>
  </si>
  <si>
    <t>Emp_2357</t>
  </si>
  <si>
    <t>Emp_2358</t>
  </si>
  <si>
    <t>Emp_2359</t>
  </si>
  <si>
    <t>Emp_2360</t>
  </si>
  <si>
    <t>Emp_2361</t>
  </si>
  <si>
    <t>Emp_2362</t>
  </si>
  <si>
    <t>Emp_2363</t>
  </si>
  <si>
    <t>Emp_2364</t>
  </si>
  <si>
    <t>Emp_2365</t>
  </si>
  <si>
    <t>Emp_2366</t>
  </si>
  <si>
    <t>Emp_2367</t>
  </si>
  <si>
    <t>Emp_2368</t>
  </si>
  <si>
    <t>Emp_2369</t>
  </si>
  <si>
    <t>Emp_2370</t>
  </si>
  <si>
    <t>Emp_2371</t>
  </si>
  <si>
    <t>Emp_2372</t>
  </si>
  <si>
    <t>Emp_2373</t>
  </si>
  <si>
    <t>Emp_2374</t>
  </si>
  <si>
    <t>Emp_2375</t>
  </si>
  <si>
    <t>Emp_2376</t>
  </si>
  <si>
    <t>Emp_2377</t>
  </si>
  <si>
    <t>Emp_2378</t>
  </si>
  <si>
    <t>Emp_2379</t>
  </si>
  <si>
    <t>Emp_2380</t>
  </si>
  <si>
    <t>Emp_2381</t>
  </si>
  <si>
    <t>Emp_2382</t>
  </si>
  <si>
    <t>Emp_2383</t>
  </si>
  <si>
    <t>Emp_2384</t>
  </si>
  <si>
    <t>Emp_2385</t>
  </si>
  <si>
    <t>Emp_2386</t>
  </si>
  <si>
    <t>Emp_2387</t>
  </si>
  <si>
    <t>Emp_2388</t>
  </si>
  <si>
    <t>Emp_2389</t>
  </si>
  <si>
    <t>Emp_2390</t>
  </si>
  <si>
    <t>Emp_2391</t>
  </si>
  <si>
    <t>Emp_2392</t>
  </si>
  <si>
    <t>Emp_2393</t>
  </si>
  <si>
    <t>Emp_2394</t>
  </si>
  <si>
    <t>2/15/2020</t>
  </si>
  <si>
    <t>Emp_2395</t>
  </si>
  <si>
    <t>Emp_2396</t>
  </si>
  <si>
    <t>Emp_2397</t>
  </si>
  <si>
    <t>Emp_2398</t>
  </si>
  <si>
    <t>Emp_2399</t>
  </si>
  <si>
    <t>Emp_2400</t>
  </si>
  <si>
    <t>Emp_2401</t>
  </si>
  <si>
    <t>Emp_2402</t>
  </si>
  <si>
    <t>Emp_2403</t>
  </si>
  <si>
    <t>11/23/2022</t>
  </si>
  <si>
    <t>Emp_2404</t>
  </si>
  <si>
    <t>Emp_2405</t>
  </si>
  <si>
    <t>Emp_2406</t>
  </si>
  <si>
    <t>Emp_2407</t>
  </si>
  <si>
    <t>7/17/2022</t>
  </si>
  <si>
    <t>Emp_2408</t>
  </si>
  <si>
    <t>Emp_2409</t>
  </si>
  <si>
    <t>Emp_2410</t>
  </si>
  <si>
    <t>Emp_2411</t>
  </si>
  <si>
    <t>Emp_2412</t>
  </si>
  <si>
    <t>Emp_2413</t>
  </si>
  <si>
    <t>Emp_2414</t>
  </si>
  <si>
    <t>Emp_2415</t>
  </si>
  <si>
    <t>Emp_2416</t>
  </si>
  <si>
    <t>3/31/2024</t>
  </si>
  <si>
    <t>Emp_2417</t>
  </si>
  <si>
    <t>11/27/2024</t>
  </si>
  <si>
    <t>Emp_2418</t>
  </si>
  <si>
    <t>Emp_2419</t>
  </si>
  <si>
    <t>Emp_2420</t>
  </si>
  <si>
    <t>Emp_2421</t>
  </si>
  <si>
    <t>3/27/2023</t>
  </si>
  <si>
    <t>Emp_2422</t>
  </si>
  <si>
    <t>Emp_2423</t>
  </si>
  <si>
    <t>Emp_2424</t>
  </si>
  <si>
    <t>Emp_2425</t>
  </si>
  <si>
    <t>Emp_2426</t>
  </si>
  <si>
    <t>Emp_2427</t>
  </si>
  <si>
    <t>Emp_2428</t>
  </si>
  <si>
    <t>Emp_2429</t>
  </si>
  <si>
    <t>1/24/2019</t>
  </si>
  <si>
    <t>Emp_2430</t>
  </si>
  <si>
    <t>Emp_2431</t>
  </si>
  <si>
    <t>5/29/2021</t>
  </si>
  <si>
    <t>Emp_2432</t>
  </si>
  <si>
    <t>Emp_2433</t>
  </si>
  <si>
    <t>Emp_2434</t>
  </si>
  <si>
    <t>9/17/2023</t>
  </si>
  <si>
    <t>Emp_2435</t>
  </si>
  <si>
    <t>Emp_2436</t>
  </si>
  <si>
    <t>Emp_2437</t>
  </si>
  <si>
    <t>6/19/2021</t>
  </si>
  <si>
    <t>Emp_2438</t>
  </si>
  <si>
    <t>6/25/2024</t>
  </si>
  <si>
    <t>Emp_2439</t>
  </si>
  <si>
    <t>Emp_2440</t>
  </si>
  <si>
    <t>Emp_2441</t>
  </si>
  <si>
    <t>Emp_2442</t>
  </si>
  <si>
    <t>Emp_2443</t>
  </si>
  <si>
    <t>1/14/2020</t>
  </si>
  <si>
    <t>Emp_2444</t>
  </si>
  <si>
    <t>Emp_2445</t>
  </si>
  <si>
    <t>Emp_2446</t>
  </si>
  <si>
    <t>Emp_2447</t>
  </si>
  <si>
    <t>10/30/2020</t>
  </si>
  <si>
    <t>Emp_2448</t>
  </si>
  <si>
    <t>Emp_2449</t>
  </si>
  <si>
    <t>9/30/2020</t>
  </si>
  <si>
    <t>Emp_2450</t>
  </si>
  <si>
    <t>Emp_2451</t>
  </si>
  <si>
    <t>Emp_2452</t>
  </si>
  <si>
    <t>Emp_2453</t>
  </si>
  <si>
    <t>Emp_2454</t>
  </si>
  <si>
    <t>8/17/2018</t>
  </si>
  <si>
    <t>Emp_2455</t>
  </si>
  <si>
    <t>5/13/2021</t>
  </si>
  <si>
    <t>Emp_2456</t>
  </si>
  <si>
    <t>3/24/2022</t>
  </si>
  <si>
    <t>Emp_2457</t>
  </si>
  <si>
    <t>Emp_2458</t>
  </si>
  <si>
    <t>Emp_2459</t>
  </si>
  <si>
    <t>Emp_2460</t>
  </si>
  <si>
    <t>Emp_2461</t>
  </si>
  <si>
    <t>Emp_2462</t>
  </si>
  <si>
    <t>Emp_2463</t>
  </si>
  <si>
    <t>Emp_2464</t>
  </si>
  <si>
    <t>Emp_2465</t>
  </si>
  <si>
    <t>Emp_2466</t>
  </si>
  <si>
    <t>Emp_2467</t>
  </si>
  <si>
    <t>Emp_2468</t>
  </si>
  <si>
    <t>Emp_2469</t>
  </si>
  <si>
    <t>Emp_2470</t>
  </si>
  <si>
    <t>Emp_2471</t>
  </si>
  <si>
    <t>Emp_2472</t>
  </si>
  <si>
    <t>Emp_2473</t>
  </si>
  <si>
    <t>Emp_2474</t>
  </si>
  <si>
    <t>Emp_2475</t>
  </si>
  <si>
    <t>10/21/2024</t>
  </si>
  <si>
    <t>Emp_2476</t>
  </si>
  <si>
    <t>Emp_2477</t>
  </si>
  <si>
    <t>Emp_2478</t>
  </si>
  <si>
    <t>Emp_2479</t>
  </si>
  <si>
    <t>Emp_2480</t>
  </si>
  <si>
    <t>3/23/2018</t>
  </si>
  <si>
    <t>Emp_2481</t>
  </si>
  <si>
    <t>Emp_2482</t>
  </si>
  <si>
    <t>Emp_2483</t>
  </si>
  <si>
    <t>Emp_2484</t>
  </si>
  <si>
    <t>Emp_2485</t>
  </si>
  <si>
    <t>8/13/2023</t>
  </si>
  <si>
    <t>Emp_2486</t>
  </si>
  <si>
    <t>9/23/2022</t>
  </si>
  <si>
    <t>Emp_2487</t>
  </si>
  <si>
    <t>Emp_2488</t>
  </si>
  <si>
    <t>Emp_2489</t>
  </si>
  <si>
    <t>Emp_2490</t>
  </si>
  <si>
    <t>Emp_2491</t>
  </si>
  <si>
    <t>Emp_2492</t>
  </si>
  <si>
    <t>Emp_2493</t>
  </si>
  <si>
    <t>9/19/2023</t>
  </si>
  <si>
    <t>Emp_2494</t>
  </si>
  <si>
    <t>Emp_2495</t>
  </si>
  <si>
    <t>Emp_2496</t>
  </si>
  <si>
    <t>Emp_2497</t>
  </si>
  <si>
    <t>Emp_2498</t>
  </si>
  <si>
    <t>Emp_2499</t>
  </si>
  <si>
    <t>Emp_2500</t>
  </si>
  <si>
    <t>Emp_2501</t>
  </si>
  <si>
    <t>Emp_2502</t>
  </si>
  <si>
    <t>Emp_2503</t>
  </si>
  <si>
    <t>Emp_2504</t>
  </si>
  <si>
    <t>Emp_2505</t>
  </si>
  <si>
    <t>9/21/2021</t>
  </si>
  <si>
    <t>Emp_2506</t>
  </si>
  <si>
    <t>Emp_2507</t>
  </si>
  <si>
    <t>9/15/2022</t>
  </si>
  <si>
    <t>Emp_2508</t>
  </si>
  <si>
    <t>7/19/2024</t>
  </si>
  <si>
    <t>Emp_2509</t>
  </si>
  <si>
    <t>3/13/2021</t>
  </si>
  <si>
    <t>Emp_2510</t>
  </si>
  <si>
    <t>5/25/2019</t>
  </si>
  <si>
    <t>Emp_2511</t>
  </si>
  <si>
    <t>9/20/2022</t>
  </si>
  <si>
    <t>Emp_2512</t>
  </si>
  <si>
    <t>Emp_2513</t>
  </si>
  <si>
    <t>Emp_2514</t>
  </si>
  <si>
    <t>Emp_2515</t>
  </si>
  <si>
    <t>7/13/2021</t>
  </si>
  <si>
    <t>Emp_2516</t>
  </si>
  <si>
    <t>2/20/2018</t>
  </si>
  <si>
    <t>Emp_2517</t>
  </si>
  <si>
    <t>Emp_2518</t>
  </si>
  <si>
    <t>10/16/2024</t>
  </si>
  <si>
    <t>Emp_2519</t>
  </si>
  <si>
    <t>Emp_2520</t>
  </si>
  <si>
    <t>Emp_2521</t>
  </si>
  <si>
    <t>Emp_2522</t>
  </si>
  <si>
    <t>Emp_2523</t>
  </si>
  <si>
    <t>Emp_2524</t>
  </si>
  <si>
    <t>Emp_2525</t>
  </si>
  <si>
    <t>Emp_2526</t>
  </si>
  <si>
    <t>8/23/2020</t>
  </si>
  <si>
    <t>Emp_2527</t>
  </si>
  <si>
    <t>Emp_2528</t>
  </si>
  <si>
    <t>7/16/2021</t>
  </si>
  <si>
    <t>Emp_2529</t>
  </si>
  <si>
    <t>Emp_2530</t>
  </si>
  <si>
    <t>1/31/2021</t>
  </si>
  <si>
    <t>Emp_2531</t>
  </si>
  <si>
    <t>Emp_2532</t>
  </si>
  <si>
    <t>Emp_2533</t>
  </si>
  <si>
    <t>Emp_2534</t>
  </si>
  <si>
    <t>Emp_2535</t>
  </si>
  <si>
    <t>Emp_2536</t>
  </si>
  <si>
    <t>Emp_2537</t>
  </si>
  <si>
    <t>12/14/2020</t>
  </si>
  <si>
    <t>Emp_2538</t>
  </si>
  <si>
    <t>Emp_2539</t>
  </si>
  <si>
    <t>Emp_2540</t>
  </si>
  <si>
    <t>Emp_2541</t>
  </si>
  <si>
    <t>2/21/2018</t>
  </si>
  <si>
    <t>Emp_2542</t>
  </si>
  <si>
    <t>Emp_2543</t>
  </si>
  <si>
    <t>Emp_2544</t>
  </si>
  <si>
    <t>Emp_2545</t>
  </si>
  <si>
    <t>Emp_2546</t>
  </si>
  <si>
    <t>6/28/2023</t>
  </si>
  <si>
    <t>Emp_2547</t>
  </si>
  <si>
    <t>Emp_2548</t>
  </si>
  <si>
    <t>Emp_2549</t>
  </si>
  <si>
    <t>Emp_2550</t>
  </si>
  <si>
    <t>Emp_2551</t>
  </si>
  <si>
    <t>Emp_2552</t>
  </si>
  <si>
    <t>1/14/2021</t>
  </si>
  <si>
    <t>Emp_2553</t>
  </si>
  <si>
    <t>12/14/2021</t>
  </si>
  <si>
    <t>Emp_2554</t>
  </si>
  <si>
    <t>12/31/2024</t>
  </si>
  <si>
    <t>Emp_2555</t>
  </si>
  <si>
    <t>Emp_2556</t>
  </si>
  <si>
    <t>7/30/2024</t>
  </si>
  <si>
    <t>Emp_2557</t>
  </si>
  <si>
    <t>Emp_2558</t>
  </si>
  <si>
    <t>1/24/2022</t>
  </si>
  <si>
    <t>Emp_2559</t>
  </si>
  <si>
    <t>Emp_2560</t>
  </si>
  <si>
    <t>Emp_2561</t>
  </si>
  <si>
    <t>Emp_2562</t>
  </si>
  <si>
    <t>Emp_2563</t>
  </si>
  <si>
    <t>Emp_2564</t>
  </si>
  <si>
    <t>Emp_2565</t>
  </si>
  <si>
    <t>10/22/2024</t>
  </si>
  <si>
    <t>Emp_2566</t>
  </si>
  <si>
    <t>Emp_2567</t>
  </si>
  <si>
    <t>Emp_2568</t>
  </si>
  <si>
    <t>7/15/2018</t>
  </si>
  <si>
    <t>Emp_2569</t>
  </si>
  <si>
    <t>Emp_2570</t>
  </si>
  <si>
    <t>1/15/2024</t>
  </si>
  <si>
    <t>Emp_2571</t>
  </si>
  <si>
    <t>Emp_2572</t>
  </si>
  <si>
    <t>Emp_2573</t>
  </si>
  <si>
    <t>Emp_2574</t>
  </si>
  <si>
    <t>Emp_2575</t>
  </si>
  <si>
    <t>Emp_2576</t>
  </si>
  <si>
    <t>Emp_2577</t>
  </si>
  <si>
    <t>Emp_2578</t>
  </si>
  <si>
    <t>11/19/2019</t>
  </si>
  <si>
    <t>Emp_2579</t>
  </si>
  <si>
    <t>Emp_2580</t>
  </si>
  <si>
    <t>7/14/2018</t>
  </si>
  <si>
    <t>Emp_2581</t>
  </si>
  <si>
    <t>Emp_2582</t>
  </si>
  <si>
    <t>Emp_2583</t>
  </si>
  <si>
    <t>Emp_2584</t>
  </si>
  <si>
    <t>Emp_2585</t>
  </si>
  <si>
    <t>8/18/2022</t>
  </si>
  <si>
    <t>Emp_2586</t>
  </si>
  <si>
    <t>Emp_2587</t>
  </si>
  <si>
    <t>Emp_2588</t>
  </si>
  <si>
    <t>4/24/2021</t>
  </si>
  <si>
    <t>Emp_2589</t>
  </si>
  <si>
    <t>Emp_2590</t>
  </si>
  <si>
    <t>Emp_2591</t>
  </si>
  <si>
    <t>Emp_2592</t>
  </si>
  <si>
    <t>Emp_2593</t>
  </si>
  <si>
    <t>Emp_2594</t>
  </si>
  <si>
    <t>Emp_2595</t>
  </si>
  <si>
    <t>Emp_2596</t>
  </si>
  <si>
    <t>Emp_2597</t>
  </si>
  <si>
    <t>Emp_2598</t>
  </si>
  <si>
    <t>Emp_2599</t>
  </si>
  <si>
    <t>Emp_2600</t>
  </si>
  <si>
    <t>Emp_2601</t>
  </si>
  <si>
    <t>Emp_2602</t>
  </si>
  <si>
    <t>Emp_2603</t>
  </si>
  <si>
    <t>Emp_2604</t>
  </si>
  <si>
    <t>6/20/2023</t>
  </si>
  <si>
    <t>Emp_2605</t>
  </si>
  <si>
    <t>Emp_2606</t>
  </si>
  <si>
    <t>Emp_2607</t>
  </si>
  <si>
    <t>6/20/2020</t>
  </si>
  <si>
    <t>Emp_2608</t>
  </si>
  <si>
    <t>7/23/2019</t>
  </si>
  <si>
    <t>Emp_2609</t>
  </si>
  <si>
    <t>Emp_2610</t>
  </si>
  <si>
    <t>Emp_2611</t>
  </si>
  <si>
    <t>Emp_2612</t>
  </si>
  <si>
    <t>Emp_2613</t>
  </si>
  <si>
    <t>Emp_2614</t>
  </si>
  <si>
    <t>Emp_2615</t>
  </si>
  <si>
    <t>Emp_2616</t>
  </si>
  <si>
    <t>Emp_2617</t>
  </si>
  <si>
    <t>Emp_2618</t>
  </si>
  <si>
    <t>Emp_2619</t>
  </si>
  <si>
    <t>Emp_2620</t>
  </si>
  <si>
    <t>Emp_2621</t>
  </si>
  <si>
    <t>Emp_2622</t>
  </si>
  <si>
    <t>Emp_2623</t>
  </si>
  <si>
    <t>Emp_2624</t>
  </si>
  <si>
    <t>Emp_2625</t>
  </si>
  <si>
    <t>Emp_2626</t>
  </si>
  <si>
    <t>Emp_2627</t>
  </si>
  <si>
    <t>Emp_2628</t>
  </si>
  <si>
    <t>2/14/2023</t>
  </si>
  <si>
    <t>Emp_2629</t>
  </si>
  <si>
    <t>Emp_2630</t>
  </si>
  <si>
    <t>Emp_2631</t>
  </si>
  <si>
    <t>Emp_2632</t>
  </si>
  <si>
    <t>Emp_2633</t>
  </si>
  <si>
    <t>Emp_2634</t>
  </si>
  <si>
    <t>Emp_2635</t>
  </si>
  <si>
    <t>Emp_2636</t>
  </si>
  <si>
    <t>Emp_2637</t>
  </si>
  <si>
    <t>2/16/2018</t>
  </si>
  <si>
    <t>Emp_2638</t>
  </si>
  <si>
    <t>Emp_2639</t>
  </si>
  <si>
    <t>Emp_2640</t>
  </si>
  <si>
    <t>Emp_2641</t>
  </si>
  <si>
    <t>3/26/2021</t>
  </si>
  <si>
    <t>Emp_2642</t>
  </si>
  <si>
    <t>Emp_2643</t>
  </si>
  <si>
    <t>Emp_2644</t>
  </si>
  <si>
    <t>Emp_2645</t>
  </si>
  <si>
    <t>Emp_2646</t>
  </si>
  <si>
    <t>Emp_2647</t>
  </si>
  <si>
    <t>Emp_2648</t>
  </si>
  <si>
    <t>Emp_2649</t>
  </si>
  <si>
    <t>10/21/2023</t>
  </si>
  <si>
    <t>Emp_2650</t>
  </si>
  <si>
    <t>Emp_2651</t>
  </si>
  <si>
    <t>Emp_2652</t>
  </si>
  <si>
    <t>Emp_2653</t>
  </si>
  <si>
    <t>Emp_2654</t>
  </si>
  <si>
    <t>Emp_2655</t>
  </si>
  <si>
    <t>Emp_2656</t>
  </si>
  <si>
    <t>Emp_2657</t>
  </si>
  <si>
    <t>Emp_2658</t>
  </si>
  <si>
    <t>1/17/2023</t>
  </si>
  <si>
    <t>Emp_2659</t>
  </si>
  <si>
    <t>Emp_2660</t>
  </si>
  <si>
    <t>Emp_2661</t>
  </si>
  <si>
    <t>Emp_2662</t>
  </si>
  <si>
    <t>Emp_2663</t>
  </si>
  <si>
    <t>Emp_2664</t>
  </si>
  <si>
    <t>Emp_2665</t>
  </si>
  <si>
    <t>Emp_2666</t>
  </si>
  <si>
    <t>4/25/2021</t>
  </si>
  <si>
    <t>Emp_2667</t>
  </si>
  <si>
    <t>Emp_2668</t>
  </si>
  <si>
    <t>Emp_2669</t>
  </si>
  <si>
    <t>Emp_2670</t>
  </si>
  <si>
    <t>Emp_2671</t>
  </si>
  <si>
    <t>Emp_2672</t>
  </si>
  <si>
    <t>Emp_2673</t>
  </si>
  <si>
    <t>Emp_2674</t>
  </si>
  <si>
    <t>Emp_2675</t>
  </si>
  <si>
    <t>Emp_2676</t>
  </si>
  <si>
    <t>Emp_2677</t>
  </si>
  <si>
    <t>6/25/2020</t>
  </si>
  <si>
    <t>Emp_2678</t>
  </si>
  <si>
    <t>7/23/2024</t>
  </si>
  <si>
    <t>Emp_2679</t>
  </si>
  <si>
    <t>Emp_2680</t>
  </si>
  <si>
    <t>Emp_2681</t>
  </si>
  <si>
    <t>7/30/2019</t>
  </si>
  <si>
    <t>Emp_2682</t>
  </si>
  <si>
    <t>Emp_2683</t>
  </si>
  <si>
    <t>Emp_2684</t>
  </si>
  <si>
    <t>Emp_2685</t>
  </si>
  <si>
    <t>7/28/2022</t>
  </si>
  <si>
    <t>Emp_2686</t>
  </si>
  <si>
    <t>Emp_2687</t>
  </si>
  <si>
    <t>Emp_2688</t>
  </si>
  <si>
    <t>Emp_2689</t>
  </si>
  <si>
    <t>6/21/2021</t>
  </si>
  <si>
    <t>Emp_2690</t>
  </si>
  <si>
    <t>11/20/2020</t>
  </si>
  <si>
    <t>Emp_2691</t>
  </si>
  <si>
    <t>Emp_2692</t>
  </si>
  <si>
    <t>Emp_2693</t>
  </si>
  <si>
    <t>5/21/2019</t>
  </si>
  <si>
    <t>Emp_2694</t>
  </si>
  <si>
    <t>7/23/2022</t>
  </si>
  <si>
    <t>Emp_2695</t>
  </si>
  <si>
    <t>Emp_2696</t>
  </si>
  <si>
    <t>11/15/2024</t>
  </si>
  <si>
    <t>Emp_2697</t>
  </si>
  <si>
    <t>Emp_2698</t>
  </si>
  <si>
    <t>Emp_2699</t>
  </si>
  <si>
    <t>Emp_2700</t>
  </si>
  <si>
    <t>Emp_2701</t>
  </si>
  <si>
    <t>Emp_2702</t>
  </si>
  <si>
    <t>3/24/2020</t>
  </si>
  <si>
    <t>Emp_2703</t>
  </si>
  <si>
    <t>Emp_2704</t>
  </si>
  <si>
    <t>Emp_2705</t>
  </si>
  <si>
    <t>4/18/2019</t>
  </si>
  <si>
    <t>Emp_2706</t>
  </si>
  <si>
    <t>Emp_2707</t>
  </si>
  <si>
    <t>Emp_2708</t>
  </si>
  <si>
    <t>Emp_2709</t>
  </si>
  <si>
    <t>Emp_2710</t>
  </si>
  <si>
    <t>Emp_2711</t>
  </si>
  <si>
    <t>Emp_2712</t>
  </si>
  <si>
    <t>Emp_2713</t>
  </si>
  <si>
    <t>Emp_2714</t>
  </si>
  <si>
    <t>Emp_2715</t>
  </si>
  <si>
    <t>Emp_2716</t>
  </si>
  <si>
    <t>Emp_2717</t>
  </si>
  <si>
    <t>Emp_2718</t>
  </si>
  <si>
    <t>Emp_2719</t>
  </si>
  <si>
    <t>2/25/2023</t>
  </si>
  <si>
    <t>Emp_2720</t>
  </si>
  <si>
    <t>3/22/2024</t>
  </si>
  <si>
    <t>Emp_2721</t>
  </si>
  <si>
    <t>9/26/2018</t>
  </si>
  <si>
    <t>Emp_2722</t>
  </si>
  <si>
    <t>Emp_2723</t>
  </si>
  <si>
    <t>5/29/2023</t>
  </si>
  <si>
    <t>Emp_2724</t>
  </si>
  <si>
    <t>Emp_2725</t>
  </si>
  <si>
    <t>Emp_2726</t>
  </si>
  <si>
    <t>9/23/2018</t>
  </si>
  <si>
    <t>Emp_2727</t>
  </si>
  <si>
    <t>Emp_2728</t>
  </si>
  <si>
    <t>Emp_2729</t>
  </si>
  <si>
    <t>Emp_2730</t>
  </si>
  <si>
    <t>5/17/2023</t>
  </si>
  <si>
    <t>Emp_2731</t>
  </si>
  <si>
    <t>Emp_2732</t>
  </si>
  <si>
    <t>Emp_2733</t>
  </si>
  <si>
    <t>10/29/2024</t>
  </si>
  <si>
    <t>Emp_2734</t>
  </si>
  <si>
    <t>Emp_2735</t>
  </si>
  <si>
    <t>Emp_2736</t>
  </si>
  <si>
    <t>7/30/2023</t>
  </si>
  <si>
    <t>Emp_2737</t>
  </si>
  <si>
    <t>9/28/2018</t>
  </si>
  <si>
    <t>Emp_2738</t>
  </si>
  <si>
    <t>Emp_2739</t>
  </si>
  <si>
    <t>Emp_2740</t>
  </si>
  <si>
    <t>Emp_2741</t>
  </si>
  <si>
    <t>Emp_2742</t>
  </si>
  <si>
    <t>Emp_2743</t>
  </si>
  <si>
    <t>Emp_2744</t>
  </si>
  <si>
    <t>Emp_2745</t>
  </si>
  <si>
    <t>Emp_2746</t>
  </si>
  <si>
    <t>Emp_2747</t>
  </si>
  <si>
    <t>Emp_2748</t>
  </si>
  <si>
    <t>Emp_2749</t>
  </si>
  <si>
    <t>Emp_2750</t>
  </si>
  <si>
    <t>Emp_2751</t>
  </si>
  <si>
    <t>Emp_2752</t>
  </si>
  <si>
    <t>Emp_2753</t>
  </si>
  <si>
    <t>Emp_2754</t>
  </si>
  <si>
    <t>2/26/2024</t>
  </si>
  <si>
    <t>Emp_2755</t>
  </si>
  <si>
    <t>Emp_2756</t>
  </si>
  <si>
    <t>Emp_2757</t>
  </si>
  <si>
    <t>Emp_2758</t>
  </si>
  <si>
    <t>10/27/2023</t>
  </si>
  <si>
    <t>Emp_2759</t>
  </si>
  <si>
    <t>Emp_2760</t>
  </si>
  <si>
    <t>Emp_2761</t>
  </si>
  <si>
    <t>Emp_2762</t>
  </si>
  <si>
    <t>Emp_2763</t>
  </si>
  <si>
    <t>Emp_2764</t>
  </si>
  <si>
    <t>Emp_2765</t>
  </si>
  <si>
    <t>1/17/2021</t>
  </si>
  <si>
    <t>Emp_2766</t>
  </si>
  <si>
    <t>Emp_2767</t>
  </si>
  <si>
    <t>Emp_2768</t>
  </si>
  <si>
    <t>Emp_2769</t>
  </si>
  <si>
    <t>Emp_2770</t>
  </si>
  <si>
    <t>Emp_2771</t>
  </si>
  <si>
    <t>Emp_2772</t>
  </si>
  <si>
    <t>Emp_2773</t>
  </si>
  <si>
    <t>Emp_2774</t>
  </si>
  <si>
    <t>10/24/2019</t>
  </si>
  <si>
    <t>Emp_2775</t>
  </si>
  <si>
    <t>Emp_2776</t>
  </si>
  <si>
    <t>Emp_2777</t>
  </si>
  <si>
    <t>Emp_2778</t>
  </si>
  <si>
    <t>Emp_2779</t>
  </si>
  <si>
    <t>Emp_2780</t>
  </si>
  <si>
    <t>Emp_2781</t>
  </si>
  <si>
    <t>Emp_2782</t>
  </si>
  <si>
    <t>5/28/2018</t>
  </si>
  <si>
    <t>Emp_2783</t>
  </si>
  <si>
    <t>12/27/2020</t>
  </si>
  <si>
    <t>Emp_2784</t>
  </si>
  <si>
    <t>1/18/2022</t>
  </si>
  <si>
    <t>Emp_2785</t>
  </si>
  <si>
    <t>Emp_2786</t>
  </si>
  <si>
    <t>Emp_2787</t>
  </si>
  <si>
    <t>12/30/2024</t>
  </si>
  <si>
    <t>Emp_2788</t>
  </si>
  <si>
    <t>Emp_2789</t>
  </si>
  <si>
    <t>Emp_2790</t>
  </si>
  <si>
    <t>Emp_2791</t>
  </si>
  <si>
    <t>Emp_2792</t>
  </si>
  <si>
    <t>Emp_2793</t>
  </si>
  <si>
    <t>8/19/2018</t>
  </si>
  <si>
    <t>Emp_2794</t>
  </si>
  <si>
    <t>Emp_2795</t>
  </si>
  <si>
    <t>Emp_2796</t>
  </si>
  <si>
    <t>2/19/2020</t>
  </si>
  <si>
    <t>Emp_2797</t>
  </si>
  <si>
    <t>Emp_2798</t>
  </si>
  <si>
    <t>Emp_2799</t>
  </si>
  <si>
    <t>Emp_2800</t>
  </si>
  <si>
    <t>Emp_2801</t>
  </si>
  <si>
    <t>Emp_2802</t>
  </si>
  <si>
    <t>Emp_2803</t>
  </si>
  <si>
    <t>Emp_2804</t>
  </si>
  <si>
    <t>Emp_2805</t>
  </si>
  <si>
    <t>Emp_2806</t>
  </si>
  <si>
    <t>Emp_2807</t>
  </si>
  <si>
    <t>Emp_2808</t>
  </si>
  <si>
    <t>7/30/2018</t>
  </si>
  <si>
    <t>Emp_2809</t>
  </si>
  <si>
    <t>4/16/2020</t>
  </si>
  <si>
    <t>Emp_2810</t>
  </si>
  <si>
    <t>Emp_2811</t>
  </si>
  <si>
    <t>5/18/2019</t>
  </si>
  <si>
    <t>Emp_2812</t>
  </si>
  <si>
    <t>3/19/2018</t>
  </si>
  <si>
    <t>Emp_2813</t>
  </si>
  <si>
    <t>Emp_2814</t>
  </si>
  <si>
    <t>Emp_2815</t>
  </si>
  <si>
    <t>Emp_2816</t>
  </si>
  <si>
    <t>Emp_2817</t>
  </si>
  <si>
    <t>Emp_2818</t>
  </si>
  <si>
    <t>Emp_2819</t>
  </si>
  <si>
    <t>2/17/2022</t>
  </si>
  <si>
    <t>Emp_2820</t>
  </si>
  <si>
    <t>Emp_2821</t>
  </si>
  <si>
    <t>Emp_2822</t>
  </si>
  <si>
    <t>Emp_2823</t>
  </si>
  <si>
    <t>Emp_2824</t>
  </si>
  <si>
    <t>Emp_2825</t>
  </si>
  <si>
    <t>Emp_2826</t>
  </si>
  <si>
    <t>Emp_2827</t>
  </si>
  <si>
    <t>Emp_2828</t>
  </si>
  <si>
    <t>4/23/2024</t>
  </si>
  <si>
    <t>Emp_2829</t>
  </si>
  <si>
    <t>Emp_2830</t>
  </si>
  <si>
    <t>Emp_2831</t>
  </si>
  <si>
    <t>Emp_2832</t>
  </si>
  <si>
    <t>Emp_2833</t>
  </si>
  <si>
    <t>Emp_2834</t>
  </si>
  <si>
    <t>Emp_2835</t>
  </si>
  <si>
    <t>Emp_2836</t>
  </si>
  <si>
    <t>Emp_2837</t>
  </si>
  <si>
    <t>Emp_2838</t>
  </si>
  <si>
    <t>Emp_2839</t>
  </si>
  <si>
    <t>Emp_2840</t>
  </si>
  <si>
    <t>Emp_2841</t>
  </si>
  <si>
    <t>2/15/2022</t>
  </si>
  <si>
    <t>Emp_2842</t>
  </si>
  <si>
    <t>3/19/2019</t>
  </si>
  <si>
    <t>Emp_2843</t>
  </si>
  <si>
    <t>5/27/2018</t>
  </si>
  <si>
    <t>Emp_2844</t>
  </si>
  <si>
    <t>Emp_2845</t>
  </si>
  <si>
    <t>Emp_2846</t>
  </si>
  <si>
    <t>Emp_2847</t>
  </si>
  <si>
    <t>Emp_2848</t>
  </si>
  <si>
    <t>Emp_2849</t>
  </si>
  <si>
    <t>Emp_2850</t>
  </si>
  <si>
    <t>Emp_2851</t>
  </si>
  <si>
    <t>6/24/2023</t>
  </si>
  <si>
    <t>Emp_2852</t>
  </si>
  <si>
    <t>Emp_2853</t>
  </si>
  <si>
    <t>Emp_2854</t>
  </si>
  <si>
    <t>5/17/2019</t>
  </si>
  <si>
    <t>Emp_2855</t>
  </si>
  <si>
    <t>Emp_2856</t>
  </si>
  <si>
    <t>Emp_2857</t>
  </si>
  <si>
    <t>Emp_2858</t>
  </si>
  <si>
    <t>Emp_2859</t>
  </si>
  <si>
    <t>Emp_2860</t>
  </si>
  <si>
    <t>8/14/2020</t>
  </si>
  <si>
    <t>Emp_2861</t>
  </si>
  <si>
    <t>Emp_2862</t>
  </si>
  <si>
    <t>Emp_2863</t>
  </si>
  <si>
    <t>Emp_2864</t>
  </si>
  <si>
    <t>Emp_2865</t>
  </si>
  <si>
    <t>Emp_2866</t>
  </si>
  <si>
    <t>Emp_2867</t>
  </si>
  <si>
    <t>Emp_2868</t>
  </si>
  <si>
    <t>Emp_2869</t>
  </si>
  <si>
    <t>Emp_2870</t>
  </si>
  <si>
    <t>Emp_2871</t>
  </si>
  <si>
    <t>5/15/2020</t>
  </si>
  <si>
    <t>Emp_2872</t>
  </si>
  <si>
    <t>Emp_2873</t>
  </si>
  <si>
    <t>Emp_2874</t>
  </si>
  <si>
    <t>Emp_2875</t>
  </si>
  <si>
    <t>Emp_2876</t>
  </si>
  <si>
    <t>Emp_2877</t>
  </si>
  <si>
    <t>Emp_2878</t>
  </si>
  <si>
    <t>Emp_2879</t>
  </si>
  <si>
    <t>Emp_2880</t>
  </si>
  <si>
    <t>Emp_2881</t>
  </si>
  <si>
    <t>Emp_2882</t>
  </si>
  <si>
    <t>Emp_2883</t>
  </si>
  <si>
    <t>Emp_2884</t>
  </si>
  <si>
    <t>Emp_2885</t>
  </si>
  <si>
    <t>Emp_2886</t>
  </si>
  <si>
    <t>Emp_2887</t>
  </si>
  <si>
    <t>9/16/2023</t>
  </si>
  <si>
    <t>Emp_2888</t>
  </si>
  <si>
    <t>Emp_2889</t>
  </si>
  <si>
    <t>Emp_2890</t>
  </si>
  <si>
    <t>Emp_2891</t>
  </si>
  <si>
    <t>Emp_2892</t>
  </si>
  <si>
    <t>Emp_2893</t>
  </si>
  <si>
    <t>Emp_2894</t>
  </si>
  <si>
    <t>Emp_2895</t>
  </si>
  <si>
    <t>4/15/2023</t>
  </si>
  <si>
    <t>Emp_2896</t>
  </si>
  <si>
    <t>Emp_2897</t>
  </si>
  <si>
    <t>Emp_2898</t>
  </si>
  <si>
    <t>11/27/2021</t>
  </si>
  <si>
    <t>Emp_2899</t>
  </si>
  <si>
    <t>Emp_2900</t>
  </si>
  <si>
    <t>Emp_2901</t>
  </si>
  <si>
    <t>1/25/2023</t>
  </si>
  <si>
    <t>Emp_2902</t>
  </si>
  <si>
    <t>Emp_2903</t>
  </si>
  <si>
    <t>Emp_2904</t>
  </si>
  <si>
    <t>Emp_2905</t>
  </si>
  <si>
    <t>7/23/2020</t>
  </si>
  <si>
    <t>Emp_2906</t>
  </si>
  <si>
    <t>Emp_2907</t>
  </si>
  <si>
    <t>Emp_2908</t>
  </si>
  <si>
    <t>4/28/2022</t>
  </si>
  <si>
    <t>Emp_2909</t>
  </si>
  <si>
    <t>Emp_2910</t>
  </si>
  <si>
    <t>Emp_2911</t>
  </si>
  <si>
    <t>1/24/2023</t>
  </si>
  <si>
    <t>Emp_2912</t>
  </si>
  <si>
    <t>Emp_2913</t>
  </si>
  <si>
    <t>Emp_2914</t>
  </si>
  <si>
    <t>Emp_2915</t>
  </si>
  <si>
    <t>9/29/2019</t>
  </si>
  <si>
    <t>Emp_2916</t>
  </si>
  <si>
    <t>10/16/2020</t>
  </si>
  <si>
    <t>Emp_2917</t>
  </si>
  <si>
    <t>Emp_2918</t>
  </si>
  <si>
    <t>Emp_2919</t>
  </si>
  <si>
    <t>Emp_2920</t>
  </si>
  <si>
    <t>Emp_2921</t>
  </si>
  <si>
    <t>Emp_2922</t>
  </si>
  <si>
    <t>Emp_2923</t>
  </si>
  <si>
    <t>Emp_2924</t>
  </si>
  <si>
    <t>Emp_2925</t>
  </si>
  <si>
    <t>Emp_2926</t>
  </si>
  <si>
    <t>Emp_2927</t>
  </si>
  <si>
    <t>Emp_2928</t>
  </si>
  <si>
    <t>Emp_2929</t>
  </si>
  <si>
    <t>6/24/2018</t>
  </si>
  <si>
    <t>Emp_2930</t>
  </si>
  <si>
    <t>Emp_2931</t>
  </si>
  <si>
    <t>Emp_2932</t>
  </si>
  <si>
    <t>Emp_2933</t>
  </si>
  <si>
    <t>Emp_2934</t>
  </si>
  <si>
    <t>Emp_2935</t>
  </si>
  <si>
    <t>Emp_2936</t>
  </si>
  <si>
    <t>Emp_2937</t>
  </si>
  <si>
    <t>Emp_2938</t>
  </si>
  <si>
    <t>5/16/2018</t>
  </si>
  <si>
    <t>Emp_2939</t>
  </si>
  <si>
    <t>Emp_2940</t>
  </si>
  <si>
    <t>Emp_2941</t>
  </si>
  <si>
    <t>Emp_2942</t>
  </si>
  <si>
    <t>Emp_2943</t>
  </si>
  <si>
    <t>5/14/2018</t>
  </si>
  <si>
    <t>Emp_2944</t>
  </si>
  <si>
    <t>Emp_2945</t>
  </si>
  <si>
    <t>Emp_2946</t>
  </si>
  <si>
    <t>Emp_2947</t>
  </si>
  <si>
    <t>8/28/2023</t>
  </si>
  <si>
    <t>Emp_2948</t>
  </si>
  <si>
    <t>Emp_2949</t>
  </si>
  <si>
    <t>Emp_2950</t>
  </si>
  <si>
    <t>Emp_2951</t>
  </si>
  <si>
    <t>8/14/2023</t>
  </si>
  <si>
    <t>Emp_2952</t>
  </si>
  <si>
    <t>Emp_2953</t>
  </si>
  <si>
    <t>Emp_2954</t>
  </si>
  <si>
    <t>Emp_2955</t>
  </si>
  <si>
    <t>1/24/2024</t>
  </si>
  <si>
    <t>Emp_2956</t>
  </si>
  <si>
    <t>Emp_2957</t>
  </si>
  <si>
    <t>Emp_2958</t>
  </si>
  <si>
    <t>Emp_2959</t>
  </si>
  <si>
    <t>Emp_2960</t>
  </si>
  <si>
    <t>Emp_2961</t>
  </si>
  <si>
    <t>Emp_2962</t>
  </si>
  <si>
    <t>Emp_2963</t>
  </si>
  <si>
    <t>Emp_2964</t>
  </si>
  <si>
    <t>Emp_2965</t>
  </si>
  <si>
    <t>Emp_2966</t>
  </si>
  <si>
    <t>Emp_2967</t>
  </si>
  <si>
    <t>Emp_2968</t>
  </si>
  <si>
    <t>Emp_2969</t>
  </si>
  <si>
    <t>4/27/2018</t>
  </si>
  <si>
    <t>Emp_2970</t>
  </si>
  <si>
    <t>6/25/2019</t>
  </si>
  <si>
    <t>Emp_2971</t>
  </si>
  <si>
    <t>Emp_2972</t>
  </si>
  <si>
    <t>Emp_2973</t>
  </si>
  <si>
    <t>Emp_2974</t>
  </si>
  <si>
    <t>Emp_2975</t>
  </si>
  <si>
    <t>Emp_2976</t>
  </si>
  <si>
    <t>1/31/2023</t>
  </si>
  <si>
    <t>Emp_2977</t>
  </si>
  <si>
    <t>Emp_2978</t>
  </si>
  <si>
    <t>Emp_2979</t>
  </si>
  <si>
    <t>Emp_2980</t>
  </si>
  <si>
    <t>Emp_2981</t>
  </si>
  <si>
    <t>Emp_2982</t>
  </si>
  <si>
    <t>Emp_2983</t>
  </si>
  <si>
    <t>Emp_2984</t>
  </si>
  <si>
    <t>4/13/2024</t>
  </si>
  <si>
    <t>Emp_2985</t>
  </si>
  <si>
    <t>Emp_2986</t>
  </si>
  <si>
    <t>Emp_2987</t>
  </si>
  <si>
    <t>10/25/2024</t>
  </si>
  <si>
    <t>Emp_2988</t>
  </si>
  <si>
    <t>Emp_2989</t>
  </si>
  <si>
    <t>Emp_2990</t>
  </si>
  <si>
    <t>Emp_2991</t>
  </si>
  <si>
    <t>Emp_2992</t>
  </si>
  <si>
    <t>Emp_2993</t>
  </si>
  <si>
    <t>Emp_2994</t>
  </si>
  <si>
    <t>Emp_2995</t>
  </si>
  <si>
    <t>Emp_2996</t>
  </si>
  <si>
    <t>Emp_2997</t>
  </si>
  <si>
    <t>Emp_2998</t>
  </si>
  <si>
    <t>Emp_2999</t>
  </si>
  <si>
    <t>Emp_3000</t>
  </si>
  <si>
    <t>Total income</t>
  </si>
  <si>
    <t>avg salary</t>
  </si>
  <si>
    <t>high salary</t>
  </si>
  <si>
    <t>low salary</t>
  </si>
  <si>
    <t>no of emp</t>
  </si>
  <si>
    <t>no of female emp</t>
  </si>
  <si>
    <t>total bonus salary</t>
  </si>
  <si>
    <t>Target Status</t>
  </si>
  <si>
    <t>Performance Category</t>
  </si>
  <si>
    <t>Performance Rating</t>
  </si>
  <si>
    <t>no of  employees achieved</t>
  </si>
  <si>
    <t>total salary of IT</t>
  </si>
  <si>
    <t>average rating of Sales</t>
  </si>
  <si>
    <t>Today-date</t>
  </si>
  <si>
    <t>Experience</t>
  </si>
  <si>
    <t>year</t>
  </si>
  <si>
    <t>Name_Upcase</t>
  </si>
  <si>
    <t>Name+Department</t>
  </si>
  <si>
    <t>Row Labels</t>
  </si>
  <si>
    <t>Grand Total</t>
  </si>
  <si>
    <t>Sum of avg salary</t>
  </si>
  <si>
    <t>(All)</t>
  </si>
  <si>
    <t>Count of Emp_ID</t>
  </si>
  <si>
    <t>Sum of Salary</t>
  </si>
  <si>
    <t>Sum of Performance Rating</t>
  </si>
  <si>
    <t>Average of Salary</t>
  </si>
  <si>
    <t>Sum of Bonus</t>
  </si>
  <si>
    <t>overall average salary of all employees</t>
  </si>
  <si>
    <t>Sum of Total income</t>
  </si>
  <si>
    <t>Average of Performance Rating</t>
  </si>
  <si>
    <t>average bonus paid in the Sales department</t>
  </si>
  <si>
    <t>employees earn more than 60,000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</si>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</sst>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" fontId="0" fillId="0" borderId="0" xfId="0" applyNumberFormat="1"/>
    <xf numFmtId="0" fontId="18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ikant" refreshedDate="46064.541666435187" createdVersion="8" refreshedVersion="8" minRefreshableVersion="3" recordCount="3000" xr:uid="{8BC9F000-C240-4AF2-8990-59C809898DA0}">
  <cacheSource type="worksheet">
    <worksheetSource ref="A1:T3001" sheet="employee_sales_dataset"/>
  </cacheSource>
  <cacheFields count="20">
    <cacheField name="Emp_ID" numFmtId="0">
      <sharedItems containsSemiMixedTypes="0" containsString="0" containsNumber="1" containsInteger="1" minValue="1" maxValue="3000" count="3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</sharedItems>
    </cacheField>
    <cacheField name="Name" numFmtId="0">
      <sharedItems count="3000">
        <s v="Emp_1"/>
        <s v="Emp_2"/>
        <s v="Emp_3"/>
        <s v="Emp_4"/>
        <s v="Emp_5"/>
        <s v="Emp_6"/>
        <s v="Emp_7"/>
        <s v="Emp_8"/>
        <s v="Emp_9"/>
        <s v="Emp_10"/>
        <s v="Emp_11"/>
        <s v="Emp_12"/>
        <s v="Emp_13"/>
        <s v="Emp_14"/>
        <s v="Emp_15"/>
        <s v="Emp_16"/>
        <s v="Emp_17"/>
        <s v="Emp_18"/>
        <s v="Emp_19"/>
        <s v="Emp_20"/>
        <s v="Emp_21"/>
        <s v="Emp_22"/>
        <s v="Emp_23"/>
        <s v="Emp_24"/>
        <s v="Emp_25"/>
        <s v="Emp_26"/>
        <s v="Emp_27"/>
        <s v="Emp_28"/>
        <s v="Emp_29"/>
        <s v="Emp_30"/>
        <s v="Emp_31"/>
        <s v="Emp_32"/>
        <s v="Emp_33"/>
        <s v="Emp_34"/>
        <s v="Emp_35"/>
        <s v="Emp_36"/>
        <s v="Emp_37"/>
        <s v="Emp_38"/>
        <s v="Emp_39"/>
        <s v="Emp_40"/>
        <s v="Emp_41"/>
        <s v="Emp_42"/>
        <s v="Emp_43"/>
        <s v="Emp_44"/>
        <s v="Emp_45"/>
        <s v="Emp_46"/>
        <s v="Emp_47"/>
        <s v="Emp_48"/>
        <s v="Emp_49"/>
        <s v="Emp_50"/>
        <s v="Emp_51"/>
        <s v="Emp_52"/>
        <s v="Emp_53"/>
        <s v="Emp_54"/>
        <s v="Emp_55"/>
        <s v="Emp_56"/>
        <s v="Emp_57"/>
        <s v="Emp_58"/>
        <s v="Emp_59"/>
        <s v="Emp_60"/>
        <s v="Emp_61"/>
        <s v="Emp_62"/>
        <s v="Emp_63"/>
        <s v="Emp_64"/>
        <s v="Emp_65"/>
        <s v="Emp_66"/>
        <s v="Emp_67"/>
        <s v="Emp_68"/>
        <s v="Emp_69"/>
        <s v="Emp_70"/>
        <s v="Emp_71"/>
        <s v="Emp_72"/>
        <s v="Emp_73"/>
        <s v="Emp_74"/>
        <s v="Emp_75"/>
        <s v="Emp_76"/>
        <s v="Emp_77"/>
        <s v="Emp_78"/>
        <s v="Emp_79"/>
        <s v="Emp_80"/>
        <s v="Emp_81"/>
        <s v="Emp_82"/>
        <s v="Emp_83"/>
        <s v="Emp_84"/>
        <s v="Emp_85"/>
        <s v="Emp_86"/>
        <s v="Emp_87"/>
        <s v="Emp_88"/>
        <s v="Emp_89"/>
        <s v="Emp_90"/>
        <s v="Emp_91"/>
        <s v="Emp_92"/>
        <s v="Emp_93"/>
        <s v="Emp_94"/>
        <s v="Emp_95"/>
        <s v="Emp_96"/>
        <s v="Emp_97"/>
        <s v="Emp_98"/>
        <s v="Emp_99"/>
        <s v="Emp_100"/>
        <s v="Emp_101"/>
        <s v="Emp_102"/>
        <s v="Emp_103"/>
        <s v="Emp_104"/>
        <s v="Emp_105"/>
        <s v="Emp_106"/>
        <s v="Emp_107"/>
        <s v="Emp_108"/>
        <s v="Emp_109"/>
        <s v="Emp_110"/>
        <s v="Emp_111"/>
        <s v="Emp_112"/>
        <s v="Emp_113"/>
        <s v="Emp_114"/>
        <s v="Emp_115"/>
        <s v="Emp_116"/>
        <s v="Emp_117"/>
        <s v="Emp_118"/>
        <s v="Emp_119"/>
        <s v="Emp_120"/>
        <s v="Emp_121"/>
        <s v="Emp_122"/>
        <s v="Emp_123"/>
        <s v="Emp_124"/>
        <s v="Emp_125"/>
        <s v="Emp_126"/>
        <s v="Emp_127"/>
        <s v="Emp_128"/>
        <s v="Emp_129"/>
        <s v="Emp_130"/>
        <s v="Emp_131"/>
        <s v="Emp_132"/>
        <s v="Emp_133"/>
        <s v="Emp_134"/>
        <s v="Emp_135"/>
        <s v="Emp_136"/>
        <s v="Emp_137"/>
        <s v="Emp_138"/>
        <s v="Emp_139"/>
        <s v="Emp_140"/>
        <s v="Emp_141"/>
        <s v="Emp_142"/>
        <s v="Emp_143"/>
        <s v="Emp_144"/>
        <s v="Emp_145"/>
        <s v="Emp_146"/>
        <s v="Emp_147"/>
        <s v="Emp_148"/>
        <s v="Emp_149"/>
        <s v="Emp_150"/>
        <s v="Emp_151"/>
        <s v="Emp_152"/>
        <s v="Emp_153"/>
        <s v="Emp_154"/>
        <s v="Emp_155"/>
        <s v="Emp_156"/>
        <s v="Emp_157"/>
        <s v="Emp_158"/>
        <s v="Emp_159"/>
        <s v="Emp_160"/>
        <s v="Emp_161"/>
        <s v="Emp_162"/>
        <s v="Emp_163"/>
        <s v="Emp_164"/>
        <s v="Emp_165"/>
        <s v="Emp_166"/>
        <s v="Emp_167"/>
        <s v="Emp_168"/>
        <s v="Emp_169"/>
        <s v="Emp_170"/>
        <s v="Emp_171"/>
        <s v="Emp_172"/>
        <s v="Emp_173"/>
        <s v="Emp_174"/>
        <s v="Emp_175"/>
        <s v="Emp_176"/>
        <s v="Emp_177"/>
        <s v="Emp_178"/>
        <s v="Emp_179"/>
        <s v="Emp_180"/>
        <s v="Emp_181"/>
        <s v="Emp_182"/>
        <s v="Emp_183"/>
        <s v="Emp_184"/>
        <s v="Emp_185"/>
        <s v="Emp_186"/>
        <s v="Emp_187"/>
        <s v="Emp_188"/>
        <s v="Emp_189"/>
        <s v="Emp_190"/>
        <s v="Emp_191"/>
        <s v="Emp_192"/>
        <s v="Emp_193"/>
        <s v="Emp_194"/>
        <s v="Emp_195"/>
        <s v="Emp_196"/>
        <s v="Emp_197"/>
        <s v="Emp_198"/>
        <s v="Emp_199"/>
        <s v="Emp_200"/>
        <s v="Emp_201"/>
        <s v="Emp_202"/>
        <s v="Emp_203"/>
        <s v="Emp_204"/>
        <s v="Emp_205"/>
        <s v="Emp_206"/>
        <s v="Emp_207"/>
        <s v="Emp_208"/>
        <s v="Emp_209"/>
        <s v="Emp_210"/>
        <s v="Emp_211"/>
        <s v="Emp_212"/>
        <s v="Emp_213"/>
        <s v="Emp_214"/>
        <s v="Emp_215"/>
        <s v="Emp_216"/>
        <s v="Emp_217"/>
        <s v="Emp_218"/>
        <s v="Emp_219"/>
        <s v="Emp_220"/>
        <s v="Emp_221"/>
        <s v="Emp_222"/>
        <s v="Emp_223"/>
        <s v="Emp_224"/>
        <s v="Emp_225"/>
        <s v="Emp_226"/>
        <s v="Emp_227"/>
        <s v="Emp_228"/>
        <s v="Emp_229"/>
        <s v="Emp_230"/>
        <s v="Emp_231"/>
        <s v="Emp_232"/>
        <s v="Emp_233"/>
        <s v="Emp_234"/>
        <s v="Emp_235"/>
        <s v="Emp_236"/>
        <s v="Emp_237"/>
        <s v="Emp_238"/>
        <s v="Emp_239"/>
        <s v="Emp_240"/>
        <s v="Emp_241"/>
        <s v="Emp_242"/>
        <s v="Emp_243"/>
        <s v="Emp_244"/>
        <s v="Emp_245"/>
        <s v="Emp_246"/>
        <s v="Emp_247"/>
        <s v="Emp_248"/>
        <s v="Emp_249"/>
        <s v="Emp_250"/>
        <s v="Emp_251"/>
        <s v="Emp_252"/>
        <s v="Emp_253"/>
        <s v="Emp_254"/>
        <s v="Emp_255"/>
        <s v="Emp_256"/>
        <s v="Emp_257"/>
        <s v="Emp_258"/>
        <s v="Emp_259"/>
        <s v="Emp_260"/>
        <s v="Emp_261"/>
        <s v="Emp_262"/>
        <s v="Emp_263"/>
        <s v="Emp_264"/>
        <s v="Emp_265"/>
        <s v="Emp_266"/>
        <s v="Emp_267"/>
        <s v="Emp_268"/>
        <s v="Emp_269"/>
        <s v="Emp_270"/>
        <s v="Emp_271"/>
        <s v="Emp_272"/>
        <s v="Emp_273"/>
        <s v="Emp_274"/>
        <s v="Emp_275"/>
        <s v="Emp_276"/>
        <s v="Emp_277"/>
        <s v="Emp_278"/>
        <s v="Emp_279"/>
        <s v="Emp_280"/>
        <s v="Emp_281"/>
        <s v="Emp_282"/>
        <s v="Emp_283"/>
        <s v="Emp_284"/>
        <s v="Emp_285"/>
        <s v="Emp_286"/>
        <s v="Emp_287"/>
        <s v="Emp_288"/>
        <s v="Emp_289"/>
        <s v="Emp_290"/>
        <s v="Emp_291"/>
        <s v="Emp_292"/>
        <s v="Emp_293"/>
        <s v="Emp_294"/>
        <s v="Emp_295"/>
        <s v="Emp_296"/>
        <s v="Emp_297"/>
        <s v="Emp_298"/>
        <s v="Emp_299"/>
        <s v="Emp_300"/>
        <s v="Emp_301"/>
        <s v="Emp_302"/>
        <s v="Emp_303"/>
        <s v="Emp_304"/>
        <s v="Emp_305"/>
        <s v="Emp_306"/>
        <s v="Emp_307"/>
        <s v="Emp_308"/>
        <s v="Emp_309"/>
        <s v="Emp_310"/>
        <s v="Emp_311"/>
        <s v="Emp_312"/>
        <s v="Emp_313"/>
        <s v="Emp_314"/>
        <s v="Emp_315"/>
        <s v="Emp_316"/>
        <s v="Emp_317"/>
        <s v="Emp_318"/>
        <s v="Emp_319"/>
        <s v="Emp_320"/>
        <s v="Emp_321"/>
        <s v="Emp_322"/>
        <s v="Emp_323"/>
        <s v="Emp_324"/>
        <s v="Emp_325"/>
        <s v="Emp_326"/>
        <s v="Emp_327"/>
        <s v="Emp_328"/>
        <s v="Emp_329"/>
        <s v="Emp_330"/>
        <s v="Emp_331"/>
        <s v="Emp_332"/>
        <s v="Emp_333"/>
        <s v="Emp_334"/>
        <s v="Emp_335"/>
        <s v="Emp_336"/>
        <s v="Emp_337"/>
        <s v="Emp_338"/>
        <s v="Emp_339"/>
        <s v="Emp_340"/>
        <s v="Emp_341"/>
        <s v="Emp_342"/>
        <s v="Emp_343"/>
        <s v="Emp_344"/>
        <s v="Emp_345"/>
        <s v="Emp_346"/>
        <s v="Emp_347"/>
        <s v="Emp_348"/>
        <s v="Emp_349"/>
        <s v="Emp_350"/>
        <s v="Emp_351"/>
        <s v="Emp_352"/>
        <s v="Emp_353"/>
        <s v="Emp_354"/>
        <s v="Emp_355"/>
        <s v="Emp_356"/>
        <s v="Emp_357"/>
        <s v="Emp_358"/>
        <s v="Emp_359"/>
        <s v="Emp_360"/>
        <s v="Emp_361"/>
        <s v="Emp_362"/>
        <s v="Emp_363"/>
        <s v="Emp_364"/>
        <s v="Emp_365"/>
        <s v="Emp_366"/>
        <s v="Emp_367"/>
        <s v="Emp_368"/>
        <s v="Emp_369"/>
        <s v="Emp_370"/>
        <s v="Emp_371"/>
        <s v="Emp_372"/>
        <s v="Emp_373"/>
        <s v="Emp_374"/>
        <s v="Emp_375"/>
        <s v="Emp_376"/>
        <s v="Emp_377"/>
        <s v="Emp_378"/>
        <s v="Emp_379"/>
        <s v="Emp_380"/>
        <s v="Emp_381"/>
        <s v="Emp_382"/>
        <s v="Emp_383"/>
        <s v="Emp_384"/>
        <s v="Emp_385"/>
        <s v="Emp_386"/>
        <s v="Emp_387"/>
        <s v="Emp_388"/>
        <s v="Emp_389"/>
        <s v="Emp_390"/>
        <s v="Emp_391"/>
        <s v="Emp_392"/>
        <s v="Emp_393"/>
        <s v="Emp_394"/>
        <s v="Emp_395"/>
        <s v="Emp_396"/>
        <s v="Emp_397"/>
        <s v="Emp_398"/>
        <s v="Emp_399"/>
        <s v="Emp_400"/>
        <s v="Emp_401"/>
        <s v="Emp_402"/>
        <s v="Emp_403"/>
        <s v="Emp_404"/>
        <s v="Emp_405"/>
        <s v="Emp_406"/>
        <s v="Emp_407"/>
        <s v="Emp_408"/>
        <s v="Emp_409"/>
        <s v="Emp_410"/>
        <s v="Emp_411"/>
        <s v="Emp_412"/>
        <s v="Emp_413"/>
        <s v="Emp_414"/>
        <s v="Emp_415"/>
        <s v="Emp_416"/>
        <s v="Emp_417"/>
        <s v="Emp_418"/>
        <s v="Emp_419"/>
        <s v="Emp_420"/>
        <s v="Emp_421"/>
        <s v="Emp_422"/>
        <s v="Emp_423"/>
        <s v="Emp_424"/>
        <s v="Emp_425"/>
        <s v="Emp_426"/>
        <s v="Emp_427"/>
        <s v="Emp_428"/>
        <s v="Emp_429"/>
        <s v="Emp_430"/>
        <s v="Emp_431"/>
        <s v="Emp_432"/>
        <s v="Emp_433"/>
        <s v="Emp_434"/>
        <s v="Emp_435"/>
        <s v="Emp_436"/>
        <s v="Emp_437"/>
        <s v="Emp_438"/>
        <s v="Emp_439"/>
        <s v="Emp_440"/>
        <s v="Emp_441"/>
        <s v="Emp_442"/>
        <s v="Emp_443"/>
        <s v="Emp_444"/>
        <s v="Emp_445"/>
        <s v="Emp_446"/>
        <s v="Emp_447"/>
        <s v="Emp_448"/>
        <s v="Emp_449"/>
        <s v="Emp_450"/>
        <s v="Emp_451"/>
        <s v="Emp_452"/>
        <s v="Emp_453"/>
        <s v="Emp_454"/>
        <s v="Emp_455"/>
        <s v="Emp_456"/>
        <s v="Emp_457"/>
        <s v="Emp_458"/>
        <s v="Emp_459"/>
        <s v="Emp_460"/>
        <s v="Emp_461"/>
        <s v="Emp_462"/>
        <s v="Emp_463"/>
        <s v="Emp_464"/>
        <s v="Emp_465"/>
        <s v="Emp_466"/>
        <s v="Emp_467"/>
        <s v="Emp_468"/>
        <s v="Emp_469"/>
        <s v="Emp_470"/>
        <s v="Emp_471"/>
        <s v="Emp_472"/>
        <s v="Emp_473"/>
        <s v="Emp_474"/>
        <s v="Emp_475"/>
        <s v="Emp_476"/>
        <s v="Emp_477"/>
        <s v="Emp_478"/>
        <s v="Emp_479"/>
        <s v="Emp_480"/>
        <s v="Emp_481"/>
        <s v="Emp_482"/>
        <s v="Emp_483"/>
        <s v="Emp_484"/>
        <s v="Emp_485"/>
        <s v="Emp_486"/>
        <s v="Emp_487"/>
        <s v="Emp_488"/>
        <s v="Emp_489"/>
        <s v="Emp_490"/>
        <s v="Emp_491"/>
        <s v="Emp_492"/>
        <s v="Emp_493"/>
        <s v="Emp_494"/>
        <s v="Emp_495"/>
        <s v="Emp_496"/>
        <s v="Emp_497"/>
        <s v="Emp_498"/>
        <s v="Emp_499"/>
        <s v="Emp_500"/>
        <s v="Emp_501"/>
        <s v="Emp_502"/>
        <s v="Emp_503"/>
        <s v="Emp_504"/>
        <s v="Emp_505"/>
        <s v="Emp_506"/>
        <s v="Emp_507"/>
        <s v="Emp_508"/>
        <s v="Emp_509"/>
        <s v="Emp_510"/>
        <s v="Emp_511"/>
        <s v="Emp_512"/>
        <s v="Emp_513"/>
        <s v="Emp_514"/>
        <s v="Emp_515"/>
        <s v="Emp_516"/>
        <s v="Emp_517"/>
        <s v="Emp_518"/>
        <s v="Emp_519"/>
        <s v="Emp_520"/>
        <s v="Emp_521"/>
        <s v="Emp_522"/>
        <s v="Emp_523"/>
        <s v="Emp_524"/>
        <s v="Emp_525"/>
        <s v="Emp_526"/>
        <s v="Emp_527"/>
        <s v="Emp_528"/>
        <s v="Emp_529"/>
        <s v="Emp_530"/>
        <s v="Emp_531"/>
        <s v="Emp_532"/>
        <s v="Emp_533"/>
        <s v="Emp_534"/>
        <s v="Emp_535"/>
        <s v="Emp_536"/>
        <s v="Emp_537"/>
        <s v="Emp_538"/>
        <s v="Emp_539"/>
        <s v="Emp_540"/>
        <s v="Emp_541"/>
        <s v="Emp_542"/>
        <s v="Emp_543"/>
        <s v="Emp_544"/>
        <s v="Emp_545"/>
        <s v="Emp_546"/>
        <s v="Emp_547"/>
        <s v="Emp_548"/>
        <s v="Emp_549"/>
        <s v="Emp_550"/>
        <s v="Emp_551"/>
        <s v="Emp_552"/>
        <s v="Emp_553"/>
        <s v="Emp_554"/>
        <s v="Emp_555"/>
        <s v="Emp_556"/>
        <s v="Emp_557"/>
        <s v="Emp_558"/>
        <s v="Emp_559"/>
        <s v="Emp_560"/>
        <s v="Emp_561"/>
        <s v="Emp_562"/>
        <s v="Emp_563"/>
        <s v="Emp_564"/>
        <s v="Emp_565"/>
        <s v="Emp_566"/>
        <s v="Emp_567"/>
        <s v="Emp_568"/>
        <s v="Emp_569"/>
        <s v="Emp_570"/>
        <s v="Emp_571"/>
        <s v="Emp_572"/>
        <s v="Emp_573"/>
        <s v="Emp_574"/>
        <s v="Emp_575"/>
        <s v="Emp_576"/>
        <s v="Emp_577"/>
        <s v="Emp_578"/>
        <s v="Emp_579"/>
        <s v="Emp_580"/>
        <s v="Emp_581"/>
        <s v="Emp_582"/>
        <s v="Emp_583"/>
        <s v="Emp_584"/>
        <s v="Emp_585"/>
        <s v="Emp_586"/>
        <s v="Emp_587"/>
        <s v="Emp_588"/>
        <s v="Emp_589"/>
        <s v="Emp_590"/>
        <s v="Emp_591"/>
        <s v="Emp_592"/>
        <s v="Emp_593"/>
        <s v="Emp_594"/>
        <s v="Emp_595"/>
        <s v="Emp_596"/>
        <s v="Emp_597"/>
        <s v="Emp_598"/>
        <s v="Emp_599"/>
        <s v="Emp_600"/>
        <s v="Emp_601"/>
        <s v="Emp_602"/>
        <s v="Emp_603"/>
        <s v="Emp_604"/>
        <s v="Emp_605"/>
        <s v="Emp_606"/>
        <s v="Emp_607"/>
        <s v="Emp_608"/>
        <s v="Emp_609"/>
        <s v="Emp_610"/>
        <s v="Emp_611"/>
        <s v="Emp_612"/>
        <s v="Emp_613"/>
        <s v="Emp_614"/>
        <s v="Emp_615"/>
        <s v="Emp_616"/>
        <s v="Emp_617"/>
        <s v="Emp_618"/>
        <s v="Emp_619"/>
        <s v="Emp_620"/>
        <s v="Emp_621"/>
        <s v="Emp_622"/>
        <s v="Emp_623"/>
        <s v="Emp_624"/>
        <s v="Emp_625"/>
        <s v="Emp_626"/>
        <s v="Emp_627"/>
        <s v="Emp_628"/>
        <s v="Emp_629"/>
        <s v="Emp_630"/>
        <s v="Emp_631"/>
        <s v="Emp_632"/>
        <s v="Emp_633"/>
        <s v="Emp_634"/>
        <s v="Emp_635"/>
        <s v="Emp_636"/>
        <s v="Emp_637"/>
        <s v="Emp_638"/>
        <s v="Emp_639"/>
        <s v="Emp_640"/>
        <s v="Emp_641"/>
        <s v="Emp_642"/>
        <s v="Emp_643"/>
        <s v="Emp_644"/>
        <s v="Emp_645"/>
        <s v="Emp_646"/>
        <s v="Emp_647"/>
        <s v="Emp_648"/>
        <s v="Emp_649"/>
        <s v="Emp_650"/>
        <s v="Emp_651"/>
        <s v="Emp_652"/>
        <s v="Emp_653"/>
        <s v="Emp_654"/>
        <s v="Emp_655"/>
        <s v="Emp_656"/>
        <s v="Emp_657"/>
        <s v="Emp_658"/>
        <s v="Emp_659"/>
        <s v="Emp_660"/>
        <s v="Emp_661"/>
        <s v="Emp_662"/>
        <s v="Emp_663"/>
        <s v="Emp_664"/>
        <s v="Emp_665"/>
        <s v="Emp_666"/>
        <s v="Emp_667"/>
        <s v="Emp_668"/>
        <s v="Emp_669"/>
        <s v="Emp_670"/>
        <s v="Emp_671"/>
        <s v="Emp_672"/>
        <s v="Emp_673"/>
        <s v="Emp_674"/>
        <s v="Emp_675"/>
        <s v="Emp_676"/>
        <s v="Emp_677"/>
        <s v="Emp_678"/>
        <s v="Emp_679"/>
        <s v="Emp_680"/>
        <s v="Emp_681"/>
        <s v="Emp_682"/>
        <s v="Emp_683"/>
        <s v="Emp_684"/>
        <s v="Emp_685"/>
        <s v="Emp_686"/>
        <s v="Emp_687"/>
        <s v="Emp_688"/>
        <s v="Emp_689"/>
        <s v="Emp_690"/>
        <s v="Emp_691"/>
        <s v="Emp_692"/>
        <s v="Emp_693"/>
        <s v="Emp_694"/>
        <s v="Emp_695"/>
        <s v="Emp_696"/>
        <s v="Emp_697"/>
        <s v="Emp_698"/>
        <s v="Emp_699"/>
        <s v="Emp_700"/>
        <s v="Emp_701"/>
        <s v="Emp_702"/>
        <s v="Emp_703"/>
        <s v="Emp_704"/>
        <s v="Emp_705"/>
        <s v="Emp_706"/>
        <s v="Emp_707"/>
        <s v="Emp_708"/>
        <s v="Emp_709"/>
        <s v="Emp_710"/>
        <s v="Emp_711"/>
        <s v="Emp_712"/>
        <s v="Emp_713"/>
        <s v="Emp_714"/>
        <s v="Emp_715"/>
        <s v="Emp_716"/>
        <s v="Emp_717"/>
        <s v="Emp_718"/>
        <s v="Emp_719"/>
        <s v="Emp_720"/>
        <s v="Emp_721"/>
        <s v="Emp_722"/>
        <s v="Emp_723"/>
        <s v="Emp_724"/>
        <s v="Emp_725"/>
        <s v="Emp_726"/>
        <s v="Emp_727"/>
        <s v="Emp_728"/>
        <s v="Emp_729"/>
        <s v="Emp_730"/>
        <s v="Emp_731"/>
        <s v="Emp_732"/>
        <s v="Emp_733"/>
        <s v="Emp_734"/>
        <s v="Emp_735"/>
        <s v="Emp_736"/>
        <s v="Emp_737"/>
        <s v="Emp_738"/>
        <s v="Emp_739"/>
        <s v="Emp_740"/>
        <s v="Emp_741"/>
        <s v="Emp_742"/>
        <s v="Emp_743"/>
        <s v="Emp_744"/>
        <s v="Emp_745"/>
        <s v="Emp_746"/>
        <s v="Emp_747"/>
        <s v="Emp_748"/>
        <s v="Emp_749"/>
        <s v="Emp_750"/>
        <s v="Emp_751"/>
        <s v="Emp_752"/>
        <s v="Emp_753"/>
        <s v="Emp_754"/>
        <s v="Emp_755"/>
        <s v="Emp_756"/>
        <s v="Emp_757"/>
        <s v="Emp_758"/>
        <s v="Emp_759"/>
        <s v="Emp_760"/>
        <s v="Emp_761"/>
        <s v="Emp_762"/>
        <s v="Emp_763"/>
        <s v="Emp_764"/>
        <s v="Emp_765"/>
        <s v="Emp_766"/>
        <s v="Emp_767"/>
        <s v="Emp_768"/>
        <s v="Emp_769"/>
        <s v="Emp_770"/>
        <s v="Emp_771"/>
        <s v="Emp_772"/>
        <s v="Emp_773"/>
        <s v="Emp_774"/>
        <s v="Emp_775"/>
        <s v="Emp_776"/>
        <s v="Emp_777"/>
        <s v="Emp_778"/>
        <s v="Emp_779"/>
        <s v="Emp_780"/>
        <s v="Emp_781"/>
        <s v="Emp_782"/>
        <s v="Emp_783"/>
        <s v="Emp_784"/>
        <s v="Emp_785"/>
        <s v="Emp_786"/>
        <s v="Emp_787"/>
        <s v="Emp_788"/>
        <s v="Emp_789"/>
        <s v="Emp_790"/>
        <s v="Emp_791"/>
        <s v="Emp_792"/>
        <s v="Emp_793"/>
        <s v="Emp_794"/>
        <s v="Emp_795"/>
        <s v="Emp_796"/>
        <s v="Emp_797"/>
        <s v="Emp_798"/>
        <s v="Emp_799"/>
        <s v="Emp_800"/>
        <s v="Emp_801"/>
        <s v="Emp_802"/>
        <s v="Emp_803"/>
        <s v="Emp_804"/>
        <s v="Emp_805"/>
        <s v="Emp_806"/>
        <s v="Emp_807"/>
        <s v="Emp_808"/>
        <s v="Emp_809"/>
        <s v="Emp_810"/>
        <s v="Emp_811"/>
        <s v="Emp_812"/>
        <s v="Emp_813"/>
        <s v="Emp_814"/>
        <s v="Emp_815"/>
        <s v="Emp_816"/>
        <s v="Emp_817"/>
        <s v="Emp_818"/>
        <s v="Emp_819"/>
        <s v="Emp_820"/>
        <s v="Emp_821"/>
        <s v="Emp_822"/>
        <s v="Emp_823"/>
        <s v="Emp_824"/>
        <s v="Emp_825"/>
        <s v="Emp_826"/>
        <s v="Emp_827"/>
        <s v="Emp_828"/>
        <s v="Emp_829"/>
        <s v="Emp_830"/>
        <s v="Emp_831"/>
        <s v="Emp_832"/>
        <s v="Emp_833"/>
        <s v="Emp_834"/>
        <s v="Emp_835"/>
        <s v="Emp_836"/>
        <s v="Emp_837"/>
        <s v="Emp_838"/>
        <s v="Emp_839"/>
        <s v="Emp_840"/>
        <s v="Emp_841"/>
        <s v="Emp_842"/>
        <s v="Emp_843"/>
        <s v="Emp_844"/>
        <s v="Emp_845"/>
        <s v="Emp_846"/>
        <s v="Emp_847"/>
        <s v="Emp_848"/>
        <s v="Emp_849"/>
        <s v="Emp_850"/>
        <s v="Emp_851"/>
        <s v="Emp_852"/>
        <s v="Emp_853"/>
        <s v="Emp_854"/>
        <s v="Emp_855"/>
        <s v="Emp_856"/>
        <s v="Emp_857"/>
        <s v="Emp_858"/>
        <s v="Emp_859"/>
        <s v="Emp_860"/>
        <s v="Emp_861"/>
        <s v="Emp_862"/>
        <s v="Emp_863"/>
        <s v="Emp_864"/>
        <s v="Emp_865"/>
        <s v="Emp_866"/>
        <s v="Emp_867"/>
        <s v="Emp_868"/>
        <s v="Emp_869"/>
        <s v="Emp_870"/>
        <s v="Emp_871"/>
        <s v="Emp_872"/>
        <s v="Emp_873"/>
        <s v="Emp_874"/>
        <s v="Emp_875"/>
        <s v="Emp_876"/>
        <s v="Emp_877"/>
        <s v="Emp_878"/>
        <s v="Emp_879"/>
        <s v="Emp_880"/>
        <s v="Emp_881"/>
        <s v="Emp_882"/>
        <s v="Emp_883"/>
        <s v="Emp_884"/>
        <s v="Emp_885"/>
        <s v="Emp_886"/>
        <s v="Emp_887"/>
        <s v="Emp_888"/>
        <s v="Emp_889"/>
        <s v="Emp_890"/>
        <s v="Emp_891"/>
        <s v="Emp_892"/>
        <s v="Emp_893"/>
        <s v="Emp_894"/>
        <s v="Emp_895"/>
        <s v="Emp_896"/>
        <s v="Emp_897"/>
        <s v="Emp_898"/>
        <s v="Emp_899"/>
        <s v="Emp_900"/>
        <s v="Emp_901"/>
        <s v="Emp_902"/>
        <s v="Emp_903"/>
        <s v="Emp_904"/>
        <s v="Emp_905"/>
        <s v="Emp_906"/>
        <s v="Emp_907"/>
        <s v="Emp_908"/>
        <s v="Emp_909"/>
        <s v="Emp_910"/>
        <s v="Emp_911"/>
        <s v="Emp_912"/>
        <s v="Emp_913"/>
        <s v="Emp_914"/>
        <s v="Emp_915"/>
        <s v="Emp_916"/>
        <s v="Emp_917"/>
        <s v="Emp_918"/>
        <s v="Emp_919"/>
        <s v="Emp_920"/>
        <s v="Emp_921"/>
        <s v="Emp_922"/>
        <s v="Emp_923"/>
        <s v="Emp_924"/>
        <s v="Emp_925"/>
        <s v="Emp_926"/>
        <s v="Emp_927"/>
        <s v="Emp_928"/>
        <s v="Emp_929"/>
        <s v="Emp_930"/>
        <s v="Emp_931"/>
        <s v="Emp_932"/>
        <s v="Emp_933"/>
        <s v="Emp_934"/>
        <s v="Emp_935"/>
        <s v="Emp_936"/>
        <s v="Emp_937"/>
        <s v="Emp_938"/>
        <s v="Emp_939"/>
        <s v="Emp_940"/>
        <s v="Emp_941"/>
        <s v="Emp_942"/>
        <s v="Emp_943"/>
        <s v="Emp_944"/>
        <s v="Emp_945"/>
        <s v="Emp_946"/>
        <s v="Emp_947"/>
        <s v="Emp_948"/>
        <s v="Emp_949"/>
        <s v="Emp_950"/>
        <s v="Emp_951"/>
        <s v="Emp_952"/>
        <s v="Emp_953"/>
        <s v="Emp_954"/>
        <s v="Emp_955"/>
        <s v="Emp_956"/>
        <s v="Emp_957"/>
        <s v="Emp_958"/>
        <s v="Emp_959"/>
        <s v="Emp_960"/>
        <s v="Emp_961"/>
        <s v="Emp_962"/>
        <s v="Emp_963"/>
        <s v="Emp_964"/>
        <s v="Emp_965"/>
        <s v="Emp_966"/>
        <s v="Emp_967"/>
        <s v="Emp_968"/>
        <s v="Emp_969"/>
        <s v="Emp_970"/>
        <s v="Emp_971"/>
        <s v="Emp_972"/>
        <s v="Emp_973"/>
        <s v="Emp_974"/>
        <s v="Emp_975"/>
        <s v="Emp_976"/>
        <s v="Emp_977"/>
        <s v="Emp_978"/>
        <s v="Emp_979"/>
        <s v="Emp_980"/>
        <s v="Emp_981"/>
        <s v="Emp_982"/>
        <s v="Emp_983"/>
        <s v="Emp_984"/>
        <s v="Emp_985"/>
        <s v="Emp_986"/>
        <s v="Emp_987"/>
        <s v="Emp_988"/>
        <s v="Emp_989"/>
        <s v="Emp_990"/>
        <s v="Emp_991"/>
        <s v="Emp_992"/>
        <s v="Emp_993"/>
        <s v="Emp_994"/>
        <s v="Emp_995"/>
        <s v="Emp_996"/>
        <s v="Emp_997"/>
        <s v="Emp_998"/>
        <s v="Emp_999"/>
        <s v="Emp_1000"/>
        <s v="Emp_1001"/>
        <s v="Emp_1002"/>
        <s v="Emp_1003"/>
        <s v="Emp_1004"/>
        <s v="Emp_1005"/>
        <s v="Emp_1006"/>
        <s v="Emp_1007"/>
        <s v="Emp_1008"/>
        <s v="Emp_1009"/>
        <s v="Emp_1010"/>
        <s v="Emp_1011"/>
        <s v="Emp_1012"/>
        <s v="Emp_1013"/>
        <s v="Emp_1014"/>
        <s v="Emp_1015"/>
        <s v="Emp_1016"/>
        <s v="Emp_1017"/>
        <s v="Emp_1018"/>
        <s v="Emp_1019"/>
        <s v="Emp_1020"/>
        <s v="Emp_1021"/>
        <s v="Emp_1022"/>
        <s v="Emp_1023"/>
        <s v="Emp_1024"/>
        <s v="Emp_1025"/>
        <s v="Emp_1026"/>
        <s v="Emp_1027"/>
        <s v="Emp_1028"/>
        <s v="Emp_1029"/>
        <s v="Emp_1030"/>
        <s v="Emp_1031"/>
        <s v="Emp_1032"/>
        <s v="Emp_1033"/>
        <s v="Emp_1034"/>
        <s v="Emp_1035"/>
        <s v="Emp_1036"/>
        <s v="Emp_1037"/>
        <s v="Emp_1038"/>
        <s v="Emp_1039"/>
        <s v="Emp_1040"/>
        <s v="Emp_1041"/>
        <s v="Emp_1042"/>
        <s v="Emp_1043"/>
        <s v="Emp_1044"/>
        <s v="Emp_1045"/>
        <s v="Emp_1046"/>
        <s v="Emp_1047"/>
        <s v="Emp_1048"/>
        <s v="Emp_1049"/>
        <s v="Emp_1050"/>
        <s v="Emp_1051"/>
        <s v="Emp_1052"/>
        <s v="Emp_1053"/>
        <s v="Emp_1054"/>
        <s v="Emp_1055"/>
        <s v="Emp_1056"/>
        <s v="Emp_1057"/>
        <s v="Emp_1058"/>
        <s v="Emp_1059"/>
        <s v="Emp_1060"/>
        <s v="Emp_1061"/>
        <s v="Emp_1062"/>
        <s v="Emp_1063"/>
        <s v="Emp_1064"/>
        <s v="Emp_1065"/>
        <s v="Emp_1066"/>
        <s v="Emp_1067"/>
        <s v="Emp_1068"/>
        <s v="Emp_1069"/>
        <s v="Emp_1070"/>
        <s v="Emp_1071"/>
        <s v="Emp_1072"/>
        <s v="Emp_1073"/>
        <s v="Emp_1074"/>
        <s v="Emp_1075"/>
        <s v="Emp_1076"/>
        <s v="Emp_1077"/>
        <s v="Emp_1078"/>
        <s v="Emp_1079"/>
        <s v="Emp_1080"/>
        <s v="Emp_1081"/>
        <s v="Emp_1082"/>
        <s v="Emp_1083"/>
        <s v="Emp_1084"/>
        <s v="Emp_1085"/>
        <s v="Emp_1086"/>
        <s v="Emp_1087"/>
        <s v="Emp_1088"/>
        <s v="Emp_1089"/>
        <s v="Emp_1090"/>
        <s v="Emp_1091"/>
        <s v="Emp_1092"/>
        <s v="Emp_1093"/>
        <s v="Emp_1094"/>
        <s v="Emp_1095"/>
        <s v="Emp_1096"/>
        <s v="Emp_1097"/>
        <s v="Emp_1098"/>
        <s v="Emp_1099"/>
        <s v="Emp_1100"/>
        <s v="Emp_1101"/>
        <s v="Emp_1102"/>
        <s v="Emp_1103"/>
        <s v="Emp_1104"/>
        <s v="Emp_1105"/>
        <s v="Emp_1106"/>
        <s v="Emp_1107"/>
        <s v="Emp_1108"/>
        <s v="Emp_1109"/>
        <s v="Emp_1110"/>
        <s v="Emp_1111"/>
        <s v="Emp_1112"/>
        <s v="Emp_1113"/>
        <s v="Emp_1114"/>
        <s v="Emp_1115"/>
        <s v="Emp_1116"/>
        <s v="Emp_1117"/>
        <s v="Emp_1118"/>
        <s v="Emp_1119"/>
        <s v="Emp_1120"/>
        <s v="Emp_1121"/>
        <s v="Emp_1122"/>
        <s v="Emp_1123"/>
        <s v="Emp_1124"/>
        <s v="Emp_1125"/>
        <s v="Emp_1126"/>
        <s v="Emp_1127"/>
        <s v="Emp_1128"/>
        <s v="Emp_1129"/>
        <s v="Emp_1130"/>
        <s v="Emp_1131"/>
        <s v="Emp_1132"/>
        <s v="Emp_1133"/>
        <s v="Emp_1134"/>
        <s v="Emp_1135"/>
        <s v="Emp_1136"/>
        <s v="Emp_1137"/>
        <s v="Emp_1138"/>
        <s v="Emp_1139"/>
        <s v="Emp_1140"/>
        <s v="Emp_1141"/>
        <s v="Emp_1142"/>
        <s v="Emp_1143"/>
        <s v="Emp_1144"/>
        <s v="Emp_1145"/>
        <s v="Emp_1146"/>
        <s v="Emp_1147"/>
        <s v="Emp_1148"/>
        <s v="Emp_1149"/>
        <s v="Emp_1150"/>
        <s v="Emp_1151"/>
        <s v="Emp_1152"/>
        <s v="Emp_1153"/>
        <s v="Emp_1154"/>
        <s v="Emp_1155"/>
        <s v="Emp_1156"/>
        <s v="Emp_1157"/>
        <s v="Emp_1158"/>
        <s v="Emp_1159"/>
        <s v="Emp_1160"/>
        <s v="Emp_1161"/>
        <s v="Emp_1162"/>
        <s v="Emp_1163"/>
        <s v="Emp_1164"/>
        <s v="Emp_1165"/>
        <s v="Emp_1166"/>
        <s v="Emp_1167"/>
        <s v="Emp_1168"/>
        <s v="Emp_1169"/>
        <s v="Emp_1170"/>
        <s v="Emp_1171"/>
        <s v="Emp_1172"/>
        <s v="Emp_1173"/>
        <s v="Emp_1174"/>
        <s v="Emp_1175"/>
        <s v="Emp_1176"/>
        <s v="Emp_1177"/>
        <s v="Emp_1178"/>
        <s v="Emp_1179"/>
        <s v="Emp_1180"/>
        <s v="Emp_1181"/>
        <s v="Emp_1182"/>
        <s v="Emp_1183"/>
        <s v="Emp_1184"/>
        <s v="Emp_1185"/>
        <s v="Emp_1186"/>
        <s v="Emp_1187"/>
        <s v="Emp_1188"/>
        <s v="Emp_1189"/>
        <s v="Emp_1190"/>
        <s v="Emp_1191"/>
        <s v="Emp_1192"/>
        <s v="Emp_1193"/>
        <s v="Emp_1194"/>
        <s v="Emp_1195"/>
        <s v="Emp_1196"/>
        <s v="Emp_1197"/>
        <s v="Emp_1198"/>
        <s v="Emp_1199"/>
        <s v="Emp_1200"/>
        <s v="Emp_1201"/>
        <s v="Emp_1202"/>
        <s v="Emp_1203"/>
        <s v="Emp_1204"/>
        <s v="Emp_1205"/>
        <s v="Emp_1206"/>
        <s v="Emp_1207"/>
        <s v="Emp_1208"/>
        <s v="Emp_1209"/>
        <s v="Emp_1210"/>
        <s v="Emp_1211"/>
        <s v="Emp_1212"/>
        <s v="Emp_1213"/>
        <s v="Emp_1214"/>
        <s v="Emp_1215"/>
        <s v="Emp_1216"/>
        <s v="Emp_1217"/>
        <s v="Emp_1218"/>
        <s v="Emp_1219"/>
        <s v="Emp_1220"/>
        <s v="Emp_1221"/>
        <s v="Emp_1222"/>
        <s v="Emp_1223"/>
        <s v="Emp_1224"/>
        <s v="Emp_1225"/>
        <s v="Emp_1226"/>
        <s v="Emp_1227"/>
        <s v="Emp_1228"/>
        <s v="Emp_1229"/>
        <s v="Emp_1230"/>
        <s v="Emp_1231"/>
        <s v="Emp_1232"/>
        <s v="Emp_1233"/>
        <s v="Emp_1234"/>
        <s v="Emp_1235"/>
        <s v="Emp_1236"/>
        <s v="Emp_1237"/>
        <s v="Emp_1238"/>
        <s v="Emp_1239"/>
        <s v="Emp_1240"/>
        <s v="Emp_1241"/>
        <s v="Emp_1242"/>
        <s v="Emp_1243"/>
        <s v="Emp_1244"/>
        <s v="Emp_1245"/>
        <s v="Emp_1246"/>
        <s v="Emp_1247"/>
        <s v="Emp_1248"/>
        <s v="Emp_1249"/>
        <s v="Emp_1250"/>
        <s v="Emp_1251"/>
        <s v="Emp_1252"/>
        <s v="Emp_1253"/>
        <s v="Emp_1254"/>
        <s v="Emp_1255"/>
        <s v="Emp_1256"/>
        <s v="Emp_1257"/>
        <s v="Emp_1258"/>
        <s v="Emp_1259"/>
        <s v="Emp_1260"/>
        <s v="Emp_1261"/>
        <s v="Emp_1262"/>
        <s v="Emp_1263"/>
        <s v="Emp_1264"/>
        <s v="Emp_1265"/>
        <s v="Emp_1266"/>
        <s v="Emp_1267"/>
        <s v="Emp_1268"/>
        <s v="Emp_1269"/>
        <s v="Emp_1270"/>
        <s v="Emp_1271"/>
        <s v="Emp_1272"/>
        <s v="Emp_1273"/>
        <s v="Emp_1274"/>
        <s v="Emp_1275"/>
        <s v="Emp_1276"/>
        <s v="Emp_1277"/>
        <s v="Emp_1278"/>
        <s v="Emp_1279"/>
        <s v="Emp_1280"/>
        <s v="Emp_1281"/>
        <s v="Emp_1282"/>
        <s v="Emp_1283"/>
        <s v="Emp_1284"/>
        <s v="Emp_1285"/>
        <s v="Emp_1286"/>
        <s v="Emp_1287"/>
        <s v="Emp_1288"/>
        <s v="Emp_1289"/>
        <s v="Emp_1290"/>
        <s v="Emp_1291"/>
        <s v="Emp_1292"/>
        <s v="Emp_1293"/>
        <s v="Emp_1294"/>
        <s v="Emp_1295"/>
        <s v="Emp_1296"/>
        <s v="Emp_1297"/>
        <s v="Emp_1298"/>
        <s v="Emp_1299"/>
        <s v="Emp_1300"/>
        <s v="Emp_1301"/>
        <s v="Emp_1302"/>
        <s v="Emp_1303"/>
        <s v="Emp_1304"/>
        <s v="Emp_1305"/>
        <s v="Emp_1306"/>
        <s v="Emp_1307"/>
        <s v="Emp_1308"/>
        <s v="Emp_1309"/>
        <s v="Emp_1310"/>
        <s v="Emp_1311"/>
        <s v="Emp_1312"/>
        <s v="Emp_1313"/>
        <s v="Emp_1314"/>
        <s v="Emp_1315"/>
        <s v="Emp_1316"/>
        <s v="Emp_1317"/>
        <s v="Emp_1318"/>
        <s v="Emp_1319"/>
        <s v="Emp_1320"/>
        <s v="Emp_1321"/>
        <s v="Emp_1322"/>
        <s v="Emp_1323"/>
        <s v="Emp_1324"/>
        <s v="Emp_1325"/>
        <s v="Emp_1326"/>
        <s v="Emp_1327"/>
        <s v="Emp_1328"/>
        <s v="Emp_1329"/>
        <s v="Emp_1330"/>
        <s v="Emp_1331"/>
        <s v="Emp_1332"/>
        <s v="Emp_1333"/>
        <s v="Emp_1334"/>
        <s v="Emp_1335"/>
        <s v="Emp_1336"/>
        <s v="Emp_1337"/>
        <s v="Emp_1338"/>
        <s v="Emp_1339"/>
        <s v="Emp_1340"/>
        <s v="Emp_1341"/>
        <s v="Emp_1342"/>
        <s v="Emp_1343"/>
        <s v="Emp_1344"/>
        <s v="Emp_1345"/>
        <s v="Emp_1346"/>
        <s v="Emp_1347"/>
        <s v="Emp_1348"/>
        <s v="Emp_1349"/>
        <s v="Emp_1350"/>
        <s v="Emp_1351"/>
        <s v="Emp_1352"/>
        <s v="Emp_1353"/>
        <s v="Emp_1354"/>
        <s v="Emp_1355"/>
        <s v="Emp_1356"/>
        <s v="Emp_1357"/>
        <s v="Emp_1358"/>
        <s v="Emp_1359"/>
        <s v="Emp_1360"/>
        <s v="Emp_1361"/>
        <s v="Emp_1362"/>
        <s v="Emp_1363"/>
        <s v="Emp_1364"/>
        <s v="Emp_1365"/>
        <s v="Emp_1366"/>
        <s v="Emp_1367"/>
        <s v="Emp_1368"/>
        <s v="Emp_1369"/>
        <s v="Emp_1370"/>
        <s v="Emp_1371"/>
        <s v="Emp_1372"/>
        <s v="Emp_1373"/>
        <s v="Emp_1374"/>
        <s v="Emp_1375"/>
        <s v="Emp_1376"/>
        <s v="Emp_1377"/>
        <s v="Emp_1378"/>
        <s v="Emp_1379"/>
        <s v="Emp_1380"/>
        <s v="Emp_1381"/>
        <s v="Emp_1382"/>
        <s v="Emp_1383"/>
        <s v="Emp_1384"/>
        <s v="Emp_1385"/>
        <s v="Emp_1386"/>
        <s v="Emp_1387"/>
        <s v="Emp_1388"/>
        <s v="Emp_1389"/>
        <s v="Emp_1390"/>
        <s v="Emp_1391"/>
        <s v="Emp_1392"/>
        <s v="Emp_1393"/>
        <s v="Emp_1394"/>
        <s v="Emp_1395"/>
        <s v="Emp_1396"/>
        <s v="Emp_1397"/>
        <s v="Emp_1398"/>
        <s v="Emp_1399"/>
        <s v="Emp_1400"/>
        <s v="Emp_1401"/>
        <s v="Emp_1402"/>
        <s v="Emp_1403"/>
        <s v="Emp_1404"/>
        <s v="Emp_1405"/>
        <s v="Emp_1406"/>
        <s v="Emp_1407"/>
        <s v="Emp_1408"/>
        <s v="Emp_1409"/>
        <s v="Emp_1410"/>
        <s v="Emp_1411"/>
        <s v="Emp_1412"/>
        <s v="Emp_1413"/>
        <s v="Emp_1414"/>
        <s v="Emp_1415"/>
        <s v="Emp_1416"/>
        <s v="Emp_1417"/>
        <s v="Emp_1418"/>
        <s v="Emp_1419"/>
        <s v="Emp_1420"/>
        <s v="Emp_1421"/>
        <s v="Emp_1422"/>
        <s v="Emp_1423"/>
        <s v="Emp_1424"/>
        <s v="Emp_1425"/>
        <s v="Emp_1426"/>
        <s v="Emp_1427"/>
        <s v="Emp_1428"/>
        <s v="Emp_1429"/>
        <s v="Emp_1430"/>
        <s v="Emp_1431"/>
        <s v="Emp_1432"/>
        <s v="Emp_1433"/>
        <s v="Emp_1434"/>
        <s v="Emp_1435"/>
        <s v="Emp_1436"/>
        <s v="Emp_1437"/>
        <s v="Emp_1438"/>
        <s v="Emp_1439"/>
        <s v="Emp_1440"/>
        <s v="Emp_1441"/>
        <s v="Emp_1442"/>
        <s v="Emp_1443"/>
        <s v="Emp_1444"/>
        <s v="Emp_1445"/>
        <s v="Emp_1446"/>
        <s v="Emp_1447"/>
        <s v="Emp_1448"/>
        <s v="Emp_1449"/>
        <s v="Emp_1450"/>
        <s v="Emp_1451"/>
        <s v="Emp_1452"/>
        <s v="Emp_1453"/>
        <s v="Emp_1454"/>
        <s v="Emp_1455"/>
        <s v="Emp_1456"/>
        <s v="Emp_1457"/>
        <s v="Emp_1458"/>
        <s v="Emp_1459"/>
        <s v="Emp_1460"/>
        <s v="Emp_1461"/>
        <s v="Emp_1462"/>
        <s v="Emp_1463"/>
        <s v="Emp_1464"/>
        <s v="Emp_1465"/>
        <s v="Emp_1466"/>
        <s v="Emp_1467"/>
        <s v="Emp_1468"/>
        <s v="Emp_1469"/>
        <s v="Emp_1470"/>
        <s v="Emp_1471"/>
        <s v="Emp_1472"/>
        <s v="Emp_1473"/>
        <s v="Emp_1474"/>
        <s v="Emp_1475"/>
        <s v="Emp_1476"/>
        <s v="Emp_1477"/>
        <s v="Emp_1478"/>
        <s v="Emp_1479"/>
        <s v="Emp_1480"/>
        <s v="Emp_1481"/>
        <s v="Emp_1482"/>
        <s v="Emp_1483"/>
        <s v="Emp_1484"/>
        <s v="Emp_1485"/>
        <s v="Emp_1486"/>
        <s v="Emp_1487"/>
        <s v="Emp_1488"/>
        <s v="Emp_1489"/>
        <s v="Emp_1490"/>
        <s v="Emp_1491"/>
        <s v="Emp_1492"/>
        <s v="Emp_1493"/>
        <s v="Emp_1494"/>
        <s v="Emp_1495"/>
        <s v="Emp_1496"/>
        <s v="Emp_1497"/>
        <s v="Emp_1498"/>
        <s v="Emp_1499"/>
        <s v="Emp_1500"/>
        <s v="Emp_1501"/>
        <s v="Emp_1502"/>
        <s v="Emp_1503"/>
        <s v="Emp_1504"/>
        <s v="Emp_1505"/>
        <s v="Emp_1506"/>
        <s v="Emp_1507"/>
        <s v="Emp_1508"/>
        <s v="Emp_1509"/>
        <s v="Emp_1510"/>
        <s v="Emp_1511"/>
        <s v="Emp_1512"/>
        <s v="Emp_1513"/>
        <s v="Emp_1514"/>
        <s v="Emp_1515"/>
        <s v="Emp_1516"/>
        <s v="Emp_1517"/>
        <s v="Emp_1518"/>
        <s v="Emp_1519"/>
        <s v="Emp_1520"/>
        <s v="Emp_1521"/>
        <s v="Emp_1522"/>
        <s v="Emp_1523"/>
        <s v="Emp_1524"/>
        <s v="Emp_1525"/>
        <s v="Emp_1526"/>
        <s v="Emp_1527"/>
        <s v="Emp_1528"/>
        <s v="Emp_1529"/>
        <s v="Emp_1530"/>
        <s v="Emp_1531"/>
        <s v="Emp_1532"/>
        <s v="Emp_1533"/>
        <s v="Emp_1534"/>
        <s v="Emp_1535"/>
        <s v="Emp_1536"/>
        <s v="Emp_1537"/>
        <s v="Emp_1538"/>
        <s v="Emp_1539"/>
        <s v="Emp_1540"/>
        <s v="Emp_1541"/>
        <s v="Emp_1542"/>
        <s v="Emp_1543"/>
        <s v="Emp_1544"/>
        <s v="Emp_1545"/>
        <s v="Emp_1546"/>
        <s v="Emp_1547"/>
        <s v="Emp_1548"/>
        <s v="Emp_1549"/>
        <s v="Emp_1550"/>
        <s v="Emp_1551"/>
        <s v="Emp_1552"/>
        <s v="Emp_1553"/>
        <s v="Emp_1554"/>
        <s v="Emp_1555"/>
        <s v="Emp_1556"/>
        <s v="Emp_1557"/>
        <s v="Emp_1558"/>
        <s v="Emp_1559"/>
        <s v="Emp_1560"/>
        <s v="Emp_1561"/>
        <s v="Emp_1562"/>
        <s v="Emp_1563"/>
        <s v="Emp_1564"/>
        <s v="Emp_1565"/>
        <s v="Emp_1566"/>
        <s v="Emp_1567"/>
        <s v="Emp_1568"/>
        <s v="Emp_1569"/>
        <s v="Emp_1570"/>
        <s v="Emp_1571"/>
        <s v="Emp_1572"/>
        <s v="Emp_1573"/>
        <s v="Emp_1574"/>
        <s v="Emp_1575"/>
        <s v="Emp_1576"/>
        <s v="Emp_1577"/>
        <s v="Emp_1578"/>
        <s v="Emp_1579"/>
        <s v="Emp_1580"/>
        <s v="Emp_1581"/>
        <s v="Emp_1582"/>
        <s v="Emp_1583"/>
        <s v="Emp_1584"/>
        <s v="Emp_1585"/>
        <s v="Emp_1586"/>
        <s v="Emp_1587"/>
        <s v="Emp_1588"/>
        <s v="Emp_1589"/>
        <s v="Emp_1590"/>
        <s v="Emp_1591"/>
        <s v="Emp_1592"/>
        <s v="Emp_1593"/>
        <s v="Emp_1594"/>
        <s v="Emp_1595"/>
        <s v="Emp_1596"/>
        <s v="Emp_1597"/>
        <s v="Emp_1598"/>
        <s v="Emp_1599"/>
        <s v="Emp_1600"/>
        <s v="Emp_1601"/>
        <s v="Emp_1602"/>
        <s v="Emp_1603"/>
        <s v="Emp_1604"/>
        <s v="Emp_1605"/>
        <s v="Emp_1606"/>
        <s v="Emp_1607"/>
        <s v="Emp_1608"/>
        <s v="Emp_1609"/>
        <s v="Emp_1610"/>
        <s v="Emp_1611"/>
        <s v="Emp_1612"/>
        <s v="Emp_1613"/>
        <s v="Emp_1614"/>
        <s v="Emp_1615"/>
        <s v="Emp_1616"/>
        <s v="Emp_1617"/>
        <s v="Emp_1618"/>
        <s v="Emp_1619"/>
        <s v="Emp_1620"/>
        <s v="Emp_1621"/>
        <s v="Emp_1622"/>
        <s v="Emp_1623"/>
        <s v="Emp_1624"/>
        <s v="Emp_1625"/>
        <s v="Emp_1626"/>
        <s v="Emp_1627"/>
        <s v="Emp_1628"/>
        <s v="Emp_1629"/>
        <s v="Emp_1630"/>
        <s v="Emp_1631"/>
        <s v="Emp_1632"/>
        <s v="Emp_1633"/>
        <s v="Emp_1634"/>
        <s v="Emp_1635"/>
        <s v="Emp_1636"/>
        <s v="Emp_1637"/>
        <s v="Emp_1638"/>
        <s v="Emp_1639"/>
        <s v="Emp_1640"/>
        <s v="Emp_1641"/>
        <s v="Emp_1642"/>
        <s v="Emp_1643"/>
        <s v="Emp_1644"/>
        <s v="Emp_1645"/>
        <s v="Emp_1646"/>
        <s v="Emp_1647"/>
        <s v="Emp_1648"/>
        <s v="Emp_1649"/>
        <s v="Emp_1650"/>
        <s v="Emp_1651"/>
        <s v="Emp_1652"/>
        <s v="Emp_1653"/>
        <s v="Emp_1654"/>
        <s v="Emp_1655"/>
        <s v="Emp_1656"/>
        <s v="Emp_1657"/>
        <s v="Emp_1658"/>
        <s v="Emp_1659"/>
        <s v="Emp_1660"/>
        <s v="Emp_1661"/>
        <s v="Emp_1662"/>
        <s v="Emp_1663"/>
        <s v="Emp_1664"/>
        <s v="Emp_1665"/>
        <s v="Emp_1666"/>
        <s v="Emp_1667"/>
        <s v="Emp_1668"/>
        <s v="Emp_1669"/>
        <s v="Emp_1670"/>
        <s v="Emp_1671"/>
        <s v="Emp_1672"/>
        <s v="Emp_1673"/>
        <s v="Emp_1674"/>
        <s v="Emp_1675"/>
        <s v="Emp_1676"/>
        <s v="Emp_1677"/>
        <s v="Emp_1678"/>
        <s v="Emp_1679"/>
        <s v="Emp_1680"/>
        <s v="Emp_1681"/>
        <s v="Emp_1682"/>
        <s v="Emp_1683"/>
        <s v="Emp_1684"/>
        <s v="Emp_1685"/>
        <s v="Emp_1686"/>
        <s v="Emp_1687"/>
        <s v="Emp_1688"/>
        <s v="Emp_1689"/>
        <s v="Emp_1690"/>
        <s v="Emp_1691"/>
        <s v="Emp_1692"/>
        <s v="Emp_1693"/>
        <s v="Emp_1694"/>
        <s v="Emp_1695"/>
        <s v="Emp_1696"/>
        <s v="Emp_1697"/>
        <s v="Emp_1698"/>
        <s v="Emp_1699"/>
        <s v="Emp_1700"/>
        <s v="Emp_1701"/>
        <s v="Emp_1702"/>
        <s v="Emp_1703"/>
        <s v="Emp_1704"/>
        <s v="Emp_1705"/>
        <s v="Emp_1706"/>
        <s v="Emp_1707"/>
        <s v="Emp_1708"/>
        <s v="Emp_1709"/>
        <s v="Emp_1710"/>
        <s v="Emp_1711"/>
        <s v="Emp_1712"/>
        <s v="Emp_1713"/>
        <s v="Emp_1714"/>
        <s v="Emp_1715"/>
        <s v="Emp_1716"/>
        <s v="Emp_1717"/>
        <s v="Emp_1718"/>
        <s v="Emp_1719"/>
        <s v="Emp_1720"/>
        <s v="Emp_1721"/>
        <s v="Emp_1722"/>
        <s v="Emp_1723"/>
        <s v="Emp_1724"/>
        <s v="Emp_1725"/>
        <s v="Emp_1726"/>
        <s v="Emp_1727"/>
        <s v="Emp_1728"/>
        <s v="Emp_1729"/>
        <s v="Emp_1730"/>
        <s v="Emp_1731"/>
        <s v="Emp_1732"/>
        <s v="Emp_1733"/>
        <s v="Emp_1734"/>
        <s v="Emp_1735"/>
        <s v="Emp_1736"/>
        <s v="Emp_1737"/>
        <s v="Emp_1738"/>
        <s v="Emp_1739"/>
        <s v="Emp_1740"/>
        <s v="Emp_1741"/>
        <s v="Emp_1742"/>
        <s v="Emp_1743"/>
        <s v="Emp_1744"/>
        <s v="Emp_1745"/>
        <s v="Emp_1746"/>
        <s v="Emp_1747"/>
        <s v="Emp_1748"/>
        <s v="Emp_1749"/>
        <s v="Emp_1750"/>
        <s v="Emp_1751"/>
        <s v="Emp_1752"/>
        <s v="Emp_1753"/>
        <s v="Emp_1754"/>
        <s v="Emp_1755"/>
        <s v="Emp_1756"/>
        <s v="Emp_1757"/>
        <s v="Emp_1758"/>
        <s v="Emp_1759"/>
        <s v="Emp_1760"/>
        <s v="Emp_1761"/>
        <s v="Emp_1762"/>
        <s v="Emp_1763"/>
        <s v="Emp_1764"/>
        <s v="Emp_1765"/>
        <s v="Emp_1766"/>
        <s v="Emp_1767"/>
        <s v="Emp_1768"/>
        <s v="Emp_1769"/>
        <s v="Emp_1770"/>
        <s v="Emp_1771"/>
        <s v="Emp_1772"/>
        <s v="Emp_1773"/>
        <s v="Emp_1774"/>
        <s v="Emp_1775"/>
        <s v="Emp_1776"/>
        <s v="Emp_1777"/>
        <s v="Emp_1778"/>
        <s v="Emp_1779"/>
        <s v="Emp_1780"/>
        <s v="Emp_1781"/>
        <s v="Emp_1782"/>
        <s v="Emp_1783"/>
        <s v="Emp_1784"/>
        <s v="Emp_1785"/>
        <s v="Emp_1786"/>
        <s v="Emp_1787"/>
        <s v="Emp_1788"/>
        <s v="Emp_1789"/>
        <s v="Emp_1790"/>
        <s v="Emp_1791"/>
        <s v="Emp_1792"/>
        <s v="Emp_1793"/>
        <s v="Emp_1794"/>
        <s v="Emp_1795"/>
        <s v="Emp_1796"/>
        <s v="Emp_1797"/>
        <s v="Emp_1798"/>
        <s v="Emp_1799"/>
        <s v="Emp_1800"/>
        <s v="Emp_1801"/>
        <s v="Emp_1802"/>
        <s v="Emp_1803"/>
        <s v="Emp_1804"/>
        <s v="Emp_1805"/>
        <s v="Emp_1806"/>
        <s v="Emp_1807"/>
        <s v="Emp_1808"/>
        <s v="Emp_1809"/>
        <s v="Emp_1810"/>
        <s v="Emp_1811"/>
        <s v="Emp_1812"/>
        <s v="Emp_1813"/>
        <s v="Emp_1814"/>
        <s v="Emp_1815"/>
        <s v="Emp_1816"/>
        <s v="Emp_1817"/>
        <s v="Emp_1818"/>
        <s v="Emp_1819"/>
        <s v="Emp_1820"/>
        <s v="Emp_1821"/>
        <s v="Emp_1822"/>
        <s v="Emp_1823"/>
        <s v="Emp_1824"/>
        <s v="Emp_1825"/>
        <s v="Emp_1826"/>
        <s v="Emp_1827"/>
        <s v="Emp_1828"/>
        <s v="Emp_1829"/>
        <s v="Emp_1830"/>
        <s v="Emp_1831"/>
        <s v="Emp_1832"/>
        <s v="Emp_1833"/>
        <s v="Emp_1834"/>
        <s v="Emp_1835"/>
        <s v="Emp_1836"/>
        <s v="Emp_1837"/>
        <s v="Emp_1838"/>
        <s v="Emp_1839"/>
        <s v="Emp_1840"/>
        <s v="Emp_1841"/>
        <s v="Emp_1842"/>
        <s v="Emp_1843"/>
        <s v="Emp_1844"/>
        <s v="Emp_1845"/>
        <s v="Emp_1846"/>
        <s v="Emp_1847"/>
        <s v="Emp_1848"/>
        <s v="Emp_1849"/>
        <s v="Emp_1850"/>
        <s v="Emp_1851"/>
        <s v="Emp_1852"/>
        <s v="Emp_1853"/>
        <s v="Emp_1854"/>
        <s v="Emp_1855"/>
        <s v="Emp_1856"/>
        <s v="Emp_1857"/>
        <s v="Emp_1858"/>
        <s v="Emp_1859"/>
        <s v="Emp_1860"/>
        <s v="Emp_1861"/>
        <s v="Emp_1862"/>
        <s v="Emp_1863"/>
        <s v="Emp_1864"/>
        <s v="Emp_1865"/>
        <s v="Emp_1866"/>
        <s v="Emp_1867"/>
        <s v="Emp_1868"/>
        <s v="Emp_1869"/>
        <s v="Emp_1870"/>
        <s v="Emp_1871"/>
        <s v="Emp_1872"/>
        <s v="Emp_1873"/>
        <s v="Emp_1874"/>
        <s v="Emp_1875"/>
        <s v="Emp_1876"/>
        <s v="Emp_1877"/>
        <s v="Emp_1878"/>
        <s v="Emp_1879"/>
        <s v="Emp_1880"/>
        <s v="Emp_1881"/>
        <s v="Emp_1882"/>
        <s v="Emp_1883"/>
        <s v="Emp_1884"/>
        <s v="Emp_1885"/>
        <s v="Emp_1886"/>
        <s v="Emp_1887"/>
        <s v="Emp_1888"/>
        <s v="Emp_1889"/>
        <s v="Emp_1890"/>
        <s v="Emp_1891"/>
        <s v="Emp_1892"/>
        <s v="Emp_1893"/>
        <s v="Emp_1894"/>
        <s v="Emp_1895"/>
        <s v="Emp_1896"/>
        <s v="Emp_1897"/>
        <s v="Emp_1898"/>
        <s v="Emp_1899"/>
        <s v="Emp_1900"/>
        <s v="Emp_1901"/>
        <s v="Emp_1902"/>
        <s v="Emp_1903"/>
        <s v="Emp_1904"/>
        <s v="Emp_1905"/>
        <s v="Emp_1906"/>
        <s v="Emp_1907"/>
        <s v="Emp_1908"/>
        <s v="Emp_1909"/>
        <s v="Emp_1910"/>
        <s v="Emp_1911"/>
        <s v="Emp_1912"/>
        <s v="Emp_1913"/>
        <s v="Emp_1914"/>
        <s v="Emp_1915"/>
        <s v="Emp_1916"/>
        <s v="Emp_1917"/>
        <s v="Emp_1918"/>
        <s v="Emp_1919"/>
        <s v="Emp_1920"/>
        <s v="Emp_1921"/>
        <s v="Emp_1922"/>
        <s v="Emp_1923"/>
        <s v="Emp_1924"/>
        <s v="Emp_1925"/>
        <s v="Emp_1926"/>
        <s v="Emp_1927"/>
        <s v="Emp_1928"/>
        <s v="Emp_1929"/>
        <s v="Emp_1930"/>
        <s v="Emp_1931"/>
        <s v="Emp_1932"/>
        <s v="Emp_1933"/>
        <s v="Emp_1934"/>
        <s v="Emp_1935"/>
        <s v="Emp_1936"/>
        <s v="Emp_1937"/>
        <s v="Emp_1938"/>
        <s v="Emp_1939"/>
        <s v="Emp_1940"/>
        <s v="Emp_1941"/>
        <s v="Emp_1942"/>
        <s v="Emp_1943"/>
        <s v="Emp_1944"/>
        <s v="Emp_1945"/>
        <s v="Emp_1946"/>
        <s v="Emp_1947"/>
        <s v="Emp_1948"/>
        <s v="Emp_1949"/>
        <s v="Emp_1950"/>
        <s v="Emp_1951"/>
        <s v="Emp_1952"/>
        <s v="Emp_1953"/>
        <s v="Emp_1954"/>
        <s v="Emp_1955"/>
        <s v="Emp_1956"/>
        <s v="Emp_1957"/>
        <s v="Emp_1958"/>
        <s v="Emp_1959"/>
        <s v="Emp_1960"/>
        <s v="Emp_1961"/>
        <s v="Emp_1962"/>
        <s v="Emp_1963"/>
        <s v="Emp_1964"/>
        <s v="Emp_1965"/>
        <s v="Emp_1966"/>
        <s v="Emp_1967"/>
        <s v="Emp_1968"/>
        <s v="Emp_1969"/>
        <s v="Emp_1970"/>
        <s v="Emp_1971"/>
        <s v="Emp_1972"/>
        <s v="Emp_1973"/>
        <s v="Emp_1974"/>
        <s v="Emp_1975"/>
        <s v="Emp_1976"/>
        <s v="Emp_1977"/>
        <s v="Emp_1978"/>
        <s v="Emp_1979"/>
        <s v="Emp_1980"/>
        <s v="Emp_1981"/>
        <s v="Emp_1982"/>
        <s v="Emp_1983"/>
        <s v="Emp_1984"/>
        <s v="Emp_1985"/>
        <s v="Emp_1986"/>
        <s v="Emp_1987"/>
        <s v="Emp_1988"/>
        <s v="Emp_1989"/>
        <s v="Emp_1990"/>
        <s v="Emp_1991"/>
        <s v="Emp_1992"/>
        <s v="Emp_1993"/>
        <s v="Emp_1994"/>
        <s v="Emp_1995"/>
        <s v="Emp_1996"/>
        <s v="Emp_1997"/>
        <s v="Emp_1998"/>
        <s v="Emp_1999"/>
        <s v="Emp_2000"/>
        <s v="Emp_2001"/>
        <s v="Emp_2002"/>
        <s v="Emp_2003"/>
        <s v="Emp_2004"/>
        <s v="Emp_2005"/>
        <s v="Emp_2006"/>
        <s v="Emp_2007"/>
        <s v="Emp_2008"/>
        <s v="Emp_2009"/>
        <s v="Emp_2010"/>
        <s v="Emp_2011"/>
        <s v="Emp_2012"/>
        <s v="Emp_2013"/>
        <s v="Emp_2014"/>
        <s v="Emp_2015"/>
        <s v="Emp_2016"/>
        <s v="Emp_2017"/>
        <s v="Emp_2018"/>
        <s v="Emp_2019"/>
        <s v="Emp_2020"/>
        <s v="Emp_2021"/>
        <s v="Emp_2022"/>
        <s v="Emp_2023"/>
        <s v="Emp_2024"/>
        <s v="Emp_2025"/>
        <s v="Emp_2026"/>
        <s v="Emp_2027"/>
        <s v="Emp_2028"/>
        <s v="Emp_2029"/>
        <s v="Emp_2030"/>
        <s v="Emp_2031"/>
        <s v="Emp_2032"/>
        <s v="Emp_2033"/>
        <s v="Emp_2034"/>
        <s v="Emp_2035"/>
        <s v="Emp_2036"/>
        <s v="Emp_2037"/>
        <s v="Emp_2038"/>
        <s v="Emp_2039"/>
        <s v="Emp_2040"/>
        <s v="Emp_2041"/>
        <s v="Emp_2042"/>
        <s v="Emp_2043"/>
        <s v="Emp_2044"/>
        <s v="Emp_2045"/>
        <s v="Emp_2046"/>
        <s v="Emp_2047"/>
        <s v="Emp_2048"/>
        <s v="Emp_2049"/>
        <s v="Emp_2050"/>
        <s v="Emp_2051"/>
        <s v="Emp_2052"/>
        <s v="Emp_2053"/>
        <s v="Emp_2054"/>
        <s v="Emp_2055"/>
        <s v="Emp_2056"/>
        <s v="Emp_2057"/>
        <s v="Emp_2058"/>
        <s v="Emp_2059"/>
        <s v="Emp_2060"/>
        <s v="Emp_2061"/>
        <s v="Emp_2062"/>
        <s v="Emp_2063"/>
        <s v="Emp_2064"/>
        <s v="Emp_2065"/>
        <s v="Emp_2066"/>
        <s v="Emp_2067"/>
        <s v="Emp_2068"/>
        <s v="Emp_2069"/>
        <s v="Emp_2070"/>
        <s v="Emp_2071"/>
        <s v="Emp_2072"/>
        <s v="Emp_2073"/>
        <s v="Emp_2074"/>
        <s v="Emp_2075"/>
        <s v="Emp_2076"/>
        <s v="Emp_2077"/>
        <s v="Emp_2078"/>
        <s v="Emp_2079"/>
        <s v="Emp_2080"/>
        <s v="Emp_2081"/>
        <s v="Emp_2082"/>
        <s v="Emp_2083"/>
        <s v="Emp_2084"/>
        <s v="Emp_2085"/>
        <s v="Emp_2086"/>
        <s v="Emp_2087"/>
        <s v="Emp_2088"/>
        <s v="Emp_2089"/>
        <s v="Emp_2090"/>
        <s v="Emp_2091"/>
        <s v="Emp_2092"/>
        <s v="Emp_2093"/>
        <s v="Emp_2094"/>
        <s v="Emp_2095"/>
        <s v="Emp_2096"/>
        <s v="Emp_2097"/>
        <s v="Emp_2098"/>
        <s v="Emp_2099"/>
        <s v="Emp_2100"/>
        <s v="Emp_2101"/>
        <s v="Emp_2102"/>
        <s v="Emp_2103"/>
        <s v="Emp_2104"/>
        <s v="Emp_2105"/>
        <s v="Emp_2106"/>
        <s v="Emp_2107"/>
        <s v="Emp_2108"/>
        <s v="Emp_2109"/>
        <s v="Emp_2110"/>
        <s v="Emp_2111"/>
        <s v="Emp_2112"/>
        <s v="Emp_2113"/>
        <s v="Emp_2114"/>
        <s v="Emp_2115"/>
        <s v="Emp_2116"/>
        <s v="Emp_2117"/>
        <s v="Emp_2118"/>
        <s v="Emp_2119"/>
        <s v="Emp_2120"/>
        <s v="Emp_2121"/>
        <s v="Emp_2122"/>
        <s v="Emp_2123"/>
        <s v="Emp_2124"/>
        <s v="Emp_2125"/>
        <s v="Emp_2126"/>
        <s v="Emp_2127"/>
        <s v="Emp_2128"/>
        <s v="Emp_2129"/>
        <s v="Emp_2130"/>
        <s v="Emp_2131"/>
        <s v="Emp_2132"/>
        <s v="Emp_2133"/>
        <s v="Emp_2134"/>
        <s v="Emp_2135"/>
        <s v="Emp_2136"/>
        <s v="Emp_2137"/>
        <s v="Emp_2138"/>
        <s v="Emp_2139"/>
        <s v="Emp_2140"/>
        <s v="Emp_2141"/>
        <s v="Emp_2142"/>
        <s v="Emp_2143"/>
        <s v="Emp_2144"/>
        <s v="Emp_2145"/>
        <s v="Emp_2146"/>
        <s v="Emp_2147"/>
        <s v="Emp_2148"/>
        <s v="Emp_2149"/>
        <s v="Emp_2150"/>
        <s v="Emp_2151"/>
        <s v="Emp_2152"/>
        <s v="Emp_2153"/>
        <s v="Emp_2154"/>
        <s v="Emp_2155"/>
        <s v="Emp_2156"/>
        <s v="Emp_2157"/>
        <s v="Emp_2158"/>
        <s v="Emp_2159"/>
        <s v="Emp_2160"/>
        <s v="Emp_2161"/>
        <s v="Emp_2162"/>
        <s v="Emp_2163"/>
        <s v="Emp_2164"/>
        <s v="Emp_2165"/>
        <s v="Emp_2166"/>
        <s v="Emp_2167"/>
        <s v="Emp_2168"/>
        <s v="Emp_2169"/>
        <s v="Emp_2170"/>
        <s v="Emp_2171"/>
        <s v="Emp_2172"/>
        <s v="Emp_2173"/>
        <s v="Emp_2174"/>
        <s v="Emp_2175"/>
        <s v="Emp_2176"/>
        <s v="Emp_2177"/>
        <s v="Emp_2178"/>
        <s v="Emp_2179"/>
        <s v="Emp_2180"/>
        <s v="Emp_2181"/>
        <s v="Emp_2182"/>
        <s v="Emp_2183"/>
        <s v="Emp_2184"/>
        <s v="Emp_2185"/>
        <s v="Emp_2186"/>
        <s v="Emp_2187"/>
        <s v="Emp_2188"/>
        <s v="Emp_2189"/>
        <s v="Emp_2190"/>
        <s v="Emp_2191"/>
        <s v="Emp_2192"/>
        <s v="Emp_2193"/>
        <s v="Emp_2194"/>
        <s v="Emp_2195"/>
        <s v="Emp_2196"/>
        <s v="Emp_2197"/>
        <s v="Emp_2198"/>
        <s v="Emp_2199"/>
        <s v="Emp_2200"/>
        <s v="Emp_2201"/>
        <s v="Emp_2202"/>
        <s v="Emp_2203"/>
        <s v="Emp_2204"/>
        <s v="Emp_2205"/>
        <s v="Emp_2206"/>
        <s v="Emp_2207"/>
        <s v="Emp_2208"/>
        <s v="Emp_2209"/>
        <s v="Emp_2210"/>
        <s v="Emp_2211"/>
        <s v="Emp_2212"/>
        <s v="Emp_2213"/>
        <s v="Emp_2214"/>
        <s v="Emp_2215"/>
        <s v="Emp_2216"/>
        <s v="Emp_2217"/>
        <s v="Emp_2218"/>
        <s v="Emp_2219"/>
        <s v="Emp_2220"/>
        <s v="Emp_2221"/>
        <s v="Emp_2222"/>
        <s v="Emp_2223"/>
        <s v="Emp_2224"/>
        <s v="Emp_2225"/>
        <s v="Emp_2226"/>
        <s v="Emp_2227"/>
        <s v="Emp_2228"/>
        <s v="Emp_2229"/>
        <s v="Emp_2230"/>
        <s v="Emp_2231"/>
        <s v="Emp_2232"/>
        <s v="Emp_2233"/>
        <s v="Emp_2234"/>
        <s v="Emp_2235"/>
        <s v="Emp_2236"/>
        <s v="Emp_2237"/>
        <s v="Emp_2238"/>
        <s v="Emp_2239"/>
        <s v="Emp_2240"/>
        <s v="Emp_2241"/>
        <s v="Emp_2242"/>
        <s v="Emp_2243"/>
        <s v="Emp_2244"/>
        <s v="Emp_2245"/>
        <s v="Emp_2246"/>
        <s v="Emp_2247"/>
        <s v="Emp_2248"/>
        <s v="Emp_2249"/>
        <s v="Emp_2250"/>
        <s v="Emp_2251"/>
        <s v="Emp_2252"/>
        <s v="Emp_2253"/>
        <s v="Emp_2254"/>
        <s v="Emp_2255"/>
        <s v="Emp_2256"/>
        <s v="Emp_2257"/>
        <s v="Emp_2258"/>
        <s v="Emp_2259"/>
        <s v="Emp_2260"/>
        <s v="Emp_2261"/>
        <s v="Emp_2262"/>
        <s v="Emp_2263"/>
        <s v="Emp_2264"/>
        <s v="Emp_2265"/>
        <s v="Emp_2266"/>
        <s v="Emp_2267"/>
        <s v="Emp_2268"/>
        <s v="Emp_2269"/>
        <s v="Emp_2270"/>
        <s v="Emp_2271"/>
        <s v="Emp_2272"/>
        <s v="Emp_2273"/>
        <s v="Emp_2274"/>
        <s v="Emp_2275"/>
        <s v="Emp_2276"/>
        <s v="Emp_2277"/>
        <s v="Emp_2278"/>
        <s v="Emp_2279"/>
        <s v="Emp_2280"/>
        <s v="Emp_2281"/>
        <s v="Emp_2282"/>
        <s v="Emp_2283"/>
        <s v="Emp_2284"/>
        <s v="Emp_2285"/>
        <s v="Emp_2286"/>
        <s v="Emp_2287"/>
        <s v="Emp_2288"/>
        <s v="Emp_2289"/>
        <s v="Emp_2290"/>
        <s v="Emp_2291"/>
        <s v="Emp_2292"/>
        <s v="Emp_2293"/>
        <s v="Emp_2294"/>
        <s v="Emp_2295"/>
        <s v="Emp_2296"/>
        <s v="Emp_2297"/>
        <s v="Emp_2298"/>
        <s v="Emp_2299"/>
        <s v="Emp_2300"/>
        <s v="Emp_2301"/>
        <s v="Emp_2302"/>
        <s v="Emp_2303"/>
        <s v="Emp_2304"/>
        <s v="Emp_2305"/>
        <s v="Emp_2306"/>
        <s v="Emp_2307"/>
        <s v="Emp_2308"/>
        <s v="Emp_2309"/>
        <s v="Emp_2310"/>
        <s v="Emp_2311"/>
        <s v="Emp_2312"/>
        <s v="Emp_2313"/>
        <s v="Emp_2314"/>
        <s v="Emp_2315"/>
        <s v="Emp_2316"/>
        <s v="Emp_2317"/>
        <s v="Emp_2318"/>
        <s v="Emp_2319"/>
        <s v="Emp_2320"/>
        <s v="Emp_2321"/>
        <s v="Emp_2322"/>
        <s v="Emp_2323"/>
        <s v="Emp_2324"/>
        <s v="Emp_2325"/>
        <s v="Emp_2326"/>
        <s v="Emp_2327"/>
        <s v="Emp_2328"/>
        <s v="Emp_2329"/>
        <s v="Emp_2330"/>
        <s v="Emp_2331"/>
        <s v="Emp_2332"/>
        <s v="Emp_2333"/>
        <s v="Emp_2334"/>
        <s v="Emp_2335"/>
        <s v="Emp_2336"/>
        <s v="Emp_2337"/>
        <s v="Emp_2338"/>
        <s v="Emp_2339"/>
        <s v="Emp_2340"/>
        <s v="Emp_2341"/>
        <s v="Emp_2342"/>
        <s v="Emp_2343"/>
        <s v="Emp_2344"/>
        <s v="Emp_2345"/>
        <s v="Emp_2346"/>
        <s v="Emp_2347"/>
        <s v="Emp_2348"/>
        <s v="Emp_2349"/>
        <s v="Emp_2350"/>
        <s v="Emp_2351"/>
        <s v="Emp_2352"/>
        <s v="Emp_2353"/>
        <s v="Emp_2354"/>
        <s v="Emp_2355"/>
        <s v="Emp_2356"/>
        <s v="Emp_2357"/>
        <s v="Emp_2358"/>
        <s v="Emp_2359"/>
        <s v="Emp_2360"/>
        <s v="Emp_2361"/>
        <s v="Emp_2362"/>
        <s v="Emp_2363"/>
        <s v="Emp_2364"/>
        <s v="Emp_2365"/>
        <s v="Emp_2366"/>
        <s v="Emp_2367"/>
        <s v="Emp_2368"/>
        <s v="Emp_2369"/>
        <s v="Emp_2370"/>
        <s v="Emp_2371"/>
        <s v="Emp_2372"/>
        <s v="Emp_2373"/>
        <s v="Emp_2374"/>
        <s v="Emp_2375"/>
        <s v="Emp_2376"/>
        <s v="Emp_2377"/>
        <s v="Emp_2378"/>
        <s v="Emp_2379"/>
        <s v="Emp_2380"/>
        <s v="Emp_2381"/>
        <s v="Emp_2382"/>
        <s v="Emp_2383"/>
        <s v="Emp_2384"/>
        <s v="Emp_2385"/>
        <s v="Emp_2386"/>
        <s v="Emp_2387"/>
        <s v="Emp_2388"/>
        <s v="Emp_2389"/>
        <s v="Emp_2390"/>
        <s v="Emp_2391"/>
        <s v="Emp_2392"/>
        <s v="Emp_2393"/>
        <s v="Emp_2394"/>
        <s v="Emp_2395"/>
        <s v="Emp_2396"/>
        <s v="Emp_2397"/>
        <s v="Emp_2398"/>
        <s v="Emp_2399"/>
        <s v="Emp_2400"/>
        <s v="Emp_2401"/>
        <s v="Emp_2402"/>
        <s v="Emp_2403"/>
        <s v="Emp_2404"/>
        <s v="Emp_2405"/>
        <s v="Emp_2406"/>
        <s v="Emp_2407"/>
        <s v="Emp_2408"/>
        <s v="Emp_2409"/>
        <s v="Emp_2410"/>
        <s v="Emp_2411"/>
        <s v="Emp_2412"/>
        <s v="Emp_2413"/>
        <s v="Emp_2414"/>
        <s v="Emp_2415"/>
        <s v="Emp_2416"/>
        <s v="Emp_2417"/>
        <s v="Emp_2418"/>
        <s v="Emp_2419"/>
        <s v="Emp_2420"/>
        <s v="Emp_2421"/>
        <s v="Emp_2422"/>
        <s v="Emp_2423"/>
        <s v="Emp_2424"/>
        <s v="Emp_2425"/>
        <s v="Emp_2426"/>
        <s v="Emp_2427"/>
        <s v="Emp_2428"/>
        <s v="Emp_2429"/>
        <s v="Emp_2430"/>
        <s v="Emp_2431"/>
        <s v="Emp_2432"/>
        <s v="Emp_2433"/>
        <s v="Emp_2434"/>
        <s v="Emp_2435"/>
        <s v="Emp_2436"/>
        <s v="Emp_2437"/>
        <s v="Emp_2438"/>
        <s v="Emp_2439"/>
        <s v="Emp_2440"/>
        <s v="Emp_2441"/>
        <s v="Emp_2442"/>
        <s v="Emp_2443"/>
        <s v="Emp_2444"/>
        <s v="Emp_2445"/>
        <s v="Emp_2446"/>
        <s v="Emp_2447"/>
        <s v="Emp_2448"/>
        <s v="Emp_2449"/>
        <s v="Emp_2450"/>
        <s v="Emp_2451"/>
        <s v="Emp_2452"/>
        <s v="Emp_2453"/>
        <s v="Emp_2454"/>
        <s v="Emp_2455"/>
        <s v="Emp_2456"/>
        <s v="Emp_2457"/>
        <s v="Emp_2458"/>
        <s v="Emp_2459"/>
        <s v="Emp_2460"/>
        <s v="Emp_2461"/>
        <s v="Emp_2462"/>
        <s v="Emp_2463"/>
        <s v="Emp_2464"/>
        <s v="Emp_2465"/>
        <s v="Emp_2466"/>
        <s v="Emp_2467"/>
        <s v="Emp_2468"/>
        <s v="Emp_2469"/>
        <s v="Emp_2470"/>
        <s v="Emp_2471"/>
        <s v="Emp_2472"/>
        <s v="Emp_2473"/>
        <s v="Emp_2474"/>
        <s v="Emp_2475"/>
        <s v="Emp_2476"/>
        <s v="Emp_2477"/>
        <s v="Emp_2478"/>
        <s v="Emp_2479"/>
        <s v="Emp_2480"/>
        <s v="Emp_2481"/>
        <s v="Emp_2482"/>
        <s v="Emp_2483"/>
        <s v="Emp_2484"/>
        <s v="Emp_2485"/>
        <s v="Emp_2486"/>
        <s v="Emp_2487"/>
        <s v="Emp_2488"/>
        <s v="Emp_2489"/>
        <s v="Emp_2490"/>
        <s v="Emp_2491"/>
        <s v="Emp_2492"/>
        <s v="Emp_2493"/>
        <s v="Emp_2494"/>
        <s v="Emp_2495"/>
        <s v="Emp_2496"/>
        <s v="Emp_2497"/>
        <s v="Emp_2498"/>
        <s v="Emp_2499"/>
        <s v="Emp_2500"/>
        <s v="Emp_2501"/>
        <s v="Emp_2502"/>
        <s v="Emp_2503"/>
        <s v="Emp_2504"/>
        <s v="Emp_2505"/>
        <s v="Emp_2506"/>
        <s v="Emp_2507"/>
        <s v="Emp_2508"/>
        <s v="Emp_2509"/>
        <s v="Emp_2510"/>
        <s v="Emp_2511"/>
        <s v="Emp_2512"/>
        <s v="Emp_2513"/>
        <s v="Emp_2514"/>
        <s v="Emp_2515"/>
        <s v="Emp_2516"/>
        <s v="Emp_2517"/>
        <s v="Emp_2518"/>
        <s v="Emp_2519"/>
        <s v="Emp_2520"/>
        <s v="Emp_2521"/>
        <s v="Emp_2522"/>
        <s v="Emp_2523"/>
        <s v="Emp_2524"/>
        <s v="Emp_2525"/>
        <s v="Emp_2526"/>
        <s v="Emp_2527"/>
        <s v="Emp_2528"/>
        <s v="Emp_2529"/>
        <s v="Emp_2530"/>
        <s v="Emp_2531"/>
        <s v="Emp_2532"/>
        <s v="Emp_2533"/>
        <s v="Emp_2534"/>
        <s v="Emp_2535"/>
        <s v="Emp_2536"/>
        <s v="Emp_2537"/>
        <s v="Emp_2538"/>
        <s v="Emp_2539"/>
        <s v="Emp_2540"/>
        <s v="Emp_2541"/>
        <s v="Emp_2542"/>
        <s v="Emp_2543"/>
        <s v="Emp_2544"/>
        <s v="Emp_2545"/>
        <s v="Emp_2546"/>
        <s v="Emp_2547"/>
        <s v="Emp_2548"/>
        <s v="Emp_2549"/>
        <s v="Emp_2550"/>
        <s v="Emp_2551"/>
        <s v="Emp_2552"/>
        <s v="Emp_2553"/>
        <s v="Emp_2554"/>
        <s v="Emp_2555"/>
        <s v="Emp_2556"/>
        <s v="Emp_2557"/>
        <s v="Emp_2558"/>
        <s v="Emp_2559"/>
        <s v="Emp_2560"/>
        <s v="Emp_2561"/>
        <s v="Emp_2562"/>
        <s v="Emp_2563"/>
        <s v="Emp_2564"/>
        <s v="Emp_2565"/>
        <s v="Emp_2566"/>
        <s v="Emp_2567"/>
        <s v="Emp_2568"/>
        <s v="Emp_2569"/>
        <s v="Emp_2570"/>
        <s v="Emp_2571"/>
        <s v="Emp_2572"/>
        <s v="Emp_2573"/>
        <s v="Emp_2574"/>
        <s v="Emp_2575"/>
        <s v="Emp_2576"/>
        <s v="Emp_2577"/>
        <s v="Emp_2578"/>
        <s v="Emp_2579"/>
        <s v="Emp_2580"/>
        <s v="Emp_2581"/>
        <s v="Emp_2582"/>
        <s v="Emp_2583"/>
        <s v="Emp_2584"/>
        <s v="Emp_2585"/>
        <s v="Emp_2586"/>
        <s v="Emp_2587"/>
        <s v="Emp_2588"/>
        <s v="Emp_2589"/>
        <s v="Emp_2590"/>
        <s v="Emp_2591"/>
        <s v="Emp_2592"/>
        <s v="Emp_2593"/>
        <s v="Emp_2594"/>
        <s v="Emp_2595"/>
        <s v="Emp_2596"/>
        <s v="Emp_2597"/>
        <s v="Emp_2598"/>
        <s v="Emp_2599"/>
        <s v="Emp_2600"/>
        <s v="Emp_2601"/>
        <s v="Emp_2602"/>
        <s v="Emp_2603"/>
        <s v="Emp_2604"/>
        <s v="Emp_2605"/>
        <s v="Emp_2606"/>
        <s v="Emp_2607"/>
        <s v="Emp_2608"/>
        <s v="Emp_2609"/>
        <s v="Emp_2610"/>
        <s v="Emp_2611"/>
        <s v="Emp_2612"/>
        <s v="Emp_2613"/>
        <s v="Emp_2614"/>
        <s v="Emp_2615"/>
        <s v="Emp_2616"/>
        <s v="Emp_2617"/>
        <s v="Emp_2618"/>
        <s v="Emp_2619"/>
        <s v="Emp_2620"/>
        <s v="Emp_2621"/>
        <s v="Emp_2622"/>
        <s v="Emp_2623"/>
        <s v="Emp_2624"/>
        <s v="Emp_2625"/>
        <s v="Emp_2626"/>
        <s v="Emp_2627"/>
        <s v="Emp_2628"/>
        <s v="Emp_2629"/>
        <s v="Emp_2630"/>
        <s v="Emp_2631"/>
        <s v="Emp_2632"/>
        <s v="Emp_2633"/>
        <s v="Emp_2634"/>
        <s v="Emp_2635"/>
        <s v="Emp_2636"/>
        <s v="Emp_2637"/>
        <s v="Emp_2638"/>
        <s v="Emp_2639"/>
        <s v="Emp_2640"/>
        <s v="Emp_2641"/>
        <s v="Emp_2642"/>
        <s v="Emp_2643"/>
        <s v="Emp_2644"/>
        <s v="Emp_2645"/>
        <s v="Emp_2646"/>
        <s v="Emp_2647"/>
        <s v="Emp_2648"/>
        <s v="Emp_2649"/>
        <s v="Emp_2650"/>
        <s v="Emp_2651"/>
        <s v="Emp_2652"/>
        <s v="Emp_2653"/>
        <s v="Emp_2654"/>
        <s v="Emp_2655"/>
        <s v="Emp_2656"/>
        <s v="Emp_2657"/>
        <s v="Emp_2658"/>
        <s v="Emp_2659"/>
        <s v="Emp_2660"/>
        <s v="Emp_2661"/>
        <s v="Emp_2662"/>
        <s v="Emp_2663"/>
        <s v="Emp_2664"/>
        <s v="Emp_2665"/>
        <s v="Emp_2666"/>
        <s v="Emp_2667"/>
        <s v="Emp_2668"/>
        <s v="Emp_2669"/>
        <s v="Emp_2670"/>
        <s v="Emp_2671"/>
        <s v="Emp_2672"/>
        <s v="Emp_2673"/>
        <s v="Emp_2674"/>
        <s v="Emp_2675"/>
        <s v="Emp_2676"/>
        <s v="Emp_2677"/>
        <s v="Emp_2678"/>
        <s v="Emp_2679"/>
        <s v="Emp_2680"/>
        <s v="Emp_2681"/>
        <s v="Emp_2682"/>
        <s v="Emp_2683"/>
        <s v="Emp_2684"/>
        <s v="Emp_2685"/>
        <s v="Emp_2686"/>
        <s v="Emp_2687"/>
        <s v="Emp_2688"/>
        <s v="Emp_2689"/>
        <s v="Emp_2690"/>
        <s v="Emp_2691"/>
        <s v="Emp_2692"/>
        <s v="Emp_2693"/>
        <s v="Emp_2694"/>
        <s v="Emp_2695"/>
        <s v="Emp_2696"/>
        <s v="Emp_2697"/>
        <s v="Emp_2698"/>
        <s v="Emp_2699"/>
        <s v="Emp_2700"/>
        <s v="Emp_2701"/>
        <s v="Emp_2702"/>
        <s v="Emp_2703"/>
        <s v="Emp_2704"/>
        <s v="Emp_2705"/>
        <s v="Emp_2706"/>
        <s v="Emp_2707"/>
        <s v="Emp_2708"/>
        <s v="Emp_2709"/>
        <s v="Emp_2710"/>
        <s v="Emp_2711"/>
        <s v="Emp_2712"/>
        <s v="Emp_2713"/>
        <s v="Emp_2714"/>
        <s v="Emp_2715"/>
        <s v="Emp_2716"/>
        <s v="Emp_2717"/>
        <s v="Emp_2718"/>
        <s v="Emp_2719"/>
        <s v="Emp_2720"/>
        <s v="Emp_2721"/>
        <s v="Emp_2722"/>
        <s v="Emp_2723"/>
        <s v="Emp_2724"/>
        <s v="Emp_2725"/>
        <s v="Emp_2726"/>
        <s v="Emp_2727"/>
        <s v="Emp_2728"/>
        <s v="Emp_2729"/>
        <s v="Emp_2730"/>
        <s v="Emp_2731"/>
        <s v="Emp_2732"/>
        <s v="Emp_2733"/>
        <s v="Emp_2734"/>
        <s v="Emp_2735"/>
        <s v="Emp_2736"/>
        <s v="Emp_2737"/>
        <s v="Emp_2738"/>
        <s v="Emp_2739"/>
        <s v="Emp_2740"/>
        <s v="Emp_2741"/>
        <s v="Emp_2742"/>
        <s v="Emp_2743"/>
        <s v="Emp_2744"/>
        <s v="Emp_2745"/>
        <s v="Emp_2746"/>
        <s v="Emp_2747"/>
        <s v="Emp_2748"/>
        <s v="Emp_2749"/>
        <s v="Emp_2750"/>
        <s v="Emp_2751"/>
        <s v="Emp_2752"/>
        <s v="Emp_2753"/>
        <s v="Emp_2754"/>
        <s v="Emp_2755"/>
        <s v="Emp_2756"/>
        <s v="Emp_2757"/>
        <s v="Emp_2758"/>
        <s v="Emp_2759"/>
        <s v="Emp_2760"/>
        <s v="Emp_2761"/>
        <s v="Emp_2762"/>
        <s v="Emp_2763"/>
        <s v="Emp_2764"/>
        <s v="Emp_2765"/>
        <s v="Emp_2766"/>
        <s v="Emp_2767"/>
        <s v="Emp_2768"/>
        <s v="Emp_2769"/>
        <s v="Emp_2770"/>
        <s v="Emp_2771"/>
        <s v="Emp_2772"/>
        <s v="Emp_2773"/>
        <s v="Emp_2774"/>
        <s v="Emp_2775"/>
        <s v="Emp_2776"/>
        <s v="Emp_2777"/>
        <s v="Emp_2778"/>
        <s v="Emp_2779"/>
        <s v="Emp_2780"/>
        <s v="Emp_2781"/>
        <s v="Emp_2782"/>
        <s v="Emp_2783"/>
        <s v="Emp_2784"/>
        <s v="Emp_2785"/>
        <s v="Emp_2786"/>
        <s v="Emp_2787"/>
        <s v="Emp_2788"/>
        <s v="Emp_2789"/>
        <s v="Emp_2790"/>
        <s v="Emp_2791"/>
        <s v="Emp_2792"/>
        <s v="Emp_2793"/>
        <s v="Emp_2794"/>
        <s v="Emp_2795"/>
        <s v="Emp_2796"/>
        <s v="Emp_2797"/>
        <s v="Emp_2798"/>
        <s v="Emp_2799"/>
        <s v="Emp_2800"/>
        <s v="Emp_2801"/>
        <s v="Emp_2802"/>
        <s v="Emp_2803"/>
        <s v="Emp_2804"/>
        <s v="Emp_2805"/>
        <s v="Emp_2806"/>
        <s v="Emp_2807"/>
        <s v="Emp_2808"/>
        <s v="Emp_2809"/>
        <s v="Emp_2810"/>
        <s v="Emp_2811"/>
        <s v="Emp_2812"/>
        <s v="Emp_2813"/>
        <s v="Emp_2814"/>
        <s v="Emp_2815"/>
        <s v="Emp_2816"/>
        <s v="Emp_2817"/>
        <s v="Emp_2818"/>
        <s v="Emp_2819"/>
        <s v="Emp_2820"/>
        <s v="Emp_2821"/>
        <s v="Emp_2822"/>
        <s v="Emp_2823"/>
        <s v="Emp_2824"/>
        <s v="Emp_2825"/>
        <s v="Emp_2826"/>
        <s v="Emp_2827"/>
        <s v="Emp_2828"/>
        <s v="Emp_2829"/>
        <s v="Emp_2830"/>
        <s v="Emp_2831"/>
        <s v="Emp_2832"/>
        <s v="Emp_2833"/>
        <s v="Emp_2834"/>
        <s v="Emp_2835"/>
        <s v="Emp_2836"/>
        <s v="Emp_2837"/>
        <s v="Emp_2838"/>
        <s v="Emp_2839"/>
        <s v="Emp_2840"/>
        <s v="Emp_2841"/>
        <s v="Emp_2842"/>
        <s v="Emp_2843"/>
        <s v="Emp_2844"/>
        <s v="Emp_2845"/>
        <s v="Emp_2846"/>
        <s v="Emp_2847"/>
        <s v="Emp_2848"/>
        <s v="Emp_2849"/>
        <s v="Emp_2850"/>
        <s v="Emp_2851"/>
        <s v="Emp_2852"/>
        <s v="Emp_2853"/>
        <s v="Emp_2854"/>
        <s v="Emp_2855"/>
        <s v="Emp_2856"/>
        <s v="Emp_2857"/>
        <s v="Emp_2858"/>
        <s v="Emp_2859"/>
        <s v="Emp_2860"/>
        <s v="Emp_2861"/>
        <s v="Emp_2862"/>
        <s v="Emp_2863"/>
        <s v="Emp_2864"/>
        <s v="Emp_2865"/>
        <s v="Emp_2866"/>
        <s v="Emp_2867"/>
        <s v="Emp_2868"/>
        <s v="Emp_2869"/>
        <s v="Emp_2870"/>
        <s v="Emp_2871"/>
        <s v="Emp_2872"/>
        <s v="Emp_2873"/>
        <s v="Emp_2874"/>
        <s v="Emp_2875"/>
        <s v="Emp_2876"/>
        <s v="Emp_2877"/>
        <s v="Emp_2878"/>
        <s v="Emp_2879"/>
        <s v="Emp_2880"/>
        <s v="Emp_2881"/>
        <s v="Emp_2882"/>
        <s v="Emp_2883"/>
        <s v="Emp_2884"/>
        <s v="Emp_2885"/>
        <s v="Emp_2886"/>
        <s v="Emp_2887"/>
        <s v="Emp_2888"/>
        <s v="Emp_2889"/>
        <s v="Emp_2890"/>
        <s v="Emp_2891"/>
        <s v="Emp_2892"/>
        <s v="Emp_2893"/>
        <s v="Emp_2894"/>
        <s v="Emp_2895"/>
        <s v="Emp_2896"/>
        <s v="Emp_2897"/>
        <s v="Emp_2898"/>
        <s v="Emp_2899"/>
        <s v="Emp_2900"/>
        <s v="Emp_2901"/>
        <s v="Emp_2902"/>
        <s v="Emp_2903"/>
        <s v="Emp_2904"/>
        <s v="Emp_2905"/>
        <s v="Emp_2906"/>
        <s v="Emp_2907"/>
        <s v="Emp_2908"/>
        <s v="Emp_2909"/>
        <s v="Emp_2910"/>
        <s v="Emp_2911"/>
        <s v="Emp_2912"/>
        <s v="Emp_2913"/>
        <s v="Emp_2914"/>
        <s v="Emp_2915"/>
        <s v="Emp_2916"/>
        <s v="Emp_2917"/>
        <s v="Emp_2918"/>
        <s v="Emp_2919"/>
        <s v="Emp_2920"/>
        <s v="Emp_2921"/>
        <s v="Emp_2922"/>
        <s v="Emp_2923"/>
        <s v="Emp_2924"/>
        <s v="Emp_2925"/>
        <s v="Emp_2926"/>
        <s v="Emp_2927"/>
        <s v="Emp_2928"/>
        <s v="Emp_2929"/>
        <s v="Emp_2930"/>
        <s v="Emp_2931"/>
        <s v="Emp_2932"/>
        <s v="Emp_2933"/>
        <s v="Emp_2934"/>
        <s v="Emp_2935"/>
        <s v="Emp_2936"/>
        <s v="Emp_2937"/>
        <s v="Emp_2938"/>
        <s v="Emp_2939"/>
        <s v="Emp_2940"/>
        <s v="Emp_2941"/>
        <s v="Emp_2942"/>
        <s v="Emp_2943"/>
        <s v="Emp_2944"/>
        <s v="Emp_2945"/>
        <s v="Emp_2946"/>
        <s v="Emp_2947"/>
        <s v="Emp_2948"/>
        <s v="Emp_2949"/>
        <s v="Emp_2950"/>
        <s v="Emp_2951"/>
        <s v="Emp_2952"/>
        <s v="Emp_2953"/>
        <s v="Emp_2954"/>
        <s v="Emp_2955"/>
        <s v="Emp_2956"/>
        <s v="Emp_2957"/>
        <s v="Emp_2958"/>
        <s v="Emp_2959"/>
        <s v="Emp_2960"/>
        <s v="Emp_2961"/>
        <s v="Emp_2962"/>
        <s v="Emp_2963"/>
        <s v="Emp_2964"/>
        <s v="Emp_2965"/>
        <s v="Emp_2966"/>
        <s v="Emp_2967"/>
        <s v="Emp_2968"/>
        <s v="Emp_2969"/>
        <s v="Emp_2970"/>
        <s v="Emp_2971"/>
        <s v="Emp_2972"/>
        <s v="Emp_2973"/>
        <s v="Emp_2974"/>
        <s v="Emp_2975"/>
        <s v="Emp_2976"/>
        <s v="Emp_2977"/>
        <s v="Emp_2978"/>
        <s v="Emp_2979"/>
        <s v="Emp_2980"/>
        <s v="Emp_2981"/>
        <s v="Emp_2982"/>
        <s v="Emp_2983"/>
        <s v="Emp_2984"/>
        <s v="Emp_2985"/>
        <s v="Emp_2986"/>
        <s v="Emp_2987"/>
        <s v="Emp_2988"/>
        <s v="Emp_2989"/>
        <s v="Emp_2990"/>
        <s v="Emp_2991"/>
        <s v="Emp_2992"/>
        <s v="Emp_2993"/>
        <s v="Emp_2994"/>
        <s v="Emp_2995"/>
        <s v="Emp_2996"/>
        <s v="Emp_2997"/>
        <s v="Emp_2998"/>
        <s v="Emp_2999"/>
        <s v="Emp_3000"/>
      </sharedItems>
    </cacheField>
    <cacheField name="Name_Upcase" numFmtId="0">
      <sharedItems/>
    </cacheField>
    <cacheField name="Gender" numFmtId="0">
      <sharedItems count="2">
        <s v="Male"/>
        <s v="Female"/>
      </sharedItems>
    </cacheField>
    <cacheField name="Name+Department" numFmtId="0">
      <sharedItems/>
    </cacheField>
    <cacheField name="Department" numFmtId="0">
      <sharedItems count="5">
        <s v="HR"/>
        <s v="Sales"/>
        <s v="Finance"/>
        <s v="IT"/>
        <s v="Marketing"/>
      </sharedItems>
    </cacheField>
    <cacheField name="City" numFmtId="0">
      <sharedItems count="5">
        <s v="Delhi"/>
        <s v="Pune"/>
        <s v="Hyderabad"/>
        <s v="Mumbai"/>
        <s v="Bangalore"/>
      </sharedItems>
    </cacheField>
    <cacheField name="Salary" numFmtId="0">
      <sharedItems containsSemiMixedTypes="0" containsString="0" containsNumber="1" containsInteger="1" minValue="20005" maxValue="79984"/>
    </cacheField>
    <cacheField name="Bonus" numFmtId="0">
      <sharedItems containsSemiMixedTypes="0" containsString="0" containsNumber="1" containsInteger="1" minValue="2001" maxValue="14999"/>
    </cacheField>
    <cacheField name="Sales" numFmtId="0">
      <sharedItems containsSemiMixedTypes="0" containsString="0" containsNumber="1" containsInteger="1" minValue="0" maxValue="299312"/>
    </cacheField>
    <cacheField name="Target" numFmtId="0">
      <sharedItems containsSemiMixedTypes="0" containsString="0" containsNumber="1" containsInteger="1" minValue="0" maxValue="249756"/>
    </cacheField>
    <cacheField name="Join_Date" numFmtId="0">
      <sharedItems containsDate="1" containsMixedTypes="1" minDate="2018-01-01T00:00:00" maxDate="2024-12-12T00:00:00"/>
    </cacheField>
    <cacheField name="year" numFmtId="0">
      <sharedItems/>
    </cacheField>
    <cacheField name="Today-date" numFmtId="14">
      <sharedItems containsSemiMixedTypes="0" containsNonDate="0" containsDate="1" containsString="0" minDate="2026-02-11T00:00:00" maxDate="2026-02-12T00:00:00"/>
    </cacheField>
    <cacheField name="Experience" numFmtId="2">
      <sharedItems containsMixedTypes="1" containsNumber="1" containsInteger="1" minValue="1" maxValue="8"/>
    </cacheField>
    <cacheField name="Performance Rating" numFmtId="0">
      <sharedItems containsSemiMixedTypes="0" containsString="0" containsNumber="1" containsInteger="1" minValue="1" maxValue="5"/>
    </cacheField>
    <cacheField name="Total income" numFmtId="0">
      <sharedItems containsSemiMixedTypes="0" containsString="0" containsNumber="1" containsInteger="1" minValue="22161" maxValue="94540"/>
    </cacheField>
    <cacheField name="avg salary" numFmtId="1">
      <sharedItems containsSemiMixedTypes="0" containsString="0" containsNumber="1" minValue="11080.5" maxValue="47270"/>
    </cacheField>
    <cacheField name="Target Status" numFmtId="1">
      <sharedItems/>
    </cacheField>
    <cacheField name="Performance Category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EMP_1"/>
    <x v="0"/>
    <s v="EMP_1HR"/>
    <x v="0"/>
    <x v="0"/>
    <n v="21776"/>
    <n v="8397"/>
    <n v="0"/>
    <n v="0"/>
    <d v="2018-12-04T00:00:00"/>
    <s v="2018"/>
    <d v="2026-02-11T00:00:00"/>
    <n v="7"/>
    <n v="2"/>
    <n v="30173"/>
    <n v="15086.5"/>
    <s v=" Not Achieved"/>
    <s v="poor"/>
  </r>
  <r>
    <x v="1"/>
    <x v="1"/>
    <s v="EMP_2"/>
    <x v="1"/>
    <s v="EMP_2Sales"/>
    <x v="1"/>
    <x v="1"/>
    <n v="78841"/>
    <n v="7672"/>
    <n v="156931"/>
    <n v="92847"/>
    <d v="2018-02-12T00:00:00"/>
    <s v="2018"/>
    <d v="2026-02-11T00:00:00"/>
    <n v="7"/>
    <n v="3"/>
    <n v="86513"/>
    <n v="43256.5"/>
    <s v="Achieved"/>
    <s v=" Excellent"/>
  </r>
  <r>
    <x v="2"/>
    <x v="2"/>
    <s v="EMP_3"/>
    <x v="1"/>
    <s v="EMP_3Finance"/>
    <x v="2"/>
    <x v="2"/>
    <n v="41117"/>
    <n v="11501"/>
    <n v="0"/>
    <n v="0"/>
    <d v="2019-02-04T00:00:00"/>
    <s v="2019"/>
    <d v="2026-02-11T00:00:00"/>
    <n v="7"/>
    <n v="3"/>
    <n v="52618"/>
    <n v="26309"/>
    <s v=" Not Achieved"/>
    <s v="Good"/>
  </r>
  <r>
    <x v="3"/>
    <x v="3"/>
    <s v="EMP_4"/>
    <x v="0"/>
    <s v="EMP_4IT"/>
    <x v="3"/>
    <x v="3"/>
    <n v="21765"/>
    <n v="4198"/>
    <n v="0"/>
    <n v="0"/>
    <d v="2024-12-11T00:00:00"/>
    <s v="2024"/>
    <d v="2026-02-11T00:00:00"/>
    <n v="1"/>
    <n v="3"/>
    <n v="25963"/>
    <n v="12981.5"/>
    <s v=" Not Achieved"/>
    <s v="poor"/>
  </r>
  <r>
    <x v="4"/>
    <x v="4"/>
    <s v="EMP_5"/>
    <x v="1"/>
    <s v="EMP_5Marketing"/>
    <x v="4"/>
    <x v="4"/>
    <n v="27893"/>
    <n v="5221"/>
    <n v="0"/>
    <n v="0"/>
    <d v="2024-03-03T00:00:00"/>
    <s v="2024"/>
    <d v="2026-02-11T00:00:00"/>
    <n v="1"/>
    <n v="3"/>
    <n v="33114"/>
    <n v="16557"/>
    <s v=" Not Achieved"/>
    <s v="poor"/>
  </r>
  <r>
    <x v="5"/>
    <x v="5"/>
    <s v="EMP_6"/>
    <x v="0"/>
    <s v="EMP_6Sales"/>
    <x v="1"/>
    <x v="4"/>
    <n v="28791"/>
    <n v="3436"/>
    <n v="247244"/>
    <n v="106829"/>
    <d v="2019-05-12T00:00:00"/>
    <s v="2019"/>
    <d v="2026-02-11T00:00:00"/>
    <n v="6"/>
    <n v="1"/>
    <n v="32227"/>
    <n v="16113.5"/>
    <s v="Achieved"/>
    <s v="poor"/>
  </r>
  <r>
    <x v="6"/>
    <x v="6"/>
    <s v="EMP_7"/>
    <x v="1"/>
    <s v="EMP_7Finance"/>
    <x v="2"/>
    <x v="2"/>
    <n v="49196"/>
    <n v="5892"/>
    <n v="0"/>
    <n v="0"/>
    <s v="12/19/2024"/>
    <s v="12/19/2024"/>
    <d v="2026-02-11T00:00:00"/>
    <e v="#VALUE!"/>
    <n v="2"/>
    <n v="55088"/>
    <n v="27544"/>
    <s v=" Not Achieved"/>
    <s v="Good"/>
  </r>
  <r>
    <x v="7"/>
    <x v="7"/>
    <s v="EMP_8"/>
    <x v="1"/>
    <s v="EMP_8Sales"/>
    <x v="1"/>
    <x v="4"/>
    <n v="39066"/>
    <n v="9522"/>
    <n v="134767"/>
    <n v="138532"/>
    <d v="2021-04-06T00:00:00"/>
    <s v="2021"/>
    <d v="2026-02-11T00:00:00"/>
    <n v="4"/>
    <n v="3"/>
    <n v="48588"/>
    <n v="24294"/>
    <s v=" Not Achieved"/>
    <s v="Average"/>
  </r>
  <r>
    <x v="8"/>
    <x v="8"/>
    <s v="EMP_9"/>
    <x v="0"/>
    <s v="EMP_9Marketing"/>
    <x v="4"/>
    <x v="3"/>
    <n v="31226"/>
    <n v="5150"/>
    <n v="0"/>
    <n v="0"/>
    <s v="10/21/2020"/>
    <s v="10/21/2020"/>
    <d v="2026-02-11T00:00:00"/>
    <e v="#VALUE!"/>
    <n v="5"/>
    <n v="36376"/>
    <n v="18188"/>
    <s v=" Not Achieved"/>
    <s v="Average"/>
  </r>
  <r>
    <x v="9"/>
    <x v="9"/>
    <s v="EMP_10"/>
    <x v="0"/>
    <s v="EMP_10IT"/>
    <x v="3"/>
    <x v="1"/>
    <n v="43779"/>
    <n v="11257"/>
    <n v="0"/>
    <n v="0"/>
    <s v="2/20/2019"/>
    <s v="2/20/2019"/>
    <d v="2026-02-11T00:00:00"/>
    <e v="#VALUE!"/>
    <n v="2"/>
    <n v="55036"/>
    <n v="27518"/>
    <s v=" Not Achieved"/>
    <s v="Good"/>
  </r>
  <r>
    <x v="10"/>
    <x v="10"/>
    <s v="EMP_11"/>
    <x v="0"/>
    <s v="EMP_11IT"/>
    <x v="3"/>
    <x v="4"/>
    <n v="24025"/>
    <n v="13847"/>
    <n v="0"/>
    <n v="0"/>
    <s v="11/14/2021"/>
    <s v="11/14/2021"/>
    <d v="2026-02-11T00:00:00"/>
    <e v="#VALUE!"/>
    <n v="5"/>
    <n v="37872"/>
    <n v="18936"/>
    <s v=" Not Achieved"/>
    <s v="poor"/>
  </r>
  <r>
    <x v="11"/>
    <x v="11"/>
    <s v="EMP_12"/>
    <x v="1"/>
    <s v="EMP_12IT"/>
    <x v="3"/>
    <x v="1"/>
    <n v="63352"/>
    <n v="11569"/>
    <n v="0"/>
    <n v="0"/>
    <d v="2023-03-06T00:00:00"/>
    <s v="2023"/>
    <d v="2026-02-11T00:00:00"/>
    <n v="2"/>
    <n v="2"/>
    <n v="74921"/>
    <n v="37460.5"/>
    <s v=" Not Achieved"/>
    <s v=" Excellent"/>
  </r>
  <r>
    <x v="12"/>
    <x v="12"/>
    <s v="EMP_13"/>
    <x v="1"/>
    <s v="EMP_13HR"/>
    <x v="0"/>
    <x v="3"/>
    <n v="28332"/>
    <n v="10345"/>
    <n v="0"/>
    <n v="0"/>
    <d v="2020-10-01T00:00:00"/>
    <s v="2020"/>
    <d v="2026-02-11T00:00:00"/>
    <n v="5"/>
    <n v="2"/>
    <n v="38677"/>
    <n v="19338.5"/>
    <s v=" Not Achieved"/>
    <s v="poor"/>
  </r>
  <r>
    <x v="13"/>
    <x v="13"/>
    <s v="EMP_14"/>
    <x v="0"/>
    <s v="EMP_14Marketing"/>
    <x v="4"/>
    <x v="4"/>
    <n v="27763"/>
    <n v="2342"/>
    <n v="0"/>
    <n v="0"/>
    <s v="2/28/2018"/>
    <s v="2/28/2018"/>
    <d v="2026-02-11T00:00:00"/>
    <e v="#VALUE!"/>
    <n v="3"/>
    <n v="30105"/>
    <n v="15052.5"/>
    <s v=" Not Achieved"/>
    <s v="poor"/>
  </r>
  <r>
    <x v="14"/>
    <x v="14"/>
    <s v="EMP_15"/>
    <x v="1"/>
    <s v="EMP_15Sales"/>
    <x v="1"/>
    <x v="3"/>
    <n v="56897"/>
    <n v="4600"/>
    <n v="137455"/>
    <n v="88554"/>
    <s v="11/19/2023"/>
    <s v="11/19/2023"/>
    <d v="2026-02-11T00:00:00"/>
    <e v="#VALUE!"/>
    <n v="1"/>
    <n v="61497"/>
    <n v="30748.5"/>
    <s v="Achieved"/>
    <s v=" Excellent"/>
  </r>
  <r>
    <x v="15"/>
    <x v="15"/>
    <s v="EMP_16"/>
    <x v="0"/>
    <s v="EMP_16HR"/>
    <x v="0"/>
    <x v="3"/>
    <n v="35888"/>
    <n v="6920"/>
    <n v="0"/>
    <n v="0"/>
    <d v="2018-06-02T00:00:00"/>
    <s v="2018"/>
    <d v="2026-02-11T00:00:00"/>
    <n v="7"/>
    <n v="3"/>
    <n v="42808"/>
    <n v="21404"/>
    <s v=" Not Achieved"/>
    <s v="Average"/>
  </r>
  <r>
    <x v="16"/>
    <x v="16"/>
    <s v="EMP_17"/>
    <x v="0"/>
    <s v="EMP_17Sales"/>
    <x v="1"/>
    <x v="4"/>
    <n v="45860"/>
    <n v="14142"/>
    <n v="288362"/>
    <n v="108775"/>
    <s v="3/22/2018"/>
    <s v="3/22/2018"/>
    <d v="2026-02-11T00:00:00"/>
    <e v="#VALUE!"/>
    <n v="2"/>
    <n v="60002"/>
    <n v="30001"/>
    <s v="Achieved"/>
    <s v="Good"/>
  </r>
  <r>
    <x v="17"/>
    <x v="17"/>
    <s v="EMP_18"/>
    <x v="1"/>
    <s v="EMP_18Finance"/>
    <x v="2"/>
    <x v="0"/>
    <n v="37799"/>
    <n v="9824"/>
    <n v="0"/>
    <n v="0"/>
    <s v="8/23/2023"/>
    <s v="8/23/2023"/>
    <d v="2026-02-11T00:00:00"/>
    <e v="#VALUE!"/>
    <n v="3"/>
    <n v="47623"/>
    <n v="23811.5"/>
    <s v=" Not Achieved"/>
    <s v="Average"/>
  </r>
  <r>
    <x v="18"/>
    <x v="18"/>
    <s v="EMP_19"/>
    <x v="1"/>
    <s v="EMP_19HR"/>
    <x v="0"/>
    <x v="1"/>
    <n v="47189"/>
    <n v="8809"/>
    <n v="0"/>
    <n v="0"/>
    <s v="4/17/2020"/>
    <s v="4/17/2020"/>
    <d v="2026-02-11T00:00:00"/>
    <e v="#VALUE!"/>
    <n v="4"/>
    <n v="55998"/>
    <n v="27999"/>
    <s v=" Not Achieved"/>
    <s v="Good"/>
  </r>
  <r>
    <x v="19"/>
    <x v="19"/>
    <s v="EMP_20"/>
    <x v="1"/>
    <s v="EMP_20IT"/>
    <x v="3"/>
    <x v="4"/>
    <n v="69283"/>
    <n v="9386"/>
    <n v="0"/>
    <n v="0"/>
    <s v="12/13/2021"/>
    <s v="12/13/2021"/>
    <d v="2026-02-11T00:00:00"/>
    <e v="#VALUE!"/>
    <n v="1"/>
    <n v="78669"/>
    <n v="39334.5"/>
    <s v=" Not Achieved"/>
    <s v=" Excellent"/>
  </r>
  <r>
    <x v="20"/>
    <x v="20"/>
    <s v="EMP_21"/>
    <x v="0"/>
    <s v="EMP_21Marketing"/>
    <x v="4"/>
    <x v="3"/>
    <n v="26973"/>
    <n v="8875"/>
    <n v="0"/>
    <n v="0"/>
    <d v="2021-10-05T00:00:00"/>
    <s v="2021"/>
    <d v="2026-02-11T00:00:00"/>
    <n v="4"/>
    <n v="1"/>
    <n v="35848"/>
    <n v="17924"/>
    <s v=" Not Achieved"/>
    <s v="poor"/>
  </r>
  <r>
    <x v="21"/>
    <x v="21"/>
    <s v="EMP_22"/>
    <x v="1"/>
    <s v="EMP_22Finance"/>
    <x v="2"/>
    <x v="2"/>
    <n v="20259"/>
    <n v="10814"/>
    <n v="0"/>
    <n v="0"/>
    <s v="11/29/2024"/>
    <s v="11/29/2024"/>
    <d v="2026-02-11T00:00:00"/>
    <e v="#VALUE!"/>
    <n v="2"/>
    <n v="31073"/>
    <n v="15536.5"/>
    <s v=" Not Achieved"/>
    <s v="poor"/>
  </r>
  <r>
    <x v="22"/>
    <x v="22"/>
    <s v="EMP_23"/>
    <x v="1"/>
    <s v="EMP_23Marketing"/>
    <x v="4"/>
    <x v="4"/>
    <n v="31589"/>
    <n v="8740"/>
    <n v="0"/>
    <n v="0"/>
    <s v="10/13/2020"/>
    <s v="10/13/2020"/>
    <d v="2026-02-11T00:00:00"/>
    <e v="#VALUE!"/>
    <n v="3"/>
    <n v="40329"/>
    <n v="20164.5"/>
    <s v=" Not Achieved"/>
    <s v="Average"/>
  </r>
  <r>
    <x v="23"/>
    <x v="23"/>
    <s v="EMP_24"/>
    <x v="0"/>
    <s v="EMP_24IT"/>
    <x v="3"/>
    <x v="4"/>
    <n v="64207"/>
    <n v="4884"/>
    <n v="0"/>
    <n v="0"/>
    <d v="2022-08-03T00:00:00"/>
    <s v="2022"/>
    <d v="2026-02-11T00:00:00"/>
    <n v="3"/>
    <n v="2"/>
    <n v="69091"/>
    <n v="34545.5"/>
    <s v=" Not Achieved"/>
    <s v=" Excellent"/>
  </r>
  <r>
    <x v="24"/>
    <x v="24"/>
    <s v="EMP_25"/>
    <x v="1"/>
    <s v="EMP_25Marketing"/>
    <x v="4"/>
    <x v="1"/>
    <n v="59812"/>
    <n v="3847"/>
    <n v="0"/>
    <n v="0"/>
    <s v="1/22/2022"/>
    <s v="1/22/2022"/>
    <d v="2026-02-11T00:00:00"/>
    <e v="#VALUE!"/>
    <n v="3"/>
    <n v="63659"/>
    <n v="31829.5"/>
    <s v=" Not Achieved"/>
    <s v=" Excellent"/>
  </r>
  <r>
    <x v="25"/>
    <x v="25"/>
    <s v="EMP_26"/>
    <x v="0"/>
    <s v="EMP_26Finance"/>
    <x v="2"/>
    <x v="3"/>
    <n v="45956"/>
    <n v="5515"/>
    <n v="0"/>
    <n v="0"/>
    <d v="2023-03-08T00:00:00"/>
    <s v="2023"/>
    <d v="2026-02-11T00:00:00"/>
    <n v="2"/>
    <n v="1"/>
    <n v="51471"/>
    <n v="25735.5"/>
    <s v=" Not Achieved"/>
    <s v="Good"/>
  </r>
  <r>
    <x v="26"/>
    <x v="26"/>
    <s v="EMP_27"/>
    <x v="1"/>
    <s v="EMP_27Finance"/>
    <x v="2"/>
    <x v="0"/>
    <n v="35065"/>
    <n v="14454"/>
    <n v="0"/>
    <n v="0"/>
    <s v="9/14/2023"/>
    <s v="9/14/2023"/>
    <d v="2026-02-11T00:00:00"/>
    <e v="#VALUE!"/>
    <n v="2"/>
    <n v="49519"/>
    <n v="24759.5"/>
    <s v=" Not Achieved"/>
    <s v="Average"/>
  </r>
  <r>
    <x v="27"/>
    <x v="27"/>
    <s v="EMP_28"/>
    <x v="0"/>
    <s v="EMP_28Finance"/>
    <x v="2"/>
    <x v="4"/>
    <n v="35247"/>
    <n v="12386"/>
    <n v="0"/>
    <n v="0"/>
    <d v="2024-10-04T00:00:00"/>
    <s v="2024"/>
    <d v="2026-02-11T00:00:00"/>
    <n v="1"/>
    <n v="1"/>
    <n v="47633"/>
    <n v="23816.5"/>
    <s v=" Not Achieved"/>
    <s v="Average"/>
  </r>
  <r>
    <x v="28"/>
    <x v="28"/>
    <s v="EMP_29"/>
    <x v="0"/>
    <s v="EMP_29Finance"/>
    <x v="2"/>
    <x v="4"/>
    <n v="58326"/>
    <n v="8465"/>
    <n v="0"/>
    <n v="0"/>
    <d v="2023-01-02T00:00:00"/>
    <s v="2023"/>
    <d v="2026-02-11T00:00:00"/>
    <n v="3"/>
    <n v="3"/>
    <n v="66791"/>
    <n v="33395.5"/>
    <s v=" Not Achieved"/>
    <s v=" Excellent"/>
  </r>
  <r>
    <x v="29"/>
    <x v="29"/>
    <s v="EMP_30"/>
    <x v="1"/>
    <s v="EMP_30Finance"/>
    <x v="2"/>
    <x v="4"/>
    <n v="44038"/>
    <n v="3563"/>
    <n v="0"/>
    <n v="0"/>
    <s v="12/19/2023"/>
    <s v="12/19/2023"/>
    <d v="2026-02-11T00:00:00"/>
    <e v="#VALUE!"/>
    <n v="5"/>
    <n v="47601"/>
    <n v="23800.5"/>
    <s v=" Not Achieved"/>
    <s v="Good"/>
  </r>
  <r>
    <x v="30"/>
    <x v="30"/>
    <s v="EMP_31"/>
    <x v="0"/>
    <s v="EMP_31HR"/>
    <x v="0"/>
    <x v="4"/>
    <n v="35917"/>
    <n v="13434"/>
    <n v="0"/>
    <n v="0"/>
    <d v="2020-06-08T00:00:00"/>
    <s v="2020"/>
    <d v="2026-02-11T00:00:00"/>
    <n v="5"/>
    <n v="2"/>
    <n v="49351"/>
    <n v="24675.5"/>
    <s v=" Not Achieved"/>
    <s v="Average"/>
  </r>
  <r>
    <x v="31"/>
    <x v="31"/>
    <s v="EMP_32"/>
    <x v="0"/>
    <s v="EMP_32Sales"/>
    <x v="1"/>
    <x v="4"/>
    <n v="45562"/>
    <n v="5638"/>
    <n v="122298"/>
    <n v="111783"/>
    <s v="2/15/2019"/>
    <s v="2/15/2019"/>
    <d v="2026-02-11T00:00:00"/>
    <e v="#VALUE!"/>
    <n v="2"/>
    <n v="51200"/>
    <n v="25600"/>
    <s v="Achieved"/>
    <s v="Good"/>
  </r>
  <r>
    <x v="32"/>
    <x v="32"/>
    <s v="EMP_33"/>
    <x v="0"/>
    <s v="EMP_33Sales"/>
    <x v="1"/>
    <x v="3"/>
    <n v="79347"/>
    <n v="14726"/>
    <n v="218787"/>
    <n v="109723"/>
    <s v="3/31/2019"/>
    <s v="3/31/2019"/>
    <d v="2026-02-11T00:00:00"/>
    <e v="#VALUE!"/>
    <n v="3"/>
    <n v="94073"/>
    <n v="47036.5"/>
    <s v="Achieved"/>
    <s v=" Excellent"/>
  </r>
  <r>
    <x v="33"/>
    <x v="33"/>
    <s v="EMP_34"/>
    <x v="1"/>
    <s v="EMP_34Marketing"/>
    <x v="4"/>
    <x v="2"/>
    <n v="76954"/>
    <n v="8367"/>
    <n v="0"/>
    <n v="0"/>
    <s v="2/23/2019"/>
    <s v="2/23/2019"/>
    <d v="2026-02-11T00:00:00"/>
    <e v="#VALUE!"/>
    <n v="5"/>
    <n v="85321"/>
    <n v="42660.5"/>
    <s v=" Not Achieved"/>
    <s v=" Excellent"/>
  </r>
  <r>
    <x v="34"/>
    <x v="34"/>
    <s v="EMP_35"/>
    <x v="1"/>
    <s v="EMP_35IT"/>
    <x v="3"/>
    <x v="3"/>
    <n v="21497"/>
    <n v="5542"/>
    <n v="0"/>
    <n v="0"/>
    <s v="6/28/2020"/>
    <s v="6/28/2020"/>
    <d v="2026-02-11T00:00:00"/>
    <e v="#VALUE!"/>
    <n v="3"/>
    <n v="27039"/>
    <n v="13519.5"/>
    <s v=" Not Achieved"/>
    <s v="poor"/>
  </r>
  <r>
    <x v="35"/>
    <x v="35"/>
    <s v="EMP_36"/>
    <x v="1"/>
    <s v="EMP_36Marketing"/>
    <x v="4"/>
    <x v="4"/>
    <n v="60415"/>
    <n v="3767"/>
    <n v="0"/>
    <n v="0"/>
    <s v="10/26/2020"/>
    <s v="10/26/2020"/>
    <d v="2026-02-11T00:00:00"/>
    <e v="#VALUE!"/>
    <n v="2"/>
    <n v="64182"/>
    <n v="32091"/>
    <s v=" Not Achieved"/>
    <s v=" Excellent"/>
  </r>
  <r>
    <x v="36"/>
    <x v="36"/>
    <s v="EMP_37"/>
    <x v="1"/>
    <s v="EMP_37Finance"/>
    <x v="2"/>
    <x v="3"/>
    <n v="72365"/>
    <n v="2109"/>
    <n v="0"/>
    <n v="0"/>
    <s v="9/29/2023"/>
    <s v="9/29/2023"/>
    <d v="2026-02-11T00:00:00"/>
    <e v="#VALUE!"/>
    <n v="5"/>
    <n v="74474"/>
    <n v="37237"/>
    <s v=" Not Achieved"/>
    <s v=" Excellent"/>
  </r>
  <r>
    <x v="37"/>
    <x v="37"/>
    <s v="EMP_38"/>
    <x v="1"/>
    <s v="EMP_38HR"/>
    <x v="0"/>
    <x v="1"/>
    <n v="38566"/>
    <n v="11297"/>
    <n v="0"/>
    <n v="0"/>
    <s v="6/22/2020"/>
    <s v="6/22/2020"/>
    <d v="2026-02-11T00:00:00"/>
    <e v="#VALUE!"/>
    <n v="3"/>
    <n v="49863"/>
    <n v="24931.5"/>
    <s v=" Not Achieved"/>
    <s v="Average"/>
  </r>
  <r>
    <x v="38"/>
    <x v="38"/>
    <s v="EMP_39"/>
    <x v="0"/>
    <s v="EMP_39Sales"/>
    <x v="1"/>
    <x v="3"/>
    <n v="29787"/>
    <n v="5048"/>
    <n v="133083"/>
    <n v="196353"/>
    <s v="12/19/2020"/>
    <s v="12/19/2020"/>
    <d v="2026-02-11T00:00:00"/>
    <e v="#VALUE!"/>
    <n v="1"/>
    <n v="34835"/>
    <n v="17417.5"/>
    <s v=" Not Achieved"/>
    <s v="poor"/>
  </r>
  <r>
    <x v="39"/>
    <x v="39"/>
    <s v="EMP_40"/>
    <x v="1"/>
    <s v="EMP_40HR"/>
    <x v="0"/>
    <x v="1"/>
    <n v="49667"/>
    <n v="7808"/>
    <n v="0"/>
    <n v="0"/>
    <d v="2022-08-09T00:00:00"/>
    <s v="2022"/>
    <d v="2026-02-11T00:00:00"/>
    <n v="3"/>
    <n v="4"/>
    <n v="57475"/>
    <n v="28737.5"/>
    <s v=" Not Achieved"/>
    <s v="Good"/>
  </r>
  <r>
    <x v="40"/>
    <x v="40"/>
    <s v="EMP_41"/>
    <x v="1"/>
    <s v="EMP_41HR"/>
    <x v="0"/>
    <x v="4"/>
    <n v="34180"/>
    <n v="8876"/>
    <n v="0"/>
    <n v="0"/>
    <s v="11/23/2024"/>
    <s v="11/23/2024"/>
    <d v="2026-02-11T00:00:00"/>
    <e v="#VALUE!"/>
    <n v="4"/>
    <n v="43056"/>
    <n v="21528"/>
    <s v=" Not Achieved"/>
    <s v="Average"/>
  </r>
  <r>
    <x v="41"/>
    <x v="41"/>
    <s v="EMP_42"/>
    <x v="0"/>
    <s v="EMP_42IT"/>
    <x v="3"/>
    <x v="3"/>
    <n v="60285"/>
    <n v="2843"/>
    <n v="0"/>
    <n v="0"/>
    <s v="4/13/2022"/>
    <s v="4/13/2022"/>
    <d v="2026-02-11T00:00:00"/>
    <e v="#VALUE!"/>
    <n v="2"/>
    <n v="63128"/>
    <n v="31564"/>
    <s v=" Not Achieved"/>
    <s v=" Excellent"/>
  </r>
  <r>
    <x v="42"/>
    <x v="42"/>
    <s v="EMP_43"/>
    <x v="0"/>
    <s v="EMP_43Sales"/>
    <x v="1"/>
    <x v="4"/>
    <n v="66370"/>
    <n v="13108"/>
    <n v="151247"/>
    <n v="131135"/>
    <s v="7/25/2020"/>
    <s v="7/25/2020"/>
    <d v="2026-02-11T00:00:00"/>
    <e v="#VALUE!"/>
    <n v="1"/>
    <n v="79478"/>
    <n v="39739"/>
    <s v="Achieved"/>
    <s v=" Excellent"/>
  </r>
  <r>
    <x v="43"/>
    <x v="43"/>
    <s v="EMP_44"/>
    <x v="1"/>
    <s v="EMP_44Marketing"/>
    <x v="4"/>
    <x v="4"/>
    <n v="20525"/>
    <n v="4425"/>
    <n v="0"/>
    <n v="0"/>
    <d v="2019-01-03T00:00:00"/>
    <s v="2019"/>
    <d v="2026-02-11T00:00:00"/>
    <n v="7"/>
    <n v="1"/>
    <n v="24950"/>
    <n v="12475"/>
    <s v=" Not Achieved"/>
    <s v="poor"/>
  </r>
  <r>
    <x v="44"/>
    <x v="44"/>
    <s v="EMP_45"/>
    <x v="0"/>
    <s v="EMP_45Sales"/>
    <x v="1"/>
    <x v="2"/>
    <n v="54393"/>
    <n v="3580"/>
    <n v="61846"/>
    <n v="201557"/>
    <s v="12/29/2018"/>
    <s v="12/29/2018"/>
    <d v="2026-02-11T00:00:00"/>
    <e v="#VALUE!"/>
    <n v="4"/>
    <n v="57973"/>
    <n v="28986.5"/>
    <s v=" Not Achieved"/>
    <s v=" Excellent"/>
  </r>
  <r>
    <x v="45"/>
    <x v="45"/>
    <s v="EMP_46"/>
    <x v="0"/>
    <s v="EMP_46Finance"/>
    <x v="2"/>
    <x v="1"/>
    <n v="72874"/>
    <n v="5264"/>
    <n v="0"/>
    <n v="0"/>
    <s v="11/23/2020"/>
    <s v="11/23/2020"/>
    <d v="2026-02-11T00:00:00"/>
    <e v="#VALUE!"/>
    <n v="3"/>
    <n v="78138"/>
    <n v="39069"/>
    <s v=" Not Achieved"/>
    <s v=" Excellent"/>
  </r>
  <r>
    <x v="46"/>
    <x v="46"/>
    <s v="EMP_47"/>
    <x v="1"/>
    <s v="EMP_47Marketing"/>
    <x v="4"/>
    <x v="2"/>
    <n v="22368"/>
    <n v="12167"/>
    <n v="0"/>
    <n v="0"/>
    <s v="8/19/2024"/>
    <s v="8/19/2024"/>
    <d v="2026-02-11T00:00:00"/>
    <e v="#VALUE!"/>
    <n v="3"/>
    <n v="34535"/>
    <n v="17267.5"/>
    <s v=" Not Achieved"/>
    <s v="poor"/>
  </r>
  <r>
    <x v="47"/>
    <x v="47"/>
    <s v="EMP_48"/>
    <x v="0"/>
    <s v="EMP_48HR"/>
    <x v="0"/>
    <x v="0"/>
    <n v="73707"/>
    <n v="13700"/>
    <n v="0"/>
    <n v="0"/>
    <s v="10/21/2020"/>
    <s v="10/21/2020"/>
    <d v="2026-02-11T00:00:00"/>
    <e v="#VALUE!"/>
    <n v="3"/>
    <n v="87407"/>
    <n v="43703.5"/>
    <s v=" Not Achieved"/>
    <s v=" Excellent"/>
  </r>
  <r>
    <x v="48"/>
    <x v="48"/>
    <s v="EMP_49"/>
    <x v="1"/>
    <s v="EMP_49Finance"/>
    <x v="2"/>
    <x v="4"/>
    <n v="43158"/>
    <n v="2081"/>
    <n v="0"/>
    <n v="0"/>
    <d v="2018-05-09T00:00:00"/>
    <s v="2018"/>
    <d v="2026-02-11T00:00:00"/>
    <n v="7"/>
    <n v="2"/>
    <n v="45239"/>
    <n v="22619.5"/>
    <s v=" Not Achieved"/>
    <s v="Good"/>
  </r>
  <r>
    <x v="49"/>
    <x v="49"/>
    <s v="EMP_50"/>
    <x v="1"/>
    <s v="EMP_50HR"/>
    <x v="0"/>
    <x v="3"/>
    <n v="31453"/>
    <n v="14858"/>
    <n v="0"/>
    <n v="0"/>
    <s v="6/29/2019"/>
    <s v="6/29/2019"/>
    <d v="2026-02-11T00:00:00"/>
    <e v="#VALUE!"/>
    <n v="5"/>
    <n v="46311"/>
    <n v="23155.5"/>
    <s v=" Not Achieved"/>
    <s v="Average"/>
  </r>
  <r>
    <x v="50"/>
    <x v="50"/>
    <s v="EMP_51"/>
    <x v="1"/>
    <s v="EMP_51IT"/>
    <x v="3"/>
    <x v="4"/>
    <n v="30432"/>
    <n v="2852"/>
    <n v="0"/>
    <n v="0"/>
    <d v="2024-10-03T00:00:00"/>
    <s v="2024"/>
    <d v="2026-02-11T00:00:00"/>
    <n v="1"/>
    <n v="3"/>
    <n v="33284"/>
    <n v="16642"/>
    <s v=" Not Achieved"/>
    <s v="Average"/>
  </r>
  <r>
    <x v="51"/>
    <x v="51"/>
    <s v="EMP_52"/>
    <x v="1"/>
    <s v="EMP_52Marketing"/>
    <x v="4"/>
    <x v="0"/>
    <n v="32409"/>
    <n v="12253"/>
    <n v="0"/>
    <n v="0"/>
    <s v="6/26/2018"/>
    <s v="6/26/2018"/>
    <d v="2026-02-11T00:00:00"/>
    <e v="#VALUE!"/>
    <n v="1"/>
    <n v="44662"/>
    <n v="22331"/>
    <s v=" Not Achieved"/>
    <s v="Average"/>
  </r>
  <r>
    <x v="52"/>
    <x v="52"/>
    <s v="EMP_53"/>
    <x v="0"/>
    <s v="EMP_53Sales"/>
    <x v="1"/>
    <x v="4"/>
    <n v="44734"/>
    <n v="6125"/>
    <n v="171970"/>
    <n v="223729"/>
    <s v="11/28/2019"/>
    <s v="11/28/2019"/>
    <d v="2026-02-11T00:00:00"/>
    <e v="#VALUE!"/>
    <n v="3"/>
    <n v="50859"/>
    <n v="25429.5"/>
    <s v=" Not Achieved"/>
    <s v="Good"/>
  </r>
  <r>
    <x v="53"/>
    <x v="53"/>
    <s v="EMP_54"/>
    <x v="1"/>
    <s v="EMP_54HR"/>
    <x v="0"/>
    <x v="0"/>
    <n v="25821"/>
    <n v="6929"/>
    <n v="0"/>
    <n v="0"/>
    <d v="2023-06-03T00:00:00"/>
    <s v="2023"/>
    <d v="2026-02-11T00:00:00"/>
    <n v="2"/>
    <n v="1"/>
    <n v="32750"/>
    <n v="16375"/>
    <s v=" Not Achieved"/>
    <s v="poor"/>
  </r>
  <r>
    <x v="54"/>
    <x v="54"/>
    <s v="EMP_55"/>
    <x v="1"/>
    <s v="EMP_55Finance"/>
    <x v="2"/>
    <x v="3"/>
    <n v="74246"/>
    <n v="11906"/>
    <n v="0"/>
    <n v="0"/>
    <s v="6/19/2022"/>
    <s v="6/19/2022"/>
    <d v="2026-02-11T00:00:00"/>
    <e v="#VALUE!"/>
    <n v="5"/>
    <n v="86152"/>
    <n v="43076"/>
    <s v=" Not Achieved"/>
    <s v=" Excellent"/>
  </r>
  <r>
    <x v="55"/>
    <x v="55"/>
    <s v="EMP_56"/>
    <x v="1"/>
    <s v="EMP_56Finance"/>
    <x v="2"/>
    <x v="1"/>
    <n v="79912"/>
    <n v="2337"/>
    <n v="0"/>
    <n v="0"/>
    <d v="2020-10-09T00:00:00"/>
    <s v="2020"/>
    <d v="2026-02-11T00:00:00"/>
    <n v="5"/>
    <n v="5"/>
    <n v="82249"/>
    <n v="41124.5"/>
    <s v=" Not Achieved"/>
    <s v=" Excellent"/>
  </r>
  <r>
    <x v="56"/>
    <x v="56"/>
    <s v="EMP_57"/>
    <x v="0"/>
    <s v="EMP_57Sales"/>
    <x v="1"/>
    <x v="4"/>
    <n v="61204"/>
    <n v="7376"/>
    <n v="134756"/>
    <n v="238000"/>
    <s v="8/25/2020"/>
    <s v="8/25/2020"/>
    <d v="2026-02-11T00:00:00"/>
    <e v="#VALUE!"/>
    <n v="1"/>
    <n v="68580"/>
    <n v="34290"/>
    <s v=" Not Achieved"/>
    <s v=" Excellent"/>
  </r>
  <r>
    <x v="57"/>
    <x v="57"/>
    <s v="EMP_58"/>
    <x v="0"/>
    <s v="EMP_58Finance"/>
    <x v="2"/>
    <x v="0"/>
    <n v="27439"/>
    <n v="5177"/>
    <n v="0"/>
    <n v="0"/>
    <d v="2022-12-06T00:00:00"/>
    <s v="2022"/>
    <d v="2026-02-11T00:00:00"/>
    <n v="3"/>
    <n v="4"/>
    <n v="32616"/>
    <n v="16308"/>
    <s v=" Not Achieved"/>
    <s v="poor"/>
  </r>
  <r>
    <x v="58"/>
    <x v="58"/>
    <s v="EMP_59"/>
    <x v="1"/>
    <s v="EMP_59HR"/>
    <x v="0"/>
    <x v="4"/>
    <n v="20322"/>
    <n v="14861"/>
    <n v="0"/>
    <n v="0"/>
    <d v="2022-01-05T00:00:00"/>
    <s v="2022"/>
    <d v="2026-02-11T00:00:00"/>
    <n v="4"/>
    <n v="4"/>
    <n v="35183"/>
    <n v="17591.5"/>
    <s v=" Not Achieved"/>
    <s v="poor"/>
  </r>
  <r>
    <x v="59"/>
    <x v="59"/>
    <s v="EMP_60"/>
    <x v="1"/>
    <s v="EMP_60Sales"/>
    <x v="1"/>
    <x v="1"/>
    <n v="40784"/>
    <n v="4578"/>
    <n v="163525"/>
    <n v="105888"/>
    <s v="6/18/2024"/>
    <s v="6/18/2024"/>
    <d v="2026-02-11T00:00:00"/>
    <e v="#VALUE!"/>
    <n v="1"/>
    <n v="45362"/>
    <n v="22681"/>
    <s v="Achieved"/>
    <s v="Good"/>
  </r>
  <r>
    <x v="60"/>
    <x v="60"/>
    <s v="EMP_61"/>
    <x v="0"/>
    <s v="EMP_61Finance"/>
    <x v="2"/>
    <x v="0"/>
    <n v="76801"/>
    <n v="11906"/>
    <n v="0"/>
    <n v="0"/>
    <d v="2020-01-07T00:00:00"/>
    <s v="2020"/>
    <d v="2026-02-11T00:00:00"/>
    <n v="6"/>
    <n v="1"/>
    <n v="88707"/>
    <n v="44353.5"/>
    <s v=" Not Achieved"/>
    <s v=" Excellent"/>
  </r>
  <r>
    <x v="61"/>
    <x v="61"/>
    <s v="EMP_62"/>
    <x v="1"/>
    <s v="EMP_62Marketing"/>
    <x v="4"/>
    <x v="4"/>
    <n v="48105"/>
    <n v="5549"/>
    <n v="0"/>
    <n v="0"/>
    <s v="5/29/2019"/>
    <s v="5/29/2019"/>
    <d v="2026-02-11T00:00:00"/>
    <e v="#VALUE!"/>
    <n v="1"/>
    <n v="53654"/>
    <n v="26827"/>
    <s v=" Not Achieved"/>
    <s v="Good"/>
  </r>
  <r>
    <x v="62"/>
    <x v="62"/>
    <s v="EMP_63"/>
    <x v="0"/>
    <s v="EMP_63HR"/>
    <x v="0"/>
    <x v="2"/>
    <n v="34650"/>
    <n v="10320"/>
    <n v="0"/>
    <n v="0"/>
    <s v="8/30/2024"/>
    <s v="8/30/2024"/>
    <d v="2026-02-11T00:00:00"/>
    <e v="#VALUE!"/>
    <n v="1"/>
    <n v="44970"/>
    <n v="22485"/>
    <s v=" Not Achieved"/>
    <s v="Average"/>
  </r>
  <r>
    <x v="63"/>
    <x v="63"/>
    <s v="EMP_64"/>
    <x v="1"/>
    <s v="EMP_64Finance"/>
    <x v="2"/>
    <x v="4"/>
    <n v="42484"/>
    <n v="11619"/>
    <n v="0"/>
    <n v="0"/>
    <s v="10/27/2022"/>
    <s v="10/27/2022"/>
    <d v="2026-02-11T00:00:00"/>
    <e v="#VALUE!"/>
    <n v="3"/>
    <n v="54103"/>
    <n v="27051.5"/>
    <s v=" Not Achieved"/>
    <s v="Good"/>
  </r>
  <r>
    <x v="64"/>
    <x v="64"/>
    <s v="EMP_65"/>
    <x v="1"/>
    <s v="EMP_65Marketing"/>
    <x v="4"/>
    <x v="0"/>
    <n v="44484"/>
    <n v="2087"/>
    <n v="0"/>
    <n v="0"/>
    <s v="4/24/2020"/>
    <s v="4/24/2020"/>
    <d v="2026-02-11T00:00:00"/>
    <e v="#VALUE!"/>
    <n v="2"/>
    <n v="46571"/>
    <n v="23285.5"/>
    <s v=" Not Achieved"/>
    <s v="Good"/>
  </r>
  <r>
    <x v="65"/>
    <x v="65"/>
    <s v="EMP_66"/>
    <x v="0"/>
    <s v="EMP_66Marketing"/>
    <x v="4"/>
    <x v="0"/>
    <n v="34425"/>
    <n v="10076"/>
    <n v="0"/>
    <n v="0"/>
    <d v="2021-12-04T00:00:00"/>
    <s v="2021"/>
    <d v="2026-02-11T00:00:00"/>
    <n v="4"/>
    <n v="2"/>
    <n v="44501"/>
    <n v="22250.5"/>
    <s v=" Not Achieved"/>
    <s v="Average"/>
  </r>
  <r>
    <x v="66"/>
    <x v="66"/>
    <s v="EMP_67"/>
    <x v="1"/>
    <s v="EMP_67Marketing"/>
    <x v="4"/>
    <x v="4"/>
    <n v="23604"/>
    <n v="11352"/>
    <n v="0"/>
    <n v="0"/>
    <s v="1/29/2021"/>
    <s v="1/29/2021"/>
    <d v="2026-02-11T00:00:00"/>
    <e v="#VALUE!"/>
    <n v="1"/>
    <n v="34956"/>
    <n v="17478"/>
    <s v=" Not Achieved"/>
    <s v="poor"/>
  </r>
  <r>
    <x v="67"/>
    <x v="67"/>
    <s v="EMP_68"/>
    <x v="0"/>
    <s v="EMP_68Marketing"/>
    <x v="4"/>
    <x v="4"/>
    <n v="71866"/>
    <n v="2203"/>
    <n v="0"/>
    <n v="0"/>
    <s v="8/19/2023"/>
    <s v="8/19/2023"/>
    <d v="2026-02-11T00:00:00"/>
    <e v="#VALUE!"/>
    <n v="3"/>
    <n v="74069"/>
    <n v="37034.5"/>
    <s v=" Not Achieved"/>
    <s v=" Excellent"/>
  </r>
  <r>
    <x v="68"/>
    <x v="68"/>
    <s v="EMP_69"/>
    <x v="1"/>
    <s v="EMP_69Finance"/>
    <x v="2"/>
    <x v="2"/>
    <n v="21930"/>
    <n v="7323"/>
    <n v="0"/>
    <n v="0"/>
    <s v="1/16/2019"/>
    <s v="1/16/2019"/>
    <d v="2026-02-11T00:00:00"/>
    <e v="#VALUE!"/>
    <n v="5"/>
    <n v="29253"/>
    <n v="14626.5"/>
    <s v=" Not Achieved"/>
    <s v="poor"/>
  </r>
  <r>
    <x v="69"/>
    <x v="69"/>
    <s v="EMP_70"/>
    <x v="1"/>
    <s v="EMP_70IT"/>
    <x v="3"/>
    <x v="3"/>
    <n v="60259"/>
    <n v="4689"/>
    <n v="0"/>
    <n v="0"/>
    <s v="8/13/2024"/>
    <s v="8/13/2024"/>
    <d v="2026-02-11T00:00:00"/>
    <e v="#VALUE!"/>
    <n v="3"/>
    <n v="64948"/>
    <n v="32474"/>
    <s v=" Not Achieved"/>
    <s v=" Excellent"/>
  </r>
  <r>
    <x v="70"/>
    <x v="70"/>
    <s v="EMP_71"/>
    <x v="0"/>
    <s v="EMP_71HR"/>
    <x v="0"/>
    <x v="3"/>
    <n v="49297"/>
    <n v="14736"/>
    <n v="0"/>
    <n v="0"/>
    <s v="3/15/2020"/>
    <s v="3/15/2020"/>
    <d v="2026-02-11T00:00:00"/>
    <e v="#VALUE!"/>
    <n v="3"/>
    <n v="64033"/>
    <n v="32016.5"/>
    <s v=" Not Achieved"/>
    <s v="Good"/>
  </r>
  <r>
    <x v="71"/>
    <x v="71"/>
    <s v="EMP_72"/>
    <x v="1"/>
    <s v="EMP_72Finance"/>
    <x v="2"/>
    <x v="2"/>
    <n v="22871"/>
    <n v="11630"/>
    <n v="0"/>
    <n v="0"/>
    <s v="4/20/2020"/>
    <s v="4/20/2020"/>
    <d v="2026-02-11T00:00:00"/>
    <e v="#VALUE!"/>
    <n v="5"/>
    <n v="34501"/>
    <n v="17250.5"/>
    <s v=" Not Achieved"/>
    <s v="poor"/>
  </r>
  <r>
    <x v="72"/>
    <x v="72"/>
    <s v="EMP_73"/>
    <x v="0"/>
    <s v="EMP_73HR"/>
    <x v="0"/>
    <x v="3"/>
    <n v="72473"/>
    <n v="6162"/>
    <n v="0"/>
    <n v="0"/>
    <d v="2021-02-05T00:00:00"/>
    <s v="2021"/>
    <d v="2026-02-11T00:00:00"/>
    <n v="5"/>
    <n v="5"/>
    <n v="78635"/>
    <n v="39317.5"/>
    <s v=" Not Achieved"/>
    <s v=" Excellent"/>
  </r>
  <r>
    <x v="73"/>
    <x v="73"/>
    <s v="EMP_74"/>
    <x v="0"/>
    <s v="EMP_74Marketing"/>
    <x v="4"/>
    <x v="0"/>
    <n v="36940"/>
    <n v="9205"/>
    <n v="0"/>
    <n v="0"/>
    <s v="12/20/2024"/>
    <s v="12/20/2024"/>
    <d v="2026-02-11T00:00:00"/>
    <e v="#VALUE!"/>
    <n v="1"/>
    <n v="46145"/>
    <n v="23072.5"/>
    <s v=" Not Achieved"/>
    <s v="Average"/>
  </r>
  <r>
    <x v="74"/>
    <x v="74"/>
    <s v="EMP_75"/>
    <x v="1"/>
    <s v="EMP_75HR"/>
    <x v="0"/>
    <x v="2"/>
    <n v="32033"/>
    <n v="13830"/>
    <n v="0"/>
    <n v="0"/>
    <s v="1/18/2020"/>
    <s v="1/18/2020"/>
    <d v="2026-02-11T00:00:00"/>
    <e v="#VALUE!"/>
    <n v="1"/>
    <n v="45863"/>
    <n v="22931.5"/>
    <s v=" Not Achieved"/>
    <s v="Average"/>
  </r>
  <r>
    <x v="75"/>
    <x v="75"/>
    <s v="EMP_76"/>
    <x v="0"/>
    <s v="EMP_76Finance"/>
    <x v="2"/>
    <x v="0"/>
    <n v="47687"/>
    <n v="14786"/>
    <n v="0"/>
    <n v="0"/>
    <s v="2/17/2021"/>
    <s v="2/17/2021"/>
    <d v="2026-02-11T00:00:00"/>
    <e v="#VALUE!"/>
    <n v="3"/>
    <n v="62473"/>
    <n v="31236.5"/>
    <s v=" Not Achieved"/>
    <s v="Good"/>
  </r>
  <r>
    <x v="76"/>
    <x v="76"/>
    <s v="EMP_77"/>
    <x v="1"/>
    <s v="EMP_77Finance"/>
    <x v="2"/>
    <x v="3"/>
    <n v="74652"/>
    <n v="3423"/>
    <n v="0"/>
    <n v="0"/>
    <s v="11/20/2018"/>
    <s v="11/20/2018"/>
    <d v="2026-02-11T00:00:00"/>
    <e v="#VALUE!"/>
    <n v="4"/>
    <n v="78075"/>
    <n v="39037.5"/>
    <s v=" Not Achieved"/>
    <s v=" Excellent"/>
  </r>
  <r>
    <x v="77"/>
    <x v="77"/>
    <s v="EMP_78"/>
    <x v="0"/>
    <s v="EMP_78HR"/>
    <x v="0"/>
    <x v="3"/>
    <n v="78573"/>
    <n v="12136"/>
    <n v="0"/>
    <n v="0"/>
    <d v="2024-03-06T00:00:00"/>
    <s v="2024"/>
    <d v="2026-02-11T00:00:00"/>
    <n v="1"/>
    <n v="5"/>
    <n v="90709"/>
    <n v="45354.5"/>
    <s v=" Not Achieved"/>
    <s v=" Excellent"/>
  </r>
  <r>
    <x v="78"/>
    <x v="78"/>
    <s v="EMP_79"/>
    <x v="0"/>
    <s v="EMP_79HR"/>
    <x v="0"/>
    <x v="0"/>
    <n v="68759"/>
    <n v="13350"/>
    <n v="0"/>
    <n v="0"/>
    <s v="5/24/2021"/>
    <s v="5/24/2021"/>
    <d v="2026-02-11T00:00:00"/>
    <e v="#VALUE!"/>
    <n v="2"/>
    <n v="82109"/>
    <n v="41054.5"/>
    <s v=" Not Achieved"/>
    <s v=" Excellent"/>
  </r>
  <r>
    <x v="79"/>
    <x v="79"/>
    <s v="EMP_80"/>
    <x v="1"/>
    <s v="EMP_80Marketing"/>
    <x v="4"/>
    <x v="4"/>
    <n v="31410"/>
    <n v="8847"/>
    <n v="0"/>
    <n v="0"/>
    <s v="10/20/2023"/>
    <s v="10/20/2023"/>
    <d v="2026-02-11T00:00:00"/>
    <e v="#VALUE!"/>
    <n v="4"/>
    <n v="40257"/>
    <n v="20128.5"/>
    <s v=" Not Achieved"/>
    <s v="Average"/>
  </r>
  <r>
    <x v="80"/>
    <x v="80"/>
    <s v="EMP_81"/>
    <x v="1"/>
    <s v="EMP_81Marketing"/>
    <x v="4"/>
    <x v="4"/>
    <n v="31748"/>
    <n v="5839"/>
    <n v="0"/>
    <n v="0"/>
    <d v="2018-01-01T00:00:00"/>
    <s v="2018"/>
    <d v="2026-02-11T00:00:00"/>
    <n v="8"/>
    <n v="3"/>
    <n v="37587"/>
    <n v="18793.5"/>
    <s v=" Not Achieved"/>
    <s v="Average"/>
  </r>
  <r>
    <x v="81"/>
    <x v="81"/>
    <s v="EMP_82"/>
    <x v="0"/>
    <s v="EMP_82Marketing"/>
    <x v="4"/>
    <x v="1"/>
    <n v="37913"/>
    <n v="11683"/>
    <n v="0"/>
    <n v="0"/>
    <d v="2019-04-08T00:00:00"/>
    <s v="2019"/>
    <d v="2026-02-11T00:00:00"/>
    <n v="6"/>
    <n v="1"/>
    <n v="49596"/>
    <n v="24798"/>
    <s v=" Not Achieved"/>
    <s v="Average"/>
  </r>
  <r>
    <x v="82"/>
    <x v="82"/>
    <s v="EMP_83"/>
    <x v="1"/>
    <s v="EMP_83HR"/>
    <x v="0"/>
    <x v="3"/>
    <n v="40861"/>
    <n v="8905"/>
    <n v="0"/>
    <n v="0"/>
    <s v="7/28/2018"/>
    <s v="7/28/2018"/>
    <d v="2026-02-11T00:00:00"/>
    <e v="#VALUE!"/>
    <n v="1"/>
    <n v="49766"/>
    <n v="24883"/>
    <s v=" Not Achieved"/>
    <s v="Good"/>
  </r>
  <r>
    <x v="83"/>
    <x v="83"/>
    <s v="EMP_84"/>
    <x v="0"/>
    <s v="EMP_84IT"/>
    <x v="3"/>
    <x v="4"/>
    <n v="28198"/>
    <n v="6548"/>
    <n v="0"/>
    <n v="0"/>
    <d v="2019-08-07T00:00:00"/>
    <s v="2019"/>
    <d v="2026-02-11T00:00:00"/>
    <n v="6"/>
    <n v="2"/>
    <n v="34746"/>
    <n v="17373"/>
    <s v=" Not Achieved"/>
    <s v="poor"/>
  </r>
  <r>
    <x v="84"/>
    <x v="84"/>
    <s v="EMP_85"/>
    <x v="0"/>
    <s v="EMP_85Finance"/>
    <x v="2"/>
    <x v="3"/>
    <n v="38623"/>
    <n v="13104"/>
    <n v="0"/>
    <n v="0"/>
    <d v="2019-04-10T00:00:00"/>
    <s v="2019"/>
    <d v="2026-02-11T00:00:00"/>
    <n v="6"/>
    <n v="5"/>
    <n v="51727"/>
    <n v="25863.5"/>
    <s v=" Not Achieved"/>
    <s v="Average"/>
  </r>
  <r>
    <x v="85"/>
    <x v="85"/>
    <s v="EMP_86"/>
    <x v="0"/>
    <s v="EMP_86HR"/>
    <x v="0"/>
    <x v="2"/>
    <n v="69723"/>
    <n v="6531"/>
    <n v="0"/>
    <n v="0"/>
    <d v="2019-11-12T00:00:00"/>
    <s v="2019"/>
    <d v="2026-02-11T00:00:00"/>
    <n v="6"/>
    <n v="3"/>
    <n v="76254"/>
    <n v="38127"/>
    <s v=" Not Achieved"/>
    <s v=" Excellent"/>
  </r>
  <r>
    <x v="86"/>
    <x v="86"/>
    <s v="EMP_87"/>
    <x v="0"/>
    <s v="EMP_87HR"/>
    <x v="0"/>
    <x v="4"/>
    <n v="46344"/>
    <n v="10180"/>
    <n v="0"/>
    <n v="0"/>
    <d v="2018-04-08T00:00:00"/>
    <s v="2018"/>
    <d v="2026-02-11T00:00:00"/>
    <n v="7"/>
    <n v="1"/>
    <n v="56524"/>
    <n v="28262"/>
    <s v=" Not Achieved"/>
    <s v="Good"/>
  </r>
  <r>
    <x v="87"/>
    <x v="87"/>
    <s v="EMP_88"/>
    <x v="1"/>
    <s v="EMP_88Sales"/>
    <x v="1"/>
    <x v="1"/>
    <n v="40414"/>
    <n v="11403"/>
    <n v="154637"/>
    <n v="110150"/>
    <s v="8/17/2021"/>
    <s v="8/17/2021"/>
    <d v="2026-02-11T00:00:00"/>
    <e v="#VALUE!"/>
    <n v="4"/>
    <n v="51817"/>
    <n v="25908.5"/>
    <s v="Achieved"/>
    <s v="Good"/>
  </r>
  <r>
    <x v="88"/>
    <x v="88"/>
    <s v="EMP_89"/>
    <x v="0"/>
    <s v="EMP_89Marketing"/>
    <x v="4"/>
    <x v="2"/>
    <n v="68939"/>
    <n v="5168"/>
    <n v="0"/>
    <n v="0"/>
    <s v="12/18/2023"/>
    <s v="12/18/2023"/>
    <d v="2026-02-11T00:00:00"/>
    <e v="#VALUE!"/>
    <n v="4"/>
    <n v="74107"/>
    <n v="37053.5"/>
    <s v=" Not Achieved"/>
    <s v=" Excellent"/>
  </r>
  <r>
    <x v="89"/>
    <x v="89"/>
    <s v="EMP_90"/>
    <x v="0"/>
    <s v="EMP_90HR"/>
    <x v="0"/>
    <x v="4"/>
    <n v="67264"/>
    <n v="5835"/>
    <n v="0"/>
    <n v="0"/>
    <s v="11/29/2022"/>
    <s v="11/29/2022"/>
    <d v="2026-02-11T00:00:00"/>
    <e v="#VALUE!"/>
    <n v="3"/>
    <n v="73099"/>
    <n v="36549.5"/>
    <s v=" Not Achieved"/>
    <s v=" Excellent"/>
  </r>
  <r>
    <x v="90"/>
    <x v="90"/>
    <s v="EMP_91"/>
    <x v="0"/>
    <s v="EMP_91Marketing"/>
    <x v="4"/>
    <x v="3"/>
    <n v="28416"/>
    <n v="13827"/>
    <n v="0"/>
    <n v="0"/>
    <s v="4/20/2023"/>
    <s v="4/20/2023"/>
    <d v="2026-02-11T00:00:00"/>
    <e v="#VALUE!"/>
    <n v="5"/>
    <n v="42243"/>
    <n v="21121.5"/>
    <s v=" Not Achieved"/>
    <s v="poor"/>
  </r>
  <r>
    <x v="91"/>
    <x v="91"/>
    <s v="EMP_92"/>
    <x v="0"/>
    <s v="EMP_92Finance"/>
    <x v="2"/>
    <x v="0"/>
    <n v="44501"/>
    <n v="8528"/>
    <n v="0"/>
    <n v="0"/>
    <s v="3/14/2022"/>
    <s v="3/14/2022"/>
    <d v="2026-02-11T00:00:00"/>
    <e v="#VALUE!"/>
    <n v="3"/>
    <n v="53029"/>
    <n v="26514.5"/>
    <s v=" Not Achieved"/>
    <s v="Good"/>
  </r>
  <r>
    <x v="92"/>
    <x v="92"/>
    <s v="EMP_93"/>
    <x v="0"/>
    <s v="EMP_93Marketing"/>
    <x v="4"/>
    <x v="1"/>
    <n v="48437"/>
    <n v="5913"/>
    <n v="0"/>
    <n v="0"/>
    <s v="9/30/2023"/>
    <s v="9/30/2023"/>
    <d v="2026-02-11T00:00:00"/>
    <e v="#VALUE!"/>
    <n v="4"/>
    <n v="54350"/>
    <n v="27175"/>
    <s v=" Not Achieved"/>
    <s v="Good"/>
  </r>
  <r>
    <x v="93"/>
    <x v="93"/>
    <s v="EMP_94"/>
    <x v="1"/>
    <s v="EMP_94IT"/>
    <x v="3"/>
    <x v="1"/>
    <n v="47089"/>
    <n v="14590"/>
    <n v="0"/>
    <n v="0"/>
    <d v="2020-05-04T00:00:00"/>
    <s v="2020"/>
    <d v="2026-02-11T00:00:00"/>
    <n v="5"/>
    <n v="1"/>
    <n v="61679"/>
    <n v="30839.5"/>
    <s v=" Not Achieved"/>
    <s v="Good"/>
  </r>
  <r>
    <x v="94"/>
    <x v="94"/>
    <s v="EMP_95"/>
    <x v="1"/>
    <s v="EMP_95HR"/>
    <x v="0"/>
    <x v="2"/>
    <n v="27504"/>
    <n v="8776"/>
    <n v="0"/>
    <n v="0"/>
    <s v="9/14/2022"/>
    <s v="9/14/2022"/>
    <d v="2026-02-11T00:00:00"/>
    <e v="#VALUE!"/>
    <n v="3"/>
    <n v="36280"/>
    <n v="18140"/>
    <s v=" Not Achieved"/>
    <s v="poor"/>
  </r>
  <r>
    <x v="95"/>
    <x v="95"/>
    <s v="EMP_96"/>
    <x v="1"/>
    <s v="EMP_96IT"/>
    <x v="3"/>
    <x v="0"/>
    <n v="49133"/>
    <n v="4929"/>
    <n v="0"/>
    <n v="0"/>
    <s v="4/27/2021"/>
    <s v="4/27/2021"/>
    <d v="2026-02-11T00:00:00"/>
    <e v="#VALUE!"/>
    <n v="2"/>
    <n v="54062"/>
    <n v="27031"/>
    <s v=" Not Achieved"/>
    <s v="Good"/>
  </r>
  <r>
    <x v="96"/>
    <x v="96"/>
    <s v="EMP_97"/>
    <x v="0"/>
    <s v="EMP_97HR"/>
    <x v="0"/>
    <x v="4"/>
    <n v="37435"/>
    <n v="7369"/>
    <n v="0"/>
    <n v="0"/>
    <d v="2019-09-08T00:00:00"/>
    <s v="2019"/>
    <d v="2026-02-11T00:00:00"/>
    <n v="6"/>
    <n v="3"/>
    <n v="44804"/>
    <n v="22402"/>
    <s v=" Not Achieved"/>
    <s v="Average"/>
  </r>
  <r>
    <x v="97"/>
    <x v="97"/>
    <s v="EMP_98"/>
    <x v="1"/>
    <s v="EMP_98Marketing"/>
    <x v="4"/>
    <x v="1"/>
    <n v="29727"/>
    <n v="12063"/>
    <n v="0"/>
    <n v="0"/>
    <d v="2023-11-12T00:00:00"/>
    <s v="2023"/>
    <d v="2026-02-11T00:00:00"/>
    <n v="2"/>
    <n v="4"/>
    <n v="41790"/>
    <n v="20895"/>
    <s v=" Not Achieved"/>
    <s v="poor"/>
  </r>
  <r>
    <x v="98"/>
    <x v="98"/>
    <s v="EMP_99"/>
    <x v="1"/>
    <s v="EMP_99Finance"/>
    <x v="2"/>
    <x v="4"/>
    <n v="27521"/>
    <n v="7208"/>
    <n v="0"/>
    <n v="0"/>
    <s v="12/24/2019"/>
    <s v="12/24/2019"/>
    <d v="2026-02-11T00:00:00"/>
    <e v="#VALUE!"/>
    <n v="1"/>
    <n v="34729"/>
    <n v="17364.5"/>
    <s v=" Not Achieved"/>
    <s v="poor"/>
  </r>
  <r>
    <x v="99"/>
    <x v="99"/>
    <s v="EMP_100"/>
    <x v="0"/>
    <s v="EMP_100HR"/>
    <x v="0"/>
    <x v="2"/>
    <n v="20936"/>
    <n v="7675"/>
    <n v="0"/>
    <n v="0"/>
    <s v="3/26/2023"/>
    <s v="3/26/2023"/>
    <d v="2026-02-11T00:00:00"/>
    <e v="#VALUE!"/>
    <n v="4"/>
    <n v="28611"/>
    <n v="14305.5"/>
    <s v=" Not Achieved"/>
    <s v="poor"/>
  </r>
  <r>
    <x v="100"/>
    <x v="100"/>
    <s v="EMP_101"/>
    <x v="0"/>
    <s v="EMP_101Sales"/>
    <x v="1"/>
    <x v="2"/>
    <n v="49096"/>
    <n v="11490"/>
    <n v="119327"/>
    <n v="180775"/>
    <s v="5/24/2021"/>
    <s v="5/24/2021"/>
    <d v="2026-02-11T00:00:00"/>
    <e v="#VALUE!"/>
    <n v="4"/>
    <n v="60586"/>
    <n v="30293"/>
    <s v=" Not Achieved"/>
    <s v="Good"/>
  </r>
  <r>
    <x v="101"/>
    <x v="101"/>
    <s v="EMP_102"/>
    <x v="0"/>
    <s v="EMP_102IT"/>
    <x v="3"/>
    <x v="2"/>
    <n v="42349"/>
    <n v="6883"/>
    <n v="0"/>
    <n v="0"/>
    <d v="2018-08-04T00:00:00"/>
    <s v="2018"/>
    <d v="2026-02-11T00:00:00"/>
    <n v="7"/>
    <n v="1"/>
    <n v="49232"/>
    <n v="24616"/>
    <s v=" Not Achieved"/>
    <s v="Good"/>
  </r>
  <r>
    <x v="102"/>
    <x v="102"/>
    <s v="EMP_103"/>
    <x v="0"/>
    <s v="EMP_103Sales"/>
    <x v="1"/>
    <x v="1"/>
    <n v="44220"/>
    <n v="8375"/>
    <n v="97408"/>
    <n v="94967"/>
    <s v="9/19/2018"/>
    <s v="9/19/2018"/>
    <d v="2026-02-11T00:00:00"/>
    <e v="#VALUE!"/>
    <n v="4"/>
    <n v="52595"/>
    <n v="26297.5"/>
    <s v="Achieved"/>
    <s v="Good"/>
  </r>
  <r>
    <x v="103"/>
    <x v="103"/>
    <s v="EMP_104"/>
    <x v="1"/>
    <s v="EMP_104HR"/>
    <x v="0"/>
    <x v="1"/>
    <n v="31900"/>
    <n v="9914"/>
    <n v="0"/>
    <n v="0"/>
    <s v="9/21/2023"/>
    <s v="9/21/2023"/>
    <d v="2026-02-11T00:00:00"/>
    <e v="#VALUE!"/>
    <n v="2"/>
    <n v="41814"/>
    <n v="20907"/>
    <s v=" Not Achieved"/>
    <s v="Average"/>
  </r>
  <r>
    <x v="104"/>
    <x v="104"/>
    <s v="EMP_105"/>
    <x v="1"/>
    <s v="EMP_105Marketing"/>
    <x v="4"/>
    <x v="2"/>
    <n v="55807"/>
    <n v="7957"/>
    <n v="0"/>
    <n v="0"/>
    <d v="2023-12-06T00:00:00"/>
    <s v="2023"/>
    <d v="2026-02-11T00:00:00"/>
    <n v="2"/>
    <n v="4"/>
    <n v="63764"/>
    <n v="31882"/>
    <s v=" Not Achieved"/>
    <s v=" Excellent"/>
  </r>
  <r>
    <x v="105"/>
    <x v="105"/>
    <s v="EMP_106"/>
    <x v="0"/>
    <s v="EMP_106Finance"/>
    <x v="2"/>
    <x v="4"/>
    <n v="36246"/>
    <n v="14875"/>
    <n v="0"/>
    <n v="0"/>
    <s v="8/15/2021"/>
    <s v="8/15/2021"/>
    <d v="2026-02-11T00:00:00"/>
    <e v="#VALUE!"/>
    <n v="4"/>
    <n v="51121"/>
    <n v="25560.5"/>
    <s v=" Not Achieved"/>
    <s v="Average"/>
  </r>
  <r>
    <x v="106"/>
    <x v="106"/>
    <s v="EMP_107"/>
    <x v="1"/>
    <s v="EMP_107Marketing"/>
    <x v="4"/>
    <x v="0"/>
    <n v="63681"/>
    <n v="12896"/>
    <n v="0"/>
    <n v="0"/>
    <s v="3/18/2019"/>
    <s v="3/18/2019"/>
    <d v="2026-02-11T00:00:00"/>
    <e v="#VALUE!"/>
    <n v="1"/>
    <n v="76577"/>
    <n v="38288.5"/>
    <s v=" Not Achieved"/>
    <s v=" Excellent"/>
  </r>
  <r>
    <x v="107"/>
    <x v="107"/>
    <s v="EMP_108"/>
    <x v="0"/>
    <s v="EMP_108IT"/>
    <x v="3"/>
    <x v="2"/>
    <n v="30938"/>
    <n v="14944"/>
    <n v="0"/>
    <n v="0"/>
    <s v="7/31/2019"/>
    <s v="7/31/2019"/>
    <d v="2026-02-11T00:00:00"/>
    <e v="#VALUE!"/>
    <n v="4"/>
    <n v="45882"/>
    <n v="22941"/>
    <s v=" Not Achieved"/>
    <s v="Average"/>
  </r>
  <r>
    <x v="108"/>
    <x v="108"/>
    <s v="EMP_109"/>
    <x v="0"/>
    <s v="EMP_109Marketing"/>
    <x v="4"/>
    <x v="1"/>
    <n v="32538"/>
    <n v="12607"/>
    <n v="0"/>
    <n v="0"/>
    <s v="8/27/2024"/>
    <s v="8/27/2024"/>
    <d v="2026-02-11T00:00:00"/>
    <e v="#VALUE!"/>
    <n v="4"/>
    <n v="45145"/>
    <n v="22572.5"/>
    <s v=" Not Achieved"/>
    <s v="Average"/>
  </r>
  <r>
    <x v="109"/>
    <x v="109"/>
    <s v="EMP_110"/>
    <x v="1"/>
    <s v="EMP_110Sales"/>
    <x v="1"/>
    <x v="1"/>
    <n v="27048"/>
    <n v="13874"/>
    <n v="216277"/>
    <n v="187332"/>
    <d v="2021-05-08T00:00:00"/>
    <s v="2021"/>
    <d v="2026-02-11T00:00:00"/>
    <n v="4"/>
    <n v="3"/>
    <n v="40922"/>
    <n v="20461"/>
    <s v="Achieved"/>
    <s v="poor"/>
  </r>
  <r>
    <x v="110"/>
    <x v="110"/>
    <s v="EMP_111"/>
    <x v="0"/>
    <s v="EMP_111IT"/>
    <x v="3"/>
    <x v="4"/>
    <n v="77766"/>
    <n v="3770"/>
    <n v="0"/>
    <n v="0"/>
    <d v="2020-10-10T00:00:00"/>
    <s v="2020"/>
    <d v="2026-02-11T00:00:00"/>
    <n v="5"/>
    <n v="1"/>
    <n v="81536"/>
    <n v="40768"/>
    <s v=" Not Achieved"/>
    <s v=" Excellent"/>
  </r>
  <r>
    <x v="111"/>
    <x v="111"/>
    <s v="EMP_112"/>
    <x v="0"/>
    <s v="EMP_112Sales"/>
    <x v="1"/>
    <x v="0"/>
    <n v="76925"/>
    <n v="8587"/>
    <n v="130912"/>
    <n v="221165"/>
    <s v="3/30/2023"/>
    <s v="3/30/2023"/>
    <d v="2026-02-11T00:00:00"/>
    <e v="#VALUE!"/>
    <n v="3"/>
    <n v="85512"/>
    <n v="42756"/>
    <s v=" Not Achieved"/>
    <s v=" Excellent"/>
  </r>
  <r>
    <x v="112"/>
    <x v="112"/>
    <s v="EMP_113"/>
    <x v="0"/>
    <s v="EMP_113Marketing"/>
    <x v="4"/>
    <x v="1"/>
    <n v="67459"/>
    <n v="8408"/>
    <n v="0"/>
    <n v="0"/>
    <s v="8/21/2023"/>
    <s v="8/21/2023"/>
    <d v="2026-02-11T00:00:00"/>
    <e v="#VALUE!"/>
    <n v="2"/>
    <n v="75867"/>
    <n v="37933.5"/>
    <s v=" Not Achieved"/>
    <s v=" Excellent"/>
  </r>
  <r>
    <x v="113"/>
    <x v="113"/>
    <s v="EMP_114"/>
    <x v="0"/>
    <s v="EMP_114Sales"/>
    <x v="1"/>
    <x v="3"/>
    <n v="31878"/>
    <n v="9603"/>
    <n v="248378"/>
    <n v="91314"/>
    <s v="12/30/2020"/>
    <s v="12/30/2020"/>
    <d v="2026-02-11T00:00:00"/>
    <e v="#VALUE!"/>
    <n v="3"/>
    <n v="41481"/>
    <n v="20740.5"/>
    <s v="Achieved"/>
    <s v="Average"/>
  </r>
  <r>
    <x v="114"/>
    <x v="114"/>
    <s v="EMP_115"/>
    <x v="0"/>
    <s v="EMP_115IT"/>
    <x v="3"/>
    <x v="3"/>
    <n v="30226"/>
    <n v="4082"/>
    <n v="0"/>
    <n v="0"/>
    <s v="6/14/2018"/>
    <s v="6/14/2018"/>
    <d v="2026-02-11T00:00:00"/>
    <e v="#VALUE!"/>
    <n v="5"/>
    <n v="34308"/>
    <n v="17154"/>
    <s v=" Not Achieved"/>
    <s v="Average"/>
  </r>
  <r>
    <x v="115"/>
    <x v="115"/>
    <s v="EMP_116"/>
    <x v="1"/>
    <s v="EMP_116Finance"/>
    <x v="2"/>
    <x v="3"/>
    <n v="25026"/>
    <n v="12843"/>
    <n v="0"/>
    <n v="0"/>
    <s v="2/27/2023"/>
    <s v="2/27/2023"/>
    <d v="2026-02-11T00:00:00"/>
    <e v="#VALUE!"/>
    <n v="3"/>
    <n v="37869"/>
    <n v="18934.5"/>
    <s v=" Not Achieved"/>
    <s v="poor"/>
  </r>
  <r>
    <x v="116"/>
    <x v="116"/>
    <s v="EMP_117"/>
    <x v="0"/>
    <s v="EMP_117IT"/>
    <x v="3"/>
    <x v="0"/>
    <n v="24823"/>
    <n v="2675"/>
    <n v="0"/>
    <n v="0"/>
    <d v="2020-02-03T00:00:00"/>
    <s v="2020"/>
    <d v="2026-02-11T00:00:00"/>
    <n v="6"/>
    <n v="2"/>
    <n v="27498"/>
    <n v="13749"/>
    <s v=" Not Achieved"/>
    <s v="poor"/>
  </r>
  <r>
    <x v="117"/>
    <x v="117"/>
    <s v="EMP_118"/>
    <x v="0"/>
    <s v="EMP_118Marketing"/>
    <x v="4"/>
    <x v="4"/>
    <n v="40409"/>
    <n v="13390"/>
    <n v="0"/>
    <n v="0"/>
    <s v="11/15/2022"/>
    <s v="11/15/2022"/>
    <d v="2026-02-11T00:00:00"/>
    <e v="#VALUE!"/>
    <n v="5"/>
    <n v="53799"/>
    <n v="26899.5"/>
    <s v=" Not Achieved"/>
    <s v="Good"/>
  </r>
  <r>
    <x v="118"/>
    <x v="118"/>
    <s v="EMP_119"/>
    <x v="1"/>
    <s v="EMP_119IT"/>
    <x v="3"/>
    <x v="1"/>
    <n v="65327"/>
    <n v="10741"/>
    <n v="0"/>
    <n v="0"/>
    <d v="2021-11-06T00:00:00"/>
    <s v="2021"/>
    <d v="2026-02-11T00:00:00"/>
    <n v="4"/>
    <n v="5"/>
    <n v="76068"/>
    <n v="38034"/>
    <s v=" Not Achieved"/>
    <s v=" Excellent"/>
  </r>
  <r>
    <x v="119"/>
    <x v="119"/>
    <s v="EMP_120"/>
    <x v="0"/>
    <s v="EMP_120Sales"/>
    <x v="1"/>
    <x v="3"/>
    <n v="51530"/>
    <n v="11528"/>
    <n v="166320"/>
    <n v="109876"/>
    <s v="9/23/2020"/>
    <s v="9/23/2020"/>
    <d v="2026-02-11T00:00:00"/>
    <e v="#VALUE!"/>
    <n v="1"/>
    <n v="63058"/>
    <n v="31529"/>
    <s v="Achieved"/>
    <s v=" Excellent"/>
  </r>
  <r>
    <x v="120"/>
    <x v="120"/>
    <s v="EMP_121"/>
    <x v="1"/>
    <s v="EMP_121IT"/>
    <x v="3"/>
    <x v="0"/>
    <n v="40617"/>
    <n v="4727"/>
    <n v="0"/>
    <n v="0"/>
    <s v="8/16/2019"/>
    <s v="8/16/2019"/>
    <d v="2026-02-11T00:00:00"/>
    <e v="#VALUE!"/>
    <n v="3"/>
    <n v="45344"/>
    <n v="22672"/>
    <s v=" Not Achieved"/>
    <s v="Good"/>
  </r>
  <r>
    <x v="121"/>
    <x v="121"/>
    <s v="EMP_122"/>
    <x v="1"/>
    <s v="EMP_122HR"/>
    <x v="0"/>
    <x v="2"/>
    <n v="50686"/>
    <n v="2151"/>
    <n v="0"/>
    <n v="0"/>
    <s v="4/27/2022"/>
    <s v="4/27/2022"/>
    <d v="2026-02-11T00:00:00"/>
    <e v="#VALUE!"/>
    <n v="1"/>
    <n v="52837"/>
    <n v="26418.5"/>
    <s v=" Not Achieved"/>
    <s v=" Excellent"/>
  </r>
  <r>
    <x v="122"/>
    <x v="122"/>
    <s v="EMP_123"/>
    <x v="0"/>
    <s v="EMP_123Finance"/>
    <x v="2"/>
    <x v="2"/>
    <n v="33740"/>
    <n v="7661"/>
    <n v="0"/>
    <n v="0"/>
    <d v="2023-09-05T00:00:00"/>
    <s v="2023"/>
    <d v="2026-02-11T00:00:00"/>
    <n v="2"/>
    <n v="1"/>
    <n v="41401"/>
    <n v="20700.5"/>
    <s v=" Not Achieved"/>
    <s v="Average"/>
  </r>
  <r>
    <x v="123"/>
    <x v="123"/>
    <s v="EMP_124"/>
    <x v="0"/>
    <s v="EMP_124Marketing"/>
    <x v="4"/>
    <x v="1"/>
    <n v="71454"/>
    <n v="3083"/>
    <n v="0"/>
    <n v="0"/>
    <s v="3/14/2018"/>
    <s v="3/14/2018"/>
    <d v="2026-02-11T00:00:00"/>
    <e v="#VALUE!"/>
    <n v="5"/>
    <n v="74537"/>
    <n v="37268.5"/>
    <s v=" Not Achieved"/>
    <s v=" Excellent"/>
  </r>
  <r>
    <x v="124"/>
    <x v="124"/>
    <s v="EMP_125"/>
    <x v="1"/>
    <s v="EMP_125Finance"/>
    <x v="2"/>
    <x v="3"/>
    <n v="74914"/>
    <n v="5817"/>
    <n v="0"/>
    <n v="0"/>
    <s v="2/23/2023"/>
    <s v="2/23/2023"/>
    <d v="2026-02-11T00:00:00"/>
    <e v="#VALUE!"/>
    <n v="3"/>
    <n v="80731"/>
    <n v="40365.5"/>
    <s v=" Not Achieved"/>
    <s v=" Excellent"/>
  </r>
  <r>
    <x v="125"/>
    <x v="125"/>
    <s v="EMP_126"/>
    <x v="0"/>
    <s v="EMP_126IT"/>
    <x v="3"/>
    <x v="4"/>
    <n v="62359"/>
    <n v="5347"/>
    <n v="0"/>
    <n v="0"/>
    <s v="5/14/2019"/>
    <s v="5/14/2019"/>
    <d v="2026-02-11T00:00:00"/>
    <e v="#VALUE!"/>
    <n v="4"/>
    <n v="67706"/>
    <n v="33853"/>
    <s v=" Not Achieved"/>
    <s v=" Excellent"/>
  </r>
  <r>
    <x v="126"/>
    <x v="126"/>
    <s v="EMP_127"/>
    <x v="0"/>
    <s v="EMP_127IT"/>
    <x v="3"/>
    <x v="4"/>
    <n v="54971"/>
    <n v="6807"/>
    <n v="0"/>
    <n v="0"/>
    <s v="3/30/2022"/>
    <s v="3/30/2022"/>
    <d v="2026-02-11T00:00:00"/>
    <e v="#VALUE!"/>
    <n v="3"/>
    <n v="61778"/>
    <n v="30889"/>
    <s v=" Not Achieved"/>
    <s v=" Excellent"/>
  </r>
  <r>
    <x v="127"/>
    <x v="127"/>
    <s v="EMP_128"/>
    <x v="0"/>
    <s v="EMP_128Finance"/>
    <x v="2"/>
    <x v="1"/>
    <n v="73058"/>
    <n v="6310"/>
    <n v="0"/>
    <n v="0"/>
    <s v="7/25/2024"/>
    <s v="7/25/2024"/>
    <d v="2026-02-11T00:00:00"/>
    <e v="#VALUE!"/>
    <n v="2"/>
    <n v="79368"/>
    <n v="39684"/>
    <s v=" Not Achieved"/>
    <s v=" Excellent"/>
  </r>
  <r>
    <x v="128"/>
    <x v="128"/>
    <s v="EMP_129"/>
    <x v="0"/>
    <s v="EMP_129Finance"/>
    <x v="2"/>
    <x v="0"/>
    <n v="28599"/>
    <n v="11045"/>
    <n v="0"/>
    <n v="0"/>
    <s v="5/23/2022"/>
    <s v="5/23/2022"/>
    <d v="2026-02-11T00:00:00"/>
    <e v="#VALUE!"/>
    <n v="1"/>
    <n v="39644"/>
    <n v="19822"/>
    <s v=" Not Achieved"/>
    <s v="poor"/>
  </r>
  <r>
    <x v="129"/>
    <x v="129"/>
    <s v="EMP_130"/>
    <x v="0"/>
    <s v="EMP_130Marketing"/>
    <x v="4"/>
    <x v="0"/>
    <n v="52101"/>
    <n v="2786"/>
    <n v="0"/>
    <n v="0"/>
    <d v="2019-01-04T00:00:00"/>
    <s v="2019"/>
    <d v="2026-02-11T00:00:00"/>
    <n v="7"/>
    <n v="5"/>
    <n v="54887"/>
    <n v="27443.5"/>
    <s v=" Not Achieved"/>
    <s v=" Excellent"/>
  </r>
  <r>
    <x v="130"/>
    <x v="130"/>
    <s v="EMP_131"/>
    <x v="0"/>
    <s v="EMP_131Marketing"/>
    <x v="4"/>
    <x v="4"/>
    <n v="46287"/>
    <n v="9570"/>
    <n v="0"/>
    <n v="0"/>
    <s v="3/26/2023"/>
    <s v="3/26/2023"/>
    <d v="2026-02-11T00:00:00"/>
    <e v="#VALUE!"/>
    <n v="2"/>
    <n v="55857"/>
    <n v="27928.5"/>
    <s v=" Not Achieved"/>
    <s v="Good"/>
  </r>
  <r>
    <x v="131"/>
    <x v="131"/>
    <s v="EMP_132"/>
    <x v="1"/>
    <s v="EMP_132Finance"/>
    <x v="2"/>
    <x v="0"/>
    <n v="67941"/>
    <n v="2735"/>
    <n v="0"/>
    <n v="0"/>
    <s v="11/15/2023"/>
    <s v="11/15/2023"/>
    <d v="2026-02-11T00:00:00"/>
    <e v="#VALUE!"/>
    <n v="3"/>
    <n v="70676"/>
    <n v="35338"/>
    <s v=" Not Achieved"/>
    <s v=" Excellent"/>
  </r>
  <r>
    <x v="132"/>
    <x v="132"/>
    <s v="EMP_133"/>
    <x v="0"/>
    <s v="EMP_133Finance"/>
    <x v="2"/>
    <x v="4"/>
    <n v="78843"/>
    <n v="13273"/>
    <n v="0"/>
    <n v="0"/>
    <d v="2019-01-03T00:00:00"/>
    <s v="2019"/>
    <d v="2026-02-11T00:00:00"/>
    <n v="7"/>
    <n v="3"/>
    <n v="92116"/>
    <n v="46058"/>
    <s v=" Not Achieved"/>
    <s v=" Excellent"/>
  </r>
  <r>
    <x v="133"/>
    <x v="133"/>
    <s v="EMP_134"/>
    <x v="1"/>
    <s v="EMP_134HR"/>
    <x v="0"/>
    <x v="4"/>
    <n v="35575"/>
    <n v="9989"/>
    <n v="0"/>
    <n v="0"/>
    <s v="8/23/2019"/>
    <s v="8/23/2019"/>
    <d v="2026-02-11T00:00:00"/>
    <e v="#VALUE!"/>
    <n v="3"/>
    <n v="45564"/>
    <n v="22782"/>
    <s v=" Not Achieved"/>
    <s v="Average"/>
  </r>
  <r>
    <x v="134"/>
    <x v="134"/>
    <s v="EMP_135"/>
    <x v="0"/>
    <s v="EMP_135HR"/>
    <x v="0"/>
    <x v="3"/>
    <n v="71572"/>
    <n v="5240"/>
    <n v="0"/>
    <n v="0"/>
    <s v="6/15/2018"/>
    <s v="6/15/2018"/>
    <d v="2026-02-11T00:00:00"/>
    <e v="#VALUE!"/>
    <n v="4"/>
    <n v="76812"/>
    <n v="38406"/>
    <s v=" Not Achieved"/>
    <s v=" Excellent"/>
  </r>
  <r>
    <x v="135"/>
    <x v="135"/>
    <s v="EMP_136"/>
    <x v="0"/>
    <s v="EMP_136Sales"/>
    <x v="1"/>
    <x v="1"/>
    <n v="29535"/>
    <n v="13405"/>
    <n v="79584"/>
    <n v="119342"/>
    <s v="8/24/2018"/>
    <s v="8/24/2018"/>
    <d v="2026-02-11T00:00:00"/>
    <e v="#VALUE!"/>
    <n v="5"/>
    <n v="42940"/>
    <n v="21470"/>
    <s v=" Not Achieved"/>
    <s v="poor"/>
  </r>
  <r>
    <x v="136"/>
    <x v="136"/>
    <s v="EMP_137"/>
    <x v="0"/>
    <s v="EMP_137HR"/>
    <x v="0"/>
    <x v="1"/>
    <n v="75462"/>
    <n v="8766"/>
    <n v="0"/>
    <n v="0"/>
    <d v="2024-06-02T00:00:00"/>
    <s v="2024"/>
    <d v="2026-02-11T00:00:00"/>
    <n v="1"/>
    <n v="4"/>
    <n v="84228"/>
    <n v="42114"/>
    <s v=" Not Achieved"/>
    <s v=" Excellent"/>
  </r>
  <r>
    <x v="137"/>
    <x v="137"/>
    <s v="EMP_138"/>
    <x v="0"/>
    <s v="EMP_138Sales"/>
    <x v="1"/>
    <x v="3"/>
    <n v="32638"/>
    <n v="6405"/>
    <n v="54975"/>
    <n v="188319"/>
    <s v="12/22/2023"/>
    <s v="12/22/2023"/>
    <d v="2026-02-11T00:00:00"/>
    <e v="#VALUE!"/>
    <n v="2"/>
    <n v="39043"/>
    <n v="19521.5"/>
    <s v=" Not Achieved"/>
    <s v="Average"/>
  </r>
  <r>
    <x v="138"/>
    <x v="138"/>
    <s v="EMP_139"/>
    <x v="1"/>
    <s v="EMP_139HR"/>
    <x v="0"/>
    <x v="1"/>
    <n v="70957"/>
    <n v="3976"/>
    <n v="0"/>
    <n v="0"/>
    <d v="2022-10-06T00:00:00"/>
    <s v="2022"/>
    <d v="2026-02-11T00:00:00"/>
    <n v="3"/>
    <n v="1"/>
    <n v="74933"/>
    <n v="37466.5"/>
    <s v=" Not Achieved"/>
    <s v=" Excellent"/>
  </r>
  <r>
    <x v="139"/>
    <x v="139"/>
    <s v="EMP_140"/>
    <x v="1"/>
    <s v="EMP_140IT"/>
    <x v="3"/>
    <x v="1"/>
    <n v="41161"/>
    <n v="9195"/>
    <n v="0"/>
    <n v="0"/>
    <d v="2022-04-11T00:00:00"/>
    <s v="2022"/>
    <d v="2026-02-11T00:00:00"/>
    <n v="3"/>
    <n v="2"/>
    <n v="50356"/>
    <n v="25178"/>
    <s v=" Not Achieved"/>
    <s v="Good"/>
  </r>
  <r>
    <x v="140"/>
    <x v="140"/>
    <s v="EMP_141"/>
    <x v="1"/>
    <s v="EMP_141HR"/>
    <x v="0"/>
    <x v="3"/>
    <n v="55403"/>
    <n v="2967"/>
    <n v="0"/>
    <n v="0"/>
    <d v="2019-12-08T00:00:00"/>
    <s v="2019"/>
    <d v="2026-02-11T00:00:00"/>
    <n v="6"/>
    <n v="1"/>
    <n v="58370"/>
    <n v="29185"/>
    <s v=" Not Achieved"/>
    <s v=" Excellent"/>
  </r>
  <r>
    <x v="141"/>
    <x v="141"/>
    <s v="EMP_142"/>
    <x v="0"/>
    <s v="EMP_142HR"/>
    <x v="0"/>
    <x v="2"/>
    <n v="47019"/>
    <n v="7750"/>
    <n v="0"/>
    <n v="0"/>
    <d v="2022-03-09T00:00:00"/>
    <s v="2022"/>
    <d v="2026-02-11T00:00:00"/>
    <n v="3"/>
    <n v="2"/>
    <n v="54769"/>
    <n v="27384.5"/>
    <s v=" Not Achieved"/>
    <s v="Good"/>
  </r>
  <r>
    <x v="142"/>
    <x v="142"/>
    <s v="EMP_143"/>
    <x v="0"/>
    <s v="EMP_143IT"/>
    <x v="3"/>
    <x v="2"/>
    <n v="70260"/>
    <n v="9547"/>
    <n v="0"/>
    <n v="0"/>
    <s v="5/16/2021"/>
    <s v="5/16/2021"/>
    <d v="2026-02-11T00:00:00"/>
    <e v="#VALUE!"/>
    <n v="5"/>
    <n v="79807"/>
    <n v="39903.5"/>
    <s v=" Not Achieved"/>
    <s v=" Excellent"/>
  </r>
  <r>
    <x v="143"/>
    <x v="143"/>
    <s v="EMP_144"/>
    <x v="1"/>
    <s v="EMP_144HR"/>
    <x v="0"/>
    <x v="0"/>
    <n v="53578"/>
    <n v="7432"/>
    <n v="0"/>
    <n v="0"/>
    <s v="7/20/2019"/>
    <s v="7/20/2019"/>
    <d v="2026-02-11T00:00:00"/>
    <e v="#VALUE!"/>
    <n v="2"/>
    <n v="61010"/>
    <n v="30505"/>
    <s v=" Not Achieved"/>
    <s v=" Excellent"/>
  </r>
  <r>
    <x v="144"/>
    <x v="144"/>
    <s v="EMP_145"/>
    <x v="0"/>
    <s v="EMP_145Marketing"/>
    <x v="4"/>
    <x v="1"/>
    <n v="39928"/>
    <n v="13377"/>
    <n v="0"/>
    <n v="0"/>
    <s v="1/19/2021"/>
    <s v="1/19/2021"/>
    <d v="2026-02-11T00:00:00"/>
    <e v="#VALUE!"/>
    <n v="4"/>
    <n v="53305"/>
    <n v="26652.5"/>
    <s v=" Not Achieved"/>
    <s v="Average"/>
  </r>
  <r>
    <x v="145"/>
    <x v="145"/>
    <s v="EMP_146"/>
    <x v="1"/>
    <s v="EMP_146Finance"/>
    <x v="2"/>
    <x v="4"/>
    <n v="61905"/>
    <n v="9864"/>
    <n v="0"/>
    <n v="0"/>
    <s v="10/22/2021"/>
    <s v="10/22/2021"/>
    <d v="2026-02-11T00:00:00"/>
    <e v="#VALUE!"/>
    <n v="2"/>
    <n v="71769"/>
    <n v="35884.5"/>
    <s v=" Not Achieved"/>
    <s v=" Excellent"/>
  </r>
  <r>
    <x v="146"/>
    <x v="146"/>
    <s v="EMP_147"/>
    <x v="1"/>
    <s v="EMP_147HR"/>
    <x v="0"/>
    <x v="0"/>
    <n v="46914"/>
    <n v="10791"/>
    <n v="0"/>
    <n v="0"/>
    <d v="2018-04-03T00:00:00"/>
    <s v="2018"/>
    <d v="2026-02-11T00:00:00"/>
    <n v="7"/>
    <n v="1"/>
    <n v="57705"/>
    <n v="28852.5"/>
    <s v=" Not Achieved"/>
    <s v="Good"/>
  </r>
  <r>
    <x v="147"/>
    <x v="147"/>
    <s v="EMP_148"/>
    <x v="0"/>
    <s v="EMP_148HR"/>
    <x v="0"/>
    <x v="2"/>
    <n v="62027"/>
    <n v="9106"/>
    <n v="0"/>
    <n v="0"/>
    <d v="2019-01-08T00:00:00"/>
    <s v="2019"/>
    <d v="2026-02-11T00:00:00"/>
    <n v="7"/>
    <n v="2"/>
    <n v="71133"/>
    <n v="35566.5"/>
    <s v=" Not Achieved"/>
    <s v=" Excellent"/>
  </r>
  <r>
    <x v="148"/>
    <x v="148"/>
    <s v="EMP_149"/>
    <x v="0"/>
    <s v="EMP_149HR"/>
    <x v="0"/>
    <x v="4"/>
    <n v="62686"/>
    <n v="7921"/>
    <n v="0"/>
    <n v="0"/>
    <s v="8/28/2018"/>
    <s v="8/28/2018"/>
    <d v="2026-02-11T00:00:00"/>
    <e v="#VALUE!"/>
    <n v="2"/>
    <n v="70607"/>
    <n v="35303.5"/>
    <s v=" Not Achieved"/>
    <s v=" Excellent"/>
  </r>
  <r>
    <x v="149"/>
    <x v="149"/>
    <s v="EMP_150"/>
    <x v="0"/>
    <s v="EMP_150HR"/>
    <x v="0"/>
    <x v="0"/>
    <n v="55363"/>
    <n v="9689"/>
    <n v="0"/>
    <n v="0"/>
    <d v="2021-10-10T00:00:00"/>
    <s v="2021"/>
    <d v="2026-02-11T00:00:00"/>
    <n v="4"/>
    <n v="2"/>
    <n v="65052"/>
    <n v="32526"/>
    <s v=" Not Achieved"/>
    <s v=" Excellent"/>
  </r>
  <r>
    <x v="150"/>
    <x v="150"/>
    <s v="EMP_151"/>
    <x v="1"/>
    <s v="EMP_151Sales"/>
    <x v="1"/>
    <x v="1"/>
    <n v="67043"/>
    <n v="6693"/>
    <n v="148691"/>
    <n v="87798"/>
    <d v="2018-05-03T00:00:00"/>
    <s v="2018"/>
    <d v="2026-02-11T00:00:00"/>
    <n v="7"/>
    <n v="5"/>
    <n v="73736"/>
    <n v="36868"/>
    <s v="Achieved"/>
    <s v=" Excellent"/>
  </r>
  <r>
    <x v="151"/>
    <x v="151"/>
    <s v="EMP_152"/>
    <x v="1"/>
    <s v="EMP_152IT"/>
    <x v="3"/>
    <x v="4"/>
    <n v="79367"/>
    <n v="13354"/>
    <n v="0"/>
    <n v="0"/>
    <s v="9/19/2020"/>
    <s v="9/19/2020"/>
    <d v="2026-02-11T00:00:00"/>
    <e v="#VALUE!"/>
    <n v="2"/>
    <n v="92721"/>
    <n v="46360.5"/>
    <s v=" Not Achieved"/>
    <s v=" Excellent"/>
  </r>
  <r>
    <x v="152"/>
    <x v="152"/>
    <s v="EMP_153"/>
    <x v="1"/>
    <s v="EMP_153Finance"/>
    <x v="2"/>
    <x v="4"/>
    <n v="24867"/>
    <n v="3313"/>
    <n v="0"/>
    <n v="0"/>
    <s v="1/21/2022"/>
    <s v="1/21/2022"/>
    <d v="2026-02-11T00:00:00"/>
    <e v="#VALUE!"/>
    <n v="5"/>
    <n v="28180"/>
    <n v="14090"/>
    <s v=" Not Achieved"/>
    <s v="poor"/>
  </r>
  <r>
    <x v="153"/>
    <x v="153"/>
    <s v="EMP_154"/>
    <x v="1"/>
    <s v="EMP_154Marketing"/>
    <x v="4"/>
    <x v="0"/>
    <n v="35028"/>
    <n v="11948"/>
    <n v="0"/>
    <n v="0"/>
    <s v="9/29/2018"/>
    <s v="9/29/2018"/>
    <d v="2026-02-11T00:00:00"/>
    <e v="#VALUE!"/>
    <n v="4"/>
    <n v="46976"/>
    <n v="23488"/>
    <s v=" Not Achieved"/>
    <s v="Average"/>
  </r>
  <r>
    <x v="154"/>
    <x v="154"/>
    <s v="EMP_155"/>
    <x v="0"/>
    <s v="EMP_155Sales"/>
    <x v="1"/>
    <x v="1"/>
    <n v="44216"/>
    <n v="3630"/>
    <n v="265128"/>
    <n v="152659"/>
    <s v="5/17/2022"/>
    <s v="5/17/2022"/>
    <d v="2026-02-11T00:00:00"/>
    <e v="#VALUE!"/>
    <n v="2"/>
    <n v="47846"/>
    <n v="23923"/>
    <s v="Achieved"/>
    <s v="Good"/>
  </r>
  <r>
    <x v="155"/>
    <x v="155"/>
    <s v="EMP_156"/>
    <x v="1"/>
    <s v="EMP_156IT"/>
    <x v="3"/>
    <x v="0"/>
    <n v="61184"/>
    <n v="12754"/>
    <n v="0"/>
    <n v="0"/>
    <s v="8/31/2023"/>
    <s v="8/31/2023"/>
    <d v="2026-02-11T00:00:00"/>
    <e v="#VALUE!"/>
    <n v="1"/>
    <n v="73938"/>
    <n v="36969"/>
    <s v=" Not Achieved"/>
    <s v=" Excellent"/>
  </r>
  <r>
    <x v="156"/>
    <x v="156"/>
    <s v="EMP_157"/>
    <x v="0"/>
    <s v="EMP_157Marketing"/>
    <x v="4"/>
    <x v="4"/>
    <n v="71477"/>
    <n v="6214"/>
    <n v="0"/>
    <n v="0"/>
    <d v="2019-06-11T00:00:00"/>
    <s v="2019"/>
    <d v="2026-02-11T00:00:00"/>
    <n v="6"/>
    <n v="2"/>
    <n v="77691"/>
    <n v="38845.5"/>
    <s v=" Not Achieved"/>
    <s v=" Excellent"/>
  </r>
  <r>
    <x v="157"/>
    <x v="157"/>
    <s v="EMP_158"/>
    <x v="0"/>
    <s v="EMP_158IT"/>
    <x v="3"/>
    <x v="2"/>
    <n v="28812"/>
    <n v="2923"/>
    <n v="0"/>
    <n v="0"/>
    <s v="3/18/2022"/>
    <s v="3/18/2022"/>
    <d v="2026-02-11T00:00:00"/>
    <e v="#VALUE!"/>
    <n v="1"/>
    <n v="31735"/>
    <n v="15867.5"/>
    <s v=" Not Achieved"/>
    <s v="poor"/>
  </r>
  <r>
    <x v="158"/>
    <x v="158"/>
    <s v="EMP_159"/>
    <x v="0"/>
    <s v="EMP_159IT"/>
    <x v="3"/>
    <x v="1"/>
    <n v="52370"/>
    <n v="11509"/>
    <n v="0"/>
    <n v="0"/>
    <s v="12/15/2022"/>
    <s v="12/15/2022"/>
    <d v="2026-02-11T00:00:00"/>
    <e v="#VALUE!"/>
    <n v="2"/>
    <n v="63879"/>
    <n v="31939.5"/>
    <s v=" Not Achieved"/>
    <s v=" Excellent"/>
  </r>
  <r>
    <x v="159"/>
    <x v="159"/>
    <s v="EMP_160"/>
    <x v="1"/>
    <s v="EMP_160HR"/>
    <x v="0"/>
    <x v="0"/>
    <n v="45199"/>
    <n v="5754"/>
    <n v="0"/>
    <n v="0"/>
    <s v="4/20/2020"/>
    <s v="4/20/2020"/>
    <d v="2026-02-11T00:00:00"/>
    <e v="#VALUE!"/>
    <n v="4"/>
    <n v="50953"/>
    <n v="25476.5"/>
    <s v=" Not Achieved"/>
    <s v="Good"/>
  </r>
  <r>
    <x v="160"/>
    <x v="160"/>
    <s v="EMP_161"/>
    <x v="0"/>
    <s v="EMP_161IT"/>
    <x v="3"/>
    <x v="4"/>
    <n v="52349"/>
    <n v="8604"/>
    <n v="0"/>
    <n v="0"/>
    <d v="2018-12-06T00:00:00"/>
    <s v="2018"/>
    <d v="2026-02-11T00:00:00"/>
    <n v="7"/>
    <n v="1"/>
    <n v="60953"/>
    <n v="30476.5"/>
    <s v=" Not Achieved"/>
    <s v=" Excellent"/>
  </r>
  <r>
    <x v="161"/>
    <x v="161"/>
    <s v="EMP_162"/>
    <x v="1"/>
    <s v="EMP_162Finance"/>
    <x v="2"/>
    <x v="2"/>
    <n v="26369"/>
    <n v="10530"/>
    <n v="0"/>
    <n v="0"/>
    <s v="8/25/2019"/>
    <s v="8/25/2019"/>
    <d v="2026-02-11T00:00:00"/>
    <e v="#VALUE!"/>
    <n v="2"/>
    <n v="36899"/>
    <n v="18449.5"/>
    <s v=" Not Achieved"/>
    <s v="poor"/>
  </r>
  <r>
    <x v="162"/>
    <x v="162"/>
    <s v="EMP_163"/>
    <x v="1"/>
    <s v="EMP_163Finance"/>
    <x v="2"/>
    <x v="4"/>
    <n v="68502"/>
    <n v="8806"/>
    <n v="0"/>
    <n v="0"/>
    <s v="8/14/2021"/>
    <s v="8/14/2021"/>
    <d v="2026-02-11T00:00:00"/>
    <e v="#VALUE!"/>
    <n v="4"/>
    <n v="77308"/>
    <n v="38654"/>
    <s v=" Not Achieved"/>
    <s v=" Excellent"/>
  </r>
  <r>
    <x v="163"/>
    <x v="163"/>
    <s v="EMP_164"/>
    <x v="0"/>
    <s v="EMP_164Marketing"/>
    <x v="4"/>
    <x v="0"/>
    <n v="24787"/>
    <n v="12319"/>
    <n v="0"/>
    <n v="0"/>
    <s v="1/30/2018"/>
    <s v="1/30/2018"/>
    <d v="2026-02-11T00:00:00"/>
    <e v="#VALUE!"/>
    <n v="1"/>
    <n v="37106"/>
    <n v="18553"/>
    <s v=" Not Achieved"/>
    <s v="poor"/>
  </r>
  <r>
    <x v="164"/>
    <x v="164"/>
    <s v="EMP_165"/>
    <x v="1"/>
    <s v="EMP_165Sales"/>
    <x v="1"/>
    <x v="4"/>
    <n v="43097"/>
    <n v="11127"/>
    <n v="220392"/>
    <n v="159191"/>
    <d v="2020-01-08T00:00:00"/>
    <s v="2020"/>
    <d v="2026-02-11T00:00:00"/>
    <n v="6"/>
    <n v="1"/>
    <n v="54224"/>
    <n v="27112"/>
    <s v="Achieved"/>
    <s v="Good"/>
  </r>
  <r>
    <x v="165"/>
    <x v="165"/>
    <s v="EMP_166"/>
    <x v="1"/>
    <s v="EMP_166Sales"/>
    <x v="1"/>
    <x v="0"/>
    <n v="47159"/>
    <n v="7454"/>
    <n v="247612"/>
    <n v="80762"/>
    <s v="10/13/2018"/>
    <s v="10/13/2018"/>
    <d v="2026-02-11T00:00:00"/>
    <e v="#VALUE!"/>
    <n v="4"/>
    <n v="54613"/>
    <n v="27306.5"/>
    <s v="Achieved"/>
    <s v="Good"/>
  </r>
  <r>
    <x v="166"/>
    <x v="166"/>
    <s v="EMP_167"/>
    <x v="1"/>
    <s v="EMP_167IT"/>
    <x v="3"/>
    <x v="2"/>
    <n v="38278"/>
    <n v="2766"/>
    <n v="0"/>
    <n v="0"/>
    <s v="6/26/2021"/>
    <s v="6/26/2021"/>
    <d v="2026-02-11T00:00:00"/>
    <e v="#VALUE!"/>
    <n v="3"/>
    <n v="41044"/>
    <n v="20522"/>
    <s v=" Not Achieved"/>
    <s v="Average"/>
  </r>
  <r>
    <x v="167"/>
    <x v="167"/>
    <s v="EMP_168"/>
    <x v="0"/>
    <s v="EMP_168Sales"/>
    <x v="1"/>
    <x v="3"/>
    <n v="39050"/>
    <n v="5252"/>
    <n v="99033"/>
    <n v="106443"/>
    <s v="3/19/2022"/>
    <s v="3/19/2022"/>
    <d v="2026-02-11T00:00:00"/>
    <e v="#VALUE!"/>
    <n v="5"/>
    <n v="44302"/>
    <n v="22151"/>
    <s v=" Not Achieved"/>
    <s v="Average"/>
  </r>
  <r>
    <x v="168"/>
    <x v="168"/>
    <s v="EMP_169"/>
    <x v="1"/>
    <s v="EMP_169IT"/>
    <x v="3"/>
    <x v="1"/>
    <n v="69734"/>
    <n v="6075"/>
    <n v="0"/>
    <n v="0"/>
    <d v="2019-10-11T00:00:00"/>
    <s v="2019"/>
    <d v="2026-02-11T00:00:00"/>
    <n v="6"/>
    <n v="4"/>
    <n v="75809"/>
    <n v="37904.5"/>
    <s v=" Not Achieved"/>
    <s v=" Excellent"/>
  </r>
  <r>
    <x v="169"/>
    <x v="169"/>
    <s v="EMP_170"/>
    <x v="0"/>
    <s v="EMP_170IT"/>
    <x v="3"/>
    <x v="0"/>
    <n v="59337"/>
    <n v="11114"/>
    <n v="0"/>
    <n v="0"/>
    <d v="2024-09-09T00:00:00"/>
    <s v="2024"/>
    <d v="2026-02-11T00:00:00"/>
    <n v="1"/>
    <n v="3"/>
    <n v="70451"/>
    <n v="35225.5"/>
    <s v=" Not Achieved"/>
    <s v=" Excellent"/>
  </r>
  <r>
    <x v="170"/>
    <x v="170"/>
    <s v="EMP_171"/>
    <x v="1"/>
    <s v="EMP_171Marketing"/>
    <x v="4"/>
    <x v="0"/>
    <n v="39316"/>
    <n v="5024"/>
    <n v="0"/>
    <n v="0"/>
    <d v="2019-03-07T00:00:00"/>
    <s v="2019"/>
    <d v="2026-02-11T00:00:00"/>
    <n v="6"/>
    <n v="1"/>
    <n v="44340"/>
    <n v="22170"/>
    <s v=" Not Achieved"/>
    <s v="Average"/>
  </r>
  <r>
    <x v="171"/>
    <x v="171"/>
    <s v="EMP_172"/>
    <x v="1"/>
    <s v="EMP_172Marketing"/>
    <x v="4"/>
    <x v="1"/>
    <n v="47657"/>
    <n v="4152"/>
    <n v="0"/>
    <n v="0"/>
    <d v="2018-06-07T00:00:00"/>
    <s v="2018"/>
    <d v="2026-02-11T00:00:00"/>
    <n v="7"/>
    <n v="1"/>
    <n v="51809"/>
    <n v="25904.5"/>
    <s v=" Not Achieved"/>
    <s v="Good"/>
  </r>
  <r>
    <x v="172"/>
    <x v="172"/>
    <s v="EMP_173"/>
    <x v="1"/>
    <s v="EMP_173Marketing"/>
    <x v="4"/>
    <x v="0"/>
    <n v="65613"/>
    <n v="7482"/>
    <n v="0"/>
    <n v="0"/>
    <s v="10/25/2019"/>
    <s v="10/25/2019"/>
    <d v="2026-02-11T00:00:00"/>
    <e v="#VALUE!"/>
    <n v="1"/>
    <n v="73095"/>
    <n v="36547.5"/>
    <s v=" Not Achieved"/>
    <s v=" Excellent"/>
  </r>
  <r>
    <x v="173"/>
    <x v="173"/>
    <s v="EMP_174"/>
    <x v="1"/>
    <s v="EMP_174IT"/>
    <x v="3"/>
    <x v="0"/>
    <n v="69385"/>
    <n v="7743"/>
    <n v="0"/>
    <n v="0"/>
    <s v="4/17/2024"/>
    <s v="4/17/2024"/>
    <d v="2026-02-11T00:00:00"/>
    <e v="#VALUE!"/>
    <n v="3"/>
    <n v="77128"/>
    <n v="38564"/>
    <s v=" Not Achieved"/>
    <s v=" Excellent"/>
  </r>
  <r>
    <x v="174"/>
    <x v="174"/>
    <s v="EMP_175"/>
    <x v="1"/>
    <s v="EMP_175IT"/>
    <x v="3"/>
    <x v="4"/>
    <n v="28623"/>
    <n v="8545"/>
    <n v="0"/>
    <n v="0"/>
    <d v="2022-09-06T00:00:00"/>
    <s v="2022"/>
    <d v="2026-02-11T00:00:00"/>
    <n v="3"/>
    <n v="2"/>
    <n v="37168"/>
    <n v="18584"/>
    <s v=" Not Achieved"/>
    <s v="poor"/>
  </r>
  <r>
    <x v="175"/>
    <x v="175"/>
    <s v="EMP_176"/>
    <x v="1"/>
    <s v="EMP_176Marketing"/>
    <x v="4"/>
    <x v="2"/>
    <n v="35562"/>
    <n v="7829"/>
    <n v="0"/>
    <n v="0"/>
    <d v="2019-09-02T00:00:00"/>
    <s v="2019"/>
    <d v="2026-02-11T00:00:00"/>
    <n v="6"/>
    <n v="2"/>
    <n v="43391"/>
    <n v="21695.5"/>
    <s v=" Not Achieved"/>
    <s v="Average"/>
  </r>
  <r>
    <x v="176"/>
    <x v="176"/>
    <s v="EMP_177"/>
    <x v="0"/>
    <s v="EMP_177Sales"/>
    <x v="1"/>
    <x v="3"/>
    <n v="42842"/>
    <n v="4759"/>
    <n v="245467"/>
    <n v="180281"/>
    <s v="3/27/2020"/>
    <s v="3/27/2020"/>
    <d v="2026-02-11T00:00:00"/>
    <e v="#VALUE!"/>
    <n v="2"/>
    <n v="47601"/>
    <n v="23800.5"/>
    <s v="Achieved"/>
    <s v="Good"/>
  </r>
  <r>
    <x v="177"/>
    <x v="177"/>
    <s v="EMP_178"/>
    <x v="1"/>
    <s v="EMP_178Finance"/>
    <x v="2"/>
    <x v="2"/>
    <n v="30708"/>
    <n v="13834"/>
    <n v="0"/>
    <n v="0"/>
    <s v="8/20/2020"/>
    <s v="8/20/2020"/>
    <d v="2026-02-11T00:00:00"/>
    <e v="#VALUE!"/>
    <n v="4"/>
    <n v="44542"/>
    <n v="22271"/>
    <s v=" Not Achieved"/>
    <s v="Average"/>
  </r>
  <r>
    <x v="178"/>
    <x v="178"/>
    <s v="EMP_179"/>
    <x v="1"/>
    <s v="EMP_179IT"/>
    <x v="3"/>
    <x v="1"/>
    <n v="65970"/>
    <n v="9949"/>
    <n v="0"/>
    <n v="0"/>
    <d v="2018-12-05T00:00:00"/>
    <s v="2018"/>
    <d v="2026-02-11T00:00:00"/>
    <n v="7"/>
    <n v="1"/>
    <n v="75919"/>
    <n v="37959.5"/>
    <s v=" Not Achieved"/>
    <s v=" Excellent"/>
  </r>
  <r>
    <x v="179"/>
    <x v="179"/>
    <s v="EMP_180"/>
    <x v="1"/>
    <s v="EMP_180Finance"/>
    <x v="2"/>
    <x v="2"/>
    <n v="58383"/>
    <n v="6470"/>
    <n v="0"/>
    <n v="0"/>
    <s v="8/25/2023"/>
    <s v="8/25/2023"/>
    <d v="2026-02-11T00:00:00"/>
    <e v="#VALUE!"/>
    <n v="5"/>
    <n v="64853"/>
    <n v="32426.5"/>
    <s v=" Not Achieved"/>
    <s v=" Excellent"/>
  </r>
  <r>
    <x v="180"/>
    <x v="180"/>
    <s v="EMP_181"/>
    <x v="0"/>
    <s v="EMP_181Marketing"/>
    <x v="4"/>
    <x v="2"/>
    <n v="37218"/>
    <n v="13732"/>
    <n v="0"/>
    <n v="0"/>
    <s v="5/27/2019"/>
    <s v="5/27/2019"/>
    <d v="2026-02-11T00:00:00"/>
    <e v="#VALUE!"/>
    <n v="4"/>
    <n v="50950"/>
    <n v="25475"/>
    <s v=" Not Achieved"/>
    <s v="Average"/>
  </r>
  <r>
    <x v="181"/>
    <x v="181"/>
    <s v="EMP_182"/>
    <x v="0"/>
    <s v="EMP_182IT"/>
    <x v="3"/>
    <x v="3"/>
    <n v="41616"/>
    <n v="5897"/>
    <n v="0"/>
    <n v="0"/>
    <s v="5/21/2021"/>
    <s v="5/21/2021"/>
    <d v="2026-02-11T00:00:00"/>
    <e v="#VALUE!"/>
    <n v="2"/>
    <n v="47513"/>
    <n v="23756.5"/>
    <s v=" Not Achieved"/>
    <s v="Good"/>
  </r>
  <r>
    <x v="182"/>
    <x v="182"/>
    <s v="EMP_183"/>
    <x v="1"/>
    <s v="EMP_183IT"/>
    <x v="3"/>
    <x v="3"/>
    <n v="30165"/>
    <n v="5069"/>
    <n v="0"/>
    <n v="0"/>
    <d v="2021-06-01T00:00:00"/>
    <s v="2021"/>
    <d v="2026-02-11T00:00:00"/>
    <n v="4"/>
    <n v="3"/>
    <n v="35234"/>
    <n v="17617"/>
    <s v=" Not Achieved"/>
    <s v="Average"/>
  </r>
  <r>
    <x v="183"/>
    <x v="183"/>
    <s v="EMP_184"/>
    <x v="0"/>
    <s v="EMP_184Sales"/>
    <x v="1"/>
    <x v="0"/>
    <n v="28167"/>
    <n v="2555"/>
    <n v="73976"/>
    <n v="233941"/>
    <s v="3/14/2021"/>
    <s v="3/14/2021"/>
    <d v="2026-02-11T00:00:00"/>
    <e v="#VALUE!"/>
    <n v="1"/>
    <n v="30722"/>
    <n v="15361"/>
    <s v=" Not Achieved"/>
    <s v="poor"/>
  </r>
  <r>
    <x v="184"/>
    <x v="184"/>
    <s v="EMP_185"/>
    <x v="0"/>
    <s v="EMP_185IT"/>
    <x v="3"/>
    <x v="2"/>
    <n v="42499"/>
    <n v="6269"/>
    <n v="0"/>
    <n v="0"/>
    <d v="2020-08-12T00:00:00"/>
    <s v="2020"/>
    <d v="2026-02-11T00:00:00"/>
    <n v="5"/>
    <n v="5"/>
    <n v="48768"/>
    <n v="24384"/>
    <s v=" Not Achieved"/>
    <s v="Good"/>
  </r>
  <r>
    <x v="185"/>
    <x v="185"/>
    <s v="EMP_186"/>
    <x v="0"/>
    <s v="EMP_186Sales"/>
    <x v="1"/>
    <x v="4"/>
    <n v="71147"/>
    <n v="3740"/>
    <n v="231333"/>
    <n v="172197"/>
    <d v="2019-12-05T00:00:00"/>
    <s v="2019"/>
    <d v="2026-02-11T00:00:00"/>
    <n v="6"/>
    <n v="1"/>
    <n v="74887"/>
    <n v="37443.5"/>
    <s v="Achieved"/>
    <s v=" Excellent"/>
  </r>
  <r>
    <x v="186"/>
    <x v="186"/>
    <s v="EMP_187"/>
    <x v="1"/>
    <s v="EMP_187Marketing"/>
    <x v="4"/>
    <x v="0"/>
    <n v="79161"/>
    <n v="2126"/>
    <n v="0"/>
    <n v="0"/>
    <d v="2021-09-11T00:00:00"/>
    <s v="2021"/>
    <d v="2026-02-11T00:00:00"/>
    <n v="4"/>
    <n v="5"/>
    <n v="81287"/>
    <n v="40643.5"/>
    <s v=" Not Achieved"/>
    <s v=" Excellent"/>
  </r>
  <r>
    <x v="187"/>
    <x v="187"/>
    <s v="EMP_188"/>
    <x v="0"/>
    <s v="EMP_188Finance"/>
    <x v="2"/>
    <x v="3"/>
    <n v="21750"/>
    <n v="8922"/>
    <n v="0"/>
    <n v="0"/>
    <d v="2020-03-03T00:00:00"/>
    <s v="2020"/>
    <d v="2026-02-11T00:00:00"/>
    <n v="5"/>
    <n v="1"/>
    <n v="30672"/>
    <n v="15336"/>
    <s v=" Not Achieved"/>
    <s v="poor"/>
  </r>
  <r>
    <x v="188"/>
    <x v="188"/>
    <s v="EMP_189"/>
    <x v="0"/>
    <s v="EMP_189Finance"/>
    <x v="2"/>
    <x v="0"/>
    <n v="55987"/>
    <n v="9179"/>
    <n v="0"/>
    <n v="0"/>
    <d v="2018-08-02T00:00:00"/>
    <s v="2018"/>
    <d v="2026-02-11T00:00:00"/>
    <n v="7"/>
    <n v="2"/>
    <n v="65166"/>
    <n v="32583"/>
    <s v=" Not Achieved"/>
    <s v=" Excellent"/>
  </r>
  <r>
    <x v="189"/>
    <x v="189"/>
    <s v="EMP_190"/>
    <x v="1"/>
    <s v="EMP_190Finance"/>
    <x v="2"/>
    <x v="1"/>
    <n v="51758"/>
    <n v="4325"/>
    <n v="0"/>
    <n v="0"/>
    <s v="10/28/2019"/>
    <s v="10/28/2019"/>
    <d v="2026-02-11T00:00:00"/>
    <e v="#VALUE!"/>
    <n v="5"/>
    <n v="56083"/>
    <n v="28041.5"/>
    <s v=" Not Achieved"/>
    <s v=" Excellent"/>
  </r>
  <r>
    <x v="190"/>
    <x v="190"/>
    <s v="EMP_191"/>
    <x v="1"/>
    <s v="EMP_191Marketing"/>
    <x v="4"/>
    <x v="1"/>
    <n v="51642"/>
    <n v="2962"/>
    <n v="0"/>
    <n v="0"/>
    <d v="2023-10-11T00:00:00"/>
    <s v="2023"/>
    <d v="2026-02-11T00:00:00"/>
    <n v="2"/>
    <n v="5"/>
    <n v="54604"/>
    <n v="27302"/>
    <s v=" Not Achieved"/>
    <s v=" Excellent"/>
  </r>
  <r>
    <x v="191"/>
    <x v="191"/>
    <s v="EMP_192"/>
    <x v="0"/>
    <s v="EMP_192Marketing"/>
    <x v="4"/>
    <x v="0"/>
    <n v="44542"/>
    <n v="7664"/>
    <n v="0"/>
    <n v="0"/>
    <d v="2024-04-10T00:00:00"/>
    <s v="2024"/>
    <d v="2026-02-11T00:00:00"/>
    <n v="1"/>
    <n v="2"/>
    <n v="52206"/>
    <n v="26103"/>
    <s v=" Not Achieved"/>
    <s v="Good"/>
  </r>
  <r>
    <x v="192"/>
    <x v="192"/>
    <s v="EMP_193"/>
    <x v="1"/>
    <s v="EMP_193HR"/>
    <x v="0"/>
    <x v="2"/>
    <n v="52294"/>
    <n v="12202"/>
    <n v="0"/>
    <n v="0"/>
    <d v="2021-04-12T00:00:00"/>
    <s v="2021"/>
    <d v="2026-02-11T00:00:00"/>
    <n v="4"/>
    <n v="1"/>
    <n v="64496"/>
    <n v="32248"/>
    <s v=" Not Achieved"/>
    <s v=" Excellent"/>
  </r>
  <r>
    <x v="193"/>
    <x v="193"/>
    <s v="EMP_194"/>
    <x v="0"/>
    <s v="EMP_194Marketing"/>
    <x v="4"/>
    <x v="1"/>
    <n v="21433"/>
    <n v="9124"/>
    <n v="0"/>
    <n v="0"/>
    <d v="2023-06-02T00:00:00"/>
    <s v="2023"/>
    <d v="2026-02-11T00:00:00"/>
    <n v="2"/>
    <n v="3"/>
    <n v="30557"/>
    <n v="15278.5"/>
    <s v=" Not Achieved"/>
    <s v="poor"/>
  </r>
  <r>
    <x v="194"/>
    <x v="194"/>
    <s v="EMP_195"/>
    <x v="0"/>
    <s v="EMP_195HR"/>
    <x v="0"/>
    <x v="0"/>
    <n v="66380"/>
    <n v="8649"/>
    <n v="0"/>
    <n v="0"/>
    <d v="2023-11-02T00:00:00"/>
    <s v="2023"/>
    <d v="2026-02-11T00:00:00"/>
    <n v="2"/>
    <n v="1"/>
    <n v="75029"/>
    <n v="37514.5"/>
    <s v=" Not Achieved"/>
    <s v=" Excellent"/>
  </r>
  <r>
    <x v="195"/>
    <x v="195"/>
    <s v="EMP_196"/>
    <x v="1"/>
    <s v="EMP_196Finance"/>
    <x v="2"/>
    <x v="1"/>
    <n v="75245"/>
    <n v="9752"/>
    <n v="0"/>
    <n v="0"/>
    <d v="2019-12-09T00:00:00"/>
    <s v="2019"/>
    <d v="2026-02-11T00:00:00"/>
    <n v="6"/>
    <n v="4"/>
    <n v="84997"/>
    <n v="42498.5"/>
    <s v=" Not Achieved"/>
    <s v=" Excellent"/>
  </r>
  <r>
    <x v="196"/>
    <x v="196"/>
    <s v="EMP_197"/>
    <x v="1"/>
    <s v="EMP_197Marketing"/>
    <x v="4"/>
    <x v="2"/>
    <n v="59114"/>
    <n v="3254"/>
    <n v="0"/>
    <n v="0"/>
    <s v="9/13/2023"/>
    <s v="9/13/2023"/>
    <d v="2026-02-11T00:00:00"/>
    <e v="#VALUE!"/>
    <n v="3"/>
    <n v="62368"/>
    <n v="31184"/>
    <s v=" Not Achieved"/>
    <s v=" Excellent"/>
  </r>
  <r>
    <x v="197"/>
    <x v="197"/>
    <s v="EMP_198"/>
    <x v="0"/>
    <s v="EMP_198IT"/>
    <x v="3"/>
    <x v="3"/>
    <n v="47501"/>
    <n v="4971"/>
    <n v="0"/>
    <n v="0"/>
    <s v="5/13/2023"/>
    <s v="5/13/2023"/>
    <d v="2026-02-11T00:00:00"/>
    <e v="#VALUE!"/>
    <n v="2"/>
    <n v="52472"/>
    <n v="26236"/>
    <s v=" Not Achieved"/>
    <s v="Good"/>
  </r>
  <r>
    <x v="198"/>
    <x v="198"/>
    <s v="EMP_199"/>
    <x v="1"/>
    <s v="EMP_199Marketing"/>
    <x v="4"/>
    <x v="1"/>
    <n v="48422"/>
    <n v="9907"/>
    <n v="0"/>
    <n v="0"/>
    <d v="2019-05-07T00:00:00"/>
    <s v="2019"/>
    <d v="2026-02-11T00:00:00"/>
    <n v="6"/>
    <n v="3"/>
    <n v="58329"/>
    <n v="29164.5"/>
    <s v=" Not Achieved"/>
    <s v="Good"/>
  </r>
  <r>
    <x v="199"/>
    <x v="199"/>
    <s v="EMP_200"/>
    <x v="1"/>
    <s v="EMP_200HR"/>
    <x v="0"/>
    <x v="4"/>
    <n v="62376"/>
    <n v="11994"/>
    <n v="0"/>
    <n v="0"/>
    <s v="8/27/2022"/>
    <s v="8/27/2022"/>
    <d v="2026-02-11T00:00:00"/>
    <e v="#VALUE!"/>
    <n v="3"/>
    <n v="74370"/>
    <n v="37185"/>
    <s v=" Not Achieved"/>
    <s v=" Excellent"/>
  </r>
  <r>
    <x v="200"/>
    <x v="200"/>
    <s v="EMP_201"/>
    <x v="0"/>
    <s v="EMP_201HR"/>
    <x v="0"/>
    <x v="2"/>
    <n v="33531"/>
    <n v="5839"/>
    <n v="0"/>
    <n v="0"/>
    <d v="2024-05-08T00:00:00"/>
    <s v="2024"/>
    <d v="2026-02-11T00:00:00"/>
    <n v="1"/>
    <n v="5"/>
    <n v="39370"/>
    <n v="19685"/>
    <s v=" Not Achieved"/>
    <s v="Average"/>
  </r>
  <r>
    <x v="201"/>
    <x v="201"/>
    <s v="EMP_202"/>
    <x v="0"/>
    <s v="EMP_202Sales"/>
    <x v="1"/>
    <x v="1"/>
    <n v="32643"/>
    <n v="10301"/>
    <n v="215633"/>
    <n v="151350"/>
    <s v="11/18/2018"/>
    <s v="11/18/2018"/>
    <d v="2026-02-11T00:00:00"/>
    <e v="#VALUE!"/>
    <n v="1"/>
    <n v="42944"/>
    <n v="21472"/>
    <s v="Achieved"/>
    <s v="Average"/>
  </r>
  <r>
    <x v="202"/>
    <x v="202"/>
    <s v="EMP_203"/>
    <x v="0"/>
    <s v="EMP_203Sales"/>
    <x v="1"/>
    <x v="1"/>
    <n v="29892"/>
    <n v="5145"/>
    <n v="173974"/>
    <n v="160968"/>
    <s v="6/19/2020"/>
    <s v="6/19/2020"/>
    <d v="2026-02-11T00:00:00"/>
    <e v="#VALUE!"/>
    <n v="4"/>
    <n v="35037"/>
    <n v="17518.5"/>
    <s v="Achieved"/>
    <s v="poor"/>
  </r>
  <r>
    <x v="203"/>
    <x v="203"/>
    <s v="EMP_204"/>
    <x v="0"/>
    <s v="EMP_204Marketing"/>
    <x v="4"/>
    <x v="4"/>
    <n v="31770"/>
    <n v="8355"/>
    <n v="0"/>
    <n v="0"/>
    <s v="10/24/2023"/>
    <s v="10/24/2023"/>
    <d v="2026-02-11T00:00:00"/>
    <e v="#VALUE!"/>
    <n v="4"/>
    <n v="40125"/>
    <n v="20062.5"/>
    <s v=" Not Achieved"/>
    <s v="Average"/>
  </r>
  <r>
    <x v="204"/>
    <x v="204"/>
    <s v="EMP_205"/>
    <x v="1"/>
    <s v="EMP_205HR"/>
    <x v="0"/>
    <x v="1"/>
    <n v="37886"/>
    <n v="8890"/>
    <n v="0"/>
    <n v="0"/>
    <s v="8/21/2024"/>
    <s v="8/21/2024"/>
    <d v="2026-02-11T00:00:00"/>
    <e v="#VALUE!"/>
    <n v="5"/>
    <n v="46776"/>
    <n v="23388"/>
    <s v=" Not Achieved"/>
    <s v="Average"/>
  </r>
  <r>
    <x v="205"/>
    <x v="205"/>
    <s v="EMP_206"/>
    <x v="1"/>
    <s v="EMP_206Sales"/>
    <x v="1"/>
    <x v="4"/>
    <n v="49411"/>
    <n v="8684"/>
    <n v="250228"/>
    <n v="151402"/>
    <s v="8/23/2019"/>
    <s v="8/23/2019"/>
    <d v="2026-02-11T00:00:00"/>
    <e v="#VALUE!"/>
    <n v="2"/>
    <n v="58095"/>
    <n v="29047.5"/>
    <s v="Achieved"/>
    <s v="Good"/>
  </r>
  <r>
    <x v="206"/>
    <x v="206"/>
    <s v="EMP_207"/>
    <x v="0"/>
    <s v="EMP_207IT"/>
    <x v="3"/>
    <x v="2"/>
    <n v="61734"/>
    <n v="9331"/>
    <n v="0"/>
    <n v="0"/>
    <s v="2/25/2021"/>
    <s v="2/25/2021"/>
    <d v="2026-02-11T00:00:00"/>
    <e v="#VALUE!"/>
    <n v="5"/>
    <n v="71065"/>
    <n v="35532.5"/>
    <s v=" Not Achieved"/>
    <s v=" Excellent"/>
  </r>
  <r>
    <x v="207"/>
    <x v="207"/>
    <s v="EMP_208"/>
    <x v="0"/>
    <s v="EMP_208Sales"/>
    <x v="1"/>
    <x v="1"/>
    <n v="37394"/>
    <n v="4753"/>
    <n v="229937"/>
    <n v="119087"/>
    <d v="2019-09-11T00:00:00"/>
    <s v="2019"/>
    <d v="2026-02-11T00:00:00"/>
    <n v="6"/>
    <n v="4"/>
    <n v="42147"/>
    <n v="21073.5"/>
    <s v="Achieved"/>
    <s v="Average"/>
  </r>
  <r>
    <x v="208"/>
    <x v="208"/>
    <s v="EMP_209"/>
    <x v="1"/>
    <s v="EMP_209Sales"/>
    <x v="1"/>
    <x v="4"/>
    <n v="72150"/>
    <n v="3115"/>
    <n v="264374"/>
    <n v="243347"/>
    <d v="2024-02-04T00:00:00"/>
    <s v="2024"/>
    <d v="2026-02-11T00:00:00"/>
    <n v="2"/>
    <n v="3"/>
    <n v="75265"/>
    <n v="37632.5"/>
    <s v="Achieved"/>
    <s v=" Excellent"/>
  </r>
  <r>
    <x v="209"/>
    <x v="209"/>
    <s v="EMP_210"/>
    <x v="0"/>
    <s v="EMP_210HR"/>
    <x v="0"/>
    <x v="0"/>
    <n v="60399"/>
    <n v="11524"/>
    <n v="0"/>
    <n v="0"/>
    <s v="8/21/2022"/>
    <s v="8/21/2022"/>
    <d v="2026-02-11T00:00:00"/>
    <e v="#VALUE!"/>
    <n v="3"/>
    <n v="71923"/>
    <n v="35961.5"/>
    <s v=" Not Achieved"/>
    <s v=" Excellent"/>
  </r>
  <r>
    <x v="210"/>
    <x v="210"/>
    <s v="EMP_211"/>
    <x v="1"/>
    <s v="EMP_211IT"/>
    <x v="3"/>
    <x v="0"/>
    <n v="63170"/>
    <n v="12110"/>
    <n v="0"/>
    <n v="0"/>
    <s v="6/25/2023"/>
    <s v="6/25/2023"/>
    <d v="2026-02-11T00:00:00"/>
    <e v="#VALUE!"/>
    <n v="3"/>
    <n v="75280"/>
    <n v="37640"/>
    <s v=" Not Achieved"/>
    <s v=" Excellent"/>
  </r>
  <r>
    <x v="211"/>
    <x v="211"/>
    <s v="EMP_212"/>
    <x v="0"/>
    <s v="EMP_212IT"/>
    <x v="3"/>
    <x v="0"/>
    <n v="41778"/>
    <n v="8073"/>
    <n v="0"/>
    <n v="0"/>
    <s v="2/23/2018"/>
    <s v="2/23/2018"/>
    <d v="2026-02-11T00:00:00"/>
    <e v="#VALUE!"/>
    <n v="3"/>
    <n v="49851"/>
    <n v="24925.5"/>
    <s v=" Not Achieved"/>
    <s v="Good"/>
  </r>
  <r>
    <x v="212"/>
    <x v="212"/>
    <s v="EMP_213"/>
    <x v="1"/>
    <s v="EMP_213Finance"/>
    <x v="2"/>
    <x v="0"/>
    <n v="32492"/>
    <n v="6911"/>
    <n v="0"/>
    <n v="0"/>
    <d v="2018-11-01T00:00:00"/>
    <s v="2018"/>
    <d v="2026-02-11T00:00:00"/>
    <n v="7"/>
    <n v="5"/>
    <n v="39403"/>
    <n v="19701.5"/>
    <s v=" Not Achieved"/>
    <s v="Average"/>
  </r>
  <r>
    <x v="213"/>
    <x v="213"/>
    <s v="EMP_214"/>
    <x v="0"/>
    <s v="EMP_214Finance"/>
    <x v="2"/>
    <x v="1"/>
    <n v="47713"/>
    <n v="10636"/>
    <n v="0"/>
    <n v="0"/>
    <s v="10/16/2018"/>
    <s v="10/16/2018"/>
    <d v="2026-02-11T00:00:00"/>
    <e v="#VALUE!"/>
    <n v="4"/>
    <n v="58349"/>
    <n v="29174.5"/>
    <s v=" Not Achieved"/>
    <s v="Good"/>
  </r>
  <r>
    <x v="214"/>
    <x v="214"/>
    <s v="EMP_215"/>
    <x v="1"/>
    <s v="EMP_215Finance"/>
    <x v="2"/>
    <x v="0"/>
    <n v="57637"/>
    <n v="8843"/>
    <n v="0"/>
    <n v="0"/>
    <d v="2021-12-02T00:00:00"/>
    <s v="2021"/>
    <d v="2026-02-11T00:00:00"/>
    <n v="4"/>
    <n v="2"/>
    <n v="66480"/>
    <n v="33240"/>
    <s v=" Not Achieved"/>
    <s v=" Excellent"/>
  </r>
  <r>
    <x v="215"/>
    <x v="215"/>
    <s v="EMP_216"/>
    <x v="0"/>
    <s v="EMP_216IT"/>
    <x v="3"/>
    <x v="0"/>
    <n v="25195"/>
    <n v="6293"/>
    <n v="0"/>
    <n v="0"/>
    <s v="3/17/2022"/>
    <s v="3/17/2022"/>
    <d v="2026-02-11T00:00:00"/>
    <e v="#VALUE!"/>
    <n v="2"/>
    <n v="31488"/>
    <n v="15744"/>
    <s v=" Not Achieved"/>
    <s v="poor"/>
  </r>
  <r>
    <x v="216"/>
    <x v="216"/>
    <s v="EMP_217"/>
    <x v="0"/>
    <s v="EMP_217Finance"/>
    <x v="2"/>
    <x v="4"/>
    <n v="31195"/>
    <n v="2344"/>
    <n v="0"/>
    <n v="0"/>
    <d v="2018-12-11T00:00:00"/>
    <s v="2018"/>
    <d v="2026-02-11T00:00:00"/>
    <n v="7"/>
    <n v="2"/>
    <n v="33539"/>
    <n v="16769.5"/>
    <s v=" Not Achieved"/>
    <s v="Average"/>
  </r>
  <r>
    <x v="217"/>
    <x v="217"/>
    <s v="EMP_218"/>
    <x v="1"/>
    <s v="EMP_218HR"/>
    <x v="0"/>
    <x v="2"/>
    <n v="60015"/>
    <n v="7713"/>
    <n v="0"/>
    <n v="0"/>
    <s v="3/31/2023"/>
    <s v="3/31/2023"/>
    <d v="2026-02-11T00:00:00"/>
    <e v="#VALUE!"/>
    <n v="1"/>
    <n v="67728"/>
    <n v="33864"/>
    <s v=" Not Achieved"/>
    <s v=" Excellent"/>
  </r>
  <r>
    <x v="218"/>
    <x v="218"/>
    <s v="EMP_219"/>
    <x v="1"/>
    <s v="EMP_219Marketing"/>
    <x v="4"/>
    <x v="3"/>
    <n v="68998"/>
    <n v="9790"/>
    <n v="0"/>
    <n v="0"/>
    <d v="2020-10-06T00:00:00"/>
    <s v="2020"/>
    <d v="2026-02-11T00:00:00"/>
    <n v="5"/>
    <n v="1"/>
    <n v="78788"/>
    <n v="39394"/>
    <s v=" Not Achieved"/>
    <s v=" Excellent"/>
  </r>
  <r>
    <x v="219"/>
    <x v="219"/>
    <s v="EMP_220"/>
    <x v="1"/>
    <s v="EMP_220Finance"/>
    <x v="2"/>
    <x v="3"/>
    <n v="47980"/>
    <n v="13781"/>
    <n v="0"/>
    <n v="0"/>
    <s v="11/26/2023"/>
    <s v="11/26/2023"/>
    <d v="2026-02-11T00:00:00"/>
    <e v="#VALUE!"/>
    <n v="1"/>
    <n v="61761"/>
    <n v="30880.5"/>
    <s v=" Not Achieved"/>
    <s v="Good"/>
  </r>
  <r>
    <x v="220"/>
    <x v="220"/>
    <s v="EMP_221"/>
    <x v="1"/>
    <s v="EMP_221Sales"/>
    <x v="1"/>
    <x v="0"/>
    <n v="73946"/>
    <n v="10279"/>
    <n v="86717"/>
    <n v="215826"/>
    <s v="2/25/2024"/>
    <s v="2/25/2024"/>
    <d v="2026-02-11T00:00:00"/>
    <e v="#VALUE!"/>
    <n v="1"/>
    <n v="84225"/>
    <n v="42112.5"/>
    <s v=" Not Achieved"/>
    <s v=" Excellent"/>
  </r>
  <r>
    <x v="221"/>
    <x v="221"/>
    <s v="EMP_222"/>
    <x v="0"/>
    <s v="EMP_222IT"/>
    <x v="3"/>
    <x v="4"/>
    <n v="49128"/>
    <n v="3805"/>
    <n v="0"/>
    <n v="0"/>
    <s v="9/21/2018"/>
    <s v="9/21/2018"/>
    <d v="2026-02-11T00:00:00"/>
    <e v="#VALUE!"/>
    <n v="2"/>
    <n v="52933"/>
    <n v="26466.5"/>
    <s v=" Not Achieved"/>
    <s v="Good"/>
  </r>
  <r>
    <x v="222"/>
    <x v="222"/>
    <s v="EMP_223"/>
    <x v="1"/>
    <s v="EMP_223Marketing"/>
    <x v="4"/>
    <x v="3"/>
    <n v="22629"/>
    <n v="2479"/>
    <n v="0"/>
    <n v="0"/>
    <s v="3/28/2018"/>
    <s v="3/28/2018"/>
    <d v="2026-02-11T00:00:00"/>
    <e v="#VALUE!"/>
    <n v="1"/>
    <n v="25108"/>
    <n v="12554"/>
    <s v=" Not Achieved"/>
    <s v="poor"/>
  </r>
  <r>
    <x v="223"/>
    <x v="223"/>
    <s v="EMP_224"/>
    <x v="0"/>
    <s v="EMP_224Sales"/>
    <x v="1"/>
    <x v="4"/>
    <n v="77816"/>
    <n v="7269"/>
    <n v="211496"/>
    <n v="188530"/>
    <d v="2021-11-05T00:00:00"/>
    <s v="2021"/>
    <d v="2026-02-11T00:00:00"/>
    <n v="4"/>
    <n v="4"/>
    <n v="85085"/>
    <n v="42542.5"/>
    <s v="Achieved"/>
    <s v=" Excellent"/>
  </r>
  <r>
    <x v="224"/>
    <x v="224"/>
    <s v="EMP_225"/>
    <x v="0"/>
    <s v="EMP_225Marketing"/>
    <x v="4"/>
    <x v="2"/>
    <n v="42425"/>
    <n v="11166"/>
    <n v="0"/>
    <n v="0"/>
    <s v="5/23/2023"/>
    <s v="5/23/2023"/>
    <d v="2026-02-11T00:00:00"/>
    <e v="#VALUE!"/>
    <n v="1"/>
    <n v="53591"/>
    <n v="26795.5"/>
    <s v=" Not Achieved"/>
    <s v="Good"/>
  </r>
  <r>
    <x v="225"/>
    <x v="225"/>
    <s v="EMP_226"/>
    <x v="0"/>
    <s v="EMP_226HR"/>
    <x v="0"/>
    <x v="3"/>
    <n v="78053"/>
    <n v="4779"/>
    <n v="0"/>
    <n v="0"/>
    <d v="2024-02-07T00:00:00"/>
    <s v="2024"/>
    <d v="2026-02-11T00:00:00"/>
    <n v="2"/>
    <n v="4"/>
    <n v="82832"/>
    <n v="41416"/>
    <s v=" Not Achieved"/>
    <s v=" Excellent"/>
  </r>
  <r>
    <x v="226"/>
    <x v="226"/>
    <s v="EMP_227"/>
    <x v="1"/>
    <s v="EMP_227Marketing"/>
    <x v="4"/>
    <x v="4"/>
    <n v="62026"/>
    <n v="9690"/>
    <n v="0"/>
    <n v="0"/>
    <s v="3/30/2023"/>
    <s v="3/30/2023"/>
    <d v="2026-02-11T00:00:00"/>
    <e v="#VALUE!"/>
    <n v="5"/>
    <n v="71716"/>
    <n v="35858"/>
    <s v=" Not Achieved"/>
    <s v=" Excellent"/>
  </r>
  <r>
    <x v="227"/>
    <x v="227"/>
    <s v="EMP_228"/>
    <x v="0"/>
    <s v="EMP_228Finance"/>
    <x v="2"/>
    <x v="0"/>
    <n v="53351"/>
    <n v="9468"/>
    <n v="0"/>
    <n v="0"/>
    <s v="9/16/2024"/>
    <s v="9/16/2024"/>
    <d v="2026-02-11T00:00:00"/>
    <e v="#VALUE!"/>
    <n v="1"/>
    <n v="62819"/>
    <n v="31409.5"/>
    <s v=" Not Achieved"/>
    <s v=" Excellent"/>
  </r>
  <r>
    <x v="228"/>
    <x v="228"/>
    <s v="EMP_229"/>
    <x v="1"/>
    <s v="EMP_229Finance"/>
    <x v="2"/>
    <x v="1"/>
    <n v="53136"/>
    <n v="4328"/>
    <n v="0"/>
    <n v="0"/>
    <s v="9/14/2020"/>
    <s v="9/14/2020"/>
    <d v="2026-02-11T00:00:00"/>
    <e v="#VALUE!"/>
    <n v="3"/>
    <n v="57464"/>
    <n v="28732"/>
    <s v=" Not Achieved"/>
    <s v=" Excellent"/>
  </r>
  <r>
    <x v="229"/>
    <x v="229"/>
    <s v="EMP_230"/>
    <x v="0"/>
    <s v="EMP_230Sales"/>
    <x v="1"/>
    <x v="3"/>
    <n v="29467"/>
    <n v="3506"/>
    <n v="211030"/>
    <n v="171203"/>
    <s v="7/25/2024"/>
    <s v="7/25/2024"/>
    <d v="2026-02-11T00:00:00"/>
    <e v="#VALUE!"/>
    <n v="3"/>
    <n v="32973"/>
    <n v="16486.5"/>
    <s v="Achieved"/>
    <s v="poor"/>
  </r>
  <r>
    <x v="230"/>
    <x v="230"/>
    <s v="EMP_231"/>
    <x v="1"/>
    <s v="EMP_231HR"/>
    <x v="0"/>
    <x v="1"/>
    <n v="47957"/>
    <n v="8469"/>
    <n v="0"/>
    <n v="0"/>
    <s v="6/13/2022"/>
    <s v="6/13/2022"/>
    <d v="2026-02-11T00:00:00"/>
    <e v="#VALUE!"/>
    <n v="1"/>
    <n v="56426"/>
    <n v="28213"/>
    <s v=" Not Achieved"/>
    <s v="Good"/>
  </r>
  <r>
    <x v="231"/>
    <x v="231"/>
    <s v="EMP_232"/>
    <x v="1"/>
    <s v="EMP_232IT"/>
    <x v="3"/>
    <x v="3"/>
    <n v="54255"/>
    <n v="6482"/>
    <n v="0"/>
    <n v="0"/>
    <d v="2019-11-04T00:00:00"/>
    <s v="2019"/>
    <d v="2026-02-11T00:00:00"/>
    <n v="6"/>
    <n v="2"/>
    <n v="60737"/>
    <n v="30368.5"/>
    <s v=" Not Achieved"/>
    <s v=" Excellent"/>
  </r>
  <r>
    <x v="232"/>
    <x v="232"/>
    <s v="EMP_233"/>
    <x v="1"/>
    <s v="EMP_233Sales"/>
    <x v="1"/>
    <x v="1"/>
    <n v="53878"/>
    <n v="6478"/>
    <n v="200948"/>
    <n v="164939"/>
    <s v="9/19/2020"/>
    <s v="9/19/2020"/>
    <d v="2026-02-11T00:00:00"/>
    <e v="#VALUE!"/>
    <n v="2"/>
    <n v="60356"/>
    <n v="30178"/>
    <s v="Achieved"/>
    <s v=" Excellent"/>
  </r>
  <r>
    <x v="233"/>
    <x v="233"/>
    <s v="EMP_234"/>
    <x v="1"/>
    <s v="EMP_234Sales"/>
    <x v="1"/>
    <x v="1"/>
    <n v="37766"/>
    <n v="2331"/>
    <n v="69565"/>
    <n v="228032"/>
    <d v="2020-11-04T00:00:00"/>
    <s v="2020"/>
    <d v="2026-02-11T00:00:00"/>
    <n v="5"/>
    <n v="1"/>
    <n v="40097"/>
    <n v="20048.5"/>
    <s v=" Not Achieved"/>
    <s v="Average"/>
  </r>
  <r>
    <x v="234"/>
    <x v="234"/>
    <s v="EMP_235"/>
    <x v="1"/>
    <s v="EMP_235HR"/>
    <x v="0"/>
    <x v="3"/>
    <n v="51715"/>
    <n v="6965"/>
    <n v="0"/>
    <n v="0"/>
    <s v="9/28/2020"/>
    <s v="9/28/2020"/>
    <d v="2026-02-11T00:00:00"/>
    <e v="#VALUE!"/>
    <n v="3"/>
    <n v="58680"/>
    <n v="29340"/>
    <s v=" Not Achieved"/>
    <s v=" Excellent"/>
  </r>
  <r>
    <x v="235"/>
    <x v="235"/>
    <s v="EMP_236"/>
    <x v="0"/>
    <s v="EMP_236Finance"/>
    <x v="2"/>
    <x v="3"/>
    <n v="50058"/>
    <n v="4161"/>
    <n v="0"/>
    <n v="0"/>
    <s v="12/25/2018"/>
    <s v="12/25/2018"/>
    <d v="2026-02-11T00:00:00"/>
    <e v="#VALUE!"/>
    <n v="3"/>
    <n v="54219"/>
    <n v="27109.5"/>
    <s v=" Not Achieved"/>
    <s v=" Excellent"/>
  </r>
  <r>
    <x v="236"/>
    <x v="236"/>
    <s v="EMP_237"/>
    <x v="1"/>
    <s v="EMP_237IT"/>
    <x v="3"/>
    <x v="1"/>
    <n v="69072"/>
    <n v="9322"/>
    <n v="0"/>
    <n v="0"/>
    <s v="2/17/2024"/>
    <s v="2/17/2024"/>
    <d v="2026-02-11T00:00:00"/>
    <e v="#VALUE!"/>
    <n v="1"/>
    <n v="78394"/>
    <n v="39197"/>
    <s v=" Not Achieved"/>
    <s v=" Excellent"/>
  </r>
  <r>
    <x v="237"/>
    <x v="237"/>
    <s v="EMP_238"/>
    <x v="1"/>
    <s v="EMP_238HR"/>
    <x v="0"/>
    <x v="1"/>
    <n v="48736"/>
    <n v="2033"/>
    <n v="0"/>
    <n v="0"/>
    <s v="12/15/2020"/>
    <s v="12/15/2020"/>
    <d v="2026-02-11T00:00:00"/>
    <e v="#VALUE!"/>
    <n v="2"/>
    <n v="50769"/>
    <n v="25384.5"/>
    <s v=" Not Achieved"/>
    <s v="Good"/>
  </r>
  <r>
    <x v="238"/>
    <x v="238"/>
    <s v="EMP_239"/>
    <x v="0"/>
    <s v="EMP_239Sales"/>
    <x v="1"/>
    <x v="4"/>
    <n v="60065"/>
    <n v="3719"/>
    <n v="296344"/>
    <n v="143469"/>
    <d v="2022-12-07T00:00:00"/>
    <s v="2022"/>
    <d v="2026-02-11T00:00:00"/>
    <n v="3"/>
    <n v="1"/>
    <n v="63784"/>
    <n v="31892"/>
    <s v="Achieved"/>
    <s v=" Excellent"/>
  </r>
  <r>
    <x v="239"/>
    <x v="239"/>
    <s v="EMP_240"/>
    <x v="1"/>
    <s v="EMP_240Finance"/>
    <x v="2"/>
    <x v="0"/>
    <n v="65602"/>
    <n v="2069"/>
    <n v="0"/>
    <n v="0"/>
    <s v="10/17/2021"/>
    <s v="10/17/2021"/>
    <d v="2026-02-11T00:00:00"/>
    <e v="#VALUE!"/>
    <n v="3"/>
    <n v="67671"/>
    <n v="33835.5"/>
    <s v=" Not Achieved"/>
    <s v=" Excellent"/>
  </r>
  <r>
    <x v="240"/>
    <x v="240"/>
    <s v="EMP_241"/>
    <x v="0"/>
    <s v="EMP_241Marketing"/>
    <x v="4"/>
    <x v="2"/>
    <n v="66313"/>
    <n v="13102"/>
    <n v="0"/>
    <n v="0"/>
    <d v="2021-02-03T00:00:00"/>
    <s v="2021"/>
    <d v="2026-02-11T00:00:00"/>
    <n v="5"/>
    <n v="4"/>
    <n v="79415"/>
    <n v="39707.5"/>
    <s v=" Not Achieved"/>
    <s v=" Excellent"/>
  </r>
  <r>
    <x v="241"/>
    <x v="241"/>
    <s v="EMP_242"/>
    <x v="0"/>
    <s v="EMP_242Marketing"/>
    <x v="4"/>
    <x v="0"/>
    <n v="72954"/>
    <n v="12757"/>
    <n v="0"/>
    <n v="0"/>
    <d v="2022-12-02T00:00:00"/>
    <s v="2022"/>
    <d v="2026-02-11T00:00:00"/>
    <n v="3"/>
    <n v="4"/>
    <n v="85711"/>
    <n v="42855.5"/>
    <s v=" Not Achieved"/>
    <s v=" Excellent"/>
  </r>
  <r>
    <x v="242"/>
    <x v="242"/>
    <s v="EMP_243"/>
    <x v="0"/>
    <s v="EMP_243Sales"/>
    <x v="1"/>
    <x v="0"/>
    <n v="31183"/>
    <n v="5253"/>
    <n v="199393"/>
    <n v="147626"/>
    <s v="10/22/2023"/>
    <s v="10/22/2023"/>
    <d v="2026-02-11T00:00:00"/>
    <e v="#VALUE!"/>
    <n v="3"/>
    <n v="36436"/>
    <n v="18218"/>
    <s v="Achieved"/>
    <s v="Average"/>
  </r>
  <r>
    <x v="243"/>
    <x v="243"/>
    <s v="EMP_244"/>
    <x v="1"/>
    <s v="EMP_244IT"/>
    <x v="3"/>
    <x v="3"/>
    <n v="46389"/>
    <n v="5697"/>
    <n v="0"/>
    <n v="0"/>
    <d v="2019-08-03T00:00:00"/>
    <s v="2019"/>
    <d v="2026-02-11T00:00:00"/>
    <n v="6"/>
    <n v="5"/>
    <n v="52086"/>
    <n v="26043"/>
    <s v=" Not Achieved"/>
    <s v="Good"/>
  </r>
  <r>
    <x v="244"/>
    <x v="244"/>
    <s v="EMP_245"/>
    <x v="1"/>
    <s v="EMP_245Finance"/>
    <x v="2"/>
    <x v="1"/>
    <n v="64803"/>
    <n v="4207"/>
    <n v="0"/>
    <n v="0"/>
    <d v="2022-02-05T00:00:00"/>
    <s v="2022"/>
    <d v="2026-02-11T00:00:00"/>
    <n v="4"/>
    <n v="5"/>
    <n v="69010"/>
    <n v="34505"/>
    <s v=" Not Achieved"/>
    <s v=" Excellent"/>
  </r>
  <r>
    <x v="245"/>
    <x v="245"/>
    <s v="EMP_246"/>
    <x v="0"/>
    <s v="EMP_246HR"/>
    <x v="0"/>
    <x v="3"/>
    <n v="54872"/>
    <n v="10342"/>
    <n v="0"/>
    <n v="0"/>
    <s v="11/17/2021"/>
    <s v="11/17/2021"/>
    <d v="2026-02-11T00:00:00"/>
    <e v="#VALUE!"/>
    <n v="1"/>
    <n v="65214"/>
    <n v="32607"/>
    <s v=" Not Achieved"/>
    <s v=" Excellent"/>
  </r>
  <r>
    <x v="246"/>
    <x v="246"/>
    <s v="EMP_247"/>
    <x v="0"/>
    <s v="EMP_247Sales"/>
    <x v="1"/>
    <x v="0"/>
    <n v="53485"/>
    <n v="2721"/>
    <n v="234446"/>
    <n v="178979"/>
    <s v="4/29/2024"/>
    <s v="4/29/2024"/>
    <d v="2026-02-11T00:00:00"/>
    <e v="#VALUE!"/>
    <n v="1"/>
    <n v="56206"/>
    <n v="28103"/>
    <s v="Achieved"/>
    <s v=" Excellent"/>
  </r>
  <r>
    <x v="247"/>
    <x v="247"/>
    <s v="EMP_248"/>
    <x v="1"/>
    <s v="EMP_248Finance"/>
    <x v="2"/>
    <x v="0"/>
    <n v="51558"/>
    <n v="7605"/>
    <n v="0"/>
    <n v="0"/>
    <d v="2020-07-09T00:00:00"/>
    <s v="2020"/>
    <d v="2026-02-11T00:00:00"/>
    <n v="5"/>
    <n v="1"/>
    <n v="59163"/>
    <n v="29581.5"/>
    <s v=" Not Achieved"/>
    <s v=" Excellent"/>
  </r>
  <r>
    <x v="248"/>
    <x v="248"/>
    <s v="EMP_249"/>
    <x v="1"/>
    <s v="EMP_249HR"/>
    <x v="0"/>
    <x v="1"/>
    <n v="23686"/>
    <n v="10393"/>
    <n v="0"/>
    <n v="0"/>
    <s v="3/16/2022"/>
    <s v="3/16/2022"/>
    <d v="2026-02-11T00:00:00"/>
    <e v="#VALUE!"/>
    <n v="4"/>
    <n v="34079"/>
    <n v="17039.5"/>
    <s v=" Not Achieved"/>
    <s v="poor"/>
  </r>
  <r>
    <x v="249"/>
    <x v="249"/>
    <s v="EMP_250"/>
    <x v="1"/>
    <s v="EMP_250HR"/>
    <x v="0"/>
    <x v="2"/>
    <n v="28511"/>
    <n v="5602"/>
    <n v="0"/>
    <n v="0"/>
    <d v="2019-05-01T00:00:00"/>
    <s v="2019"/>
    <d v="2026-02-11T00:00:00"/>
    <n v="6"/>
    <n v="5"/>
    <n v="34113"/>
    <n v="17056.5"/>
    <s v=" Not Achieved"/>
    <s v="poor"/>
  </r>
  <r>
    <x v="250"/>
    <x v="250"/>
    <s v="EMP_251"/>
    <x v="0"/>
    <s v="EMP_251IT"/>
    <x v="3"/>
    <x v="0"/>
    <n v="77192"/>
    <n v="3186"/>
    <n v="0"/>
    <n v="0"/>
    <d v="2019-11-04T00:00:00"/>
    <s v="2019"/>
    <d v="2026-02-11T00:00:00"/>
    <n v="6"/>
    <n v="3"/>
    <n v="80378"/>
    <n v="40189"/>
    <s v=" Not Achieved"/>
    <s v=" Excellent"/>
  </r>
  <r>
    <x v="251"/>
    <x v="251"/>
    <s v="EMP_252"/>
    <x v="0"/>
    <s v="EMP_252Marketing"/>
    <x v="4"/>
    <x v="2"/>
    <n v="32729"/>
    <n v="6462"/>
    <n v="0"/>
    <n v="0"/>
    <d v="2022-01-11T00:00:00"/>
    <s v="2022"/>
    <d v="2026-02-11T00:00:00"/>
    <n v="4"/>
    <n v="4"/>
    <n v="39191"/>
    <n v="19595.5"/>
    <s v=" Not Achieved"/>
    <s v="Average"/>
  </r>
  <r>
    <x v="252"/>
    <x v="252"/>
    <s v="EMP_253"/>
    <x v="1"/>
    <s v="EMP_253Marketing"/>
    <x v="4"/>
    <x v="1"/>
    <n v="55147"/>
    <n v="3806"/>
    <n v="0"/>
    <n v="0"/>
    <d v="2023-11-06T00:00:00"/>
    <s v="2023"/>
    <d v="2026-02-11T00:00:00"/>
    <n v="2"/>
    <n v="4"/>
    <n v="58953"/>
    <n v="29476.5"/>
    <s v=" Not Achieved"/>
    <s v=" Excellent"/>
  </r>
  <r>
    <x v="253"/>
    <x v="253"/>
    <s v="EMP_254"/>
    <x v="1"/>
    <s v="EMP_254Marketing"/>
    <x v="4"/>
    <x v="0"/>
    <n v="24822"/>
    <n v="13806"/>
    <n v="0"/>
    <n v="0"/>
    <s v="11/15/2019"/>
    <s v="11/15/2019"/>
    <d v="2026-02-11T00:00:00"/>
    <e v="#VALUE!"/>
    <n v="5"/>
    <n v="38628"/>
    <n v="19314"/>
    <s v=" Not Achieved"/>
    <s v="poor"/>
  </r>
  <r>
    <x v="254"/>
    <x v="254"/>
    <s v="EMP_255"/>
    <x v="0"/>
    <s v="EMP_255Sales"/>
    <x v="1"/>
    <x v="1"/>
    <n v="51819"/>
    <n v="12748"/>
    <n v="214906"/>
    <n v="90580"/>
    <s v="12/24/2024"/>
    <s v="12/24/2024"/>
    <d v="2026-02-11T00:00:00"/>
    <e v="#VALUE!"/>
    <n v="1"/>
    <n v="64567"/>
    <n v="32283.5"/>
    <s v="Achieved"/>
    <s v=" Excellent"/>
  </r>
  <r>
    <x v="255"/>
    <x v="255"/>
    <s v="EMP_256"/>
    <x v="0"/>
    <s v="EMP_256Marketing"/>
    <x v="4"/>
    <x v="4"/>
    <n v="48259"/>
    <n v="14276"/>
    <n v="0"/>
    <n v="0"/>
    <d v="2021-12-10T00:00:00"/>
    <s v="2021"/>
    <d v="2026-02-11T00:00:00"/>
    <n v="4"/>
    <n v="4"/>
    <n v="62535"/>
    <n v="31267.5"/>
    <s v=" Not Achieved"/>
    <s v="Good"/>
  </r>
  <r>
    <x v="256"/>
    <x v="256"/>
    <s v="EMP_257"/>
    <x v="1"/>
    <s v="EMP_257IT"/>
    <x v="3"/>
    <x v="3"/>
    <n v="79791"/>
    <n v="5644"/>
    <n v="0"/>
    <n v="0"/>
    <d v="2019-07-07T00:00:00"/>
    <s v="2019"/>
    <d v="2026-02-11T00:00:00"/>
    <n v="6"/>
    <n v="4"/>
    <n v="85435"/>
    <n v="42717.5"/>
    <s v=" Not Achieved"/>
    <s v=" Excellent"/>
  </r>
  <r>
    <x v="257"/>
    <x v="257"/>
    <s v="EMP_258"/>
    <x v="0"/>
    <s v="EMP_258Sales"/>
    <x v="1"/>
    <x v="0"/>
    <n v="25523"/>
    <n v="8024"/>
    <n v="137131"/>
    <n v="209782"/>
    <s v="8/14/2019"/>
    <s v="8/14/2019"/>
    <d v="2026-02-11T00:00:00"/>
    <e v="#VALUE!"/>
    <n v="5"/>
    <n v="33547"/>
    <n v="16773.5"/>
    <s v=" Not Achieved"/>
    <s v="poor"/>
  </r>
  <r>
    <x v="258"/>
    <x v="258"/>
    <s v="EMP_259"/>
    <x v="1"/>
    <s v="EMP_259IT"/>
    <x v="3"/>
    <x v="3"/>
    <n v="35879"/>
    <n v="13769"/>
    <n v="0"/>
    <n v="0"/>
    <d v="2018-02-02T00:00:00"/>
    <s v="2018"/>
    <d v="2026-02-11T00:00:00"/>
    <n v="8"/>
    <n v="5"/>
    <n v="49648"/>
    <n v="24824"/>
    <s v=" Not Achieved"/>
    <s v="Average"/>
  </r>
  <r>
    <x v="259"/>
    <x v="259"/>
    <s v="EMP_260"/>
    <x v="1"/>
    <s v="EMP_260HR"/>
    <x v="0"/>
    <x v="3"/>
    <n v="71167"/>
    <n v="11523"/>
    <n v="0"/>
    <n v="0"/>
    <d v="2021-07-12T00:00:00"/>
    <s v="2021"/>
    <d v="2026-02-11T00:00:00"/>
    <n v="4"/>
    <n v="5"/>
    <n v="82690"/>
    <n v="41345"/>
    <s v=" Not Achieved"/>
    <s v=" Excellent"/>
  </r>
  <r>
    <x v="260"/>
    <x v="260"/>
    <s v="EMP_261"/>
    <x v="1"/>
    <s v="EMP_261Sales"/>
    <x v="1"/>
    <x v="4"/>
    <n v="39285"/>
    <n v="11693"/>
    <n v="101990"/>
    <n v="244807"/>
    <s v="10/20/2022"/>
    <s v="10/20/2022"/>
    <d v="2026-02-11T00:00:00"/>
    <e v="#VALUE!"/>
    <n v="3"/>
    <n v="50978"/>
    <n v="25489"/>
    <s v=" Not Achieved"/>
    <s v="Average"/>
  </r>
  <r>
    <x v="261"/>
    <x v="261"/>
    <s v="EMP_262"/>
    <x v="1"/>
    <s v="EMP_262Sales"/>
    <x v="1"/>
    <x v="4"/>
    <n v="53623"/>
    <n v="2864"/>
    <n v="257886"/>
    <n v="115455"/>
    <s v="9/17/2018"/>
    <s v="9/17/2018"/>
    <d v="2026-02-11T00:00:00"/>
    <e v="#VALUE!"/>
    <n v="4"/>
    <n v="56487"/>
    <n v="28243.5"/>
    <s v="Achieved"/>
    <s v=" Excellent"/>
  </r>
  <r>
    <x v="262"/>
    <x v="262"/>
    <s v="EMP_263"/>
    <x v="0"/>
    <s v="EMP_263Marketing"/>
    <x v="4"/>
    <x v="0"/>
    <n v="78477"/>
    <n v="9752"/>
    <n v="0"/>
    <n v="0"/>
    <s v="3/28/2021"/>
    <s v="3/28/2021"/>
    <d v="2026-02-11T00:00:00"/>
    <e v="#VALUE!"/>
    <n v="4"/>
    <n v="88229"/>
    <n v="44114.5"/>
    <s v=" Not Achieved"/>
    <s v=" Excellent"/>
  </r>
  <r>
    <x v="263"/>
    <x v="263"/>
    <s v="EMP_264"/>
    <x v="1"/>
    <s v="EMP_264Sales"/>
    <x v="1"/>
    <x v="2"/>
    <n v="49363"/>
    <n v="13033"/>
    <n v="132549"/>
    <n v="174376"/>
    <d v="2020-07-12T00:00:00"/>
    <s v="2020"/>
    <d v="2026-02-11T00:00:00"/>
    <n v="5"/>
    <n v="3"/>
    <n v="62396"/>
    <n v="31198"/>
    <s v=" Not Achieved"/>
    <s v="Good"/>
  </r>
  <r>
    <x v="264"/>
    <x v="264"/>
    <s v="EMP_265"/>
    <x v="1"/>
    <s v="EMP_265Finance"/>
    <x v="2"/>
    <x v="0"/>
    <n v="53388"/>
    <n v="8152"/>
    <n v="0"/>
    <n v="0"/>
    <s v="11/13/2018"/>
    <s v="11/13/2018"/>
    <d v="2026-02-11T00:00:00"/>
    <e v="#VALUE!"/>
    <n v="4"/>
    <n v="61540"/>
    <n v="30770"/>
    <s v=" Not Achieved"/>
    <s v=" Excellent"/>
  </r>
  <r>
    <x v="265"/>
    <x v="265"/>
    <s v="EMP_266"/>
    <x v="1"/>
    <s v="EMP_266Marketing"/>
    <x v="4"/>
    <x v="3"/>
    <n v="62009"/>
    <n v="14732"/>
    <n v="0"/>
    <n v="0"/>
    <s v="11/28/2023"/>
    <s v="11/28/2023"/>
    <d v="2026-02-11T00:00:00"/>
    <e v="#VALUE!"/>
    <n v="1"/>
    <n v="76741"/>
    <n v="38370.5"/>
    <s v=" Not Achieved"/>
    <s v=" Excellent"/>
  </r>
  <r>
    <x v="266"/>
    <x v="266"/>
    <s v="EMP_267"/>
    <x v="1"/>
    <s v="EMP_267Finance"/>
    <x v="2"/>
    <x v="2"/>
    <n v="69656"/>
    <n v="2368"/>
    <n v="0"/>
    <n v="0"/>
    <s v="2/16/2019"/>
    <s v="2/16/2019"/>
    <d v="2026-02-11T00:00:00"/>
    <e v="#VALUE!"/>
    <n v="4"/>
    <n v="72024"/>
    <n v="36012"/>
    <s v=" Not Achieved"/>
    <s v=" Excellent"/>
  </r>
  <r>
    <x v="267"/>
    <x v="267"/>
    <s v="EMP_268"/>
    <x v="1"/>
    <s v="EMP_268Sales"/>
    <x v="1"/>
    <x v="2"/>
    <n v="47074"/>
    <n v="2200"/>
    <n v="115544"/>
    <n v="119445"/>
    <d v="2018-07-04T00:00:00"/>
    <s v="2018"/>
    <d v="2026-02-11T00:00:00"/>
    <n v="7"/>
    <n v="3"/>
    <n v="49274"/>
    <n v="24637"/>
    <s v=" Not Achieved"/>
    <s v="Good"/>
  </r>
  <r>
    <x v="268"/>
    <x v="268"/>
    <s v="EMP_269"/>
    <x v="0"/>
    <s v="EMP_269Sales"/>
    <x v="1"/>
    <x v="0"/>
    <n v="53637"/>
    <n v="6355"/>
    <n v="285728"/>
    <n v="195449"/>
    <s v="6/23/2023"/>
    <s v="6/23/2023"/>
    <d v="2026-02-11T00:00:00"/>
    <e v="#VALUE!"/>
    <n v="1"/>
    <n v="59992"/>
    <n v="29996"/>
    <s v="Achieved"/>
    <s v=" Excellent"/>
  </r>
  <r>
    <x v="269"/>
    <x v="269"/>
    <s v="EMP_270"/>
    <x v="1"/>
    <s v="EMP_270Finance"/>
    <x v="2"/>
    <x v="4"/>
    <n v="45926"/>
    <n v="6602"/>
    <n v="0"/>
    <n v="0"/>
    <s v="9/15/2019"/>
    <s v="9/15/2019"/>
    <d v="2026-02-11T00:00:00"/>
    <e v="#VALUE!"/>
    <n v="4"/>
    <n v="52528"/>
    <n v="26264"/>
    <s v=" Not Achieved"/>
    <s v="Good"/>
  </r>
  <r>
    <x v="270"/>
    <x v="270"/>
    <s v="EMP_271"/>
    <x v="0"/>
    <s v="EMP_271HR"/>
    <x v="0"/>
    <x v="4"/>
    <n v="75691"/>
    <n v="3652"/>
    <n v="0"/>
    <n v="0"/>
    <d v="2023-08-09T00:00:00"/>
    <s v="2023"/>
    <d v="2026-02-11T00:00:00"/>
    <n v="2"/>
    <n v="5"/>
    <n v="79343"/>
    <n v="39671.5"/>
    <s v=" Not Achieved"/>
    <s v=" Excellent"/>
  </r>
  <r>
    <x v="271"/>
    <x v="271"/>
    <s v="EMP_272"/>
    <x v="0"/>
    <s v="EMP_272Marketing"/>
    <x v="4"/>
    <x v="3"/>
    <n v="29578"/>
    <n v="3276"/>
    <n v="0"/>
    <n v="0"/>
    <s v="2/19/2023"/>
    <s v="2/19/2023"/>
    <d v="2026-02-11T00:00:00"/>
    <e v="#VALUE!"/>
    <n v="2"/>
    <n v="32854"/>
    <n v="16427"/>
    <s v=" Not Achieved"/>
    <s v="poor"/>
  </r>
  <r>
    <x v="272"/>
    <x v="272"/>
    <s v="EMP_273"/>
    <x v="0"/>
    <s v="EMP_273Finance"/>
    <x v="2"/>
    <x v="2"/>
    <n v="36290"/>
    <n v="2661"/>
    <n v="0"/>
    <n v="0"/>
    <d v="2022-01-04T00:00:00"/>
    <s v="2022"/>
    <d v="2026-02-11T00:00:00"/>
    <n v="4"/>
    <n v="4"/>
    <n v="38951"/>
    <n v="19475.5"/>
    <s v=" Not Achieved"/>
    <s v="Average"/>
  </r>
  <r>
    <x v="273"/>
    <x v="273"/>
    <s v="EMP_274"/>
    <x v="1"/>
    <s v="EMP_274IT"/>
    <x v="3"/>
    <x v="3"/>
    <n v="50454"/>
    <n v="12407"/>
    <n v="0"/>
    <n v="0"/>
    <s v="5/20/2019"/>
    <s v="5/20/2019"/>
    <d v="2026-02-11T00:00:00"/>
    <e v="#VALUE!"/>
    <n v="4"/>
    <n v="62861"/>
    <n v="31430.5"/>
    <s v=" Not Achieved"/>
    <s v=" Excellent"/>
  </r>
  <r>
    <x v="274"/>
    <x v="274"/>
    <s v="EMP_275"/>
    <x v="0"/>
    <s v="EMP_275IT"/>
    <x v="3"/>
    <x v="2"/>
    <n v="56242"/>
    <n v="11873"/>
    <n v="0"/>
    <n v="0"/>
    <d v="2023-10-12T00:00:00"/>
    <s v="2023"/>
    <d v="2026-02-11T00:00:00"/>
    <n v="2"/>
    <n v="5"/>
    <n v="68115"/>
    <n v="34057.5"/>
    <s v=" Not Achieved"/>
    <s v=" Excellent"/>
  </r>
  <r>
    <x v="275"/>
    <x v="275"/>
    <s v="EMP_276"/>
    <x v="1"/>
    <s v="EMP_276Sales"/>
    <x v="1"/>
    <x v="1"/>
    <n v="36607"/>
    <n v="2971"/>
    <n v="145254"/>
    <n v="133787"/>
    <d v="2019-03-08T00:00:00"/>
    <s v="2019"/>
    <d v="2026-02-11T00:00:00"/>
    <n v="6"/>
    <n v="5"/>
    <n v="39578"/>
    <n v="19789"/>
    <s v="Achieved"/>
    <s v="Average"/>
  </r>
  <r>
    <x v="276"/>
    <x v="276"/>
    <s v="EMP_277"/>
    <x v="1"/>
    <s v="EMP_277Sales"/>
    <x v="1"/>
    <x v="1"/>
    <n v="79088"/>
    <n v="9015"/>
    <n v="161044"/>
    <n v="238450"/>
    <s v="9/14/2019"/>
    <s v="9/14/2019"/>
    <d v="2026-02-11T00:00:00"/>
    <e v="#VALUE!"/>
    <n v="1"/>
    <n v="88103"/>
    <n v="44051.5"/>
    <s v=" Not Achieved"/>
    <s v=" Excellent"/>
  </r>
  <r>
    <x v="277"/>
    <x v="277"/>
    <s v="EMP_278"/>
    <x v="0"/>
    <s v="EMP_278Marketing"/>
    <x v="4"/>
    <x v="1"/>
    <n v="68675"/>
    <n v="2113"/>
    <n v="0"/>
    <n v="0"/>
    <s v="7/25/2021"/>
    <s v="7/25/2021"/>
    <d v="2026-02-11T00:00:00"/>
    <e v="#VALUE!"/>
    <n v="4"/>
    <n v="70788"/>
    <n v="35394"/>
    <s v=" Not Achieved"/>
    <s v=" Excellent"/>
  </r>
  <r>
    <x v="278"/>
    <x v="278"/>
    <s v="EMP_279"/>
    <x v="1"/>
    <s v="EMP_279IT"/>
    <x v="3"/>
    <x v="3"/>
    <n v="23142"/>
    <n v="14277"/>
    <n v="0"/>
    <n v="0"/>
    <s v="9/25/2019"/>
    <s v="9/25/2019"/>
    <d v="2026-02-11T00:00:00"/>
    <e v="#VALUE!"/>
    <n v="4"/>
    <n v="37419"/>
    <n v="18709.5"/>
    <s v=" Not Achieved"/>
    <s v="poor"/>
  </r>
  <r>
    <x v="279"/>
    <x v="279"/>
    <s v="EMP_280"/>
    <x v="0"/>
    <s v="EMP_280Finance"/>
    <x v="2"/>
    <x v="0"/>
    <n v="44267"/>
    <n v="9632"/>
    <n v="0"/>
    <n v="0"/>
    <d v="2019-10-02T00:00:00"/>
    <s v="2019"/>
    <d v="2026-02-11T00:00:00"/>
    <n v="6"/>
    <n v="1"/>
    <n v="53899"/>
    <n v="26949.5"/>
    <s v=" Not Achieved"/>
    <s v="Good"/>
  </r>
  <r>
    <x v="280"/>
    <x v="280"/>
    <s v="EMP_281"/>
    <x v="1"/>
    <s v="EMP_281Sales"/>
    <x v="1"/>
    <x v="1"/>
    <n v="49773"/>
    <n v="11807"/>
    <n v="161333"/>
    <n v="246862"/>
    <s v="9/13/2019"/>
    <s v="9/13/2019"/>
    <d v="2026-02-11T00:00:00"/>
    <e v="#VALUE!"/>
    <n v="4"/>
    <n v="61580"/>
    <n v="30790"/>
    <s v=" Not Achieved"/>
    <s v="Good"/>
  </r>
  <r>
    <x v="281"/>
    <x v="281"/>
    <s v="EMP_282"/>
    <x v="1"/>
    <s v="EMP_282Marketing"/>
    <x v="4"/>
    <x v="2"/>
    <n v="43478"/>
    <n v="3379"/>
    <n v="0"/>
    <n v="0"/>
    <s v="9/26/2020"/>
    <s v="9/26/2020"/>
    <d v="2026-02-11T00:00:00"/>
    <e v="#VALUE!"/>
    <n v="3"/>
    <n v="46857"/>
    <n v="23428.5"/>
    <s v=" Not Achieved"/>
    <s v="Good"/>
  </r>
  <r>
    <x v="282"/>
    <x v="282"/>
    <s v="EMP_283"/>
    <x v="0"/>
    <s v="EMP_283Finance"/>
    <x v="2"/>
    <x v="0"/>
    <n v="37670"/>
    <n v="12195"/>
    <n v="0"/>
    <n v="0"/>
    <s v="10/27/2020"/>
    <s v="10/27/2020"/>
    <d v="2026-02-11T00:00:00"/>
    <e v="#VALUE!"/>
    <n v="5"/>
    <n v="49865"/>
    <n v="24932.5"/>
    <s v=" Not Achieved"/>
    <s v="Average"/>
  </r>
  <r>
    <x v="283"/>
    <x v="283"/>
    <s v="EMP_284"/>
    <x v="0"/>
    <s v="EMP_284Marketing"/>
    <x v="4"/>
    <x v="4"/>
    <n v="21057"/>
    <n v="3058"/>
    <n v="0"/>
    <n v="0"/>
    <s v="6/19/2022"/>
    <s v="6/19/2022"/>
    <d v="2026-02-11T00:00:00"/>
    <e v="#VALUE!"/>
    <n v="5"/>
    <n v="24115"/>
    <n v="12057.5"/>
    <s v=" Not Achieved"/>
    <s v="poor"/>
  </r>
  <r>
    <x v="284"/>
    <x v="284"/>
    <s v="EMP_285"/>
    <x v="0"/>
    <s v="EMP_285Finance"/>
    <x v="2"/>
    <x v="3"/>
    <n v="74528"/>
    <n v="10278"/>
    <n v="0"/>
    <n v="0"/>
    <s v="7/20/2020"/>
    <s v="7/20/2020"/>
    <d v="2026-02-11T00:00:00"/>
    <e v="#VALUE!"/>
    <n v="4"/>
    <n v="84806"/>
    <n v="42403"/>
    <s v=" Not Achieved"/>
    <s v=" Excellent"/>
  </r>
  <r>
    <x v="285"/>
    <x v="285"/>
    <s v="EMP_286"/>
    <x v="1"/>
    <s v="EMP_286HR"/>
    <x v="0"/>
    <x v="3"/>
    <n v="25096"/>
    <n v="9998"/>
    <n v="0"/>
    <n v="0"/>
    <s v="12/20/2018"/>
    <s v="12/20/2018"/>
    <d v="2026-02-11T00:00:00"/>
    <e v="#VALUE!"/>
    <n v="4"/>
    <n v="35094"/>
    <n v="17547"/>
    <s v=" Not Achieved"/>
    <s v="poor"/>
  </r>
  <r>
    <x v="286"/>
    <x v="286"/>
    <s v="EMP_287"/>
    <x v="0"/>
    <s v="EMP_287Marketing"/>
    <x v="4"/>
    <x v="1"/>
    <n v="42781"/>
    <n v="13738"/>
    <n v="0"/>
    <n v="0"/>
    <d v="2019-04-04T00:00:00"/>
    <s v="2019"/>
    <d v="2026-02-11T00:00:00"/>
    <n v="6"/>
    <n v="3"/>
    <n v="56519"/>
    <n v="28259.5"/>
    <s v=" Not Achieved"/>
    <s v="Good"/>
  </r>
  <r>
    <x v="287"/>
    <x v="287"/>
    <s v="EMP_288"/>
    <x v="0"/>
    <s v="EMP_288Marketing"/>
    <x v="4"/>
    <x v="3"/>
    <n v="38143"/>
    <n v="5161"/>
    <n v="0"/>
    <n v="0"/>
    <d v="2021-04-03T00:00:00"/>
    <s v="2021"/>
    <d v="2026-02-11T00:00:00"/>
    <n v="4"/>
    <n v="4"/>
    <n v="43304"/>
    <n v="21652"/>
    <s v=" Not Achieved"/>
    <s v="Average"/>
  </r>
  <r>
    <x v="288"/>
    <x v="288"/>
    <s v="EMP_289"/>
    <x v="0"/>
    <s v="EMP_289Marketing"/>
    <x v="4"/>
    <x v="3"/>
    <n v="77076"/>
    <n v="5385"/>
    <n v="0"/>
    <n v="0"/>
    <s v="3/26/2019"/>
    <s v="3/26/2019"/>
    <d v="2026-02-11T00:00:00"/>
    <e v="#VALUE!"/>
    <n v="3"/>
    <n v="82461"/>
    <n v="41230.5"/>
    <s v=" Not Achieved"/>
    <s v=" Excellent"/>
  </r>
  <r>
    <x v="289"/>
    <x v="289"/>
    <s v="EMP_290"/>
    <x v="0"/>
    <s v="EMP_290Sales"/>
    <x v="1"/>
    <x v="2"/>
    <n v="56451"/>
    <n v="11148"/>
    <n v="152888"/>
    <n v="165727"/>
    <s v="2/22/2020"/>
    <s v="2/22/2020"/>
    <d v="2026-02-11T00:00:00"/>
    <e v="#VALUE!"/>
    <n v="1"/>
    <n v="67599"/>
    <n v="33799.5"/>
    <s v=" Not Achieved"/>
    <s v=" Excellent"/>
  </r>
  <r>
    <x v="290"/>
    <x v="290"/>
    <s v="EMP_291"/>
    <x v="0"/>
    <s v="EMP_291IT"/>
    <x v="3"/>
    <x v="1"/>
    <n v="30660"/>
    <n v="2048"/>
    <n v="0"/>
    <n v="0"/>
    <s v="11/30/2024"/>
    <s v="11/30/2024"/>
    <d v="2026-02-11T00:00:00"/>
    <e v="#VALUE!"/>
    <n v="4"/>
    <n v="32708"/>
    <n v="16354"/>
    <s v=" Not Achieved"/>
    <s v="Average"/>
  </r>
  <r>
    <x v="291"/>
    <x v="291"/>
    <s v="EMP_292"/>
    <x v="0"/>
    <s v="EMP_292Sales"/>
    <x v="1"/>
    <x v="4"/>
    <n v="71589"/>
    <n v="10684"/>
    <n v="117460"/>
    <n v="131139"/>
    <s v="9/29/2022"/>
    <s v="9/29/2022"/>
    <d v="2026-02-11T00:00:00"/>
    <e v="#VALUE!"/>
    <n v="5"/>
    <n v="82273"/>
    <n v="41136.5"/>
    <s v=" Not Achieved"/>
    <s v=" Excellent"/>
  </r>
  <r>
    <x v="292"/>
    <x v="292"/>
    <s v="EMP_293"/>
    <x v="0"/>
    <s v="EMP_293HR"/>
    <x v="0"/>
    <x v="2"/>
    <n v="46081"/>
    <n v="13115"/>
    <n v="0"/>
    <n v="0"/>
    <d v="2020-12-02T00:00:00"/>
    <s v="2020"/>
    <d v="2026-02-11T00:00:00"/>
    <n v="5"/>
    <n v="4"/>
    <n v="59196"/>
    <n v="29598"/>
    <s v=" Not Achieved"/>
    <s v="Good"/>
  </r>
  <r>
    <x v="293"/>
    <x v="293"/>
    <s v="EMP_294"/>
    <x v="0"/>
    <s v="EMP_294HR"/>
    <x v="0"/>
    <x v="1"/>
    <n v="77793"/>
    <n v="9498"/>
    <n v="0"/>
    <n v="0"/>
    <s v="3/13/2019"/>
    <s v="3/13/2019"/>
    <d v="2026-02-11T00:00:00"/>
    <e v="#VALUE!"/>
    <n v="2"/>
    <n v="87291"/>
    <n v="43645.5"/>
    <s v=" Not Achieved"/>
    <s v=" Excellent"/>
  </r>
  <r>
    <x v="294"/>
    <x v="294"/>
    <s v="EMP_295"/>
    <x v="0"/>
    <s v="EMP_295Finance"/>
    <x v="2"/>
    <x v="3"/>
    <n v="40666"/>
    <n v="3142"/>
    <n v="0"/>
    <n v="0"/>
    <d v="2018-05-06T00:00:00"/>
    <s v="2018"/>
    <d v="2026-02-11T00:00:00"/>
    <n v="7"/>
    <n v="4"/>
    <n v="43808"/>
    <n v="21904"/>
    <s v=" Not Achieved"/>
    <s v="Good"/>
  </r>
  <r>
    <x v="295"/>
    <x v="295"/>
    <s v="EMP_296"/>
    <x v="0"/>
    <s v="EMP_296Finance"/>
    <x v="2"/>
    <x v="4"/>
    <n v="20602"/>
    <n v="8199"/>
    <n v="0"/>
    <n v="0"/>
    <d v="2023-01-04T00:00:00"/>
    <s v="2023"/>
    <d v="2026-02-11T00:00:00"/>
    <n v="3"/>
    <n v="2"/>
    <n v="28801"/>
    <n v="14400.5"/>
    <s v=" Not Achieved"/>
    <s v="poor"/>
  </r>
  <r>
    <x v="296"/>
    <x v="296"/>
    <s v="EMP_297"/>
    <x v="0"/>
    <s v="EMP_297Finance"/>
    <x v="2"/>
    <x v="0"/>
    <n v="30236"/>
    <n v="7539"/>
    <n v="0"/>
    <n v="0"/>
    <s v="8/30/2024"/>
    <s v="8/30/2024"/>
    <d v="2026-02-11T00:00:00"/>
    <e v="#VALUE!"/>
    <n v="3"/>
    <n v="37775"/>
    <n v="18887.5"/>
    <s v=" Not Achieved"/>
    <s v="Average"/>
  </r>
  <r>
    <x v="297"/>
    <x v="297"/>
    <s v="EMP_298"/>
    <x v="1"/>
    <s v="EMP_298HR"/>
    <x v="0"/>
    <x v="4"/>
    <n v="39479"/>
    <n v="5652"/>
    <n v="0"/>
    <n v="0"/>
    <d v="2023-11-04T00:00:00"/>
    <s v="2023"/>
    <d v="2026-02-11T00:00:00"/>
    <n v="2"/>
    <n v="2"/>
    <n v="45131"/>
    <n v="22565.5"/>
    <s v=" Not Achieved"/>
    <s v="Average"/>
  </r>
  <r>
    <x v="298"/>
    <x v="298"/>
    <s v="EMP_299"/>
    <x v="0"/>
    <s v="EMP_299Marketing"/>
    <x v="4"/>
    <x v="1"/>
    <n v="56385"/>
    <n v="5443"/>
    <n v="0"/>
    <n v="0"/>
    <s v="10/25/2021"/>
    <s v="10/25/2021"/>
    <d v="2026-02-11T00:00:00"/>
    <e v="#VALUE!"/>
    <n v="3"/>
    <n v="61828"/>
    <n v="30914"/>
    <s v=" Not Achieved"/>
    <s v=" Excellent"/>
  </r>
  <r>
    <x v="299"/>
    <x v="299"/>
    <s v="EMP_300"/>
    <x v="0"/>
    <s v="EMP_300HR"/>
    <x v="0"/>
    <x v="0"/>
    <n v="74158"/>
    <n v="12384"/>
    <n v="0"/>
    <n v="0"/>
    <s v="9/30/2023"/>
    <s v="9/30/2023"/>
    <d v="2026-02-11T00:00:00"/>
    <e v="#VALUE!"/>
    <n v="1"/>
    <n v="86542"/>
    <n v="43271"/>
    <s v=" Not Achieved"/>
    <s v=" Excellent"/>
  </r>
  <r>
    <x v="300"/>
    <x v="300"/>
    <s v="EMP_301"/>
    <x v="0"/>
    <s v="EMP_301IT"/>
    <x v="3"/>
    <x v="1"/>
    <n v="24525"/>
    <n v="3147"/>
    <n v="0"/>
    <n v="0"/>
    <s v="5/26/2019"/>
    <s v="5/26/2019"/>
    <d v="2026-02-11T00:00:00"/>
    <e v="#VALUE!"/>
    <n v="2"/>
    <n v="27672"/>
    <n v="13836"/>
    <s v=" Not Achieved"/>
    <s v="poor"/>
  </r>
  <r>
    <x v="301"/>
    <x v="301"/>
    <s v="EMP_302"/>
    <x v="0"/>
    <s v="EMP_302IT"/>
    <x v="3"/>
    <x v="4"/>
    <n v="60069"/>
    <n v="7955"/>
    <n v="0"/>
    <n v="0"/>
    <s v="4/30/2024"/>
    <s v="4/30/2024"/>
    <d v="2026-02-11T00:00:00"/>
    <e v="#VALUE!"/>
    <n v="4"/>
    <n v="68024"/>
    <n v="34012"/>
    <s v=" Not Achieved"/>
    <s v=" Excellent"/>
  </r>
  <r>
    <x v="302"/>
    <x v="302"/>
    <s v="EMP_303"/>
    <x v="0"/>
    <s v="EMP_303HR"/>
    <x v="0"/>
    <x v="1"/>
    <n v="45823"/>
    <n v="2781"/>
    <n v="0"/>
    <n v="0"/>
    <s v="6/18/2023"/>
    <s v="6/18/2023"/>
    <d v="2026-02-11T00:00:00"/>
    <e v="#VALUE!"/>
    <n v="2"/>
    <n v="48604"/>
    <n v="24302"/>
    <s v=" Not Achieved"/>
    <s v="Good"/>
  </r>
  <r>
    <x v="303"/>
    <x v="303"/>
    <s v="EMP_304"/>
    <x v="1"/>
    <s v="EMP_304HR"/>
    <x v="0"/>
    <x v="1"/>
    <n v="30136"/>
    <n v="11391"/>
    <n v="0"/>
    <n v="0"/>
    <s v="5/22/2018"/>
    <s v="5/22/2018"/>
    <d v="2026-02-11T00:00:00"/>
    <e v="#VALUE!"/>
    <n v="3"/>
    <n v="41527"/>
    <n v="20763.5"/>
    <s v=" Not Achieved"/>
    <s v="Average"/>
  </r>
  <r>
    <x v="304"/>
    <x v="304"/>
    <s v="EMP_305"/>
    <x v="0"/>
    <s v="EMP_305Finance"/>
    <x v="2"/>
    <x v="4"/>
    <n v="79023"/>
    <n v="3441"/>
    <n v="0"/>
    <n v="0"/>
    <s v="7/27/2022"/>
    <s v="7/27/2022"/>
    <d v="2026-02-11T00:00:00"/>
    <e v="#VALUE!"/>
    <n v="4"/>
    <n v="82464"/>
    <n v="41232"/>
    <s v=" Not Achieved"/>
    <s v=" Excellent"/>
  </r>
  <r>
    <x v="305"/>
    <x v="305"/>
    <s v="EMP_306"/>
    <x v="0"/>
    <s v="EMP_306HR"/>
    <x v="0"/>
    <x v="3"/>
    <n v="36097"/>
    <n v="4050"/>
    <n v="0"/>
    <n v="0"/>
    <d v="2024-02-02T00:00:00"/>
    <s v="2024"/>
    <d v="2026-02-11T00:00:00"/>
    <n v="2"/>
    <n v="3"/>
    <n v="40147"/>
    <n v="20073.5"/>
    <s v=" Not Achieved"/>
    <s v="Average"/>
  </r>
  <r>
    <x v="306"/>
    <x v="306"/>
    <s v="EMP_307"/>
    <x v="0"/>
    <s v="EMP_307Marketing"/>
    <x v="4"/>
    <x v="4"/>
    <n v="32663"/>
    <n v="3784"/>
    <n v="0"/>
    <n v="0"/>
    <s v="9/15/2024"/>
    <s v="9/15/2024"/>
    <d v="2026-02-11T00:00:00"/>
    <e v="#VALUE!"/>
    <n v="1"/>
    <n v="36447"/>
    <n v="18223.5"/>
    <s v=" Not Achieved"/>
    <s v="Average"/>
  </r>
  <r>
    <x v="307"/>
    <x v="307"/>
    <s v="EMP_308"/>
    <x v="0"/>
    <s v="EMP_308HR"/>
    <x v="0"/>
    <x v="4"/>
    <n v="55816"/>
    <n v="14075"/>
    <n v="0"/>
    <n v="0"/>
    <d v="2020-04-03T00:00:00"/>
    <s v="2020"/>
    <d v="2026-02-11T00:00:00"/>
    <n v="5"/>
    <n v="2"/>
    <n v="69891"/>
    <n v="34945.5"/>
    <s v=" Not Achieved"/>
    <s v=" Excellent"/>
  </r>
  <r>
    <x v="308"/>
    <x v="308"/>
    <s v="EMP_309"/>
    <x v="1"/>
    <s v="EMP_309HR"/>
    <x v="0"/>
    <x v="0"/>
    <n v="22757"/>
    <n v="10940"/>
    <n v="0"/>
    <n v="0"/>
    <s v="2/23/2020"/>
    <s v="2/23/2020"/>
    <d v="2026-02-11T00:00:00"/>
    <e v="#VALUE!"/>
    <n v="5"/>
    <n v="33697"/>
    <n v="16848.5"/>
    <s v=" Not Achieved"/>
    <s v="poor"/>
  </r>
  <r>
    <x v="309"/>
    <x v="309"/>
    <s v="EMP_310"/>
    <x v="1"/>
    <s v="EMP_310Sales"/>
    <x v="1"/>
    <x v="2"/>
    <n v="20745"/>
    <n v="9092"/>
    <n v="163026"/>
    <n v="164839"/>
    <d v="2018-10-04T00:00:00"/>
    <s v="2018"/>
    <d v="2026-02-11T00:00:00"/>
    <n v="7"/>
    <n v="4"/>
    <n v="29837"/>
    <n v="14918.5"/>
    <s v=" Not Achieved"/>
    <s v="poor"/>
  </r>
  <r>
    <x v="310"/>
    <x v="310"/>
    <s v="EMP_311"/>
    <x v="1"/>
    <s v="EMP_311HR"/>
    <x v="0"/>
    <x v="0"/>
    <n v="78828"/>
    <n v="11134"/>
    <n v="0"/>
    <n v="0"/>
    <s v="11/16/2022"/>
    <s v="11/16/2022"/>
    <d v="2026-02-11T00:00:00"/>
    <e v="#VALUE!"/>
    <n v="3"/>
    <n v="89962"/>
    <n v="44981"/>
    <s v=" Not Achieved"/>
    <s v=" Excellent"/>
  </r>
  <r>
    <x v="311"/>
    <x v="311"/>
    <s v="EMP_312"/>
    <x v="1"/>
    <s v="EMP_312Marketing"/>
    <x v="4"/>
    <x v="2"/>
    <n v="35697"/>
    <n v="2093"/>
    <n v="0"/>
    <n v="0"/>
    <s v="11/26/2023"/>
    <s v="11/26/2023"/>
    <d v="2026-02-11T00:00:00"/>
    <e v="#VALUE!"/>
    <n v="1"/>
    <n v="37790"/>
    <n v="18895"/>
    <s v=" Not Achieved"/>
    <s v="Average"/>
  </r>
  <r>
    <x v="312"/>
    <x v="312"/>
    <s v="EMP_313"/>
    <x v="1"/>
    <s v="EMP_313Sales"/>
    <x v="1"/>
    <x v="3"/>
    <n v="73050"/>
    <n v="5801"/>
    <n v="213493"/>
    <n v="177720"/>
    <s v="10/18/2024"/>
    <s v="10/18/2024"/>
    <d v="2026-02-11T00:00:00"/>
    <e v="#VALUE!"/>
    <n v="3"/>
    <n v="78851"/>
    <n v="39425.5"/>
    <s v="Achieved"/>
    <s v=" Excellent"/>
  </r>
  <r>
    <x v="313"/>
    <x v="313"/>
    <s v="EMP_314"/>
    <x v="0"/>
    <s v="EMP_314IT"/>
    <x v="3"/>
    <x v="0"/>
    <n v="24432"/>
    <n v="9316"/>
    <n v="0"/>
    <n v="0"/>
    <d v="2020-10-12T00:00:00"/>
    <s v="2020"/>
    <d v="2026-02-11T00:00:00"/>
    <n v="5"/>
    <n v="1"/>
    <n v="33748"/>
    <n v="16874"/>
    <s v=" Not Achieved"/>
    <s v="poor"/>
  </r>
  <r>
    <x v="314"/>
    <x v="314"/>
    <s v="EMP_315"/>
    <x v="1"/>
    <s v="EMP_315Sales"/>
    <x v="1"/>
    <x v="4"/>
    <n v="20174"/>
    <n v="3671"/>
    <n v="238713"/>
    <n v="201148"/>
    <d v="2018-10-05T00:00:00"/>
    <s v="2018"/>
    <d v="2026-02-11T00:00:00"/>
    <n v="7"/>
    <n v="5"/>
    <n v="23845"/>
    <n v="11922.5"/>
    <s v="Achieved"/>
    <s v="poor"/>
  </r>
  <r>
    <x v="315"/>
    <x v="315"/>
    <s v="EMP_316"/>
    <x v="0"/>
    <s v="EMP_316Sales"/>
    <x v="1"/>
    <x v="3"/>
    <n v="47939"/>
    <n v="8199"/>
    <n v="240946"/>
    <n v="201698"/>
    <s v="7/20/2018"/>
    <s v="7/20/2018"/>
    <d v="2026-02-11T00:00:00"/>
    <e v="#VALUE!"/>
    <n v="2"/>
    <n v="56138"/>
    <n v="28069"/>
    <s v="Achieved"/>
    <s v="Good"/>
  </r>
  <r>
    <x v="316"/>
    <x v="316"/>
    <s v="EMP_317"/>
    <x v="0"/>
    <s v="EMP_317HR"/>
    <x v="0"/>
    <x v="3"/>
    <n v="58353"/>
    <n v="11931"/>
    <n v="0"/>
    <n v="0"/>
    <d v="2019-03-07T00:00:00"/>
    <s v="2019"/>
    <d v="2026-02-11T00:00:00"/>
    <n v="6"/>
    <n v="1"/>
    <n v="70284"/>
    <n v="35142"/>
    <s v=" Not Achieved"/>
    <s v=" Excellent"/>
  </r>
  <r>
    <x v="317"/>
    <x v="317"/>
    <s v="EMP_318"/>
    <x v="1"/>
    <s v="EMP_318IT"/>
    <x v="3"/>
    <x v="0"/>
    <n v="74360"/>
    <n v="14025"/>
    <n v="0"/>
    <n v="0"/>
    <s v="3/15/2018"/>
    <s v="3/15/2018"/>
    <d v="2026-02-11T00:00:00"/>
    <e v="#VALUE!"/>
    <n v="1"/>
    <n v="88385"/>
    <n v="44192.5"/>
    <s v=" Not Achieved"/>
    <s v=" Excellent"/>
  </r>
  <r>
    <x v="318"/>
    <x v="318"/>
    <s v="EMP_319"/>
    <x v="0"/>
    <s v="EMP_319IT"/>
    <x v="3"/>
    <x v="3"/>
    <n v="42647"/>
    <n v="10546"/>
    <n v="0"/>
    <n v="0"/>
    <s v="8/17/2022"/>
    <s v="8/17/2022"/>
    <d v="2026-02-11T00:00:00"/>
    <e v="#VALUE!"/>
    <n v="4"/>
    <n v="53193"/>
    <n v="26596.5"/>
    <s v=" Not Achieved"/>
    <s v="Good"/>
  </r>
  <r>
    <x v="319"/>
    <x v="319"/>
    <s v="EMP_320"/>
    <x v="1"/>
    <s v="EMP_320Finance"/>
    <x v="2"/>
    <x v="3"/>
    <n v="71192"/>
    <n v="12096"/>
    <n v="0"/>
    <n v="0"/>
    <s v="12/14/2019"/>
    <s v="12/14/2019"/>
    <d v="2026-02-11T00:00:00"/>
    <e v="#VALUE!"/>
    <n v="1"/>
    <n v="83288"/>
    <n v="41644"/>
    <s v=" Not Achieved"/>
    <s v=" Excellent"/>
  </r>
  <r>
    <x v="320"/>
    <x v="320"/>
    <s v="EMP_321"/>
    <x v="0"/>
    <s v="EMP_321Marketing"/>
    <x v="4"/>
    <x v="0"/>
    <n v="20760"/>
    <n v="7688"/>
    <n v="0"/>
    <n v="0"/>
    <s v="12/13/2023"/>
    <s v="12/13/2023"/>
    <d v="2026-02-11T00:00:00"/>
    <e v="#VALUE!"/>
    <n v="1"/>
    <n v="28448"/>
    <n v="14224"/>
    <s v=" Not Achieved"/>
    <s v="poor"/>
  </r>
  <r>
    <x v="321"/>
    <x v="321"/>
    <s v="EMP_322"/>
    <x v="0"/>
    <s v="EMP_322Sales"/>
    <x v="1"/>
    <x v="2"/>
    <n v="24496"/>
    <n v="9142"/>
    <n v="161610"/>
    <n v="83826"/>
    <s v="2/17/2019"/>
    <s v="2/17/2019"/>
    <d v="2026-02-11T00:00:00"/>
    <e v="#VALUE!"/>
    <n v="2"/>
    <n v="33638"/>
    <n v="16819"/>
    <s v="Achieved"/>
    <s v="poor"/>
  </r>
  <r>
    <x v="322"/>
    <x v="322"/>
    <s v="EMP_323"/>
    <x v="1"/>
    <s v="EMP_323Finance"/>
    <x v="2"/>
    <x v="0"/>
    <n v="57017"/>
    <n v="11437"/>
    <n v="0"/>
    <n v="0"/>
    <s v="7/23/2018"/>
    <s v="7/23/2018"/>
    <d v="2026-02-11T00:00:00"/>
    <e v="#VALUE!"/>
    <n v="1"/>
    <n v="68454"/>
    <n v="34227"/>
    <s v=" Not Achieved"/>
    <s v=" Excellent"/>
  </r>
  <r>
    <x v="323"/>
    <x v="323"/>
    <s v="EMP_324"/>
    <x v="0"/>
    <s v="EMP_324Sales"/>
    <x v="1"/>
    <x v="4"/>
    <n v="70458"/>
    <n v="9048"/>
    <n v="185495"/>
    <n v="134984"/>
    <s v="9/24/2019"/>
    <s v="9/24/2019"/>
    <d v="2026-02-11T00:00:00"/>
    <e v="#VALUE!"/>
    <n v="3"/>
    <n v="79506"/>
    <n v="39753"/>
    <s v="Achieved"/>
    <s v=" Excellent"/>
  </r>
  <r>
    <x v="324"/>
    <x v="324"/>
    <s v="EMP_325"/>
    <x v="1"/>
    <s v="EMP_325Finance"/>
    <x v="2"/>
    <x v="4"/>
    <n v="32909"/>
    <n v="4777"/>
    <n v="0"/>
    <n v="0"/>
    <s v="10/22/2023"/>
    <s v="10/22/2023"/>
    <d v="2026-02-11T00:00:00"/>
    <e v="#VALUE!"/>
    <n v="2"/>
    <n v="37686"/>
    <n v="18843"/>
    <s v=" Not Achieved"/>
    <s v="Average"/>
  </r>
  <r>
    <x v="325"/>
    <x v="325"/>
    <s v="EMP_326"/>
    <x v="0"/>
    <s v="EMP_326HR"/>
    <x v="0"/>
    <x v="4"/>
    <n v="35019"/>
    <n v="9458"/>
    <n v="0"/>
    <n v="0"/>
    <s v="12/14/2022"/>
    <s v="12/14/2022"/>
    <d v="2026-02-11T00:00:00"/>
    <e v="#VALUE!"/>
    <n v="1"/>
    <n v="44477"/>
    <n v="22238.5"/>
    <s v=" Not Achieved"/>
    <s v="Average"/>
  </r>
  <r>
    <x v="326"/>
    <x v="326"/>
    <s v="EMP_327"/>
    <x v="1"/>
    <s v="EMP_327IT"/>
    <x v="3"/>
    <x v="1"/>
    <n v="33368"/>
    <n v="11227"/>
    <n v="0"/>
    <n v="0"/>
    <d v="2021-02-08T00:00:00"/>
    <s v="2021"/>
    <d v="2026-02-11T00:00:00"/>
    <n v="5"/>
    <n v="5"/>
    <n v="44595"/>
    <n v="22297.5"/>
    <s v=" Not Achieved"/>
    <s v="Average"/>
  </r>
  <r>
    <x v="327"/>
    <x v="327"/>
    <s v="EMP_328"/>
    <x v="1"/>
    <s v="EMP_328Sales"/>
    <x v="1"/>
    <x v="4"/>
    <n v="21003"/>
    <n v="2210"/>
    <n v="164857"/>
    <n v="214231"/>
    <s v="7/14/2019"/>
    <s v="7/14/2019"/>
    <d v="2026-02-11T00:00:00"/>
    <e v="#VALUE!"/>
    <n v="4"/>
    <n v="23213"/>
    <n v="11606.5"/>
    <s v=" Not Achieved"/>
    <s v="poor"/>
  </r>
  <r>
    <x v="328"/>
    <x v="328"/>
    <s v="EMP_329"/>
    <x v="0"/>
    <s v="EMP_329IT"/>
    <x v="3"/>
    <x v="4"/>
    <n v="70695"/>
    <n v="14239"/>
    <n v="0"/>
    <n v="0"/>
    <s v="12/28/2022"/>
    <s v="12/28/2022"/>
    <d v="2026-02-11T00:00:00"/>
    <e v="#VALUE!"/>
    <n v="1"/>
    <n v="84934"/>
    <n v="42467"/>
    <s v=" Not Achieved"/>
    <s v=" Excellent"/>
  </r>
  <r>
    <x v="329"/>
    <x v="329"/>
    <s v="EMP_330"/>
    <x v="0"/>
    <s v="EMP_330HR"/>
    <x v="0"/>
    <x v="2"/>
    <n v="44349"/>
    <n v="8566"/>
    <n v="0"/>
    <n v="0"/>
    <d v="2024-07-08T00:00:00"/>
    <s v="2024"/>
    <d v="2026-02-11T00:00:00"/>
    <n v="1"/>
    <n v="1"/>
    <n v="52915"/>
    <n v="26457.5"/>
    <s v=" Not Achieved"/>
    <s v="Good"/>
  </r>
  <r>
    <x v="330"/>
    <x v="330"/>
    <s v="EMP_331"/>
    <x v="0"/>
    <s v="EMP_331IT"/>
    <x v="3"/>
    <x v="0"/>
    <n v="36389"/>
    <n v="12329"/>
    <n v="0"/>
    <n v="0"/>
    <d v="2023-01-08T00:00:00"/>
    <s v="2023"/>
    <d v="2026-02-11T00:00:00"/>
    <n v="3"/>
    <n v="2"/>
    <n v="48718"/>
    <n v="24359"/>
    <s v=" Not Achieved"/>
    <s v="Average"/>
  </r>
  <r>
    <x v="331"/>
    <x v="331"/>
    <s v="EMP_332"/>
    <x v="1"/>
    <s v="EMP_332Marketing"/>
    <x v="4"/>
    <x v="1"/>
    <n v="63359"/>
    <n v="11423"/>
    <n v="0"/>
    <n v="0"/>
    <d v="2023-02-07T00:00:00"/>
    <s v="2023"/>
    <d v="2026-02-11T00:00:00"/>
    <n v="3"/>
    <n v="5"/>
    <n v="74782"/>
    <n v="37391"/>
    <s v=" Not Achieved"/>
    <s v=" Excellent"/>
  </r>
  <r>
    <x v="332"/>
    <x v="332"/>
    <s v="EMP_333"/>
    <x v="1"/>
    <s v="EMP_333Marketing"/>
    <x v="4"/>
    <x v="3"/>
    <n v="41948"/>
    <n v="10322"/>
    <n v="0"/>
    <n v="0"/>
    <d v="2024-08-09T00:00:00"/>
    <s v="2024"/>
    <d v="2026-02-11T00:00:00"/>
    <n v="1"/>
    <n v="5"/>
    <n v="52270"/>
    <n v="26135"/>
    <s v=" Not Achieved"/>
    <s v="Good"/>
  </r>
  <r>
    <x v="333"/>
    <x v="333"/>
    <s v="EMP_334"/>
    <x v="1"/>
    <s v="EMP_334Sales"/>
    <x v="1"/>
    <x v="4"/>
    <n v="51964"/>
    <n v="14425"/>
    <n v="298893"/>
    <n v="128396"/>
    <d v="2023-09-07T00:00:00"/>
    <s v="2023"/>
    <d v="2026-02-11T00:00:00"/>
    <n v="2"/>
    <n v="1"/>
    <n v="66389"/>
    <n v="33194.5"/>
    <s v="Achieved"/>
    <s v=" Excellent"/>
  </r>
  <r>
    <x v="334"/>
    <x v="334"/>
    <s v="EMP_335"/>
    <x v="0"/>
    <s v="EMP_335Marketing"/>
    <x v="4"/>
    <x v="3"/>
    <n v="51476"/>
    <n v="7421"/>
    <n v="0"/>
    <n v="0"/>
    <d v="2020-05-03T00:00:00"/>
    <s v="2020"/>
    <d v="2026-02-11T00:00:00"/>
    <n v="5"/>
    <n v="1"/>
    <n v="58897"/>
    <n v="29448.5"/>
    <s v=" Not Achieved"/>
    <s v=" Excellent"/>
  </r>
  <r>
    <x v="335"/>
    <x v="335"/>
    <s v="EMP_336"/>
    <x v="1"/>
    <s v="EMP_336IT"/>
    <x v="3"/>
    <x v="0"/>
    <n v="78962"/>
    <n v="8052"/>
    <n v="0"/>
    <n v="0"/>
    <s v="4/27/2022"/>
    <s v="4/27/2022"/>
    <d v="2026-02-11T00:00:00"/>
    <e v="#VALUE!"/>
    <n v="3"/>
    <n v="87014"/>
    <n v="43507"/>
    <s v=" Not Achieved"/>
    <s v=" Excellent"/>
  </r>
  <r>
    <x v="336"/>
    <x v="336"/>
    <s v="EMP_337"/>
    <x v="0"/>
    <s v="EMP_337IT"/>
    <x v="3"/>
    <x v="3"/>
    <n v="51755"/>
    <n v="10403"/>
    <n v="0"/>
    <n v="0"/>
    <s v="6/13/2021"/>
    <s v="6/13/2021"/>
    <d v="2026-02-11T00:00:00"/>
    <e v="#VALUE!"/>
    <n v="1"/>
    <n v="62158"/>
    <n v="31079"/>
    <s v=" Not Achieved"/>
    <s v=" Excellent"/>
  </r>
  <r>
    <x v="337"/>
    <x v="337"/>
    <s v="EMP_338"/>
    <x v="0"/>
    <s v="EMP_338Sales"/>
    <x v="1"/>
    <x v="2"/>
    <n v="79909"/>
    <n v="13927"/>
    <n v="198930"/>
    <n v="212214"/>
    <s v="6/24/2024"/>
    <s v="6/24/2024"/>
    <d v="2026-02-11T00:00:00"/>
    <e v="#VALUE!"/>
    <n v="5"/>
    <n v="93836"/>
    <n v="46918"/>
    <s v=" Not Achieved"/>
    <s v=" Excellent"/>
  </r>
  <r>
    <x v="338"/>
    <x v="338"/>
    <s v="EMP_339"/>
    <x v="1"/>
    <s v="EMP_339Marketing"/>
    <x v="4"/>
    <x v="0"/>
    <n v="34841"/>
    <n v="9201"/>
    <n v="0"/>
    <n v="0"/>
    <d v="2021-07-10T00:00:00"/>
    <s v="2021"/>
    <d v="2026-02-11T00:00:00"/>
    <n v="4"/>
    <n v="3"/>
    <n v="44042"/>
    <n v="22021"/>
    <s v=" Not Achieved"/>
    <s v="Average"/>
  </r>
  <r>
    <x v="339"/>
    <x v="339"/>
    <s v="EMP_340"/>
    <x v="1"/>
    <s v="EMP_340Finance"/>
    <x v="2"/>
    <x v="2"/>
    <n v="41453"/>
    <n v="12423"/>
    <n v="0"/>
    <n v="0"/>
    <s v="9/30/2024"/>
    <s v="9/30/2024"/>
    <d v="2026-02-11T00:00:00"/>
    <e v="#VALUE!"/>
    <n v="4"/>
    <n v="53876"/>
    <n v="26938"/>
    <s v=" Not Achieved"/>
    <s v="Good"/>
  </r>
  <r>
    <x v="340"/>
    <x v="340"/>
    <s v="EMP_341"/>
    <x v="0"/>
    <s v="EMP_341Marketing"/>
    <x v="4"/>
    <x v="1"/>
    <n v="78636"/>
    <n v="12700"/>
    <n v="0"/>
    <n v="0"/>
    <d v="2021-05-12T00:00:00"/>
    <s v="2021"/>
    <d v="2026-02-11T00:00:00"/>
    <n v="4"/>
    <n v="2"/>
    <n v="91336"/>
    <n v="45668"/>
    <s v=" Not Achieved"/>
    <s v=" Excellent"/>
  </r>
  <r>
    <x v="341"/>
    <x v="341"/>
    <s v="EMP_342"/>
    <x v="1"/>
    <s v="EMP_342Sales"/>
    <x v="1"/>
    <x v="0"/>
    <n v="27364"/>
    <n v="12542"/>
    <n v="137509"/>
    <n v="230540"/>
    <s v="12/28/2018"/>
    <s v="12/28/2018"/>
    <d v="2026-02-11T00:00:00"/>
    <e v="#VALUE!"/>
    <n v="5"/>
    <n v="39906"/>
    <n v="19953"/>
    <s v=" Not Achieved"/>
    <s v="poor"/>
  </r>
  <r>
    <x v="342"/>
    <x v="342"/>
    <s v="EMP_343"/>
    <x v="1"/>
    <s v="EMP_343HR"/>
    <x v="0"/>
    <x v="3"/>
    <n v="34734"/>
    <n v="11064"/>
    <n v="0"/>
    <n v="0"/>
    <s v="2/16/2022"/>
    <s v="2/16/2022"/>
    <d v="2026-02-11T00:00:00"/>
    <e v="#VALUE!"/>
    <n v="5"/>
    <n v="45798"/>
    <n v="22899"/>
    <s v=" Not Achieved"/>
    <s v="Average"/>
  </r>
  <r>
    <x v="343"/>
    <x v="343"/>
    <s v="EMP_344"/>
    <x v="1"/>
    <s v="EMP_344Marketing"/>
    <x v="4"/>
    <x v="1"/>
    <n v="54727"/>
    <n v="2587"/>
    <n v="0"/>
    <n v="0"/>
    <d v="2018-09-08T00:00:00"/>
    <s v="2018"/>
    <d v="2026-02-11T00:00:00"/>
    <n v="7"/>
    <n v="3"/>
    <n v="57314"/>
    <n v="28657"/>
    <s v=" Not Achieved"/>
    <s v=" Excellent"/>
  </r>
  <r>
    <x v="344"/>
    <x v="344"/>
    <s v="EMP_345"/>
    <x v="0"/>
    <s v="EMP_345Finance"/>
    <x v="2"/>
    <x v="3"/>
    <n v="23314"/>
    <n v="7625"/>
    <n v="0"/>
    <n v="0"/>
    <d v="2021-12-01T00:00:00"/>
    <s v="2021"/>
    <d v="2026-02-11T00:00:00"/>
    <n v="4"/>
    <n v="2"/>
    <n v="30939"/>
    <n v="15469.5"/>
    <s v=" Not Achieved"/>
    <s v="poor"/>
  </r>
  <r>
    <x v="345"/>
    <x v="345"/>
    <s v="EMP_346"/>
    <x v="1"/>
    <s v="EMP_346Marketing"/>
    <x v="4"/>
    <x v="3"/>
    <n v="79952"/>
    <n v="14434"/>
    <n v="0"/>
    <n v="0"/>
    <s v="7/15/2021"/>
    <s v="7/15/2021"/>
    <d v="2026-02-11T00:00:00"/>
    <e v="#VALUE!"/>
    <n v="1"/>
    <n v="94386"/>
    <n v="47193"/>
    <s v=" Not Achieved"/>
    <s v=" Excellent"/>
  </r>
  <r>
    <x v="346"/>
    <x v="346"/>
    <s v="EMP_347"/>
    <x v="0"/>
    <s v="EMP_347HR"/>
    <x v="0"/>
    <x v="0"/>
    <n v="42576"/>
    <n v="14387"/>
    <n v="0"/>
    <n v="0"/>
    <d v="2022-06-02T00:00:00"/>
    <s v="2022"/>
    <d v="2026-02-11T00:00:00"/>
    <n v="3"/>
    <n v="1"/>
    <n v="56963"/>
    <n v="28481.5"/>
    <s v=" Not Achieved"/>
    <s v="Good"/>
  </r>
  <r>
    <x v="347"/>
    <x v="347"/>
    <s v="EMP_348"/>
    <x v="0"/>
    <s v="EMP_348Marketing"/>
    <x v="4"/>
    <x v="4"/>
    <n v="24290"/>
    <n v="2959"/>
    <n v="0"/>
    <n v="0"/>
    <s v="6/29/2019"/>
    <s v="6/29/2019"/>
    <d v="2026-02-11T00:00:00"/>
    <e v="#VALUE!"/>
    <n v="2"/>
    <n v="27249"/>
    <n v="13624.5"/>
    <s v=" Not Achieved"/>
    <s v="poor"/>
  </r>
  <r>
    <x v="348"/>
    <x v="348"/>
    <s v="EMP_349"/>
    <x v="1"/>
    <s v="EMP_349IT"/>
    <x v="3"/>
    <x v="3"/>
    <n v="50274"/>
    <n v="7730"/>
    <n v="0"/>
    <n v="0"/>
    <d v="2024-01-07T00:00:00"/>
    <s v="2024"/>
    <d v="2026-02-11T00:00:00"/>
    <n v="2"/>
    <n v="1"/>
    <n v="58004"/>
    <n v="29002"/>
    <s v=" Not Achieved"/>
    <s v=" Excellent"/>
  </r>
  <r>
    <x v="349"/>
    <x v="349"/>
    <s v="EMP_350"/>
    <x v="0"/>
    <s v="EMP_350Finance"/>
    <x v="2"/>
    <x v="3"/>
    <n v="25427"/>
    <n v="4750"/>
    <n v="0"/>
    <n v="0"/>
    <d v="2021-06-12T00:00:00"/>
    <s v="2021"/>
    <d v="2026-02-11T00:00:00"/>
    <n v="4"/>
    <n v="5"/>
    <n v="30177"/>
    <n v="15088.5"/>
    <s v=" Not Achieved"/>
    <s v="poor"/>
  </r>
  <r>
    <x v="350"/>
    <x v="350"/>
    <s v="EMP_351"/>
    <x v="0"/>
    <s v="EMP_351Finance"/>
    <x v="2"/>
    <x v="4"/>
    <n v="49197"/>
    <n v="12843"/>
    <n v="0"/>
    <n v="0"/>
    <d v="2022-04-01T00:00:00"/>
    <s v="2022"/>
    <d v="2026-02-11T00:00:00"/>
    <n v="3"/>
    <n v="2"/>
    <n v="62040"/>
    <n v="31020"/>
    <s v=" Not Achieved"/>
    <s v="Good"/>
  </r>
  <r>
    <x v="351"/>
    <x v="351"/>
    <s v="EMP_352"/>
    <x v="0"/>
    <s v="EMP_352Finance"/>
    <x v="2"/>
    <x v="3"/>
    <n v="28499"/>
    <n v="9671"/>
    <n v="0"/>
    <n v="0"/>
    <s v="8/19/2020"/>
    <s v="8/19/2020"/>
    <d v="2026-02-11T00:00:00"/>
    <e v="#VALUE!"/>
    <n v="2"/>
    <n v="38170"/>
    <n v="19085"/>
    <s v=" Not Achieved"/>
    <s v="poor"/>
  </r>
  <r>
    <x v="352"/>
    <x v="352"/>
    <s v="EMP_353"/>
    <x v="1"/>
    <s v="EMP_353Finance"/>
    <x v="2"/>
    <x v="0"/>
    <n v="68196"/>
    <n v="4788"/>
    <n v="0"/>
    <n v="0"/>
    <s v="10/28/2023"/>
    <s v="10/28/2023"/>
    <d v="2026-02-11T00:00:00"/>
    <e v="#VALUE!"/>
    <n v="3"/>
    <n v="72984"/>
    <n v="36492"/>
    <s v=" Not Achieved"/>
    <s v=" Excellent"/>
  </r>
  <r>
    <x v="353"/>
    <x v="353"/>
    <s v="EMP_354"/>
    <x v="0"/>
    <s v="EMP_354HR"/>
    <x v="0"/>
    <x v="2"/>
    <n v="71770"/>
    <n v="13882"/>
    <n v="0"/>
    <n v="0"/>
    <s v="6/17/2022"/>
    <s v="6/17/2022"/>
    <d v="2026-02-11T00:00:00"/>
    <e v="#VALUE!"/>
    <n v="4"/>
    <n v="85652"/>
    <n v="42826"/>
    <s v=" Not Achieved"/>
    <s v=" Excellent"/>
  </r>
  <r>
    <x v="354"/>
    <x v="354"/>
    <s v="EMP_355"/>
    <x v="1"/>
    <s v="EMP_355Sales"/>
    <x v="1"/>
    <x v="0"/>
    <n v="62584"/>
    <n v="14998"/>
    <n v="199859"/>
    <n v="208349"/>
    <d v="2022-01-12T00:00:00"/>
    <s v="2022"/>
    <d v="2026-02-11T00:00:00"/>
    <n v="4"/>
    <n v="4"/>
    <n v="77582"/>
    <n v="38791"/>
    <s v=" Not Achieved"/>
    <s v=" Excellent"/>
  </r>
  <r>
    <x v="355"/>
    <x v="355"/>
    <s v="EMP_356"/>
    <x v="0"/>
    <s v="EMP_356Marketing"/>
    <x v="4"/>
    <x v="1"/>
    <n v="45780"/>
    <n v="7149"/>
    <n v="0"/>
    <n v="0"/>
    <s v="11/27/2018"/>
    <s v="11/27/2018"/>
    <d v="2026-02-11T00:00:00"/>
    <e v="#VALUE!"/>
    <n v="2"/>
    <n v="52929"/>
    <n v="26464.5"/>
    <s v=" Not Achieved"/>
    <s v="Good"/>
  </r>
  <r>
    <x v="356"/>
    <x v="356"/>
    <s v="EMP_357"/>
    <x v="1"/>
    <s v="EMP_357HR"/>
    <x v="0"/>
    <x v="1"/>
    <n v="39882"/>
    <n v="10154"/>
    <n v="0"/>
    <n v="0"/>
    <d v="2022-01-08T00:00:00"/>
    <s v="2022"/>
    <d v="2026-02-11T00:00:00"/>
    <n v="4"/>
    <n v="1"/>
    <n v="50036"/>
    <n v="25018"/>
    <s v=" Not Achieved"/>
    <s v="Average"/>
  </r>
  <r>
    <x v="357"/>
    <x v="357"/>
    <s v="EMP_358"/>
    <x v="1"/>
    <s v="EMP_358HR"/>
    <x v="0"/>
    <x v="1"/>
    <n v="75360"/>
    <n v="9561"/>
    <n v="0"/>
    <n v="0"/>
    <d v="2021-10-07T00:00:00"/>
    <s v="2021"/>
    <d v="2026-02-11T00:00:00"/>
    <n v="4"/>
    <n v="1"/>
    <n v="84921"/>
    <n v="42460.5"/>
    <s v=" Not Achieved"/>
    <s v=" Excellent"/>
  </r>
  <r>
    <x v="358"/>
    <x v="358"/>
    <s v="EMP_359"/>
    <x v="1"/>
    <s v="EMP_359HR"/>
    <x v="0"/>
    <x v="2"/>
    <n v="67492"/>
    <n v="3479"/>
    <n v="0"/>
    <n v="0"/>
    <s v="12/26/2022"/>
    <s v="12/26/2022"/>
    <d v="2026-02-11T00:00:00"/>
    <e v="#VALUE!"/>
    <n v="4"/>
    <n v="70971"/>
    <n v="35485.5"/>
    <s v=" Not Achieved"/>
    <s v=" Excellent"/>
  </r>
  <r>
    <x v="359"/>
    <x v="359"/>
    <s v="EMP_360"/>
    <x v="1"/>
    <s v="EMP_360Sales"/>
    <x v="1"/>
    <x v="0"/>
    <n v="36802"/>
    <n v="2396"/>
    <n v="295220"/>
    <n v="189515"/>
    <s v="7/20/2019"/>
    <s v="7/20/2019"/>
    <d v="2026-02-11T00:00:00"/>
    <e v="#VALUE!"/>
    <n v="1"/>
    <n v="39198"/>
    <n v="19599"/>
    <s v="Achieved"/>
    <s v="Average"/>
  </r>
  <r>
    <x v="360"/>
    <x v="360"/>
    <s v="EMP_361"/>
    <x v="1"/>
    <s v="EMP_361IT"/>
    <x v="3"/>
    <x v="3"/>
    <n v="44683"/>
    <n v="3131"/>
    <n v="0"/>
    <n v="0"/>
    <d v="2024-05-08T00:00:00"/>
    <s v="2024"/>
    <d v="2026-02-11T00:00:00"/>
    <n v="1"/>
    <n v="5"/>
    <n v="47814"/>
    <n v="23907"/>
    <s v=" Not Achieved"/>
    <s v="Good"/>
  </r>
  <r>
    <x v="361"/>
    <x v="361"/>
    <s v="EMP_362"/>
    <x v="1"/>
    <s v="EMP_362HR"/>
    <x v="0"/>
    <x v="4"/>
    <n v="67493"/>
    <n v="9820"/>
    <n v="0"/>
    <n v="0"/>
    <d v="2024-03-09T00:00:00"/>
    <s v="2024"/>
    <d v="2026-02-11T00:00:00"/>
    <n v="1"/>
    <n v="2"/>
    <n v="77313"/>
    <n v="38656.5"/>
    <s v=" Not Achieved"/>
    <s v=" Excellent"/>
  </r>
  <r>
    <x v="362"/>
    <x v="362"/>
    <s v="EMP_363"/>
    <x v="0"/>
    <s v="EMP_363Marketing"/>
    <x v="4"/>
    <x v="0"/>
    <n v="49401"/>
    <n v="4786"/>
    <n v="0"/>
    <n v="0"/>
    <d v="2021-01-03T00:00:00"/>
    <s v="2021"/>
    <d v="2026-02-11T00:00:00"/>
    <n v="5"/>
    <n v="2"/>
    <n v="54187"/>
    <n v="27093.5"/>
    <s v=" Not Achieved"/>
    <s v="Good"/>
  </r>
  <r>
    <x v="363"/>
    <x v="363"/>
    <s v="EMP_364"/>
    <x v="1"/>
    <s v="EMP_364HR"/>
    <x v="0"/>
    <x v="4"/>
    <n v="43331"/>
    <n v="7347"/>
    <n v="0"/>
    <n v="0"/>
    <s v="11/20/2022"/>
    <s v="11/20/2022"/>
    <d v="2026-02-11T00:00:00"/>
    <e v="#VALUE!"/>
    <n v="2"/>
    <n v="50678"/>
    <n v="25339"/>
    <s v=" Not Achieved"/>
    <s v="Good"/>
  </r>
  <r>
    <x v="364"/>
    <x v="364"/>
    <s v="EMP_365"/>
    <x v="1"/>
    <s v="EMP_365Marketing"/>
    <x v="4"/>
    <x v="0"/>
    <n v="40465"/>
    <n v="12214"/>
    <n v="0"/>
    <n v="0"/>
    <s v="10/27/2024"/>
    <s v="10/27/2024"/>
    <d v="2026-02-11T00:00:00"/>
    <e v="#VALUE!"/>
    <n v="3"/>
    <n v="52679"/>
    <n v="26339.5"/>
    <s v=" Not Achieved"/>
    <s v="Good"/>
  </r>
  <r>
    <x v="365"/>
    <x v="365"/>
    <s v="EMP_366"/>
    <x v="0"/>
    <s v="EMP_366Marketing"/>
    <x v="4"/>
    <x v="2"/>
    <n v="55637"/>
    <n v="5738"/>
    <n v="0"/>
    <n v="0"/>
    <d v="2019-07-11T00:00:00"/>
    <s v="2019"/>
    <d v="2026-02-11T00:00:00"/>
    <n v="6"/>
    <n v="5"/>
    <n v="61375"/>
    <n v="30687.5"/>
    <s v=" Not Achieved"/>
    <s v=" Excellent"/>
  </r>
  <r>
    <x v="366"/>
    <x v="366"/>
    <s v="EMP_367"/>
    <x v="1"/>
    <s v="EMP_367Marketing"/>
    <x v="4"/>
    <x v="3"/>
    <n v="78919"/>
    <n v="14905"/>
    <n v="0"/>
    <n v="0"/>
    <s v="11/27/2020"/>
    <s v="11/27/2020"/>
    <d v="2026-02-11T00:00:00"/>
    <e v="#VALUE!"/>
    <n v="1"/>
    <n v="93824"/>
    <n v="46912"/>
    <s v=" Not Achieved"/>
    <s v=" Excellent"/>
  </r>
  <r>
    <x v="367"/>
    <x v="367"/>
    <s v="EMP_368"/>
    <x v="0"/>
    <s v="EMP_368Finance"/>
    <x v="2"/>
    <x v="4"/>
    <n v="35985"/>
    <n v="11350"/>
    <n v="0"/>
    <n v="0"/>
    <d v="2020-11-11T00:00:00"/>
    <s v="2020"/>
    <d v="2026-02-11T00:00:00"/>
    <n v="5"/>
    <n v="4"/>
    <n v="47335"/>
    <n v="23667.5"/>
    <s v=" Not Achieved"/>
    <s v="Average"/>
  </r>
  <r>
    <x v="368"/>
    <x v="368"/>
    <s v="EMP_369"/>
    <x v="1"/>
    <s v="EMP_369Marketing"/>
    <x v="4"/>
    <x v="2"/>
    <n v="27220"/>
    <n v="4151"/>
    <n v="0"/>
    <n v="0"/>
    <s v="1/15/2018"/>
    <s v="1/15/2018"/>
    <d v="2026-02-11T00:00:00"/>
    <e v="#VALUE!"/>
    <n v="4"/>
    <n v="31371"/>
    <n v="15685.5"/>
    <s v=" Not Achieved"/>
    <s v="poor"/>
  </r>
  <r>
    <x v="369"/>
    <x v="369"/>
    <s v="EMP_370"/>
    <x v="0"/>
    <s v="EMP_370Sales"/>
    <x v="1"/>
    <x v="4"/>
    <n v="29866"/>
    <n v="10747"/>
    <n v="55194"/>
    <n v="190791"/>
    <s v="10/19/2022"/>
    <s v="10/19/2022"/>
    <d v="2026-02-11T00:00:00"/>
    <e v="#VALUE!"/>
    <n v="3"/>
    <n v="40613"/>
    <n v="20306.5"/>
    <s v=" Not Achieved"/>
    <s v="poor"/>
  </r>
  <r>
    <x v="370"/>
    <x v="370"/>
    <s v="EMP_371"/>
    <x v="0"/>
    <s v="EMP_371HR"/>
    <x v="0"/>
    <x v="1"/>
    <n v="65151"/>
    <n v="8702"/>
    <n v="0"/>
    <n v="0"/>
    <s v="3/23/2023"/>
    <s v="3/23/2023"/>
    <d v="2026-02-11T00:00:00"/>
    <e v="#VALUE!"/>
    <n v="1"/>
    <n v="73853"/>
    <n v="36926.5"/>
    <s v=" Not Achieved"/>
    <s v=" Excellent"/>
  </r>
  <r>
    <x v="371"/>
    <x v="371"/>
    <s v="EMP_372"/>
    <x v="0"/>
    <s v="EMP_372Sales"/>
    <x v="1"/>
    <x v="3"/>
    <n v="35465"/>
    <n v="14078"/>
    <n v="77175"/>
    <n v="174669"/>
    <s v="7/21/2020"/>
    <s v="7/21/2020"/>
    <d v="2026-02-11T00:00:00"/>
    <e v="#VALUE!"/>
    <n v="3"/>
    <n v="49543"/>
    <n v="24771.5"/>
    <s v=" Not Achieved"/>
    <s v="Average"/>
  </r>
  <r>
    <x v="372"/>
    <x v="372"/>
    <s v="EMP_373"/>
    <x v="1"/>
    <s v="EMP_373HR"/>
    <x v="0"/>
    <x v="1"/>
    <n v="55089"/>
    <n v="7439"/>
    <n v="0"/>
    <n v="0"/>
    <s v="12/20/2019"/>
    <s v="12/20/2019"/>
    <d v="2026-02-11T00:00:00"/>
    <e v="#VALUE!"/>
    <n v="3"/>
    <n v="62528"/>
    <n v="31264"/>
    <s v=" Not Achieved"/>
    <s v=" Excellent"/>
  </r>
  <r>
    <x v="373"/>
    <x v="373"/>
    <s v="EMP_374"/>
    <x v="1"/>
    <s v="EMP_374HR"/>
    <x v="0"/>
    <x v="3"/>
    <n v="70262"/>
    <n v="5185"/>
    <n v="0"/>
    <n v="0"/>
    <s v="4/27/2022"/>
    <s v="4/27/2022"/>
    <d v="2026-02-11T00:00:00"/>
    <e v="#VALUE!"/>
    <n v="1"/>
    <n v="75447"/>
    <n v="37723.5"/>
    <s v=" Not Achieved"/>
    <s v=" Excellent"/>
  </r>
  <r>
    <x v="374"/>
    <x v="374"/>
    <s v="EMP_375"/>
    <x v="0"/>
    <s v="EMP_375Sales"/>
    <x v="1"/>
    <x v="0"/>
    <n v="75186"/>
    <n v="2748"/>
    <n v="267318"/>
    <n v="91502"/>
    <s v="5/29/2024"/>
    <s v="5/29/2024"/>
    <d v="2026-02-11T00:00:00"/>
    <e v="#VALUE!"/>
    <n v="2"/>
    <n v="77934"/>
    <n v="38967"/>
    <s v="Achieved"/>
    <s v=" Excellent"/>
  </r>
  <r>
    <x v="375"/>
    <x v="375"/>
    <s v="EMP_376"/>
    <x v="0"/>
    <s v="EMP_376Finance"/>
    <x v="2"/>
    <x v="3"/>
    <n v="35023"/>
    <n v="4551"/>
    <n v="0"/>
    <n v="0"/>
    <s v="11/17/2021"/>
    <s v="11/17/2021"/>
    <d v="2026-02-11T00:00:00"/>
    <e v="#VALUE!"/>
    <n v="3"/>
    <n v="39574"/>
    <n v="19787"/>
    <s v=" Not Achieved"/>
    <s v="Average"/>
  </r>
  <r>
    <x v="376"/>
    <x v="376"/>
    <s v="EMP_377"/>
    <x v="1"/>
    <s v="EMP_377IT"/>
    <x v="3"/>
    <x v="1"/>
    <n v="51012"/>
    <n v="3870"/>
    <n v="0"/>
    <n v="0"/>
    <s v="4/29/2019"/>
    <s v="4/29/2019"/>
    <d v="2026-02-11T00:00:00"/>
    <e v="#VALUE!"/>
    <n v="3"/>
    <n v="54882"/>
    <n v="27441"/>
    <s v=" Not Achieved"/>
    <s v=" Excellent"/>
  </r>
  <r>
    <x v="377"/>
    <x v="377"/>
    <s v="EMP_378"/>
    <x v="0"/>
    <s v="EMP_378HR"/>
    <x v="0"/>
    <x v="0"/>
    <n v="62103"/>
    <n v="8629"/>
    <n v="0"/>
    <n v="0"/>
    <s v="2/24/2019"/>
    <s v="2/24/2019"/>
    <d v="2026-02-11T00:00:00"/>
    <e v="#VALUE!"/>
    <n v="5"/>
    <n v="70732"/>
    <n v="35366"/>
    <s v=" Not Achieved"/>
    <s v=" Excellent"/>
  </r>
  <r>
    <x v="378"/>
    <x v="378"/>
    <s v="EMP_379"/>
    <x v="1"/>
    <s v="EMP_379Marketing"/>
    <x v="4"/>
    <x v="3"/>
    <n v="51624"/>
    <n v="3750"/>
    <n v="0"/>
    <n v="0"/>
    <s v="10/19/2023"/>
    <s v="10/19/2023"/>
    <d v="2026-02-11T00:00:00"/>
    <e v="#VALUE!"/>
    <n v="3"/>
    <n v="55374"/>
    <n v="27687"/>
    <s v=" Not Achieved"/>
    <s v=" Excellent"/>
  </r>
  <r>
    <x v="379"/>
    <x v="379"/>
    <s v="EMP_380"/>
    <x v="0"/>
    <s v="EMP_380IT"/>
    <x v="3"/>
    <x v="1"/>
    <n v="77751"/>
    <n v="3839"/>
    <n v="0"/>
    <n v="0"/>
    <s v="10/15/2022"/>
    <s v="10/15/2022"/>
    <d v="2026-02-11T00:00:00"/>
    <e v="#VALUE!"/>
    <n v="4"/>
    <n v="81590"/>
    <n v="40795"/>
    <s v=" Not Achieved"/>
    <s v=" Excellent"/>
  </r>
  <r>
    <x v="380"/>
    <x v="380"/>
    <s v="EMP_381"/>
    <x v="0"/>
    <s v="EMP_381HR"/>
    <x v="0"/>
    <x v="2"/>
    <n v="55015"/>
    <n v="9040"/>
    <n v="0"/>
    <n v="0"/>
    <d v="2023-03-07T00:00:00"/>
    <s v="2023"/>
    <d v="2026-02-11T00:00:00"/>
    <n v="2"/>
    <n v="3"/>
    <n v="64055"/>
    <n v="32027.5"/>
    <s v=" Not Achieved"/>
    <s v=" Excellent"/>
  </r>
  <r>
    <x v="381"/>
    <x v="381"/>
    <s v="EMP_382"/>
    <x v="1"/>
    <s v="EMP_382Finance"/>
    <x v="2"/>
    <x v="0"/>
    <n v="28540"/>
    <n v="8038"/>
    <n v="0"/>
    <n v="0"/>
    <s v="11/14/2022"/>
    <s v="11/14/2022"/>
    <d v="2026-02-11T00:00:00"/>
    <e v="#VALUE!"/>
    <n v="1"/>
    <n v="36578"/>
    <n v="18289"/>
    <s v=" Not Achieved"/>
    <s v="poor"/>
  </r>
  <r>
    <x v="382"/>
    <x v="382"/>
    <s v="EMP_383"/>
    <x v="0"/>
    <s v="EMP_383IT"/>
    <x v="3"/>
    <x v="0"/>
    <n v="26829"/>
    <n v="13956"/>
    <n v="0"/>
    <n v="0"/>
    <s v="3/28/2019"/>
    <s v="3/28/2019"/>
    <d v="2026-02-11T00:00:00"/>
    <e v="#VALUE!"/>
    <n v="5"/>
    <n v="40785"/>
    <n v="20392.5"/>
    <s v=" Not Achieved"/>
    <s v="poor"/>
  </r>
  <r>
    <x v="383"/>
    <x v="383"/>
    <s v="EMP_384"/>
    <x v="1"/>
    <s v="EMP_384IT"/>
    <x v="3"/>
    <x v="1"/>
    <n v="79565"/>
    <n v="14667"/>
    <n v="0"/>
    <n v="0"/>
    <s v="1/21/2024"/>
    <s v="1/21/2024"/>
    <d v="2026-02-11T00:00:00"/>
    <e v="#VALUE!"/>
    <n v="3"/>
    <n v="94232"/>
    <n v="47116"/>
    <s v=" Not Achieved"/>
    <s v=" Excellent"/>
  </r>
  <r>
    <x v="384"/>
    <x v="384"/>
    <s v="EMP_385"/>
    <x v="1"/>
    <s v="EMP_385Sales"/>
    <x v="1"/>
    <x v="2"/>
    <n v="67915"/>
    <n v="14856"/>
    <n v="218034"/>
    <n v="155507"/>
    <s v="5/24/2022"/>
    <s v="5/24/2022"/>
    <d v="2026-02-11T00:00:00"/>
    <e v="#VALUE!"/>
    <n v="5"/>
    <n v="82771"/>
    <n v="41385.5"/>
    <s v="Achieved"/>
    <s v=" Excellent"/>
  </r>
  <r>
    <x v="385"/>
    <x v="385"/>
    <s v="EMP_386"/>
    <x v="1"/>
    <s v="EMP_386Marketing"/>
    <x v="4"/>
    <x v="3"/>
    <n v="44360"/>
    <n v="10393"/>
    <n v="0"/>
    <n v="0"/>
    <d v="2021-02-07T00:00:00"/>
    <s v="2021"/>
    <d v="2026-02-11T00:00:00"/>
    <n v="5"/>
    <n v="5"/>
    <n v="54753"/>
    <n v="27376.5"/>
    <s v=" Not Achieved"/>
    <s v="Good"/>
  </r>
  <r>
    <x v="386"/>
    <x v="386"/>
    <s v="EMP_387"/>
    <x v="1"/>
    <s v="EMP_387Finance"/>
    <x v="2"/>
    <x v="4"/>
    <n v="23804"/>
    <n v="8070"/>
    <n v="0"/>
    <n v="0"/>
    <s v="3/21/2023"/>
    <s v="3/21/2023"/>
    <d v="2026-02-11T00:00:00"/>
    <e v="#VALUE!"/>
    <n v="1"/>
    <n v="31874"/>
    <n v="15937"/>
    <s v=" Not Achieved"/>
    <s v="poor"/>
  </r>
  <r>
    <x v="387"/>
    <x v="387"/>
    <s v="EMP_388"/>
    <x v="1"/>
    <s v="EMP_388IT"/>
    <x v="3"/>
    <x v="3"/>
    <n v="75302"/>
    <n v="11015"/>
    <n v="0"/>
    <n v="0"/>
    <s v="7/15/2022"/>
    <s v="7/15/2022"/>
    <d v="2026-02-11T00:00:00"/>
    <e v="#VALUE!"/>
    <n v="5"/>
    <n v="86317"/>
    <n v="43158.5"/>
    <s v=" Not Achieved"/>
    <s v=" Excellent"/>
  </r>
  <r>
    <x v="388"/>
    <x v="388"/>
    <s v="EMP_389"/>
    <x v="1"/>
    <s v="EMP_389Finance"/>
    <x v="2"/>
    <x v="3"/>
    <n v="41800"/>
    <n v="12807"/>
    <n v="0"/>
    <n v="0"/>
    <d v="2021-03-02T00:00:00"/>
    <s v="2021"/>
    <d v="2026-02-11T00:00:00"/>
    <n v="4"/>
    <n v="3"/>
    <n v="54607"/>
    <n v="27303.5"/>
    <s v=" Not Achieved"/>
    <s v="Good"/>
  </r>
  <r>
    <x v="389"/>
    <x v="389"/>
    <s v="EMP_390"/>
    <x v="1"/>
    <s v="EMP_390IT"/>
    <x v="3"/>
    <x v="4"/>
    <n v="22229"/>
    <n v="8646"/>
    <n v="0"/>
    <n v="0"/>
    <d v="2021-06-12T00:00:00"/>
    <s v="2021"/>
    <d v="2026-02-11T00:00:00"/>
    <n v="4"/>
    <n v="3"/>
    <n v="30875"/>
    <n v="15437.5"/>
    <s v=" Not Achieved"/>
    <s v="poor"/>
  </r>
  <r>
    <x v="390"/>
    <x v="390"/>
    <s v="EMP_391"/>
    <x v="1"/>
    <s v="EMP_391Marketing"/>
    <x v="4"/>
    <x v="1"/>
    <n v="21848"/>
    <n v="8011"/>
    <n v="0"/>
    <n v="0"/>
    <s v="9/28/2020"/>
    <s v="9/28/2020"/>
    <d v="2026-02-11T00:00:00"/>
    <e v="#VALUE!"/>
    <n v="5"/>
    <n v="29859"/>
    <n v="14929.5"/>
    <s v=" Not Achieved"/>
    <s v="poor"/>
  </r>
  <r>
    <x v="391"/>
    <x v="391"/>
    <s v="EMP_392"/>
    <x v="1"/>
    <s v="EMP_392Marketing"/>
    <x v="4"/>
    <x v="0"/>
    <n v="75970"/>
    <n v="8239"/>
    <n v="0"/>
    <n v="0"/>
    <s v="8/23/2021"/>
    <s v="8/23/2021"/>
    <d v="2026-02-11T00:00:00"/>
    <e v="#VALUE!"/>
    <n v="4"/>
    <n v="84209"/>
    <n v="42104.5"/>
    <s v=" Not Achieved"/>
    <s v=" Excellent"/>
  </r>
  <r>
    <x v="392"/>
    <x v="392"/>
    <s v="EMP_393"/>
    <x v="1"/>
    <s v="EMP_393Sales"/>
    <x v="1"/>
    <x v="4"/>
    <n v="64131"/>
    <n v="11479"/>
    <n v="214712"/>
    <n v="175994"/>
    <s v="11/20/2023"/>
    <s v="11/20/2023"/>
    <d v="2026-02-11T00:00:00"/>
    <e v="#VALUE!"/>
    <n v="2"/>
    <n v="75610"/>
    <n v="37805"/>
    <s v="Achieved"/>
    <s v=" Excellent"/>
  </r>
  <r>
    <x v="393"/>
    <x v="393"/>
    <s v="EMP_394"/>
    <x v="1"/>
    <s v="EMP_394Sales"/>
    <x v="1"/>
    <x v="0"/>
    <n v="40314"/>
    <n v="4400"/>
    <n v="269415"/>
    <n v="200579"/>
    <s v="6/15/2022"/>
    <s v="6/15/2022"/>
    <d v="2026-02-11T00:00:00"/>
    <e v="#VALUE!"/>
    <n v="5"/>
    <n v="44714"/>
    <n v="22357"/>
    <s v="Achieved"/>
    <s v="Good"/>
  </r>
  <r>
    <x v="394"/>
    <x v="394"/>
    <s v="EMP_395"/>
    <x v="1"/>
    <s v="EMP_395Sales"/>
    <x v="1"/>
    <x v="2"/>
    <n v="61952"/>
    <n v="7196"/>
    <n v="137251"/>
    <n v="189166"/>
    <d v="2020-01-05T00:00:00"/>
    <s v="2020"/>
    <d v="2026-02-11T00:00:00"/>
    <n v="6"/>
    <n v="5"/>
    <n v="69148"/>
    <n v="34574"/>
    <s v=" Not Achieved"/>
    <s v=" Excellent"/>
  </r>
  <r>
    <x v="395"/>
    <x v="395"/>
    <s v="EMP_396"/>
    <x v="1"/>
    <s v="EMP_396Marketing"/>
    <x v="4"/>
    <x v="4"/>
    <n v="61184"/>
    <n v="2784"/>
    <n v="0"/>
    <n v="0"/>
    <d v="2024-02-03T00:00:00"/>
    <s v="2024"/>
    <d v="2026-02-11T00:00:00"/>
    <n v="2"/>
    <n v="4"/>
    <n v="63968"/>
    <n v="31984"/>
    <s v=" Not Achieved"/>
    <s v=" Excellent"/>
  </r>
  <r>
    <x v="396"/>
    <x v="396"/>
    <s v="EMP_397"/>
    <x v="1"/>
    <s v="EMP_397Marketing"/>
    <x v="4"/>
    <x v="1"/>
    <n v="44554"/>
    <n v="10312"/>
    <n v="0"/>
    <n v="0"/>
    <d v="2021-10-11T00:00:00"/>
    <s v="2021"/>
    <d v="2026-02-11T00:00:00"/>
    <n v="4"/>
    <n v="3"/>
    <n v="54866"/>
    <n v="27433"/>
    <s v=" Not Achieved"/>
    <s v="Good"/>
  </r>
  <r>
    <x v="397"/>
    <x v="397"/>
    <s v="EMP_398"/>
    <x v="1"/>
    <s v="EMP_398Marketing"/>
    <x v="4"/>
    <x v="4"/>
    <n v="66513"/>
    <n v="10731"/>
    <n v="0"/>
    <n v="0"/>
    <s v="9/22/2019"/>
    <s v="9/22/2019"/>
    <d v="2026-02-11T00:00:00"/>
    <e v="#VALUE!"/>
    <n v="3"/>
    <n v="77244"/>
    <n v="38622"/>
    <s v=" Not Achieved"/>
    <s v=" Excellent"/>
  </r>
  <r>
    <x v="398"/>
    <x v="398"/>
    <s v="EMP_399"/>
    <x v="1"/>
    <s v="EMP_399IT"/>
    <x v="3"/>
    <x v="2"/>
    <n v="22725"/>
    <n v="9833"/>
    <n v="0"/>
    <n v="0"/>
    <d v="2024-12-02T00:00:00"/>
    <s v="2024"/>
    <d v="2026-02-11T00:00:00"/>
    <n v="1"/>
    <n v="2"/>
    <n v="32558"/>
    <n v="16279"/>
    <s v=" Not Achieved"/>
    <s v="poor"/>
  </r>
  <r>
    <x v="399"/>
    <x v="399"/>
    <s v="EMP_400"/>
    <x v="0"/>
    <s v="EMP_400Sales"/>
    <x v="1"/>
    <x v="0"/>
    <n v="23890"/>
    <n v="10082"/>
    <n v="231204"/>
    <n v="129279"/>
    <s v="9/21/2023"/>
    <s v="9/21/2023"/>
    <d v="2026-02-11T00:00:00"/>
    <e v="#VALUE!"/>
    <n v="1"/>
    <n v="33972"/>
    <n v="16986"/>
    <s v="Achieved"/>
    <s v="poor"/>
  </r>
  <r>
    <x v="400"/>
    <x v="400"/>
    <s v="EMP_401"/>
    <x v="0"/>
    <s v="EMP_401Finance"/>
    <x v="2"/>
    <x v="3"/>
    <n v="78549"/>
    <n v="8254"/>
    <n v="0"/>
    <n v="0"/>
    <d v="2018-04-04T00:00:00"/>
    <s v="2018"/>
    <d v="2026-02-11T00:00:00"/>
    <n v="7"/>
    <n v="1"/>
    <n v="86803"/>
    <n v="43401.5"/>
    <s v=" Not Achieved"/>
    <s v=" Excellent"/>
  </r>
  <r>
    <x v="401"/>
    <x v="401"/>
    <s v="EMP_402"/>
    <x v="1"/>
    <s v="EMP_402IT"/>
    <x v="3"/>
    <x v="2"/>
    <n v="29733"/>
    <n v="2737"/>
    <n v="0"/>
    <n v="0"/>
    <s v="10/19/2018"/>
    <s v="10/19/2018"/>
    <d v="2026-02-11T00:00:00"/>
    <e v="#VALUE!"/>
    <n v="4"/>
    <n v="32470"/>
    <n v="16235"/>
    <s v=" Not Achieved"/>
    <s v="poor"/>
  </r>
  <r>
    <x v="402"/>
    <x v="402"/>
    <s v="EMP_403"/>
    <x v="1"/>
    <s v="EMP_403IT"/>
    <x v="3"/>
    <x v="3"/>
    <n v="48531"/>
    <n v="12795"/>
    <n v="0"/>
    <n v="0"/>
    <s v="4/23/2018"/>
    <s v="4/23/2018"/>
    <d v="2026-02-11T00:00:00"/>
    <e v="#VALUE!"/>
    <n v="4"/>
    <n v="61326"/>
    <n v="30663"/>
    <s v=" Not Achieved"/>
    <s v="Good"/>
  </r>
  <r>
    <x v="403"/>
    <x v="403"/>
    <s v="EMP_404"/>
    <x v="1"/>
    <s v="EMP_404IT"/>
    <x v="3"/>
    <x v="4"/>
    <n v="55395"/>
    <n v="6368"/>
    <n v="0"/>
    <n v="0"/>
    <d v="2019-03-01T00:00:00"/>
    <s v="2019"/>
    <d v="2026-02-11T00:00:00"/>
    <n v="6"/>
    <n v="2"/>
    <n v="61763"/>
    <n v="30881.5"/>
    <s v=" Not Achieved"/>
    <s v=" Excellent"/>
  </r>
  <r>
    <x v="404"/>
    <x v="404"/>
    <s v="EMP_405"/>
    <x v="0"/>
    <s v="EMP_405Finance"/>
    <x v="2"/>
    <x v="2"/>
    <n v="69487"/>
    <n v="3861"/>
    <n v="0"/>
    <n v="0"/>
    <d v="2020-06-01T00:00:00"/>
    <s v="2020"/>
    <d v="2026-02-11T00:00:00"/>
    <n v="5"/>
    <n v="2"/>
    <n v="73348"/>
    <n v="36674"/>
    <s v=" Not Achieved"/>
    <s v=" Excellent"/>
  </r>
  <r>
    <x v="405"/>
    <x v="405"/>
    <s v="EMP_406"/>
    <x v="0"/>
    <s v="EMP_406Marketing"/>
    <x v="4"/>
    <x v="4"/>
    <n v="59551"/>
    <n v="13766"/>
    <n v="0"/>
    <n v="0"/>
    <d v="2022-02-03T00:00:00"/>
    <s v="2022"/>
    <d v="2026-02-11T00:00:00"/>
    <n v="4"/>
    <n v="1"/>
    <n v="73317"/>
    <n v="36658.5"/>
    <s v=" Not Achieved"/>
    <s v=" Excellent"/>
  </r>
  <r>
    <x v="406"/>
    <x v="406"/>
    <s v="EMP_407"/>
    <x v="1"/>
    <s v="EMP_407IT"/>
    <x v="3"/>
    <x v="1"/>
    <n v="64748"/>
    <n v="13915"/>
    <n v="0"/>
    <n v="0"/>
    <s v="11/21/2022"/>
    <s v="11/21/2022"/>
    <d v="2026-02-11T00:00:00"/>
    <e v="#VALUE!"/>
    <n v="3"/>
    <n v="78663"/>
    <n v="39331.5"/>
    <s v=" Not Achieved"/>
    <s v=" Excellent"/>
  </r>
  <r>
    <x v="407"/>
    <x v="407"/>
    <s v="EMP_408"/>
    <x v="0"/>
    <s v="EMP_408IT"/>
    <x v="3"/>
    <x v="1"/>
    <n v="65968"/>
    <n v="7171"/>
    <n v="0"/>
    <n v="0"/>
    <s v="7/20/2022"/>
    <s v="7/20/2022"/>
    <d v="2026-02-11T00:00:00"/>
    <e v="#VALUE!"/>
    <n v="3"/>
    <n v="73139"/>
    <n v="36569.5"/>
    <s v=" Not Achieved"/>
    <s v=" Excellent"/>
  </r>
  <r>
    <x v="408"/>
    <x v="408"/>
    <s v="EMP_409"/>
    <x v="0"/>
    <s v="EMP_409Marketing"/>
    <x v="4"/>
    <x v="0"/>
    <n v="38251"/>
    <n v="3213"/>
    <n v="0"/>
    <n v="0"/>
    <d v="2021-02-07T00:00:00"/>
    <s v="2021"/>
    <d v="2026-02-11T00:00:00"/>
    <n v="5"/>
    <n v="5"/>
    <n v="41464"/>
    <n v="20732"/>
    <s v=" Not Achieved"/>
    <s v="Average"/>
  </r>
  <r>
    <x v="409"/>
    <x v="409"/>
    <s v="EMP_410"/>
    <x v="0"/>
    <s v="EMP_410HR"/>
    <x v="0"/>
    <x v="3"/>
    <n v="77492"/>
    <n v="12404"/>
    <n v="0"/>
    <n v="0"/>
    <s v="12/23/2023"/>
    <s v="12/23/2023"/>
    <d v="2026-02-11T00:00:00"/>
    <e v="#VALUE!"/>
    <n v="3"/>
    <n v="89896"/>
    <n v="44948"/>
    <s v=" Not Achieved"/>
    <s v=" Excellent"/>
  </r>
  <r>
    <x v="410"/>
    <x v="410"/>
    <s v="EMP_411"/>
    <x v="0"/>
    <s v="EMP_411Marketing"/>
    <x v="4"/>
    <x v="1"/>
    <n v="75681"/>
    <n v="5276"/>
    <n v="0"/>
    <n v="0"/>
    <s v="8/18/2019"/>
    <s v="8/18/2019"/>
    <d v="2026-02-11T00:00:00"/>
    <e v="#VALUE!"/>
    <n v="4"/>
    <n v="80957"/>
    <n v="40478.5"/>
    <s v=" Not Achieved"/>
    <s v=" Excellent"/>
  </r>
  <r>
    <x v="411"/>
    <x v="411"/>
    <s v="EMP_412"/>
    <x v="1"/>
    <s v="EMP_412IT"/>
    <x v="3"/>
    <x v="0"/>
    <n v="70025"/>
    <n v="8729"/>
    <n v="0"/>
    <n v="0"/>
    <d v="2021-06-03T00:00:00"/>
    <s v="2021"/>
    <d v="2026-02-11T00:00:00"/>
    <n v="4"/>
    <n v="2"/>
    <n v="78754"/>
    <n v="39377"/>
    <s v=" Not Achieved"/>
    <s v=" Excellent"/>
  </r>
  <r>
    <x v="412"/>
    <x v="412"/>
    <s v="EMP_413"/>
    <x v="1"/>
    <s v="EMP_413IT"/>
    <x v="3"/>
    <x v="2"/>
    <n v="45088"/>
    <n v="10595"/>
    <n v="0"/>
    <n v="0"/>
    <s v="8/23/2019"/>
    <s v="8/23/2019"/>
    <d v="2026-02-11T00:00:00"/>
    <e v="#VALUE!"/>
    <n v="4"/>
    <n v="55683"/>
    <n v="27841.5"/>
    <s v=" Not Achieved"/>
    <s v="Good"/>
  </r>
  <r>
    <x v="413"/>
    <x v="413"/>
    <s v="EMP_414"/>
    <x v="0"/>
    <s v="EMP_414IT"/>
    <x v="3"/>
    <x v="1"/>
    <n v="61275"/>
    <n v="13968"/>
    <n v="0"/>
    <n v="0"/>
    <s v="7/18/2021"/>
    <s v="7/18/2021"/>
    <d v="2026-02-11T00:00:00"/>
    <e v="#VALUE!"/>
    <n v="5"/>
    <n v="75243"/>
    <n v="37621.5"/>
    <s v=" Not Achieved"/>
    <s v=" Excellent"/>
  </r>
  <r>
    <x v="414"/>
    <x v="414"/>
    <s v="EMP_415"/>
    <x v="1"/>
    <s v="EMP_415Marketing"/>
    <x v="4"/>
    <x v="3"/>
    <n v="28959"/>
    <n v="6862"/>
    <n v="0"/>
    <n v="0"/>
    <d v="2024-07-05T00:00:00"/>
    <s v="2024"/>
    <d v="2026-02-11T00:00:00"/>
    <n v="1"/>
    <n v="3"/>
    <n v="35821"/>
    <n v="17910.5"/>
    <s v=" Not Achieved"/>
    <s v="poor"/>
  </r>
  <r>
    <x v="415"/>
    <x v="415"/>
    <s v="EMP_416"/>
    <x v="0"/>
    <s v="EMP_416Sales"/>
    <x v="1"/>
    <x v="4"/>
    <n v="42619"/>
    <n v="4059"/>
    <n v="215690"/>
    <n v="177656"/>
    <s v="10/28/2018"/>
    <s v="10/28/2018"/>
    <d v="2026-02-11T00:00:00"/>
    <e v="#VALUE!"/>
    <n v="2"/>
    <n v="46678"/>
    <n v="23339"/>
    <s v="Achieved"/>
    <s v="Good"/>
  </r>
  <r>
    <x v="416"/>
    <x v="416"/>
    <s v="EMP_417"/>
    <x v="1"/>
    <s v="EMP_417HR"/>
    <x v="0"/>
    <x v="4"/>
    <n v="51798"/>
    <n v="10568"/>
    <n v="0"/>
    <n v="0"/>
    <s v="8/24/2018"/>
    <s v="8/24/2018"/>
    <d v="2026-02-11T00:00:00"/>
    <e v="#VALUE!"/>
    <n v="3"/>
    <n v="62366"/>
    <n v="31183"/>
    <s v=" Not Achieved"/>
    <s v=" Excellent"/>
  </r>
  <r>
    <x v="417"/>
    <x v="417"/>
    <s v="EMP_418"/>
    <x v="0"/>
    <s v="EMP_418Finance"/>
    <x v="2"/>
    <x v="4"/>
    <n v="57860"/>
    <n v="2182"/>
    <n v="0"/>
    <n v="0"/>
    <s v="9/25/2022"/>
    <s v="9/25/2022"/>
    <d v="2026-02-11T00:00:00"/>
    <e v="#VALUE!"/>
    <n v="1"/>
    <n v="60042"/>
    <n v="30021"/>
    <s v=" Not Achieved"/>
    <s v=" Excellent"/>
  </r>
  <r>
    <x v="418"/>
    <x v="418"/>
    <s v="EMP_419"/>
    <x v="1"/>
    <s v="EMP_419Sales"/>
    <x v="1"/>
    <x v="1"/>
    <n v="40205"/>
    <n v="12293"/>
    <n v="192717"/>
    <n v="104259"/>
    <d v="2019-03-10T00:00:00"/>
    <s v="2019"/>
    <d v="2026-02-11T00:00:00"/>
    <n v="6"/>
    <n v="3"/>
    <n v="52498"/>
    <n v="26249"/>
    <s v="Achieved"/>
    <s v="Good"/>
  </r>
  <r>
    <x v="419"/>
    <x v="419"/>
    <s v="EMP_420"/>
    <x v="0"/>
    <s v="EMP_420IT"/>
    <x v="3"/>
    <x v="1"/>
    <n v="53256"/>
    <n v="13356"/>
    <n v="0"/>
    <n v="0"/>
    <d v="2023-11-07T00:00:00"/>
    <s v="2023"/>
    <d v="2026-02-11T00:00:00"/>
    <n v="2"/>
    <n v="2"/>
    <n v="66612"/>
    <n v="33306"/>
    <s v=" Not Achieved"/>
    <s v=" Excellent"/>
  </r>
  <r>
    <x v="420"/>
    <x v="420"/>
    <s v="EMP_421"/>
    <x v="1"/>
    <s v="EMP_421Marketing"/>
    <x v="4"/>
    <x v="1"/>
    <n v="75687"/>
    <n v="13687"/>
    <n v="0"/>
    <n v="0"/>
    <s v="7/19/2019"/>
    <s v="7/19/2019"/>
    <d v="2026-02-11T00:00:00"/>
    <e v="#VALUE!"/>
    <n v="4"/>
    <n v="89374"/>
    <n v="44687"/>
    <s v=" Not Achieved"/>
    <s v=" Excellent"/>
  </r>
  <r>
    <x v="421"/>
    <x v="421"/>
    <s v="EMP_422"/>
    <x v="0"/>
    <s v="EMP_422IT"/>
    <x v="3"/>
    <x v="4"/>
    <n v="66370"/>
    <n v="14440"/>
    <n v="0"/>
    <n v="0"/>
    <d v="2022-12-02T00:00:00"/>
    <s v="2022"/>
    <d v="2026-02-11T00:00:00"/>
    <n v="3"/>
    <n v="3"/>
    <n v="80810"/>
    <n v="40405"/>
    <s v=" Not Achieved"/>
    <s v=" Excellent"/>
  </r>
  <r>
    <x v="422"/>
    <x v="422"/>
    <s v="EMP_423"/>
    <x v="1"/>
    <s v="EMP_423HR"/>
    <x v="0"/>
    <x v="0"/>
    <n v="39454"/>
    <n v="2845"/>
    <n v="0"/>
    <n v="0"/>
    <d v="2024-09-05T00:00:00"/>
    <s v="2024"/>
    <d v="2026-02-11T00:00:00"/>
    <n v="1"/>
    <n v="3"/>
    <n v="42299"/>
    <n v="21149.5"/>
    <s v=" Not Achieved"/>
    <s v="Average"/>
  </r>
  <r>
    <x v="423"/>
    <x v="423"/>
    <s v="EMP_424"/>
    <x v="0"/>
    <s v="EMP_424Finance"/>
    <x v="2"/>
    <x v="4"/>
    <n v="53979"/>
    <n v="9133"/>
    <n v="0"/>
    <n v="0"/>
    <s v="8/17/2024"/>
    <s v="8/17/2024"/>
    <d v="2026-02-11T00:00:00"/>
    <e v="#VALUE!"/>
    <n v="3"/>
    <n v="63112"/>
    <n v="31556"/>
    <s v=" Not Achieved"/>
    <s v=" Excellent"/>
  </r>
  <r>
    <x v="424"/>
    <x v="424"/>
    <s v="EMP_425"/>
    <x v="1"/>
    <s v="EMP_425Sales"/>
    <x v="1"/>
    <x v="4"/>
    <n v="78468"/>
    <n v="4357"/>
    <n v="69076"/>
    <n v="98499"/>
    <d v="2023-02-10T00:00:00"/>
    <s v="2023"/>
    <d v="2026-02-11T00:00:00"/>
    <n v="3"/>
    <n v="5"/>
    <n v="82825"/>
    <n v="41412.5"/>
    <s v=" Not Achieved"/>
    <s v=" Excellent"/>
  </r>
  <r>
    <x v="425"/>
    <x v="425"/>
    <s v="EMP_426"/>
    <x v="1"/>
    <s v="EMP_426IT"/>
    <x v="3"/>
    <x v="4"/>
    <n v="48454"/>
    <n v="13450"/>
    <n v="0"/>
    <n v="0"/>
    <s v="12/13/2019"/>
    <s v="12/13/2019"/>
    <d v="2026-02-11T00:00:00"/>
    <e v="#VALUE!"/>
    <n v="5"/>
    <n v="61904"/>
    <n v="30952"/>
    <s v=" Not Achieved"/>
    <s v="Good"/>
  </r>
  <r>
    <x v="426"/>
    <x v="426"/>
    <s v="EMP_427"/>
    <x v="1"/>
    <s v="EMP_427IT"/>
    <x v="3"/>
    <x v="0"/>
    <n v="20454"/>
    <n v="8567"/>
    <n v="0"/>
    <n v="0"/>
    <s v="6/26/2022"/>
    <s v="6/26/2022"/>
    <d v="2026-02-11T00:00:00"/>
    <e v="#VALUE!"/>
    <n v="1"/>
    <n v="29021"/>
    <n v="14510.5"/>
    <s v=" Not Achieved"/>
    <s v="poor"/>
  </r>
  <r>
    <x v="427"/>
    <x v="427"/>
    <s v="EMP_428"/>
    <x v="1"/>
    <s v="EMP_428Marketing"/>
    <x v="4"/>
    <x v="2"/>
    <n v="71587"/>
    <n v="4336"/>
    <n v="0"/>
    <n v="0"/>
    <s v="9/20/2023"/>
    <s v="9/20/2023"/>
    <d v="2026-02-11T00:00:00"/>
    <e v="#VALUE!"/>
    <n v="4"/>
    <n v="75923"/>
    <n v="37961.5"/>
    <s v=" Not Achieved"/>
    <s v=" Excellent"/>
  </r>
  <r>
    <x v="428"/>
    <x v="428"/>
    <s v="EMP_429"/>
    <x v="0"/>
    <s v="EMP_429Finance"/>
    <x v="2"/>
    <x v="4"/>
    <n v="64912"/>
    <n v="10784"/>
    <n v="0"/>
    <n v="0"/>
    <s v="2/20/2024"/>
    <s v="2/20/2024"/>
    <d v="2026-02-11T00:00:00"/>
    <e v="#VALUE!"/>
    <n v="5"/>
    <n v="75696"/>
    <n v="37848"/>
    <s v=" Not Achieved"/>
    <s v=" Excellent"/>
  </r>
  <r>
    <x v="429"/>
    <x v="429"/>
    <s v="EMP_430"/>
    <x v="0"/>
    <s v="EMP_430HR"/>
    <x v="0"/>
    <x v="3"/>
    <n v="31073"/>
    <n v="7228"/>
    <n v="0"/>
    <n v="0"/>
    <d v="2021-06-02T00:00:00"/>
    <s v="2021"/>
    <d v="2026-02-11T00:00:00"/>
    <n v="4"/>
    <n v="4"/>
    <n v="38301"/>
    <n v="19150.5"/>
    <s v=" Not Achieved"/>
    <s v="Average"/>
  </r>
  <r>
    <x v="430"/>
    <x v="430"/>
    <s v="EMP_431"/>
    <x v="0"/>
    <s v="EMP_431Marketing"/>
    <x v="4"/>
    <x v="1"/>
    <n v="28677"/>
    <n v="7604"/>
    <n v="0"/>
    <n v="0"/>
    <d v="2021-02-08T00:00:00"/>
    <s v="2021"/>
    <d v="2026-02-11T00:00:00"/>
    <n v="5"/>
    <n v="2"/>
    <n v="36281"/>
    <n v="18140.5"/>
    <s v=" Not Achieved"/>
    <s v="poor"/>
  </r>
  <r>
    <x v="431"/>
    <x v="431"/>
    <s v="EMP_432"/>
    <x v="0"/>
    <s v="EMP_432Marketing"/>
    <x v="4"/>
    <x v="1"/>
    <n v="26374"/>
    <n v="14893"/>
    <n v="0"/>
    <n v="0"/>
    <d v="2023-11-04T00:00:00"/>
    <s v="2023"/>
    <d v="2026-02-11T00:00:00"/>
    <n v="2"/>
    <n v="3"/>
    <n v="41267"/>
    <n v="20633.5"/>
    <s v=" Not Achieved"/>
    <s v="poor"/>
  </r>
  <r>
    <x v="432"/>
    <x v="432"/>
    <s v="EMP_433"/>
    <x v="0"/>
    <s v="EMP_433Sales"/>
    <x v="1"/>
    <x v="0"/>
    <n v="28955"/>
    <n v="5052"/>
    <n v="260716"/>
    <n v="101166"/>
    <s v="1/20/2023"/>
    <s v="1/20/2023"/>
    <d v="2026-02-11T00:00:00"/>
    <e v="#VALUE!"/>
    <n v="4"/>
    <n v="34007"/>
    <n v="17003.5"/>
    <s v="Achieved"/>
    <s v="poor"/>
  </r>
  <r>
    <x v="433"/>
    <x v="433"/>
    <s v="EMP_434"/>
    <x v="1"/>
    <s v="EMP_434HR"/>
    <x v="0"/>
    <x v="3"/>
    <n v="20794"/>
    <n v="13944"/>
    <n v="0"/>
    <n v="0"/>
    <s v="12/28/2024"/>
    <s v="12/28/2024"/>
    <d v="2026-02-11T00:00:00"/>
    <e v="#VALUE!"/>
    <n v="5"/>
    <n v="34738"/>
    <n v="17369"/>
    <s v=" Not Achieved"/>
    <s v="poor"/>
  </r>
  <r>
    <x v="434"/>
    <x v="434"/>
    <s v="EMP_435"/>
    <x v="0"/>
    <s v="EMP_435Finance"/>
    <x v="2"/>
    <x v="1"/>
    <n v="27388"/>
    <n v="2618"/>
    <n v="0"/>
    <n v="0"/>
    <s v="8/29/2020"/>
    <s v="8/29/2020"/>
    <d v="2026-02-11T00:00:00"/>
    <e v="#VALUE!"/>
    <n v="1"/>
    <n v="30006"/>
    <n v="15003"/>
    <s v=" Not Achieved"/>
    <s v="poor"/>
  </r>
  <r>
    <x v="435"/>
    <x v="435"/>
    <s v="EMP_436"/>
    <x v="1"/>
    <s v="EMP_436IT"/>
    <x v="3"/>
    <x v="4"/>
    <n v="35916"/>
    <n v="4410"/>
    <n v="0"/>
    <n v="0"/>
    <s v="12/14/2024"/>
    <s v="12/14/2024"/>
    <d v="2026-02-11T00:00:00"/>
    <e v="#VALUE!"/>
    <n v="4"/>
    <n v="40326"/>
    <n v="20163"/>
    <s v=" Not Achieved"/>
    <s v="Average"/>
  </r>
  <r>
    <x v="436"/>
    <x v="436"/>
    <s v="EMP_437"/>
    <x v="1"/>
    <s v="EMP_437Finance"/>
    <x v="2"/>
    <x v="1"/>
    <n v="77367"/>
    <n v="3512"/>
    <n v="0"/>
    <n v="0"/>
    <d v="2023-05-07T00:00:00"/>
    <s v="2023"/>
    <d v="2026-02-11T00:00:00"/>
    <n v="2"/>
    <n v="4"/>
    <n v="80879"/>
    <n v="40439.5"/>
    <s v=" Not Achieved"/>
    <s v=" Excellent"/>
  </r>
  <r>
    <x v="437"/>
    <x v="437"/>
    <s v="EMP_438"/>
    <x v="0"/>
    <s v="EMP_438HR"/>
    <x v="0"/>
    <x v="4"/>
    <n v="52206"/>
    <n v="12690"/>
    <n v="0"/>
    <n v="0"/>
    <d v="2020-05-03T00:00:00"/>
    <s v="2020"/>
    <d v="2026-02-11T00:00:00"/>
    <n v="5"/>
    <n v="3"/>
    <n v="64896"/>
    <n v="32448"/>
    <s v=" Not Achieved"/>
    <s v=" Excellent"/>
  </r>
  <r>
    <x v="438"/>
    <x v="438"/>
    <s v="EMP_439"/>
    <x v="1"/>
    <s v="EMP_439Finance"/>
    <x v="2"/>
    <x v="2"/>
    <n v="65835"/>
    <n v="2888"/>
    <n v="0"/>
    <n v="0"/>
    <s v="2/29/2024"/>
    <s v="2/29/2024"/>
    <d v="2026-02-11T00:00:00"/>
    <e v="#VALUE!"/>
    <n v="2"/>
    <n v="68723"/>
    <n v="34361.5"/>
    <s v=" Not Achieved"/>
    <s v=" Excellent"/>
  </r>
  <r>
    <x v="439"/>
    <x v="439"/>
    <s v="EMP_440"/>
    <x v="1"/>
    <s v="EMP_440IT"/>
    <x v="3"/>
    <x v="3"/>
    <n v="32449"/>
    <n v="4853"/>
    <n v="0"/>
    <n v="0"/>
    <s v="2/25/2021"/>
    <s v="2/25/2021"/>
    <d v="2026-02-11T00:00:00"/>
    <e v="#VALUE!"/>
    <n v="1"/>
    <n v="37302"/>
    <n v="18651"/>
    <s v=" Not Achieved"/>
    <s v="Average"/>
  </r>
  <r>
    <x v="440"/>
    <x v="440"/>
    <s v="EMP_441"/>
    <x v="1"/>
    <s v="EMP_441IT"/>
    <x v="3"/>
    <x v="4"/>
    <n v="48669"/>
    <n v="14460"/>
    <n v="0"/>
    <n v="0"/>
    <s v="7/21/2024"/>
    <s v="7/21/2024"/>
    <d v="2026-02-11T00:00:00"/>
    <e v="#VALUE!"/>
    <n v="2"/>
    <n v="63129"/>
    <n v="31564.5"/>
    <s v=" Not Achieved"/>
    <s v="Good"/>
  </r>
  <r>
    <x v="441"/>
    <x v="441"/>
    <s v="EMP_442"/>
    <x v="0"/>
    <s v="EMP_442HR"/>
    <x v="0"/>
    <x v="4"/>
    <n v="73377"/>
    <n v="14585"/>
    <n v="0"/>
    <n v="0"/>
    <s v="10/21/2018"/>
    <s v="10/21/2018"/>
    <d v="2026-02-11T00:00:00"/>
    <e v="#VALUE!"/>
    <n v="5"/>
    <n v="87962"/>
    <n v="43981"/>
    <s v=" Not Achieved"/>
    <s v=" Excellent"/>
  </r>
  <r>
    <x v="442"/>
    <x v="442"/>
    <s v="EMP_443"/>
    <x v="1"/>
    <s v="EMP_443Sales"/>
    <x v="1"/>
    <x v="2"/>
    <n v="45659"/>
    <n v="6105"/>
    <n v="71822"/>
    <n v="175803"/>
    <s v="5/24/2018"/>
    <s v="5/24/2018"/>
    <d v="2026-02-11T00:00:00"/>
    <e v="#VALUE!"/>
    <n v="5"/>
    <n v="51764"/>
    <n v="25882"/>
    <s v=" Not Achieved"/>
    <s v="Good"/>
  </r>
  <r>
    <x v="443"/>
    <x v="443"/>
    <s v="EMP_444"/>
    <x v="0"/>
    <s v="EMP_444Sales"/>
    <x v="1"/>
    <x v="1"/>
    <n v="76661"/>
    <n v="12450"/>
    <n v="186529"/>
    <n v="209061"/>
    <s v="7/22/2018"/>
    <s v="7/22/2018"/>
    <d v="2026-02-11T00:00:00"/>
    <e v="#VALUE!"/>
    <n v="1"/>
    <n v="89111"/>
    <n v="44555.5"/>
    <s v=" Not Achieved"/>
    <s v=" Excellent"/>
  </r>
  <r>
    <x v="444"/>
    <x v="444"/>
    <s v="EMP_445"/>
    <x v="1"/>
    <s v="EMP_445Finance"/>
    <x v="2"/>
    <x v="2"/>
    <n v="53755"/>
    <n v="14145"/>
    <n v="0"/>
    <n v="0"/>
    <d v="2020-06-03T00:00:00"/>
    <s v="2020"/>
    <d v="2026-02-11T00:00:00"/>
    <n v="5"/>
    <n v="4"/>
    <n v="67900"/>
    <n v="33950"/>
    <s v=" Not Achieved"/>
    <s v=" Excellent"/>
  </r>
  <r>
    <x v="445"/>
    <x v="445"/>
    <s v="EMP_446"/>
    <x v="0"/>
    <s v="EMP_446Marketing"/>
    <x v="4"/>
    <x v="4"/>
    <n v="73357"/>
    <n v="12403"/>
    <n v="0"/>
    <n v="0"/>
    <s v="1/28/2022"/>
    <s v="1/28/2022"/>
    <d v="2026-02-11T00:00:00"/>
    <e v="#VALUE!"/>
    <n v="4"/>
    <n v="85760"/>
    <n v="42880"/>
    <s v=" Not Achieved"/>
    <s v=" Excellent"/>
  </r>
  <r>
    <x v="446"/>
    <x v="446"/>
    <s v="EMP_447"/>
    <x v="1"/>
    <s v="EMP_447Marketing"/>
    <x v="4"/>
    <x v="0"/>
    <n v="24829"/>
    <n v="13063"/>
    <n v="0"/>
    <n v="0"/>
    <s v="11/21/2020"/>
    <s v="11/21/2020"/>
    <d v="2026-02-11T00:00:00"/>
    <e v="#VALUE!"/>
    <n v="5"/>
    <n v="37892"/>
    <n v="18946"/>
    <s v=" Not Achieved"/>
    <s v="poor"/>
  </r>
  <r>
    <x v="447"/>
    <x v="447"/>
    <s v="EMP_448"/>
    <x v="1"/>
    <s v="EMP_448Marketing"/>
    <x v="4"/>
    <x v="2"/>
    <n v="46962"/>
    <n v="13511"/>
    <n v="0"/>
    <n v="0"/>
    <d v="2022-08-11T00:00:00"/>
    <s v="2022"/>
    <d v="2026-02-11T00:00:00"/>
    <n v="3"/>
    <n v="2"/>
    <n v="60473"/>
    <n v="30236.5"/>
    <s v=" Not Achieved"/>
    <s v="Good"/>
  </r>
  <r>
    <x v="448"/>
    <x v="448"/>
    <s v="EMP_449"/>
    <x v="1"/>
    <s v="EMP_449Sales"/>
    <x v="1"/>
    <x v="1"/>
    <n v="22425"/>
    <n v="11937"/>
    <n v="213886"/>
    <n v="198923"/>
    <s v="3/22/2020"/>
    <s v="3/22/2020"/>
    <d v="2026-02-11T00:00:00"/>
    <e v="#VALUE!"/>
    <n v="5"/>
    <n v="34362"/>
    <n v="17181"/>
    <s v="Achieved"/>
    <s v="poor"/>
  </r>
  <r>
    <x v="449"/>
    <x v="449"/>
    <s v="EMP_450"/>
    <x v="1"/>
    <s v="EMP_450Marketing"/>
    <x v="4"/>
    <x v="0"/>
    <n v="72520"/>
    <n v="7124"/>
    <n v="0"/>
    <n v="0"/>
    <d v="2019-02-02T00:00:00"/>
    <s v="2019"/>
    <d v="2026-02-11T00:00:00"/>
    <n v="7"/>
    <n v="3"/>
    <n v="79644"/>
    <n v="39822"/>
    <s v=" Not Achieved"/>
    <s v=" Excellent"/>
  </r>
  <r>
    <x v="450"/>
    <x v="450"/>
    <s v="EMP_451"/>
    <x v="1"/>
    <s v="EMP_451IT"/>
    <x v="3"/>
    <x v="2"/>
    <n v="39658"/>
    <n v="14735"/>
    <n v="0"/>
    <n v="0"/>
    <d v="2024-11-12T00:00:00"/>
    <s v="2024"/>
    <d v="2026-02-11T00:00:00"/>
    <n v="1"/>
    <n v="5"/>
    <n v="54393"/>
    <n v="27196.5"/>
    <s v=" Not Achieved"/>
    <s v="Average"/>
  </r>
  <r>
    <x v="451"/>
    <x v="451"/>
    <s v="EMP_452"/>
    <x v="0"/>
    <s v="EMP_452Sales"/>
    <x v="1"/>
    <x v="1"/>
    <n v="63833"/>
    <n v="12322"/>
    <n v="249728"/>
    <n v="188162"/>
    <s v="4/30/2024"/>
    <s v="4/30/2024"/>
    <d v="2026-02-11T00:00:00"/>
    <e v="#VALUE!"/>
    <n v="3"/>
    <n v="76155"/>
    <n v="38077.5"/>
    <s v="Achieved"/>
    <s v=" Excellent"/>
  </r>
  <r>
    <x v="452"/>
    <x v="452"/>
    <s v="EMP_453"/>
    <x v="0"/>
    <s v="EMP_453IT"/>
    <x v="3"/>
    <x v="3"/>
    <n v="26693"/>
    <n v="5246"/>
    <n v="0"/>
    <n v="0"/>
    <d v="2018-07-03T00:00:00"/>
    <s v="2018"/>
    <d v="2026-02-11T00:00:00"/>
    <n v="7"/>
    <n v="5"/>
    <n v="31939"/>
    <n v="15969.5"/>
    <s v=" Not Achieved"/>
    <s v="poor"/>
  </r>
  <r>
    <x v="453"/>
    <x v="453"/>
    <s v="EMP_454"/>
    <x v="1"/>
    <s v="EMP_454IT"/>
    <x v="3"/>
    <x v="0"/>
    <n v="46495"/>
    <n v="8565"/>
    <n v="0"/>
    <n v="0"/>
    <s v="3/15/2018"/>
    <s v="3/15/2018"/>
    <d v="2026-02-11T00:00:00"/>
    <e v="#VALUE!"/>
    <n v="3"/>
    <n v="55060"/>
    <n v="27530"/>
    <s v=" Not Achieved"/>
    <s v="Good"/>
  </r>
  <r>
    <x v="454"/>
    <x v="454"/>
    <s v="EMP_455"/>
    <x v="0"/>
    <s v="EMP_455IT"/>
    <x v="3"/>
    <x v="1"/>
    <n v="43773"/>
    <n v="4844"/>
    <n v="0"/>
    <n v="0"/>
    <s v="4/27/2022"/>
    <s v="4/27/2022"/>
    <d v="2026-02-11T00:00:00"/>
    <e v="#VALUE!"/>
    <n v="3"/>
    <n v="48617"/>
    <n v="24308.5"/>
    <s v=" Not Achieved"/>
    <s v="Good"/>
  </r>
  <r>
    <x v="455"/>
    <x v="455"/>
    <s v="EMP_456"/>
    <x v="0"/>
    <s v="EMP_456HR"/>
    <x v="0"/>
    <x v="4"/>
    <n v="41700"/>
    <n v="2627"/>
    <n v="0"/>
    <n v="0"/>
    <s v="2/21/2024"/>
    <s v="2/21/2024"/>
    <d v="2026-02-11T00:00:00"/>
    <e v="#VALUE!"/>
    <n v="2"/>
    <n v="44327"/>
    <n v="22163.5"/>
    <s v=" Not Achieved"/>
    <s v="Good"/>
  </r>
  <r>
    <x v="456"/>
    <x v="456"/>
    <s v="EMP_457"/>
    <x v="1"/>
    <s v="EMP_457Marketing"/>
    <x v="4"/>
    <x v="3"/>
    <n v="41421"/>
    <n v="10104"/>
    <n v="0"/>
    <n v="0"/>
    <d v="2018-03-09T00:00:00"/>
    <s v="2018"/>
    <d v="2026-02-11T00:00:00"/>
    <n v="7"/>
    <n v="1"/>
    <n v="51525"/>
    <n v="25762.5"/>
    <s v=" Not Achieved"/>
    <s v="Good"/>
  </r>
  <r>
    <x v="457"/>
    <x v="457"/>
    <s v="EMP_458"/>
    <x v="0"/>
    <s v="EMP_458Finance"/>
    <x v="2"/>
    <x v="0"/>
    <n v="70197"/>
    <n v="2784"/>
    <n v="0"/>
    <n v="0"/>
    <s v="4/26/2024"/>
    <s v="4/26/2024"/>
    <d v="2026-02-11T00:00:00"/>
    <e v="#VALUE!"/>
    <n v="5"/>
    <n v="72981"/>
    <n v="36490.5"/>
    <s v=" Not Achieved"/>
    <s v=" Excellent"/>
  </r>
  <r>
    <x v="458"/>
    <x v="458"/>
    <s v="EMP_459"/>
    <x v="1"/>
    <s v="EMP_459IT"/>
    <x v="3"/>
    <x v="0"/>
    <n v="77807"/>
    <n v="2252"/>
    <n v="0"/>
    <n v="0"/>
    <s v="5/22/2021"/>
    <s v="5/22/2021"/>
    <d v="2026-02-11T00:00:00"/>
    <e v="#VALUE!"/>
    <n v="4"/>
    <n v="80059"/>
    <n v="40029.5"/>
    <s v=" Not Achieved"/>
    <s v=" Excellent"/>
  </r>
  <r>
    <x v="459"/>
    <x v="459"/>
    <s v="EMP_460"/>
    <x v="0"/>
    <s v="EMP_460Marketing"/>
    <x v="4"/>
    <x v="2"/>
    <n v="35605"/>
    <n v="2366"/>
    <n v="0"/>
    <n v="0"/>
    <d v="2021-02-10T00:00:00"/>
    <s v="2021"/>
    <d v="2026-02-11T00:00:00"/>
    <n v="5"/>
    <n v="1"/>
    <n v="37971"/>
    <n v="18985.5"/>
    <s v=" Not Achieved"/>
    <s v="Average"/>
  </r>
  <r>
    <x v="460"/>
    <x v="460"/>
    <s v="EMP_461"/>
    <x v="1"/>
    <s v="EMP_461IT"/>
    <x v="3"/>
    <x v="0"/>
    <n v="68167"/>
    <n v="9820"/>
    <n v="0"/>
    <n v="0"/>
    <d v="2018-06-07T00:00:00"/>
    <s v="2018"/>
    <d v="2026-02-11T00:00:00"/>
    <n v="7"/>
    <n v="5"/>
    <n v="77987"/>
    <n v="38993.5"/>
    <s v=" Not Achieved"/>
    <s v=" Excellent"/>
  </r>
  <r>
    <x v="461"/>
    <x v="461"/>
    <s v="EMP_462"/>
    <x v="0"/>
    <s v="EMP_462Finance"/>
    <x v="2"/>
    <x v="4"/>
    <n v="54195"/>
    <n v="10248"/>
    <n v="0"/>
    <n v="0"/>
    <s v="9/23/2024"/>
    <s v="9/23/2024"/>
    <d v="2026-02-11T00:00:00"/>
    <e v="#VALUE!"/>
    <n v="5"/>
    <n v="64443"/>
    <n v="32221.5"/>
    <s v=" Not Achieved"/>
    <s v=" Excellent"/>
  </r>
  <r>
    <x v="462"/>
    <x v="462"/>
    <s v="EMP_463"/>
    <x v="1"/>
    <s v="EMP_463HR"/>
    <x v="0"/>
    <x v="1"/>
    <n v="79690"/>
    <n v="13538"/>
    <n v="0"/>
    <n v="0"/>
    <s v="4/28/2018"/>
    <s v="4/28/2018"/>
    <d v="2026-02-11T00:00:00"/>
    <e v="#VALUE!"/>
    <n v="1"/>
    <n v="93228"/>
    <n v="46614"/>
    <s v=" Not Achieved"/>
    <s v=" Excellent"/>
  </r>
  <r>
    <x v="463"/>
    <x v="463"/>
    <s v="EMP_464"/>
    <x v="1"/>
    <s v="EMP_464Sales"/>
    <x v="1"/>
    <x v="2"/>
    <n v="72820"/>
    <n v="2881"/>
    <n v="114177"/>
    <n v="177458"/>
    <s v="10/13/2021"/>
    <s v="10/13/2021"/>
    <d v="2026-02-11T00:00:00"/>
    <e v="#VALUE!"/>
    <n v="3"/>
    <n v="75701"/>
    <n v="37850.5"/>
    <s v=" Not Achieved"/>
    <s v=" Excellent"/>
  </r>
  <r>
    <x v="464"/>
    <x v="464"/>
    <s v="EMP_465"/>
    <x v="1"/>
    <s v="EMP_465Finance"/>
    <x v="2"/>
    <x v="3"/>
    <n v="50577"/>
    <n v="11437"/>
    <n v="0"/>
    <n v="0"/>
    <s v="9/23/2023"/>
    <s v="9/23/2023"/>
    <d v="2026-02-11T00:00:00"/>
    <e v="#VALUE!"/>
    <n v="2"/>
    <n v="62014"/>
    <n v="31007"/>
    <s v=" Not Achieved"/>
    <s v=" Excellent"/>
  </r>
  <r>
    <x v="465"/>
    <x v="465"/>
    <s v="EMP_466"/>
    <x v="0"/>
    <s v="EMP_466HR"/>
    <x v="0"/>
    <x v="4"/>
    <n v="39218"/>
    <n v="12788"/>
    <n v="0"/>
    <n v="0"/>
    <d v="2024-05-05T00:00:00"/>
    <s v="2024"/>
    <d v="2026-02-11T00:00:00"/>
    <n v="1"/>
    <n v="4"/>
    <n v="52006"/>
    <n v="26003"/>
    <s v=" Not Achieved"/>
    <s v="Average"/>
  </r>
  <r>
    <x v="466"/>
    <x v="466"/>
    <s v="EMP_467"/>
    <x v="0"/>
    <s v="EMP_467IT"/>
    <x v="3"/>
    <x v="1"/>
    <n v="77214"/>
    <n v="5918"/>
    <n v="0"/>
    <n v="0"/>
    <s v="12/19/2023"/>
    <s v="12/19/2023"/>
    <d v="2026-02-11T00:00:00"/>
    <e v="#VALUE!"/>
    <n v="2"/>
    <n v="83132"/>
    <n v="41566"/>
    <s v=" Not Achieved"/>
    <s v=" Excellent"/>
  </r>
  <r>
    <x v="467"/>
    <x v="467"/>
    <s v="EMP_468"/>
    <x v="1"/>
    <s v="EMP_468IT"/>
    <x v="3"/>
    <x v="2"/>
    <n v="56053"/>
    <n v="9104"/>
    <n v="0"/>
    <n v="0"/>
    <s v="5/14/2019"/>
    <s v="5/14/2019"/>
    <d v="2026-02-11T00:00:00"/>
    <e v="#VALUE!"/>
    <n v="3"/>
    <n v="65157"/>
    <n v="32578.5"/>
    <s v=" Not Achieved"/>
    <s v=" Excellent"/>
  </r>
  <r>
    <x v="468"/>
    <x v="468"/>
    <s v="EMP_469"/>
    <x v="1"/>
    <s v="EMP_469Sales"/>
    <x v="1"/>
    <x v="3"/>
    <n v="47229"/>
    <n v="6490"/>
    <n v="178213"/>
    <n v="131302"/>
    <s v="1/30/2019"/>
    <s v="1/30/2019"/>
    <d v="2026-02-11T00:00:00"/>
    <e v="#VALUE!"/>
    <n v="3"/>
    <n v="53719"/>
    <n v="26859.5"/>
    <s v="Achieved"/>
    <s v="Good"/>
  </r>
  <r>
    <x v="469"/>
    <x v="469"/>
    <s v="EMP_470"/>
    <x v="1"/>
    <s v="EMP_470Marketing"/>
    <x v="4"/>
    <x v="4"/>
    <n v="45590"/>
    <n v="11054"/>
    <n v="0"/>
    <n v="0"/>
    <s v="6/15/2018"/>
    <s v="6/15/2018"/>
    <d v="2026-02-11T00:00:00"/>
    <e v="#VALUE!"/>
    <n v="3"/>
    <n v="56644"/>
    <n v="28322"/>
    <s v=" Not Achieved"/>
    <s v="Good"/>
  </r>
  <r>
    <x v="470"/>
    <x v="470"/>
    <s v="EMP_471"/>
    <x v="1"/>
    <s v="EMP_471Finance"/>
    <x v="2"/>
    <x v="4"/>
    <n v="65425"/>
    <n v="10584"/>
    <n v="0"/>
    <n v="0"/>
    <s v="7/14/2021"/>
    <s v="7/14/2021"/>
    <d v="2026-02-11T00:00:00"/>
    <e v="#VALUE!"/>
    <n v="4"/>
    <n v="76009"/>
    <n v="38004.5"/>
    <s v=" Not Achieved"/>
    <s v=" Excellent"/>
  </r>
  <r>
    <x v="471"/>
    <x v="471"/>
    <s v="EMP_472"/>
    <x v="1"/>
    <s v="EMP_472Finance"/>
    <x v="2"/>
    <x v="0"/>
    <n v="64780"/>
    <n v="13256"/>
    <n v="0"/>
    <n v="0"/>
    <s v="6/23/2023"/>
    <s v="6/23/2023"/>
    <d v="2026-02-11T00:00:00"/>
    <e v="#VALUE!"/>
    <n v="1"/>
    <n v="78036"/>
    <n v="39018"/>
    <s v=" Not Achieved"/>
    <s v=" Excellent"/>
  </r>
  <r>
    <x v="472"/>
    <x v="472"/>
    <s v="EMP_473"/>
    <x v="1"/>
    <s v="EMP_473Finance"/>
    <x v="2"/>
    <x v="0"/>
    <n v="34935"/>
    <n v="13656"/>
    <n v="0"/>
    <n v="0"/>
    <d v="2021-06-11T00:00:00"/>
    <s v="2021"/>
    <d v="2026-02-11T00:00:00"/>
    <n v="4"/>
    <n v="4"/>
    <n v="48591"/>
    <n v="24295.5"/>
    <s v=" Not Achieved"/>
    <s v="Average"/>
  </r>
  <r>
    <x v="473"/>
    <x v="473"/>
    <s v="EMP_474"/>
    <x v="1"/>
    <s v="EMP_474Sales"/>
    <x v="1"/>
    <x v="0"/>
    <n v="72692"/>
    <n v="5670"/>
    <n v="93789"/>
    <n v="171478"/>
    <d v="2022-04-04T00:00:00"/>
    <s v="2022"/>
    <d v="2026-02-11T00:00:00"/>
    <n v="3"/>
    <n v="3"/>
    <n v="78362"/>
    <n v="39181"/>
    <s v=" Not Achieved"/>
    <s v=" Excellent"/>
  </r>
  <r>
    <x v="474"/>
    <x v="474"/>
    <s v="EMP_475"/>
    <x v="0"/>
    <s v="EMP_475Marketing"/>
    <x v="4"/>
    <x v="3"/>
    <n v="42360"/>
    <n v="6293"/>
    <n v="0"/>
    <n v="0"/>
    <s v="5/31/2023"/>
    <s v="5/31/2023"/>
    <d v="2026-02-11T00:00:00"/>
    <e v="#VALUE!"/>
    <n v="4"/>
    <n v="48653"/>
    <n v="24326.5"/>
    <s v=" Not Achieved"/>
    <s v="Good"/>
  </r>
  <r>
    <x v="475"/>
    <x v="475"/>
    <s v="EMP_476"/>
    <x v="1"/>
    <s v="EMP_476Finance"/>
    <x v="2"/>
    <x v="3"/>
    <n v="29946"/>
    <n v="7912"/>
    <n v="0"/>
    <n v="0"/>
    <s v="10/26/2021"/>
    <s v="10/26/2021"/>
    <d v="2026-02-11T00:00:00"/>
    <e v="#VALUE!"/>
    <n v="4"/>
    <n v="37858"/>
    <n v="18929"/>
    <s v=" Not Achieved"/>
    <s v="poor"/>
  </r>
  <r>
    <x v="476"/>
    <x v="476"/>
    <s v="EMP_477"/>
    <x v="0"/>
    <s v="EMP_477HR"/>
    <x v="0"/>
    <x v="2"/>
    <n v="58089"/>
    <n v="3930"/>
    <n v="0"/>
    <n v="0"/>
    <s v="5/29/2019"/>
    <s v="5/29/2019"/>
    <d v="2026-02-11T00:00:00"/>
    <e v="#VALUE!"/>
    <n v="4"/>
    <n v="62019"/>
    <n v="31009.5"/>
    <s v=" Not Achieved"/>
    <s v=" Excellent"/>
  </r>
  <r>
    <x v="477"/>
    <x v="477"/>
    <s v="EMP_478"/>
    <x v="1"/>
    <s v="EMP_478HR"/>
    <x v="0"/>
    <x v="1"/>
    <n v="72892"/>
    <n v="5659"/>
    <n v="0"/>
    <n v="0"/>
    <d v="2018-02-03T00:00:00"/>
    <s v="2018"/>
    <d v="2026-02-11T00:00:00"/>
    <n v="8"/>
    <n v="4"/>
    <n v="78551"/>
    <n v="39275.5"/>
    <s v=" Not Achieved"/>
    <s v=" Excellent"/>
  </r>
  <r>
    <x v="478"/>
    <x v="478"/>
    <s v="EMP_479"/>
    <x v="0"/>
    <s v="EMP_479IT"/>
    <x v="3"/>
    <x v="0"/>
    <n v="47304"/>
    <n v="12628"/>
    <n v="0"/>
    <n v="0"/>
    <s v="7/19/2022"/>
    <s v="7/19/2022"/>
    <d v="2026-02-11T00:00:00"/>
    <e v="#VALUE!"/>
    <n v="2"/>
    <n v="59932"/>
    <n v="29966"/>
    <s v=" Not Achieved"/>
    <s v="Good"/>
  </r>
  <r>
    <x v="479"/>
    <x v="479"/>
    <s v="EMP_480"/>
    <x v="1"/>
    <s v="EMP_480HR"/>
    <x v="0"/>
    <x v="1"/>
    <n v="46953"/>
    <n v="14125"/>
    <n v="0"/>
    <n v="0"/>
    <d v="2020-05-03T00:00:00"/>
    <s v="2020"/>
    <d v="2026-02-11T00:00:00"/>
    <n v="5"/>
    <n v="2"/>
    <n v="61078"/>
    <n v="30539"/>
    <s v=" Not Achieved"/>
    <s v="Good"/>
  </r>
  <r>
    <x v="480"/>
    <x v="480"/>
    <s v="EMP_481"/>
    <x v="0"/>
    <s v="EMP_481HR"/>
    <x v="0"/>
    <x v="4"/>
    <n v="34371"/>
    <n v="6724"/>
    <n v="0"/>
    <n v="0"/>
    <s v="10/18/2019"/>
    <s v="10/18/2019"/>
    <d v="2026-02-11T00:00:00"/>
    <e v="#VALUE!"/>
    <n v="2"/>
    <n v="41095"/>
    <n v="20547.5"/>
    <s v=" Not Achieved"/>
    <s v="Average"/>
  </r>
  <r>
    <x v="481"/>
    <x v="481"/>
    <s v="EMP_482"/>
    <x v="0"/>
    <s v="EMP_482Marketing"/>
    <x v="4"/>
    <x v="0"/>
    <n v="77653"/>
    <n v="4318"/>
    <n v="0"/>
    <n v="0"/>
    <s v="1/23/2020"/>
    <s v="1/23/2020"/>
    <d v="2026-02-11T00:00:00"/>
    <e v="#VALUE!"/>
    <n v="3"/>
    <n v="81971"/>
    <n v="40985.5"/>
    <s v=" Not Achieved"/>
    <s v=" Excellent"/>
  </r>
  <r>
    <x v="482"/>
    <x v="482"/>
    <s v="EMP_483"/>
    <x v="0"/>
    <s v="EMP_483Sales"/>
    <x v="1"/>
    <x v="1"/>
    <n v="69837"/>
    <n v="8035"/>
    <n v="60139"/>
    <n v="130141"/>
    <s v="7/22/2024"/>
    <s v="7/22/2024"/>
    <d v="2026-02-11T00:00:00"/>
    <e v="#VALUE!"/>
    <n v="1"/>
    <n v="77872"/>
    <n v="38936"/>
    <s v=" Not Achieved"/>
    <s v=" Excellent"/>
  </r>
  <r>
    <x v="483"/>
    <x v="483"/>
    <s v="EMP_484"/>
    <x v="0"/>
    <s v="EMP_484HR"/>
    <x v="0"/>
    <x v="1"/>
    <n v="30260"/>
    <n v="13548"/>
    <n v="0"/>
    <n v="0"/>
    <s v="8/30/2020"/>
    <s v="8/30/2020"/>
    <d v="2026-02-11T00:00:00"/>
    <e v="#VALUE!"/>
    <n v="3"/>
    <n v="43808"/>
    <n v="21904"/>
    <s v=" Not Achieved"/>
    <s v="Average"/>
  </r>
  <r>
    <x v="484"/>
    <x v="484"/>
    <s v="EMP_485"/>
    <x v="0"/>
    <s v="EMP_485Finance"/>
    <x v="2"/>
    <x v="3"/>
    <n v="60637"/>
    <n v="4333"/>
    <n v="0"/>
    <n v="0"/>
    <d v="2024-06-01T00:00:00"/>
    <s v="2024"/>
    <d v="2026-02-11T00:00:00"/>
    <n v="1"/>
    <n v="1"/>
    <n v="64970"/>
    <n v="32485"/>
    <s v=" Not Achieved"/>
    <s v=" Excellent"/>
  </r>
  <r>
    <x v="485"/>
    <x v="485"/>
    <s v="EMP_486"/>
    <x v="1"/>
    <s v="EMP_486HR"/>
    <x v="0"/>
    <x v="2"/>
    <n v="46698"/>
    <n v="11043"/>
    <n v="0"/>
    <n v="0"/>
    <s v="1/13/2018"/>
    <s v="1/13/2018"/>
    <d v="2026-02-11T00:00:00"/>
    <e v="#VALUE!"/>
    <n v="3"/>
    <n v="57741"/>
    <n v="28870.5"/>
    <s v=" Not Achieved"/>
    <s v="Good"/>
  </r>
  <r>
    <x v="486"/>
    <x v="486"/>
    <s v="EMP_487"/>
    <x v="0"/>
    <s v="EMP_487Sales"/>
    <x v="1"/>
    <x v="4"/>
    <n v="22521"/>
    <n v="10952"/>
    <n v="156975"/>
    <n v="236380"/>
    <d v="2021-10-11T00:00:00"/>
    <s v="2021"/>
    <d v="2026-02-11T00:00:00"/>
    <n v="4"/>
    <n v="5"/>
    <n v="33473"/>
    <n v="16736.5"/>
    <s v=" Not Achieved"/>
    <s v="poor"/>
  </r>
  <r>
    <x v="487"/>
    <x v="487"/>
    <s v="EMP_488"/>
    <x v="0"/>
    <s v="EMP_488Marketing"/>
    <x v="4"/>
    <x v="3"/>
    <n v="52975"/>
    <n v="12181"/>
    <n v="0"/>
    <n v="0"/>
    <s v="10/17/2023"/>
    <s v="10/17/2023"/>
    <d v="2026-02-11T00:00:00"/>
    <e v="#VALUE!"/>
    <n v="2"/>
    <n v="65156"/>
    <n v="32578"/>
    <s v=" Not Achieved"/>
    <s v=" Excellent"/>
  </r>
  <r>
    <x v="488"/>
    <x v="488"/>
    <s v="EMP_489"/>
    <x v="0"/>
    <s v="EMP_489HR"/>
    <x v="0"/>
    <x v="4"/>
    <n v="56047"/>
    <n v="2197"/>
    <n v="0"/>
    <n v="0"/>
    <d v="2022-06-10T00:00:00"/>
    <s v="2022"/>
    <d v="2026-02-11T00:00:00"/>
    <n v="3"/>
    <n v="5"/>
    <n v="58244"/>
    <n v="29122"/>
    <s v=" Not Achieved"/>
    <s v=" Excellent"/>
  </r>
  <r>
    <x v="489"/>
    <x v="489"/>
    <s v="EMP_490"/>
    <x v="1"/>
    <s v="EMP_490Marketing"/>
    <x v="4"/>
    <x v="1"/>
    <n v="22899"/>
    <n v="11906"/>
    <n v="0"/>
    <n v="0"/>
    <s v="9/26/2019"/>
    <s v="9/26/2019"/>
    <d v="2026-02-11T00:00:00"/>
    <e v="#VALUE!"/>
    <n v="2"/>
    <n v="34805"/>
    <n v="17402.5"/>
    <s v=" Not Achieved"/>
    <s v="poor"/>
  </r>
  <r>
    <x v="490"/>
    <x v="490"/>
    <s v="EMP_491"/>
    <x v="0"/>
    <s v="EMP_491Sales"/>
    <x v="1"/>
    <x v="0"/>
    <n v="34669"/>
    <n v="6739"/>
    <n v="237888"/>
    <n v="127716"/>
    <s v="11/26/2022"/>
    <s v="11/26/2022"/>
    <d v="2026-02-11T00:00:00"/>
    <e v="#VALUE!"/>
    <n v="5"/>
    <n v="41408"/>
    <n v="20704"/>
    <s v="Achieved"/>
    <s v="Average"/>
  </r>
  <r>
    <x v="491"/>
    <x v="491"/>
    <s v="EMP_492"/>
    <x v="1"/>
    <s v="EMP_492Marketing"/>
    <x v="4"/>
    <x v="4"/>
    <n v="51452"/>
    <n v="5526"/>
    <n v="0"/>
    <n v="0"/>
    <s v="10/19/2018"/>
    <s v="10/19/2018"/>
    <d v="2026-02-11T00:00:00"/>
    <e v="#VALUE!"/>
    <n v="1"/>
    <n v="56978"/>
    <n v="28489"/>
    <s v=" Not Achieved"/>
    <s v=" Excellent"/>
  </r>
  <r>
    <x v="492"/>
    <x v="492"/>
    <s v="EMP_493"/>
    <x v="0"/>
    <s v="EMP_493IT"/>
    <x v="3"/>
    <x v="0"/>
    <n v="21290"/>
    <n v="6975"/>
    <n v="0"/>
    <n v="0"/>
    <s v="12/26/2020"/>
    <s v="12/26/2020"/>
    <d v="2026-02-11T00:00:00"/>
    <e v="#VALUE!"/>
    <n v="5"/>
    <n v="28265"/>
    <n v="14132.5"/>
    <s v=" Not Achieved"/>
    <s v="poor"/>
  </r>
  <r>
    <x v="493"/>
    <x v="493"/>
    <s v="EMP_494"/>
    <x v="1"/>
    <s v="EMP_494IT"/>
    <x v="3"/>
    <x v="3"/>
    <n v="56095"/>
    <n v="8864"/>
    <n v="0"/>
    <n v="0"/>
    <s v="3/31/2021"/>
    <s v="3/31/2021"/>
    <d v="2026-02-11T00:00:00"/>
    <e v="#VALUE!"/>
    <n v="1"/>
    <n v="64959"/>
    <n v="32479.5"/>
    <s v=" Not Achieved"/>
    <s v=" Excellent"/>
  </r>
  <r>
    <x v="494"/>
    <x v="494"/>
    <s v="EMP_495"/>
    <x v="1"/>
    <s v="EMP_495Marketing"/>
    <x v="4"/>
    <x v="0"/>
    <n v="36626"/>
    <n v="3218"/>
    <n v="0"/>
    <n v="0"/>
    <s v="5/23/2019"/>
    <s v="5/23/2019"/>
    <d v="2026-02-11T00:00:00"/>
    <e v="#VALUE!"/>
    <n v="4"/>
    <n v="39844"/>
    <n v="19922"/>
    <s v=" Not Achieved"/>
    <s v="Average"/>
  </r>
  <r>
    <x v="495"/>
    <x v="495"/>
    <s v="EMP_496"/>
    <x v="1"/>
    <s v="EMP_496HR"/>
    <x v="0"/>
    <x v="3"/>
    <n v="68399"/>
    <n v="4448"/>
    <n v="0"/>
    <n v="0"/>
    <d v="2019-05-10T00:00:00"/>
    <s v="2019"/>
    <d v="2026-02-11T00:00:00"/>
    <n v="6"/>
    <n v="5"/>
    <n v="72847"/>
    <n v="36423.5"/>
    <s v=" Not Achieved"/>
    <s v=" Excellent"/>
  </r>
  <r>
    <x v="496"/>
    <x v="496"/>
    <s v="EMP_497"/>
    <x v="0"/>
    <s v="EMP_497IT"/>
    <x v="3"/>
    <x v="4"/>
    <n v="43871"/>
    <n v="11086"/>
    <n v="0"/>
    <n v="0"/>
    <s v="5/25/2021"/>
    <s v="5/25/2021"/>
    <d v="2026-02-11T00:00:00"/>
    <e v="#VALUE!"/>
    <n v="3"/>
    <n v="54957"/>
    <n v="27478.5"/>
    <s v=" Not Achieved"/>
    <s v="Good"/>
  </r>
  <r>
    <x v="497"/>
    <x v="497"/>
    <s v="EMP_498"/>
    <x v="1"/>
    <s v="EMP_498Finance"/>
    <x v="2"/>
    <x v="4"/>
    <n v="53811"/>
    <n v="12727"/>
    <n v="0"/>
    <n v="0"/>
    <s v="6/26/2021"/>
    <s v="6/26/2021"/>
    <d v="2026-02-11T00:00:00"/>
    <e v="#VALUE!"/>
    <n v="5"/>
    <n v="66538"/>
    <n v="33269"/>
    <s v=" Not Achieved"/>
    <s v=" Excellent"/>
  </r>
  <r>
    <x v="498"/>
    <x v="498"/>
    <s v="EMP_499"/>
    <x v="1"/>
    <s v="EMP_499Finance"/>
    <x v="2"/>
    <x v="1"/>
    <n v="69999"/>
    <n v="11653"/>
    <n v="0"/>
    <n v="0"/>
    <s v="6/15/2021"/>
    <s v="6/15/2021"/>
    <d v="2026-02-11T00:00:00"/>
    <e v="#VALUE!"/>
    <n v="3"/>
    <n v="81652"/>
    <n v="40826"/>
    <s v=" Not Achieved"/>
    <s v=" Excellent"/>
  </r>
  <r>
    <x v="499"/>
    <x v="499"/>
    <s v="EMP_500"/>
    <x v="1"/>
    <s v="EMP_500IT"/>
    <x v="3"/>
    <x v="1"/>
    <n v="59173"/>
    <n v="8017"/>
    <n v="0"/>
    <n v="0"/>
    <s v="4/16/2018"/>
    <s v="4/16/2018"/>
    <d v="2026-02-11T00:00:00"/>
    <e v="#VALUE!"/>
    <n v="2"/>
    <n v="67190"/>
    <n v="33595"/>
    <s v=" Not Achieved"/>
    <s v=" Excellent"/>
  </r>
  <r>
    <x v="500"/>
    <x v="500"/>
    <s v="EMP_501"/>
    <x v="0"/>
    <s v="EMP_501Finance"/>
    <x v="2"/>
    <x v="4"/>
    <n v="22536"/>
    <n v="2450"/>
    <n v="0"/>
    <n v="0"/>
    <s v="7/26/2024"/>
    <s v="7/26/2024"/>
    <d v="2026-02-11T00:00:00"/>
    <e v="#VALUE!"/>
    <n v="1"/>
    <n v="24986"/>
    <n v="12493"/>
    <s v=" Not Achieved"/>
    <s v="poor"/>
  </r>
  <r>
    <x v="501"/>
    <x v="501"/>
    <s v="EMP_502"/>
    <x v="1"/>
    <s v="EMP_502Finance"/>
    <x v="2"/>
    <x v="2"/>
    <n v="72714"/>
    <n v="11466"/>
    <n v="0"/>
    <n v="0"/>
    <s v="4/17/2021"/>
    <s v="4/17/2021"/>
    <d v="2026-02-11T00:00:00"/>
    <e v="#VALUE!"/>
    <n v="2"/>
    <n v="84180"/>
    <n v="42090"/>
    <s v=" Not Achieved"/>
    <s v=" Excellent"/>
  </r>
  <r>
    <x v="502"/>
    <x v="502"/>
    <s v="EMP_503"/>
    <x v="0"/>
    <s v="EMP_503Marketing"/>
    <x v="4"/>
    <x v="4"/>
    <n v="24242"/>
    <n v="13960"/>
    <n v="0"/>
    <n v="0"/>
    <s v="2/15/2024"/>
    <s v="2/15/2024"/>
    <d v="2026-02-11T00:00:00"/>
    <e v="#VALUE!"/>
    <n v="1"/>
    <n v="38202"/>
    <n v="19101"/>
    <s v=" Not Achieved"/>
    <s v="poor"/>
  </r>
  <r>
    <x v="503"/>
    <x v="503"/>
    <s v="EMP_504"/>
    <x v="0"/>
    <s v="EMP_504Sales"/>
    <x v="1"/>
    <x v="0"/>
    <n v="63691"/>
    <n v="2710"/>
    <n v="100345"/>
    <n v="225699"/>
    <s v="1/17/2019"/>
    <s v="1/17/2019"/>
    <d v="2026-02-11T00:00:00"/>
    <e v="#VALUE!"/>
    <n v="2"/>
    <n v="66401"/>
    <n v="33200.5"/>
    <s v=" Not Achieved"/>
    <s v=" Excellent"/>
  </r>
  <r>
    <x v="504"/>
    <x v="504"/>
    <s v="EMP_505"/>
    <x v="0"/>
    <s v="EMP_505Finance"/>
    <x v="2"/>
    <x v="0"/>
    <n v="65069"/>
    <n v="8726"/>
    <n v="0"/>
    <n v="0"/>
    <s v="10/31/2020"/>
    <s v="10/31/2020"/>
    <d v="2026-02-11T00:00:00"/>
    <e v="#VALUE!"/>
    <n v="1"/>
    <n v="73795"/>
    <n v="36897.5"/>
    <s v=" Not Achieved"/>
    <s v=" Excellent"/>
  </r>
  <r>
    <x v="505"/>
    <x v="505"/>
    <s v="EMP_506"/>
    <x v="0"/>
    <s v="EMP_506IT"/>
    <x v="3"/>
    <x v="0"/>
    <n v="31750"/>
    <n v="4510"/>
    <n v="0"/>
    <n v="0"/>
    <s v="12/30/2023"/>
    <s v="12/30/2023"/>
    <d v="2026-02-11T00:00:00"/>
    <e v="#VALUE!"/>
    <n v="3"/>
    <n v="36260"/>
    <n v="18130"/>
    <s v=" Not Achieved"/>
    <s v="Average"/>
  </r>
  <r>
    <x v="506"/>
    <x v="506"/>
    <s v="EMP_507"/>
    <x v="0"/>
    <s v="EMP_507Sales"/>
    <x v="1"/>
    <x v="4"/>
    <n v="21923"/>
    <n v="12810"/>
    <n v="101487"/>
    <n v="118495"/>
    <d v="2024-01-01T00:00:00"/>
    <s v="2024"/>
    <d v="2026-02-11T00:00:00"/>
    <n v="2"/>
    <n v="4"/>
    <n v="34733"/>
    <n v="17366.5"/>
    <s v=" Not Achieved"/>
    <s v="poor"/>
  </r>
  <r>
    <x v="507"/>
    <x v="507"/>
    <s v="EMP_508"/>
    <x v="0"/>
    <s v="EMP_508HR"/>
    <x v="0"/>
    <x v="0"/>
    <n v="53356"/>
    <n v="2544"/>
    <n v="0"/>
    <n v="0"/>
    <d v="2023-09-08T00:00:00"/>
    <s v="2023"/>
    <d v="2026-02-11T00:00:00"/>
    <n v="2"/>
    <n v="1"/>
    <n v="55900"/>
    <n v="27950"/>
    <s v=" Not Achieved"/>
    <s v=" Excellent"/>
  </r>
  <r>
    <x v="508"/>
    <x v="508"/>
    <s v="EMP_509"/>
    <x v="0"/>
    <s v="EMP_509Marketing"/>
    <x v="4"/>
    <x v="4"/>
    <n v="54725"/>
    <n v="8164"/>
    <n v="0"/>
    <n v="0"/>
    <d v="2022-11-02T00:00:00"/>
    <s v="2022"/>
    <d v="2026-02-11T00:00:00"/>
    <n v="3"/>
    <n v="1"/>
    <n v="62889"/>
    <n v="31444.5"/>
    <s v=" Not Achieved"/>
    <s v=" Excellent"/>
  </r>
  <r>
    <x v="509"/>
    <x v="509"/>
    <s v="EMP_510"/>
    <x v="1"/>
    <s v="EMP_510IT"/>
    <x v="3"/>
    <x v="1"/>
    <n v="77908"/>
    <n v="12039"/>
    <n v="0"/>
    <n v="0"/>
    <s v="9/15/2024"/>
    <s v="9/15/2024"/>
    <d v="2026-02-11T00:00:00"/>
    <e v="#VALUE!"/>
    <n v="3"/>
    <n v="89947"/>
    <n v="44973.5"/>
    <s v=" Not Achieved"/>
    <s v=" Excellent"/>
  </r>
  <r>
    <x v="510"/>
    <x v="510"/>
    <s v="EMP_511"/>
    <x v="0"/>
    <s v="EMP_511Marketing"/>
    <x v="4"/>
    <x v="1"/>
    <n v="28340"/>
    <n v="12097"/>
    <n v="0"/>
    <n v="0"/>
    <d v="2023-08-03T00:00:00"/>
    <s v="2023"/>
    <d v="2026-02-11T00:00:00"/>
    <n v="2"/>
    <n v="4"/>
    <n v="40437"/>
    <n v="20218.5"/>
    <s v=" Not Achieved"/>
    <s v="poor"/>
  </r>
  <r>
    <x v="511"/>
    <x v="511"/>
    <s v="EMP_512"/>
    <x v="0"/>
    <s v="EMP_512HR"/>
    <x v="0"/>
    <x v="0"/>
    <n v="36176"/>
    <n v="14939"/>
    <n v="0"/>
    <n v="0"/>
    <d v="2018-07-08T00:00:00"/>
    <s v="2018"/>
    <d v="2026-02-11T00:00:00"/>
    <n v="7"/>
    <n v="1"/>
    <n v="51115"/>
    <n v="25557.5"/>
    <s v=" Not Achieved"/>
    <s v="Average"/>
  </r>
  <r>
    <x v="512"/>
    <x v="512"/>
    <s v="EMP_513"/>
    <x v="0"/>
    <s v="EMP_513Marketing"/>
    <x v="4"/>
    <x v="1"/>
    <n v="71125"/>
    <n v="4586"/>
    <n v="0"/>
    <n v="0"/>
    <s v="6/27/2024"/>
    <s v="6/27/2024"/>
    <d v="2026-02-11T00:00:00"/>
    <e v="#VALUE!"/>
    <n v="3"/>
    <n v="75711"/>
    <n v="37855.5"/>
    <s v=" Not Achieved"/>
    <s v=" Excellent"/>
  </r>
  <r>
    <x v="513"/>
    <x v="513"/>
    <s v="EMP_514"/>
    <x v="1"/>
    <s v="EMP_514Marketing"/>
    <x v="4"/>
    <x v="1"/>
    <n v="73734"/>
    <n v="12314"/>
    <n v="0"/>
    <n v="0"/>
    <s v="5/17/2022"/>
    <s v="5/17/2022"/>
    <d v="2026-02-11T00:00:00"/>
    <e v="#VALUE!"/>
    <n v="1"/>
    <n v="86048"/>
    <n v="43024"/>
    <s v=" Not Achieved"/>
    <s v=" Excellent"/>
  </r>
  <r>
    <x v="514"/>
    <x v="514"/>
    <s v="EMP_515"/>
    <x v="1"/>
    <s v="EMP_515Finance"/>
    <x v="2"/>
    <x v="4"/>
    <n v="76072"/>
    <n v="8094"/>
    <n v="0"/>
    <n v="0"/>
    <s v="1/25/2022"/>
    <s v="1/25/2022"/>
    <d v="2026-02-11T00:00:00"/>
    <e v="#VALUE!"/>
    <n v="2"/>
    <n v="84166"/>
    <n v="42083"/>
    <s v=" Not Achieved"/>
    <s v=" Excellent"/>
  </r>
  <r>
    <x v="515"/>
    <x v="515"/>
    <s v="EMP_516"/>
    <x v="1"/>
    <s v="EMP_516Finance"/>
    <x v="2"/>
    <x v="1"/>
    <n v="70620"/>
    <n v="9415"/>
    <n v="0"/>
    <n v="0"/>
    <s v="3/27/2022"/>
    <s v="3/27/2022"/>
    <d v="2026-02-11T00:00:00"/>
    <e v="#VALUE!"/>
    <n v="4"/>
    <n v="80035"/>
    <n v="40017.5"/>
    <s v=" Not Achieved"/>
    <s v=" Excellent"/>
  </r>
  <r>
    <x v="516"/>
    <x v="516"/>
    <s v="EMP_517"/>
    <x v="0"/>
    <s v="EMP_517IT"/>
    <x v="3"/>
    <x v="4"/>
    <n v="45210"/>
    <n v="14470"/>
    <n v="0"/>
    <n v="0"/>
    <s v="4/29/2022"/>
    <s v="4/29/2022"/>
    <d v="2026-02-11T00:00:00"/>
    <e v="#VALUE!"/>
    <n v="4"/>
    <n v="59680"/>
    <n v="29840"/>
    <s v=" Not Achieved"/>
    <s v="Good"/>
  </r>
  <r>
    <x v="517"/>
    <x v="517"/>
    <s v="EMP_518"/>
    <x v="0"/>
    <s v="EMP_518IT"/>
    <x v="3"/>
    <x v="1"/>
    <n v="72352"/>
    <n v="6214"/>
    <n v="0"/>
    <n v="0"/>
    <s v="6/18/2020"/>
    <s v="6/18/2020"/>
    <d v="2026-02-11T00:00:00"/>
    <e v="#VALUE!"/>
    <n v="4"/>
    <n v="78566"/>
    <n v="39283"/>
    <s v=" Not Achieved"/>
    <s v=" Excellent"/>
  </r>
  <r>
    <x v="518"/>
    <x v="518"/>
    <s v="EMP_519"/>
    <x v="1"/>
    <s v="EMP_519Finance"/>
    <x v="2"/>
    <x v="1"/>
    <n v="59608"/>
    <n v="10708"/>
    <n v="0"/>
    <n v="0"/>
    <d v="2019-02-11T00:00:00"/>
    <s v="2019"/>
    <d v="2026-02-11T00:00:00"/>
    <n v="7"/>
    <n v="3"/>
    <n v="70316"/>
    <n v="35158"/>
    <s v=" Not Achieved"/>
    <s v=" Excellent"/>
  </r>
  <r>
    <x v="519"/>
    <x v="519"/>
    <s v="EMP_520"/>
    <x v="1"/>
    <s v="EMP_520Marketing"/>
    <x v="4"/>
    <x v="2"/>
    <n v="66121"/>
    <n v="4493"/>
    <n v="0"/>
    <n v="0"/>
    <s v="4/13/2020"/>
    <s v="4/13/2020"/>
    <d v="2026-02-11T00:00:00"/>
    <e v="#VALUE!"/>
    <n v="2"/>
    <n v="70614"/>
    <n v="35307"/>
    <s v=" Not Achieved"/>
    <s v=" Excellent"/>
  </r>
  <r>
    <x v="520"/>
    <x v="520"/>
    <s v="EMP_521"/>
    <x v="0"/>
    <s v="EMP_521IT"/>
    <x v="3"/>
    <x v="4"/>
    <n v="32337"/>
    <n v="3028"/>
    <n v="0"/>
    <n v="0"/>
    <d v="2023-07-06T00:00:00"/>
    <s v="2023"/>
    <d v="2026-02-11T00:00:00"/>
    <n v="2"/>
    <n v="2"/>
    <n v="35365"/>
    <n v="17682.5"/>
    <s v=" Not Achieved"/>
    <s v="Average"/>
  </r>
  <r>
    <x v="521"/>
    <x v="521"/>
    <s v="EMP_522"/>
    <x v="1"/>
    <s v="EMP_522Sales"/>
    <x v="1"/>
    <x v="0"/>
    <n v="27989"/>
    <n v="9130"/>
    <n v="58327"/>
    <n v="148808"/>
    <d v="2024-10-03T00:00:00"/>
    <s v="2024"/>
    <d v="2026-02-11T00:00:00"/>
    <n v="1"/>
    <n v="2"/>
    <n v="37119"/>
    <n v="18559.5"/>
    <s v=" Not Achieved"/>
    <s v="poor"/>
  </r>
  <r>
    <x v="522"/>
    <x v="522"/>
    <s v="EMP_523"/>
    <x v="1"/>
    <s v="EMP_523Marketing"/>
    <x v="4"/>
    <x v="2"/>
    <n v="31927"/>
    <n v="8490"/>
    <n v="0"/>
    <n v="0"/>
    <s v="2/15/2018"/>
    <s v="2/15/2018"/>
    <d v="2026-02-11T00:00:00"/>
    <e v="#VALUE!"/>
    <n v="2"/>
    <n v="40417"/>
    <n v="20208.5"/>
    <s v=" Not Achieved"/>
    <s v="Average"/>
  </r>
  <r>
    <x v="523"/>
    <x v="523"/>
    <s v="EMP_524"/>
    <x v="0"/>
    <s v="EMP_524HR"/>
    <x v="0"/>
    <x v="1"/>
    <n v="23090"/>
    <n v="14078"/>
    <n v="0"/>
    <n v="0"/>
    <d v="2024-04-10T00:00:00"/>
    <s v="2024"/>
    <d v="2026-02-11T00:00:00"/>
    <n v="1"/>
    <n v="1"/>
    <n v="37168"/>
    <n v="18584"/>
    <s v=" Not Achieved"/>
    <s v="poor"/>
  </r>
  <r>
    <x v="524"/>
    <x v="524"/>
    <s v="EMP_525"/>
    <x v="1"/>
    <s v="EMP_525HR"/>
    <x v="0"/>
    <x v="0"/>
    <n v="38254"/>
    <n v="6300"/>
    <n v="0"/>
    <n v="0"/>
    <s v="7/22/2022"/>
    <s v="7/22/2022"/>
    <d v="2026-02-11T00:00:00"/>
    <e v="#VALUE!"/>
    <n v="1"/>
    <n v="44554"/>
    <n v="22277"/>
    <s v=" Not Achieved"/>
    <s v="Average"/>
  </r>
  <r>
    <x v="525"/>
    <x v="525"/>
    <s v="EMP_526"/>
    <x v="1"/>
    <s v="EMP_526Marketing"/>
    <x v="4"/>
    <x v="3"/>
    <n v="38620"/>
    <n v="14806"/>
    <n v="0"/>
    <n v="0"/>
    <d v="2018-03-02T00:00:00"/>
    <s v="2018"/>
    <d v="2026-02-11T00:00:00"/>
    <n v="7"/>
    <n v="3"/>
    <n v="53426"/>
    <n v="26713"/>
    <s v=" Not Achieved"/>
    <s v="Average"/>
  </r>
  <r>
    <x v="526"/>
    <x v="526"/>
    <s v="EMP_527"/>
    <x v="1"/>
    <s v="EMP_527Marketing"/>
    <x v="4"/>
    <x v="4"/>
    <n v="29333"/>
    <n v="6958"/>
    <n v="0"/>
    <n v="0"/>
    <s v="8/20/2019"/>
    <s v="8/20/2019"/>
    <d v="2026-02-11T00:00:00"/>
    <e v="#VALUE!"/>
    <n v="1"/>
    <n v="36291"/>
    <n v="18145.5"/>
    <s v=" Not Achieved"/>
    <s v="poor"/>
  </r>
  <r>
    <x v="527"/>
    <x v="527"/>
    <s v="EMP_528"/>
    <x v="1"/>
    <s v="EMP_528IT"/>
    <x v="3"/>
    <x v="1"/>
    <n v="57285"/>
    <n v="12653"/>
    <n v="0"/>
    <n v="0"/>
    <s v="12/20/2023"/>
    <s v="12/20/2023"/>
    <d v="2026-02-11T00:00:00"/>
    <e v="#VALUE!"/>
    <n v="3"/>
    <n v="69938"/>
    <n v="34969"/>
    <s v=" Not Achieved"/>
    <s v=" Excellent"/>
  </r>
  <r>
    <x v="528"/>
    <x v="528"/>
    <s v="EMP_529"/>
    <x v="0"/>
    <s v="EMP_529Marketing"/>
    <x v="4"/>
    <x v="2"/>
    <n v="48983"/>
    <n v="11778"/>
    <n v="0"/>
    <n v="0"/>
    <d v="2023-04-02T00:00:00"/>
    <s v="2023"/>
    <d v="2026-02-11T00:00:00"/>
    <n v="2"/>
    <n v="2"/>
    <n v="60761"/>
    <n v="30380.5"/>
    <s v=" Not Achieved"/>
    <s v="Good"/>
  </r>
  <r>
    <x v="529"/>
    <x v="529"/>
    <s v="EMP_530"/>
    <x v="0"/>
    <s v="EMP_530Marketing"/>
    <x v="4"/>
    <x v="0"/>
    <n v="57102"/>
    <n v="13975"/>
    <n v="0"/>
    <n v="0"/>
    <s v="8/13/2018"/>
    <s v="8/13/2018"/>
    <d v="2026-02-11T00:00:00"/>
    <e v="#VALUE!"/>
    <n v="2"/>
    <n v="71077"/>
    <n v="35538.5"/>
    <s v=" Not Achieved"/>
    <s v=" Excellent"/>
  </r>
  <r>
    <x v="530"/>
    <x v="530"/>
    <s v="EMP_531"/>
    <x v="0"/>
    <s v="EMP_531HR"/>
    <x v="0"/>
    <x v="0"/>
    <n v="50462"/>
    <n v="11388"/>
    <n v="0"/>
    <n v="0"/>
    <s v="12/17/2020"/>
    <s v="12/17/2020"/>
    <d v="2026-02-11T00:00:00"/>
    <e v="#VALUE!"/>
    <n v="2"/>
    <n v="61850"/>
    <n v="30925"/>
    <s v=" Not Achieved"/>
    <s v=" Excellent"/>
  </r>
  <r>
    <x v="531"/>
    <x v="531"/>
    <s v="EMP_532"/>
    <x v="0"/>
    <s v="EMP_532Sales"/>
    <x v="1"/>
    <x v="2"/>
    <n v="73786"/>
    <n v="4999"/>
    <n v="243404"/>
    <n v="210611"/>
    <s v="12/20/2021"/>
    <s v="12/20/2021"/>
    <d v="2026-02-11T00:00:00"/>
    <e v="#VALUE!"/>
    <n v="4"/>
    <n v="78785"/>
    <n v="39392.5"/>
    <s v="Achieved"/>
    <s v=" Excellent"/>
  </r>
  <r>
    <x v="532"/>
    <x v="532"/>
    <s v="EMP_533"/>
    <x v="1"/>
    <s v="EMP_533Marketing"/>
    <x v="4"/>
    <x v="0"/>
    <n v="52109"/>
    <n v="9760"/>
    <n v="0"/>
    <n v="0"/>
    <d v="2020-06-08T00:00:00"/>
    <s v="2020"/>
    <d v="2026-02-11T00:00:00"/>
    <n v="5"/>
    <n v="1"/>
    <n v="61869"/>
    <n v="30934.5"/>
    <s v=" Not Achieved"/>
    <s v=" Excellent"/>
  </r>
  <r>
    <x v="533"/>
    <x v="533"/>
    <s v="EMP_534"/>
    <x v="1"/>
    <s v="EMP_534Finance"/>
    <x v="2"/>
    <x v="4"/>
    <n v="36082"/>
    <n v="3293"/>
    <n v="0"/>
    <n v="0"/>
    <d v="2020-11-01T00:00:00"/>
    <s v="2020"/>
    <d v="2026-02-11T00:00:00"/>
    <n v="5"/>
    <n v="3"/>
    <n v="39375"/>
    <n v="19687.5"/>
    <s v=" Not Achieved"/>
    <s v="Average"/>
  </r>
  <r>
    <x v="534"/>
    <x v="534"/>
    <s v="EMP_535"/>
    <x v="0"/>
    <s v="EMP_535Finance"/>
    <x v="2"/>
    <x v="4"/>
    <n v="54526"/>
    <n v="12299"/>
    <n v="0"/>
    <n v="0"/>
    <d v="2018-06-12T00:00:00"/>
    <s v="2018"/>
    <d v="2026-02-11T00:00:00"/>
    <n v="7"/>
    <n v="2"/>
    <n v="66825"/>
    <n v="33412.5"/>
    <s v=" Not Achieved"/>
    <s v=" Excellent"/>
  </r>
  <r>
    <x v="535"/>
    <x v="535"/>
    <s v="EMP_536"/>
    <x v="1"/>
    <s v="EMP_536HR"/>
    <x v="0"/>
    <x v="1"/>
    <n v="32689"/>
    <n v="6555"/>
    <n v="0"/>
    <n v="0"/>
    <d v="2021-09-07T00:00:00"/>
    <s v="2021"/>
    <d v="2026-02-11T00:00:00"/>
    <n v="4"/>
    <n v="2"/>
    <n v="39244"/>
    <n v="19622"/>
    <s v=" Not Achieved"/>
    <s v="Average"/>
  </r>
  <r>
    <x v="536"/>
    <x v="536"/>
    <s v="EMP_537"/>
    <x v="0"/>
    <s v="EMP_537Finance"/>
    <x v="2"/>
    <x v="2"/>
    <n v="55905"/>
    <n v="8254"/>
    <n v="0"/>
    <n v="0"/>
    <s v="9/17/2021"/>
    <s v="9/17/2021"/>
    <d v="2026-02-11T00:00:00"/>
    <e v="#VALUE!"/>
    <n v="3"/>
    <n v="64159"/>
    <n v="32079.5"/>
    <s v=" Not Achieved"/>
    <s v=" Excellent"/>
  </r>
  <r>
    <x v="537"/>
    <x v="537"/>
    <s v="EMP_538"/>
    <x v="1"/>
    <s v="EMP_538Marketing"/>
    <x v="4"/>
    <x v="1"/>
    <n v="75647"/>
    <n v="2620"/>
    <n v="0"/>
    <n v="0"/>
    <s v="2/17/2020"/>
    <s v="2/17/2020"/>
    <d v="2026-02-11T00:00:00"/>
    <e v="#VALUE!"/>
    <n v="4"/>
    <n v="78267"/>
    <n v="39133.5"/>
    <s v=" Not Achieved"/>
    <s v=" Excellent"/>
  </r>
  <r>
    <x v="538"/>
    <x v="538"/>
    <s v="EMP_539"/>
    <x v="1"/>
    <s v="EMP_539Marketing"/>
    <x v="4"/>
    <x v="3"/>
    <n v="46280"/>
    <n v="9286"/>
    <n v="0"/>
    <n v="0"/>
    <s v="3/17/2022"/>
    <s v="3/17/2022"/>
    <d v="2026-02-11T00:00:00"/>
    <e v="#VALUE!"/>
    <n v="1"/>
    <n v="55566"/>
    <n v="27783"/>
    <s v=" Not Achieved"/>
    <s v="Good"/>
  </r>
  <r>
    <x v="539"/>
    <x v="539"/>
    <s v="EMP_540"/>
    <x v="1"/>
    <s v="EMP_540HR"/>
    <x v="0"/>
    <x v="2"/>
    <n v="65817"/>
    <n v="14310"/>
    <n v="0"/>
    <n v="0"/>
    <s v="3/17/2024"/>
    <s v="3/17/2024"/>
    <d v="2026-02-11T00:00:00"/>
    <e v="#VALUE!"/>
    <n v="2"/>
    <n v="80127"/>
    <n v="40063.5"/>
    <s v=" Not Achieved"/>
    <s v=" Excellent"/>
  </r>
  <r>
    <x v="540"/>
    <x v="540"/>
    <s v="EMP_541"/>
    <x v="0"/>
    <s v="EMP_541Sales"/>
    <x v="1"/>
    <x v="0"/>
    <n v="23116"/>
    <n v="8741"/>
    <n v="295261"/>
    <n v="136147"/>
    <d v="2021-07-12T00:00:00"/>
    <s v="2021"/>
    <d v="2026-02-11T00:00:00"/>
    <n v="4"/>
    <n v="2"/>
    <n v="31857"/>
    <n v="15928.5"/>
    <s v="Achieved"/>
    <s v="poor"/>
  </r>
  <r>
    <x v="541"/>
    <x v="541"/>
    <s v="EMP_542"/>
    <x v="1"/>
    <s v="EMP_542Finance"/>
    <x v="2"/>
    <x v="3"/>
    <n v="40831"/>
    <n v="3664"/>
    <n v="0"/>
    <n v="0"/>
    <d v="2019-06-06T00:00:00"/>
    <s v="2019"/>
    <d v="2026-02-11T00:00:00"/>
    <n v="6"/>
    <n v="5"/>
    <n v="44495"/>
    <n v="22247.5"/>
    <s v=" Not Achieved"/>
    <s v="Good"/>
  </r>
  <r>
    <x v="542"/>
    <x v="542"/>
    <s v="EMP_543"/>
    <x v="0"/>
    <s v="EMP_543Marketing"/>
    <x v="4"/>
    <x v="3"/>
    <n v="37490"/>
    <n v="13514"/>
    <n v="0"/>
    <n v="0"/>
    <s v="7/16/2018"/>
    <s v="7/16/2018"/>
    <d v="2026-02-11T00:00:00"/>
    <e v="#VALUE!"/>
    <n v="4"/>
    <n v="51004"/>
    <n v="25502"/>
    <s v=" Not Achieved"/>
    <s v="Average"/>
  </r>
  <r>
    <x v="543"/>
    <x v="543"/>
    <s v="EMP_544"/>
    <x v="0"/>
    <s v="EMP_544Finance"/>
    <x v="2"/>
    <x v="3"/>
    <n v="20262"/>
    <n v="11909"/>
    <n v="0"/>
    <n v="0"/>
    <d v="2023-01-09T00:00:00"/>
    <s v="2023"/>
    <d v="2026-02-11T00:00:00"/>
    <n v="3"/>
    <n v="3"/>
    <n v="32171"/>
    <n v="16085.5"/>
    <s v=" Not Achieved"/>
    <s v="poor"/>
  </r>
  <r>
    <x v="544"/>
    <x v="544"/>
    <s v="EMP_545"/>
    <x v="0"/>
    <s v="EMP_545IT"/>
    <x v="3"/>
    <x v="1"/>
    <n v="33445"/>
    <n v="8043"/>
    <n v="0"/>
    <n v="0"/>
    <d v="2018-04-01T00:00:00"/>
    <s v="2018"/>
    <d v="2026-02-11T00:00:00"/>
    <n v="7"/>
    <n v="5"/>
    <n v="41488"/>
    <n v="20744"/>
    <s v=" Not Achieved"/>
    <s v="Average"/>
  </r>
  <r>
    <x v="545"/>
    <x v="545"/>
    <s v="EMP_546"/>
    <x v="1"/>
    <s v="EMP_546Marketing"/>
    <x v="4"/>
    <x v="1"/>
    <n v="64008"/>
    <n v="6913"/>
    <n v="0"/>
    <n v="0"/>
    <s v="1/17/2019"/>
    <s v="1/17/2019"/>
    <d v="2026-02-11T00:00:00"/>
    <e v="#VALUE!"/>
    <n v="4"/>
    <n v="70921"/>
    <n v="35460.5"/>
    <s v=" Not Achieved"/>
    <s v=" Excellent"/>
  </r>
  <r>
    <x v="546"/>
    <x v="546"/>
    <s v="EMP_547"/>
    <x v="1"/>
    <s v="EMP_547Finance"/>
    <x v="2"/>
    <x v="0"/>
    <n v="50280"/>
    <n v="2249"/>
    <n v="0"/>
    <n v="0"/>
    <s v="2/27/2020"/>
    <s v="2/27/2020"/>
    <d v="2026-02-11T00:00:00"/>
    <e v="#VALUE!"/>
    <n v="5"/>
    <n v="52529"/>
    <n v="26264.5"/>
    <s v=" Not Achieved"/>
    <s v=" Excellent"/>
  </r>
  <r>
    <x v="547"/>
    <x v="547"/>
    <s v="EMP_548"/>
    <x v="1"/>
    <s v="EMP_548Sales"/>
    <x v="1"/>
    <x v="0"/>
    <n v="35491"/>
    <n v="8258"/>
    <n v="198058"/>
    <n v="155659"/>
    <d v="2019-03-02T00:00:00"/>
    <s v="2019"/>
    <d v="2026-02-11T00:00:00"/>
    <n v="6"/>
    <n v="3"/>
    <n v="43749"/>
    <n v="21874.5"/>
    <s v="Achieved"/>
    <s v="Average"/>
  </r>
  <r>
    <x v="548"/>
    <x v="548"/>
    <s v="EMP_549"/>
    <x v="1"/>
    <s v="EMP_549Finance"/>
    <x v="2"/>
    <x v="2"/>
    <n v="20813"/>
    <n v="6411"/>
    <n v="0"/>
    <n v="0"/>
    <s v="8/21/2020"/>
    <s v="8/21/2020"/>
    <d v="2026-02-11T00:00:00"/>
    <e v="#VALUE!"/>
    <n v="5"/>
    <n v="27224"/>
    <n v="13612"/>
    <s v=" Not Achieved"/>
    <s v="poor"/>
  </r>
  <r>
    <x v="549"/>
    <x v="549"/>
    <s v="EMP_550"/>
    <x v="1"/>
    <s v="EMP_550HR"/>
    <x v="0"/>
    <x v="4"/>
    <n v="20361"/>
    <n v="6522"/>
    <n v="0"/>
    <n v="0"/>
    <d v="2023-07-01T00:00:00"/>
    <s v="2023"/>
    <d v="2026-02-11T00:00:00"/>
    <n v="2"/>
    <n v="1"/>
    <n v="26883"/>
    <n v="13441.5"/>
    <s v=" Not Achieved"/>
    <s v="poor"/>
  </r>
  <r>
    <x v="550"/>
    <x v="550"/>
    <s v="EMP_551"/>
    <x v="0"/>
    <s v="EMP_551Marketing"/>
    <x v="4"/>
    <x v="3"/>
    <n v="41454"/>
    <n v="7722"/>
    <n v="0"/>
    <n v="0"/>
    <s v="3/20/2018"/>
    <s v="3/20/2018"/>
    <d v="2026-02-11T00:00:00"/>
    <e v="#VALUE!"/>
    <n v="2"/>
    <n v="49176"/>
    <n v="24588"/>
    <s v=" Not Achieved"/>
    <s v="Good"/>
  </r>
  <r>
    <x v="551"/>
    <x v="551"/>
    <s v="EMP_552"/>
    <x v="1"/>
    <s v="EMP_552Sales"/>
    <x v="1"/>
    <x v="0"/>
    <n v="46943"/>
    <n v="3716"/>
    <n v="256039"/>
    <n v="105107"/>
    <s v="9/27/2021"/>
    <s v="9/27/2021"/>
    <d v="2026-02-11T00:00:00"/>
    <e v="#VALUE!"/>
    <n v="2"/>
    <n v="50659"/>
    <n v="25329.5"/>
    <s v="Achieved"/>
    <s v="Good"/>
  </r>
  <r>
    <x v="552"/>
    <x v="552"/>
    <s v="EMP_553"/>
    <x v="1"/>
    <s v="EMP_553Finance"/>
    <x v="2"/>
    <x v="0"/>
    <n v="79472"/>
    <n v="3424"/>
    <n v="0"/>
    <n v="0"/>
    <s v="4/21/2022"/>
    <s v="4/21/2022"/>
    <d v="2026-02-11T00:00:00"/>
    <e v="#VALUE!"/>
    <n v="1"/>
    <n v="82896"/>
    <n v="41448"/>
    <s v=" Not Achieved"/>
    <s v=" Excellent"/>
  </r>
  <r>
    <x v="553"/>
    <x v="553"/>
    <s v="EMP_554"/>
    <x v="0"/>
    <s v="EMP_554Sales"/>
    <x v="1"/>
    <x v="0"/>
    <n v="29903"/>
    <n v="2500"/>
    <n v="285745"/>
    <n v="136288"/>
    <d v="2024-12-01T00:00:00"/>
    <s v="2024"/>
    <d v="2026-02-11T00:00:00"/>
    <n v="1"/>
    <n v="2"/>
    <n v="32403"/>
    <n v="16201.5"/>
    <s v="Achieved"/>
    <s v="poor"/>
  </r>
  <r>
    <x v="554"/>
    <x v="554"/>
    <s v="EMP_555"/>
    <x v="0"/>
    <s v="EMP_555Marketing"/>
    <x v="4"/>
    <x v="3"/>
    <n v="56871"/>
    <n v="9694"/>
    <n v="0"/>
    <n v="0"/>
    <d v="2020-10-01T00:00:00"/>
    <s v="2020"/>
    <d v="2026-02-11T00:00:00"/>
    <n v="5"/>
    <n v="1"/>
    <n v="66565"/>
    <n v="33282.5"/>
    <s v=" Not Achieved"/>
    <s v=" Excellent"/>
  </r>
  <r>
    <x v="555"/>
    <x v="555"/>
    <s v="EMP_556"/>
    <x v="1"/>
    <s v="EMP_556Finance"/>
    <x v="2"/>
    <x v="3"/>
    <n v="21523"/>
    <n v="10281"/>
    <n v="0"/>
    <n v="0"/>
    <s v="12/28/2021"/>
    <s v="12/28/2021"/>
    <d v="2026-02-11T00:00:00"/>
    <e v="#VALUE!"/>
    <n v="4"/>
    <n v="31804"/>
    <n v="15902"/>
    <s v=" Not Achieved"/>
    <s v="poor"/>
  </r>
  <r>
    <x v="556"/>
    <x v="556"/>
    <s v="EMP_557"/>
    <x v="1"/>
    <s v="EMP_557Marketing"/>
    <x v="4"/>
    <x v="1"/>
    <n v="44682"/>
    <n v="3227"/>
    <n v="0"/>
    <n v="0"/>
    <s v="7/26/2018"/>
    <s v="7/26/2018"/>
    <d v="2026-02-11T00:00:00"/>
    <e v="#VALUE!"/>
    <n v="5"/>
    <n v="47909"/>
    <n v="23954.5"/>
    <s v=" Not Achieved"/>
    <s v="Good"/>
  </r>
  <r>
    <x v="557"/>
    <x v="557"/>
    <s v="EMP_558"/>
    <x v="0"/>
    <s v="EMP_558Marketing"/>
    <x v="4"/>
    <x v="2"/>
    <n v="30854"/>
    <n v="2046"/>
    <n v="0"/>
    <n v="0"/>
    <d v="2021-07-02T00:00:00"/>
    <s v="2021"/>
    <d v="2026-02-11T00:00:00"/>
    <n v="4"/>
    <n v="5"/>
    <n v="32900"/>
    <n v="16450"/>
    <s v=" Not Achieved"/>
    <s v="Average"/>
  </r>
  <r>
    <x v="558"/>
    <x v="558"/>
    <s v="EMP_559"/>
    <x v="1"/>
    <s v="EMP_559Marketing"/>
    <x v="4"/>
    <x v="1"/>
    <n v="44617"/>
    <n v="6108"/>
    <n v="0"/>
    <n v="0"/>
    <d v="2020-07-05T00:00:00"/>
    <s v="2020"/>
    <d v="2026-02-11T00:00:00"/>
    <n v="5"/>
    <n v="2"/>
    <n v="50725"/>
    <n v="25362.5"/>
    <s v=" Not Achieved"/>
    <s v="Good"/>
  </r>
  <r>
    <x v="559"/>
    <x v="559"/>
    <s v="EMP_560"/>
    <x v="0"/>
    <s v="EMP_560Marketing"/>
    <x v="4"/>
    <x v="3"/>
    <n v="70441"/>
    <n v="14499"/>
    <n v="0"/>
    <n v="0"/>
    <d v="2019-01-09T00:00:00"/>
    <s v="2019"/>
    <d v="2026-02-11T00:00:00"/>
    <n v="7"/>
    <n v="2"/>
    <n v="84940"/>
    <n v="42470"/>
    <s v=" Not Achieved"/>
    <s v=" Excellent"/>
  </r>
  <r>
    <x v="560"/>
    <x v="560"/>
    <s v="EMP_561"/>
    <x v="0"/>
    <s v="EMP_561IT"/>
    <x v="3"/>
    <x v="0"/>
    <n v="20032"/>
    <n v="2129"/>
    <n v="0"/>
    <n v="0"/>
    <d v="2021-02-12T00:00:00"/>
    <s v="2021"/>
    <d v="2026-02-11T00:00:00"/>
    <n v="4"/>
    <n v="3"/>
    <n v="22161"/>
    <n v="11080.5"/>
    <s v=" Not Achieved"/>
    <s v="poor"/>
  </r>
  <r>
    <x v="561"/>
    <x v="561"/>
    <s v="EMP_562"/>
    <x v="0"/>
    <s v="EMP_562HR"/>
    <x v="0"/>
    <x v="1"/>
    <n v="29308"/>
    <n v="9617"/>
    <n v="0"/>
    <n v="0"/>
    <d v="2024-11-05T00:00:00"/>
    <s v="2024"/>
    <d v="2026-02-11T00:00:00"/>
    <n v="1"/>
    <n v="5"/>
    <n v="38925"/>
    <n v="19462.5"/>
    <s v=" Not Achieved"/>
    <s v="poor"/>
  </r>
  <r>
    <x v="562"/>
    <x v="562"/>
    <s v="EMP_563"/>
    <x v="1"/>
    <s v="EMP_563HR"/>
    <x v="0"/>
    <x v="1"/>
    <n v="60585"/>
    <n v="9484"/>
    <n v="0"/>
    <n v="0"/>
    <s v="8/26/2018"/>
    <s v="8/26/2018"/>
    <d v="2026-02-11T00:00:00"/>
    <e v="#VALUE!"/>
    <n v="4"/>
    <n v="70069"/>
    <n v="35034.5"/>
    <s v=" Not Achieved"/>
    <s v=" Excellent"/>
  </r>
  <r>
    <x v="563"/>
    <x v="563"/>
    <s v="EMP_564"/>
    <x v="1"/>
    <s v="EMP_564HR"/>
    <x v="0"/>
    <x v="4"/>
    <n v="46744"/>
    <n v="4740"/>
    <n v="0"/>
    <n v="0"/>
    <d v="2019-09-02T00:00:00"/>
    <s v="2019"/>
    <d v="2026-02-11T00:00:00"/>
    <n v="6"/>
    <n v="3"/>
    <n v="51484"/>
    <n v="25742"/>
    <s v=" Not Achieved"/>
    <s v="Good"/>
  </r>
  <r>
    <x v="564"/>
    <x v="564"/>
    <s v="EMP_565"/>
    <x v="1"/>
    <s v="EMP_565Marketing"/>
    <x v="4"/>
    <x v="3"/>
    <n v="39109"/>
    <n v="11543"/>
    <n v="0"/>
    <n v="0"/>
    <d v="2022-11-12T00:00:00"/>
    <s v="2022"/>
    <d v="2026-02-11T00:00:00"/>
    <n v="3"/>
    <n v="5"/>
    <n v="50652"/>
    <n v="25326"/>
    <s v=" Not Achieved"/>
    <s v="Average"/>
  </r>
  <r>
    <x v="565"/>
    <x v="565"/>
    <s v="EMP_566"/>
    <x v="1"/>
    <s v="EMP_566Sales"/>
    <x v="1"/>
    <x v="1"/>
    <n v="74104"/>
    <n v="14535"/>
    <n v="240099"/>
    <n v="120250"/>
    <d v="2021-02-02T00:00:00"/>
    <s v="2021"/>
    <d v="2026-02-11T00:00:00"/>
    <n v="5"/>
    <n v="4"/>
    <n v="88639"/>
    <n v="44319.5"/>
    <s v="Achieved"/>
    <s v=" Excellent"/>
  </r>
  <r>
    <x v="566"/>
    <x v="566"/>
    <s v="EMP_567"/>
    <x v="1"/>
    <s v="EMP_567Marketing"/>
    <x v="4"/>
    <x v="4"/>
    <n v="24207"/>
    <n v="5072"/>
    <n v="0"/>
    <n v="0"/>
    <s v="11/14/2019"/>
    <s v="11/14/2019"/>
    <d v="2026-02-11T00:00:00"/>
    <e v="#VALUE!"/>
    <n v="5"/>
    <n v="29279"/>
    <n v="14639.5"/>
    <s v=" Not Achieved"/>
    <s v="poor"/>
  </r>
  <r>
    <x v="567"/>
    <x v="567"/>
    <s v="EMP_568"/>
    <x v="1"/>
    <s v="EMP_568HR"/>
    <x v="0"/>
    <x v="3"/>
    <n v="36385"/>
    <n v="14472"/>
    <n v="0"/>
    <n v="0"/>
    <d v="2019-04-08T00:00:00"/>
    <s v="2019"/>
    <d v="2026-02-11T00:00:00"/>
    <n v="6"/>
    <n v="3"/>
    <n v="50857"/>
    <n v="25428.5"/>
    <s v=" Not Achieved"/>
    <s v="Average"/>
  </r>
  <r>
    <x v="568"/>
    <x v="568"/>
    <s v="EMP_569"/>
    <x v="0"/>
    <s v="EMP_569IT"/>
    <x v="3"/>
    <x v="4"/>
    <n v="77927"/>
    <n v="14412"/>
    <n v="0"/>
    <n v="0"/>
    <s v="2/24/2024"/>
    <s v="2/24/2024"/>
    <d v="2026-02-11T00:00:00"/>
    <e v="#VALUE!"/>
    <n v="4"/>
    <n v="92339"/>
    <n v="46169.5"/>
    <s v=" Not Achieved"/>
    <s v=" Excellent"/>
  </r>
  <r>
    <x v="569"/>
    <x v="569"/>
    <s v="EMP_570"/>
    <x v="1"/>
    <s v="EMP_570Sales"/>
    <x v="1"/>
    <x v="3"/>
    <n v="73996"/>
    <n v="8505"/>
    <n v="162380"/>
    <n v="104734"/>
    <s v="6/24/2020"/>
    <s v="6/24/2020"/>
    <d v="2026-02-11T00:00:00"/>
    <e v="#VALUE!"/>
    <n v="3"/>
    <n v="82501"/>
    <n v="41250.5"/>
    <s v="Achieved"/>
    <s v=" Excellent"/>
  </r>
  <r>
    <x v="570"/>
    <x v="570"/>
    <s v="EMP_571"/>
    <x v="0"/>
    <s v="EMP_571IT"/>
    <x v="3"/>
    <x v="4"/>
    <n v="47866"/>
    <n v="9167"/>
    <n v="0"/>
    <n v="0"/>
    <s v="12/17/2020"/>
    <s v="12/17/2020"/>
    <d v="2026-02-11T00:00:00"/>
    <e v="#VALUE!"/>
    <n v="1"/>
    <n v="57033"/>
    <n v="28516.5"/>
    <s v=" Not Achieved"/>
    <s v="Good"/>
  </r>
  <r>
    <x v="571"/>
    <x v="571"/>
    <s v="EMP_572"/>
    <x v="0"/>
    <s v="EMP_572Sales"/>
    <x v="1"/>
    <x v="1"/>
    <n v="68340"/>
    <n v="2067"/>
    <n v="72761"/>
    <n v="241904"/>
    <s v="12/21/2022"/>
    <s v="12/21/2022"/>
    <d v="2026-02-11T00:00:00"/>
    <e v="#VALUE!"/>
    <n v="4"/>
    <n v="70407"/>
    <n v="35203.5"/>
    <s v=" Not Achieved"/>
    <s v=" Excellent"/>
  </r>
  <r>
    <x v="572"/>
    <x v="572"/>
    <s v="EMP_573"/>
    <x v="1"/>
    <s v="EMP_573Sales"/>
    <x v="1"/>
    <x v="3"/>
    <n v="49752"/>
    <n v="3710"/>
    <n v="288639"/>
    <n v="180408"/>
    <s v="4/27/2022"/>
    <s v="4/27/2022"/>
    <d v="2026-02-11T00:00:00"/>
    <e v="#VALUE!"/>
    <n v="3"/>
    <n v="53462"/>
    <n v="26731"/>
    <s v="Achieved"/>
    <s v="Good"/>
  </r>
  <r>
    <x v="573"/>
    <x v="573"/>
    <s v="EMP_574"/>
    <x v="0"/>
    <s v="EMP_574IT"/>
    <x v="3"/>
    <x v="1"/>
    <n v="59696"/>
    <n v="10102"/>
    <n v="0"/>
    <n v="0"/>
    <s v="3/16/2020"/>
    <s v="3/16/2020"/>
    <d v="2026-02-11T00:00:00"/>
    <e v="#VALUE!"/>
    <n v="1"/>
    <n v="69798"/>
    <n v="34899"/>
    <s v=" Not Achieved"/>
    <s v=" Excellent"/>
  </r>
  <r>
    <x v="574"/>
    <x v="574"/>
    <s v="EMP_575"/>
    <x v="0"/>
    <s v="EMP_575Marketing"/>
    <x v="4"/>
    <x v="0"/>
    <n v="53064"/>
    <n v="9802"/>
    <n v="0"/>
    <n v="0"/>
    <s v="7/21/2018"/>
    <s v="7/21/2018"/>
    <d v="2026-02-11T00:00:00"/>
    <e v="#VALUE!"/>
    <n v="3"/>
    <n v="62866"/>
    <n v="31433"/>
    <s v=" Not Achieved"/>
    <s v=" Excellent"/>
  </r>
  <r>
    <x v="575"/>
    <x v="575"/>
    <s v="EMP_576"/>
    <x v="0"/>
    <s v="EMP_576HR"/>
    <x v="0"/>
    <x v="1"/>
    <n v="46193"/>
    <n v="4038"/>
    <n v="0"/>
    <n v="0"/>
    <s v="10/13/2022"/>
    <s v="10/13/2022"/>
    <d v="2026-02-11T00:00:00"/>
    <e v="#VALUE!"/>
    <n v="3"/>
    <n v="50231"/>
    <n v="25115.5"/>
    <s v=" Not Achieved"/>
    <s v="Good"/>
  </r>
  <r>
    <x v="576"/>
    <x v="576"/>
    <s v="EMP_577"/>
    <x v="0"/>
    <s v="EMP_577Finance"/>
    <x v="2"/>
    <x v="0"/>
    <n v="62941"/>
    <n v="6664"/>
    <n v="0"/>
    <n v="0"/>
    <s v="3/16/2018"/>
    <s v="3/16/2018"/>
    <d v="2026-02-11T00:00:00"/>
    <e v="#VALUE!"/>
    <n v="4"/>
    <n v="69605"/>
    <n v="34802.5"/>
    <s v=" Not Achieved"/>
    <s v=" Excellent"/>
  </r>
  <r>
    <x v="577"/>
    <x v="577"/>
    <s v="EMP_578"/>
    <x v="0"/>
    <s v="EMP_578HR"/>
    <x v="0"/>
    <x v="2"/>
    <n v="44726"/>
    <n v="13195"/>
    <n v="0"/>
    <n v="0"/>
    <s v="8/16/2020"/>
    <s v="8/16/2020"/>
    <d v="2026-02-11T00:00:00"/>
    <e v="#VALUE!"/>
    <n v="2"/>
    <n v="57921"/>
    <n v="28960.5"/>
    <s v=" Not Achieved"/>
    <s v="Good"/>
  </r>
  <r>
    <x v="578"/>
    <x v="578"/>
    <s v="EMP_579"/>
    <x v="1"/>
    <s v="EMP_579Sales"/>
    <x v="1"/>
    <x v="3"/>
    <n v="24355"/>
    <n v="6821"/>
    <n v="140001"/>
    <n v="177637"/>
    <s v="9/25/2023"/>
    <s v="9/25/2023"/>
    <d v="2026-02-11T00:00:00"/>
    <e v="#VALUE!"/>
    <n v="3"/>
    <n v="31176"/>
    <n v="15588"/>
    <s v=" Not Achieved"/>
    <s v="poor"/>
  </r>
  <r>
    <x v="579"/>
    <x v="579"/>
    <s v="EMP_580"/>
    <x v="1"/>
    <s v="EMP_580Marketing"/>
    <x v="4"/>
    <x v="0"/>
    <n v="74591"/>
    <n v="9569"/>
    <n v="0"/>
    <n v="0"/>
    <d v="2022-02-03T00:00:00"/>
    <s v="2022"/>
    <d v="2026-02-11T00:00:00"/>
    <n v="4"/>
    <n v="1"/>
    <n v="84160"/>
    <n v="42080"/>
    <s v=" Not Achieved"/>
    <s v=" Excellent"/>
  </r>
  <r>
    <x v="580"/>
    <x v="580"/>
    <s v="EMP_581"/>
    <x v="0"/>
    <s v="EMP_581Finance"/>
    <x v="2"/>
    <x v="4"/>
    <n v="48984"/>
    <n v="13617"/>
    <n v="0"/>
    <n v="0"/>
    <s v="7/26/2021"/>
    <s v="7/26/2021"/>
    <d v="2026-02-11T00:00:00"/>
    <e v="#VALUE!"/>
    <n v="5"/>
    <n v="62601"/>
    <n v="31300.5"/>
    <s v=" Not Achieved"/>
    <s v="Good"/>
  </r>
  <r>
    <x v="581"/>
    <x v="581"/>
    <s v="EMP_582"/>
    <x v="1"/>
    <s v="EMP_582Finance"/>
    <x v="2"/>
    <x v="3"/>
    <n v="43708"/>
    <n v="2477"/>
    <n v="0"/>
    <n v="0"/>
    <s v="8/31/2020"/>
    <s v="8/31/2020"/>
    <d v="2026-02-11T00:00:00"/>
    <e v="#VALUE!"/>
    <n v="1"/>
    <n v="46185"/>
    <n v="23092.5"/>
    <s v=" Not Achieved"/>
    <s v="Good"/>
  </r>
  <r>
    <x v="582"/>
    <x v="582"/>
    <s v="EMP_583"/>
    <x v="1"/>
    <s v="EMP_583IT"/>
    <x v="3"/>
    <x v="4"/>
    <n v="56308"/>
    <n v="7007"/>
    <n v="0"/>
    <n v="0"/>
    <d v="2024-02-02T00:00:00"/>
    <s v="2024"/>
    <d v="2026-02-11T00:00:00"/>
    <n v="2"/>
    <n v="5"/>
    <n v="63315"/>
    <n v="31657.5"/>
    <s v=" Not Achieved"/>
    <s v=" Excellent"/>
  </r>
  <r>
    <x v="583"/>
    <x v="583"/>
    <s v="EMP_584"/>
    <x v="1"/>
    <s v="EMP_584Marketing"/>
    <x v="4"/>
    <x v="0"/>
    <n v="21380"/>
    <n v="8543"/>
    <n v="0"/>
    <n v="0"/>
    <d v="2018-12-06T00:00:00"/>
    <s v="2018"/>
    <d v="2026-02-11T00:00:00"/>
    <n v="7"/>
    <n v="5"/>
    <n v="29923"/>
    <n v="14961.5"/>
    <s v=" Not Achieved"/>
    <s v="poor"/>
  </r>
  <r>
    <x v="584"/>
    <x v="584"/>
    <s v="EMP_585"/>
    <x v="0"/>
    <s v="EMP_585HR"/>
    <x v="0"/>
    <x v="3"/>
    <n v="73591"/>
    <n v="14471"/>
    <n v="0"/>
    <n v="0"/>
    <d v="2023-06-09T00:00:00"/>
    <s v="2023"/>
    <d v="2026-02-11T00:00:00"/>
    <n v="2"/>
    <n v="2"/>
    <n v="88062"/>
    <n v="44031"/>
    <s v=" Not Achieved"/>
    <s v=" Excellent"/>
  </r>
  <r>
    <x v="585"/>
    <x v="585"/>
    <s v="EMP_586"/>
    <x v="1"/>
    <s v="EMP_586HR"/>
    <x v="0"/>
    <x v="4"/>
    <n v="60926"/>
    <n v="7701"/>
    <n v="0"/>
    <n v="0"/>
    <d v="2021-01-11T00:00:00"/>
    <s v="2021"/>
    <d v="2026-02-11T00:00:00"/>
    <n v="5"/>
    <n v="5"/>
    <n v="68627"/>
    <n v="34313.5"/>
    <s v=" Not Achieved"/>
    <s v=" Excellent"/>
  </r>
  <r>
    <x v="586"/>
    <x v="586"/>
    <s v="EMP_587"/>
    <x v="0"/>
    <s v="EMP_587Sales"/>
    <x v="1"/>
    <x v="4"/>
    <n v="68611"/>
    <n v="7676"/>
    <n v="241647"/>
    <n v="154786"/>
    <d v="2019-02-02T00:00:00"/>
    <s v="2019"/>
    <d v="2026-02-11T00:00:00"/>
    <n v="7"/>
    <n v="3"/>
    <n v="76287"/>
    <n v="38143.5"/>
    <s v="Achieved"/>
    <s v=" Excellent"/>
  </r>
  <r>
    <x v="587"/>
    <x v="587"/>
    <s v="EMP_588"/>
    <x v="0"/>
    <s v="EMP_588HR"/>
    <x v="0"/>
    <x v="2"/>
    <n v="44645"/>
    <n v="4523"/>
    <n v="0"/>
    <n v="0"/>
    <d v="2018-02-01T00:00:00"/>
    <s v="2018"/>
    <d v="2026-02-11T00:00:00"/>
    <n v="8"/>
    <n v="2"/>
    <n v="49168"/>
    <n v="24584"/>
    <s v=" Not Achieved"/>
    <s v="Good"/>
  </r>
  <r>
    <x v="588"/>
    <x v="588"/>
    <s v="EMP_589"/>
    <x v="1"/>
    <s v="EMP_589Finance"/>
    <x v="2"/>
    <x v="3"/>
    <n v="49194"/>
    <n v="8887"/>
    <n v="0"/>
    <n v="0"/>
    <d v="2022-11-01T00:00:00"/>
    <s v="2022"/>
    <d v="2026-02-11T00:00:00"/>
    <n v="3"/>
    <n v="5"/>
    <n v="58081"/>
    <n v="29040.5"/>
    <s v=" Not Achieved"/>
    <s v="Good"/>
  </r>
  <r>
    <x v="589"/>
    <x v="589"/>
    <s v="EMP_590"/>
    <x v="0"/>
    <s v="EMP_590IT"/>
    <x v="3"/>
    <x v="2"/>
    <n v="71116"/>
    <n v="3327"/>
    <n v="0"/>
    <n v="0"/>
    <s v="9/27/2024"/>
    <s v="9/27/2024"/>
    <d v="2026-02-11T00:00:00"/>
    <e v="#VALUE!"/>
    <n v="1"/>
    <n v="74443"/>
    <n v="37221.5"/>
    <s v=" Not Achieved"/>
    <s v=" Excellent"/>
  </r>
  <r>
    <x v="590"/>
    <x v="590"/>
    <s v="EMP_591"/>
    <x v="1"/>
    <s v="EMP_591IT"/>
    <x v="3"/>
    <x v="4"/>
    <n v="23090"/>
    <n v="4851"/>
    <n v="0"/>
    <n v="0"/>
    <s v="5/22/2020"/>
    <s v="5/22/2020"/>
    <d v="2026-02-11T00:00:00"/>
    <e v="#VALUE!"/>
    <n v="3"/>
    <n v="27941"/>
    <n v="13970.5"/>
    <s v=" Not Achieved"/>
    <s v="poor"/>
  </r>
  <r>
    <x v="591"/>
    <x v="591"/>
    <s v="EMP_592"/>
    <x v="0"/>
    <s v="EMP_592Sales"/>
    <x v="1"/>
    <x v="3"/>
    <n v="66462"/>
    <n v="8353"/>
    <n v="110416"/>
    <n v="216938"/>
    <s v="2/27/2024"/>
    <s v="2/27/2024"/>
    <d v="2026-02-11T00:00:00"/>
    <e v="#VALUE!"/>
    <n v="3"/>
    <n v="74815"/>
    <n v="37407.5"/>
    <s v=" Not Achieved"/>
    <s v=" Excellent"/>
  </r>
  <r>
    <x v="592"/>
    <x v="592"/>
    <s v="EMP_593"/>
    <x v="1"/>
    <s v="EMP_593Marketing"/>
    <x v="4"/>
    <x v="1"/>
    <n v="67700"/>
    <n v="7730"/>
    <n v="0"/>
    <n v="0"/>
    <s v="6/16/2019"/>
    <s v="6/16/2019"/>
    <d v="2026-02-11T00:00:00"/>
    <e v="#VALUE!"/>
    <n v="2"/>
    <n v="75430"/>
    <n v="37715"/>
    <s v=" Not Achieved"/>
    <s v=" Excellent"/>
  </r>
  <r>
    <x v="593"/>
    <x v="593"/>
    <s v="EMP_594"/>
    <x v="1"/>
    <s v="EMP_594HR"/>
    <x v="0"/>
    <x v="4"/>
    <n v="63357"/>
    <n v="5840"/>
    <n v="0"/>
    <n v="0"/>
    <d v="2019-01-01T00:00:00"/>
    <s v="2019"/>
    <d v="2026-02-11T00:00:00"/>
    <n v="7"/>
    <n v="3"/>
    <n v="69197"/>
    <n v="34598.5"/>
    <s v=" Not Achieved"/>
    <s v=" Excellent"/>
  </r>
  <r>
    <x v="594"/>
    <x v="594"/>
    <s v="EMP_595"/>
    <x v="1"/>
    <s v="EMP_595IT"/>
    <x v="3"/>
    <x v="4"/>
    <n v="43450"/>
    <n v="7973"/>
    <n v="0"/>
    <n v="0"/>
    <d v="2024-02-10T00:00:00"/>
    <s v="2024"/>
    <d v="2026-02-11T00:00:00"/>
    <n v="2"/>
    <n v="1"/>
    <n v="51423"/>
    <n v="25711.5"/>
    <s v=" Not Achieved"/>
    <s v="Good"/>
  </r>
  <r>
    <x v="595"/>
    <x v="595"/>
    <s v="EMP_596"/>
    <x v="0"/>
    <s v="EMP_596HR"/>
    <x v="0"/>
    <x v="1"/>
    <n v="20266"/>
    <n v="6011"/>
    <n v="0"/>
    <n v="0"/>
    <d v="2019-04-12T00:00:00"/>
    <s v="2019"/>
    <d v="2026-02-11T00:00:00"/>
    <n v="6"/>
    <n v="1"/>
    <n v="26277"/>
    <n v="13138.5"/>
    <s v=" Not Achieved"/>
    <s v="poor"/>
  </r>
  <r>
    <x v="596"/>
    <x v="596"/>
    <s v="EMP_597"/>
    <x v="0"/>
    <s v="EMP_597IT"/>
    <x v="3"/>
    <x v="3"/>
    <n v="33817"/>
    <n v="8770"/>
    <n v="0"/>
    <n v="0"/>
    <d v="2024-07-02T00:00:00"/>
    <s v="2024"/>
    <d v="2026-02-11T00:00:00"/>
    <n v="1"/>
    <n v="2"/>
    <n v="42587"/>
    <n v="21293.5"/>
    <s v=" Not Achieved"/>
    <s v="Average"/>
  </r>
  <r>
    <x v="597"/>
    <x v="597"/>
    <s v="EMP_598"/>
    <x v="0"/>
    <s v="EMP_598IT"/>
    <x v="3"/>
    <x v="0"/>
    <n v="31547"/>
    <n v="3003"/>
    <n v="0"/>
    <n v="0"/>
    <s v="10/20/2019"/>
    <s v="10/20/2019"/>
    <d v="2026-02-11T00:00:00"/>
    <e v="#VALUE!"/>
    <n v="3"/>
    <n v="34550"/>
    <n v="17275"/>
    <s v=" Not Achieved"/>
    <s v="Average"/>
  </r>
  <r>
    <x v="598"/>
    <x v="598"/>
    <s v="EMP_599"/>
    <x v="0"/>
    <s v="EMP_599Sales"/>
    <x v="1"/>
    <x v="2"/>
    <n v="37875"/>
    <n v="7896"/>
    <n v="58298"/>
    <n v="106907"/>
    <s v="8/19/2024"/>
    <s v="8/19/2024"/>
    <d v="2026-02-11T00:00:00"/>
    <e v="#VALUE!"/>
    <n v="4"/>
    <n v="45771"/>
    <n v="22885.5"/>
    <s v=" Not Achieved"/>
    <s v="Average"/>
  </r>
  <r>
    <x v="599"/>
    <x v="599"/>
    <s v="EMP_600"/>
    <x v="0"/>
    <s v="EMP_600Marketing"/>
    <x v="4"/>
    <x v="0"/>
    <n v="60588"/>
    <n v="8182"/>
    <n v="0"/>
    <n v="0"/>
    <s v="8/19/2023"/>
    <s v="8/19/2023"/>
    <d v="2026-02-11T00:00:00"/>
    <e v="#VALUE!"/>
    <n v="5"/>
    <n v="68770"/>
    <n v="34385"/>
    <s v=" Not Achieved"/>
    <s v=" Excellent"/>
  </r>
  <r>
    <x v="600"/>
    <x v="600"/>
    <s v="EMP_601"/>
    <x v="1"/>
    <s v="EMP_601Marketing"/>
    <x v="4"/>
    <x v="3"/>
    <n v="46957"/>
    <n v="8847"/>
    <n v="0"/>
    <n v="0"/>
    <d v="2020-01-10T00:00:00"/>
    <s v="2020"/>
    <d v="2026-02-11T00:00:00"/>
    <n v="6"/>
    <n v="4"/>
    <n v="55804"/>
    <n v="27902"/>
    <s v=" Not Achieved"/>
    <s v="Good"/>
  </r>
  <r>
    <x v="601"/>
    <x v="601"/>
    <s v="EMP_602"/>
    <x v="1"/>
    <s v="EMP_602Marketing"/>
    <x v="4"/>
    <x v="3"/>
    <n v="49732"/>
    <n v="9119"/>
    <n v="0"/>
    <n v="0"/>
    <d v="2020-02-04T00:00:00"/>
    <s v="2020"/>
    <d v="2026-02-11T00:00:00"/>
    <n v="6"/>
    <n v="5"/>
    <n v="58851"/>
    <n v="29425.5"/>
    <s v=" Not Achieved"/>
    <s v="Good"/>
  </r>
  <r>
    <x v="602"/>
    <x v="602"/>
    <s v="EMP_603"/>
    <x v="1"/>
    <s v="EMP_603HR"/>
    <x v="0"/>
    <x v="4"/>
    <n v="56600"/>
    <n v="7697"/>
    <n v="0"/>
    <n v="0"/>
    <s v="10/30/2024"/>
    <s v="10/30/2024"/>
    <d v="2026-02-11T00:00:00"/>
    <e v="#VALUE!"/>
    <n v="5"/>
    <n v="64297"/>
    <n v="32148.5"/>
    <s v=" Not Achieved"/>
    <s v=" Excellent"/>
  </r>
  <r>
    <x v="603"/>
    <x v="603"/>
    <s v="EMP_604"/>
    <x v="1"/>
    <s v="EMP_604Marketing"/>
    <x v="4"/>
    <x v="4"/>
    <n v="44359"/>
    <n v="14783"/>
    <n v="0"/>
    <n v="0"/>
    <s v="8/21/2024"/>
    <s v="8/21/2024"/>
    <d v="2026-02-11T00:00:00"/>
    <e v="#VALUE!"/>
    <n v="4"/>
    <n v="59142"/>
    <n v="29571"/>
    <s v=" Not Achieved"/>
    <s v="Good"/>
  </r>
  <r>
    <x v="604"/>
    <x v="604"/>
    <s v="EMP_605"/>
    <x v="0"/>
    <s v="EMP_605HR"/>
    <x v="0"/>
    <x v="3"/>
    <n v="40921"/>
    <n v="11212"/>
    <n v="0"/>
    <n v="0"/>
    <s v="4/27/2024"/>
    <s v="4/27/2024"/>
    <d v="2026-02-11T00:00:00"/>
    <e v="#VALUE!"/>
    <n v="4"/>
    <n v="52133"/>
    <n v="26066.5"/>
    <s v=" Not Achieved"/>
    <s v="Good"/>
  </r>
  <r>
    <x v="605"/>
    <x v="605"/>
    <s v="EMP_606"/>
    <x v="1"/>
    <s v="EMP_606Marketing"/>
    <x v="4"/>
    <x v="1"/>
    <n v="38285"/>
    <n v="14526"/>
    <n v="0"/>
    <n v="0"/>
    <s v="12/15/2024"/>
    <s v="12/15/2024"/>
    <d v="2026-02-11T00:00:00"/>
    <e v="#VALUE!"/>
    <n v="5"/>
    <n v="52811"/>
    <n v="26405.5"/>
    <s v=" Not Achieved"/>
    <s v="Average"/>
  </r>
  <r>
    <x v="606"/>
    <x v="606"/>
    <s v="EMP_607"/>
    <x v="1"/>
    <s v="EMP_607HR"/>
    <x v="0"/>
    <x v="0"/>
    <n v="59242"/>
    <n v="6524"/>
    <n v="0"/>
    <n v="0"/>
    <s v="11/25/2020"/>
    <s v="11/25/2020"/>
    <d v="2026-02-11T00:00:00"/>
    <e v="#VALUE!"/>
    <n v="4"/>
    <n v="65766"/>
    <n v="32883"/>
    <s v=" Not Achieved"/>
    <s v=" Excellent"/>
  </r>
  <r>
    <x v="607"/>
    <x v="607"/>
    <s v="EMP_608"/>
    <x v="1"/>
    <s v="EMP_608Finance"/>
    <x v="2"/>
    <x v="2"/>
    <n v="38821"/>
    <n v="9275"/>
    <n v="0"/>
    <n v="0"/>
    <s v="10/18/2024"/>
    <s v="10/18/2024"/>
    <d v="2026-02-11T00:00:00"/>
    <e v="#VALUE!"/>
    <n v="3"/>
    <n v="48096"/>
    <n v="24048"/>
    <s v=" Not Achieved"/>
    <s v="Average"/>
  </r>
  <r>
    <x v="608"/>
    <x v="608"/>
    <s v="EMP_609"/>
    <x v="0"/>
    <s v="EMP_609IT"/>
    <x v="3"/>
    <x v="2"/>
    <n v="36541"/>
    <n v="9855"/>
    <n v="0"/>
    <n v="0"/>
    <s v="3/28/2023"/>
    <s v="3/28/2023"/>
    <d v="2026-02-11T00:00:00"/>
    <e v="#VALUE!"/>
    <n v="4"/>
    <n v="46396"/>
    <n v="23198"/>
    <s v=" Not Achieved"/>
    <s v="Average"/>
  </r>
  <r>
    <x v="609"/>
    <x v="609"/>
    <s v="EMP_610"/>
    <x v="1"/>
    <s v="EMP_610Marketing"/>
    <x v="4"/>
    <x v="0"/>
    <n v="52930"/>
    <n v="14192"/>
    <n v="0"/>
    <n v="0"/>
    <s v="8/13/2019"/>
    <s v="8/13/2019"/>
    <d v="2026-02-11T00:00:00"/>
    <e v="#VALUE!"/>
    <n v="2"/>
    <n v="67122"/>
    <n v="33561"/>
    <s v=" Not Achieved"/>
    <s v=" Excellent"/>
  </r>
  <r>
    <x v="610"/>
    <x v="610"/>
    <s v="EMP_611"/>
    <x v="1"/>
    <s v="EMP_611Marketing"/>
    <x v="4"/>
    <x v="4"/>
    <n v="45132"/>
    <n v="3865"/>
    <n v="0"/>
    <n v="0"/>
    <s v="9/27/2020"/>
    <s v="9/27/2020"/>
    <d v="2026-02-11T00:00:00"/>
    <e v="#VALUE!"/>
    <n v="4"/>
    <n v="48997"/>
    <n v="24498.5"/>
    <s v=" Not Achieved"/>
    <s v="Good"/>
  </r>
  <r>
    <x v="611"/>
    <x v="611"/>
    <s v="EMP_612"/>
    <x v="0"/>
    <s v="EMP_612Marketing"/>
    <x v="4"/>
    <x v="1"/>
    <n v="40127"/>
    <n v="2676"/>
    <n v="0"/>
    <n v="0"/>
    <d v="2024-08-03T00:00:00"/>
    <s v="2024"/>
    <d v="2026-02-11T00:00:00"/>
    <n v="1"/>
    <n v="5"/>
    <n v="42803"/>
    <n v="21401.5"/>
    <s v=" Not Achieved"/>
    <s v="Good"/>
  </r>
  <r>
    <x v="612"/>
    <x v="612"/>
    <s v="EMP_613"/>
    <x v="1"/>
    <s v="EMP_613Sales"/>
    <x v="1"/>
    <x v="1"/>
    <n v="27290"/>
    <n v="5522"/>
    <n v="243220"/>
    <n v="184755"/>
    <d v="2018-04-11T00:00:00"/>
    <s v="2018"/>
    <d v="2026-02-11T00:00:00"/>
    <n v="7"/>
    <n v="5"/>
    <n v="32812"/>
    <n v="16406"/>
    <s v="Achieved"/>
    <s v="poor"/>
  </r>
  <r>
    <x v="613"/>
    <x v="613"/>
    <s v="EMP_614"/>
    <x v="0"/>
    <s v="EMP_614Marketing"/>
    <x v="4"/>
    <x v="3"/>
    <n v="74291"/>
    <n v="3660"/>
    <n v="0"/>
    <n v="0"/>
    <d v="2023-09-05T00:00:00"/>
    <s v="2023"/>
    <d v="2026-02-11T00:00:00"/>
    <n v="2"/>
    <n v="2"/>
    <n v="77951"/>
    <n v="38975.5"/>
    <s v=" Not Achieved"/>
    <s v=" Excellent"/>
  </r>
  <r>
    <x v="614"/>
    <x v="614"/>
    <s v="EMP_615"/>
    <x v="1"/>
    <s v="EMP_615Sales"/>
    <x v="1"/>
    <x v="2"/>
    <n v="45193"/>
    <n v="11351"/>
    <n v="246818"/>
    <n v="105599"/>
    <s v="7/26/2022"/>
    <s v="7/26/2022"/>
    <d v="2026-02-11T00:00:00"/>
    <e v="#VALUE!"/>
    <n v="5"/>
    <n v="56544"/>
    <n v="28272"/>
    <s v="Achieved"/>
    <s v="Good"/>
  </r>
  <r>
    <x v="615"/>
    <x v="615"/>
    <s v="EMP_616"/>
    <x v="1"/>
    <s v="EMP_616Marketing"/>
    <x v="4"/>
    <x v="1"/>
    <n v="38161"/>
    <n v="11401"/>
    <n v="0"/>
    <n v="0"/>
    <s v="11/24/2018"/>
    <s v="11/24/2018"/>
    <d v="2026-02-11T00:00:00"/>
    <e v="#VALUE!"/>
    <n v="4"/>
    <n v="49562"/>
    <n v="24781"/>
    <s v=" Not Achieved"/>
    <s v="Average"/>
  </r>
  <r>
    <x v="616"/>
    <x v="616"/>
    <s v="EMP_617"/>
    <x v="0"/>
    <s v="EMP_617Finance"/>
    <x v="2"/>
    <x v="3"/>
    <n v="44846"/>
    <n v="8253"/>
    <n v="0"/>
    <n v="0"/>
    <s v="3/14/2024"/>
    <s v="3/14/2024"/>
    <d v="2026-02-11T00:00:00"/>
    <e v="#VALUE!"/>
    <n v="4"/>
    <n v="53099"/>
    <n v="26549.5"/>
    <s v=" Not Achieved"/>
    <s v="Good"/>
  </r>
  <r>
    <x v="617"/>
    <x v="617"/>
    <s v="EMP_618"/>
    <x v="0"/>
    <s v="EMP_618Sales"/>
    <x v="1"/>
    <x v="0"/>
    <n v="39700"/>
    <n v="8094"/>
    <n v="92861"/>
    <n v="246458"/>
    <s v="4/30/2023"/>
    <s v="4/30/2023"/>
    <d v="2026-02-11T00:00:00"/>
    <e v="#VALUE!"/>
    <n v="1"/>
    <n v="47794"/>
    <n v="23897"/>
    <s v=" Not Achieved"/>
    <s v="Average"/>
  </r>
  <r>
    <x v="618"/>
    <x v="618"/>
    <s v="EMP_619"/>
    <x v="0"/>
    <s v="EMP_619Finance"/>
    <x v="2"/>
    <x v="0"/>
    <n v="69871"/>
    <n v="11817"/>
    <n v="0"/>
    <n v="0"/>
    <d v="2018-10-03T00:00:00"/>
    <s v="2018"/>
    <d v="2026-02-11T00:00:00"/>
    <n v="7"/>
    <n v="1"/>
    <n v="81688"/>
    <n v="40844"/>
    <s v=" Not Achieved"/>
    <s v=" Excellent"/>
  </r>
  <r>
    <x v="619"/>
    <x v="619"/>
    <s v="EMP_620"/>
    <x v="0"/>
    <s v="EMP_620Marketing"/>
    <x v="4"/>
    <x v="4"/>
    <n v="64159"/>
    <n v="9573"/>
    <n v="0"/>
    <n v="0"/>
    <s v="10/27/2019"/>
    <s v="10/27/2019"/>
    <d v="2026-02-11T00:00:00"/>
    <e v="#VALUE!"/>
    <n v="1"/>
    <n v="73732"/>
    <n v="36866"/>
    <s v=" Not Achieved"/>
    <s v=" Excellent"/>
  </r>
  <r>
    <x v="620"/>
    <x v="620"/>
    <s v="EMP_621"/>
    <x v="1"/>
    <s v="EMP_621Marketing"/>
    <x v="4"/>
    <x v="3"/>
    <n v="71484"/>
    <n v="9281"/>
    <n v="0"/>
    <n v="0"/>
    <s v="11/28/2021"/>
    <s v="11/28/2021"/>
    <d v="2026-02-11T00:00:00"/>
    <e v="#VALUE!"/>
    <n v="1"/>
    <n v="80765"/>
    <n v="40382.5"/>
    <s v=" Not Achieved"/>
    <s v=" Excellent"/>
  </r>
  <r>
    <x v="621"/>
    <x v="621"/>
    <s v="EMP_622"/>
    <x v="1"/>
    <s v="EMP_622Finance"/>
    <x v="2"/>
    <x v="3"/>
    <n v="44438"/>
    <n v="10559"/>
    <n v="0"/>
    <n v="0"/>
    <s v="1/16/2024"/>
    <s v="1/16/2024"/>
    <d v="2026-02-11T00:00:00"/>
    <e v="#VALUE!"/>
    <n v="3"/>
    <n v="54997"/>
    <n v="27498.5"/>
    <s v=" Not Achieved"/>
    <s v="Good"/>
  </r>
  <r>
    <x v="622"/>
    <x v="622"/>
    <s v="EMP_623"/>
    <x v="1"/>
    <s v="EMP_623Marketing"/>
    <x v="4"/>
    <x v="4"/>
    <n v="73531"/>
    <n v="11530"/>
    <n v="0"/>
    <n v="0"/>
    <d v="2021-01-12T00:00:00"/>
    <s v="2021"/>
    <d v="2026-02-11T00:00:00"/>
    <n v="5"/>
    <n v="2"/>
    <n v="85061"/>
    <n v="42530.5"/>
    <s v=" Not Achieved"/>
    <s v=" Excellent"/>
  </r>
  <r>
    <x v="623"/>
    <x v="623"/>
    <s v="EMP_624"/>
    <x v="0"/>
    <s v="EMP_624Marketing"/>
    <x v="4"/>
    <x v="2"/>
    <n v="78791"/>
    <n v="2250"/>
    <n v="0"/>
    <n v="0"/>
    <s v="2/25/2018"/>
    <s v="2/25/2018"/>
    <d v="2026-02-11T00:00:00"/>
    <e v="#VALUE!"/>
    <n v="2"/>
    <n v="81041"/>
    <n v="40520.5"/>
    <s v=" Not Achieved"/>
    <s v=" Excellent"/>
  </r>
  <r>
    <x v="624"/>
    <x v="624"/>
    <s v="EMP_625"/>
    <x v="1"/>
    <s v="EMP_625Sales"/>
    <x v="1"/>
    <x v="3"/>
    <n v="68158"/>
    <n v="7785"/>
    <n v="213903"/>
    <n v="181354"/>
    <d v="2022-09-07T00:00:00"/>
    <s v="2022"/>
    <d v="2026-02-11T00:00:00"/>
    <n v="3"/>
    <n v="5"/>
    <n v="75943"/>
    <n v="37971.5"/>
    <s v="Achieved"/>
    <s v=" Excellent"/>
  </r>
  <r>
    <x v="625"/>
    <x v="625"/>
    <s v="EMP_626"/>
    <x v="0"/>
    <s v="EMP_626IT"/>
    <x v="3"/>
    <x v="0"/>
    <n v="49096"/>
    <n v="11584"/>
    <n v="0"/>
    <n v="0"/>
    <s v="10/31/2018"/>
    <s v="10/31/2018"/>
    <d v="2026-02-11T00:00:00"/>
    <e v="#VALUE!"/>
    <n v="1"/>
    <n v="60680"/>
    <n v="30340"/>
    <s v=" Not Achieved"/>
    <s v="Good"/>
  </r>
  <r>
    <x v="626"/>
    <x v="626"/>
    <s v="EMP_627"/>
    <x v="0"/>
    <s v="EMP_627IT"/>
    <x v="3"/>
    <x v="2"/>
    <n v="31172"/>
    <n v="10204"/>
    <n v="0"/>
    <n v="0"/>
    <s v="11/23/2020"/>
    <s v="11/23/2020"/>
    <d v="2026-02-11T00:00:00"/>
    <e v="#VALUE!"/>
    <n v="4"/>
    <n v="41376"/>
    <n v="20688"/>
    <s v=" Not Achieved"/>
    <s v="Average"/>
  </r>
  <r>
    <x v="627"/>
    <x v="627"/>
    <s v="EMP_628"/>
    <x v="0"/>
    <s v="EMP_628Finance"/>
    <x v="2"/>
    <x v="3"/>
    <n v="39672"/>
    <n v="14518"/>
    <n v="0"/>
    <n v="0"/>
    <s v="9/30/2019"/>
    <s v="9/30/2019"/>
    <d v="2026-02-11T00:00:00"/>
    <e v="#VALUE!"/>
    <n v="2"/>
    <n v="54190"/>
    <n v="27095"/>
    <s v=" Not Achieved"/>
    <s v="Average"/>
  </r>
  <r>
    <x v="628"/>
    <x v="628"/>
    <s v="EMP_629"/>
    <x v="1"/>
    <s v="EMP_629Marketing"/>
    <x v="4"/>
    <x v="3"/>
    <n v="65923"/>
    <n v="4726"/>
    <n v="0"/>
    <n v="0"/>
    <d v="2022-07-02T00:00:00"/>
    <s v="2022"/>
    <d v="2026-02-11T00:00:00"/>
    <n v="3"/>
    <n v="2"/>
    <n v="70649"/>
    <n v="35324.5"/>
    <s v=" Not Achieved"/>
    <s v=" Excellent"/>
  </r>
  <r>
    <x v="629"/>
    <x v="629"/>
    <s v="EMP_630"/>
    <x v="1"/>
    <s v="EMP_630Marketing"/>
    <x v="4"/>
    <x v="4"/>
    <n v="25665"/>
    <n v="12960"/>
    <n v="0"/>
    <n v="0"/>
    <d v="2020-02-11T00:00:00"/>
    <s v="2020"/>
    <d v="2026-02-11T00:00:00"/>
    <n v="6"/>
    <n v="4"/>
    <n v="38625"/>
    <n v="19312.5"/>
    <s v=" Not Achieved"/>
    <s v="poor"/>
  </r>
  <r>
    <x v="630"/>
    <x v="630"/>
    <s v="EMP_631"/>
    <x v="1"/>
    <s v="EMP_631Marketing"/>
    <x v="4"/>
    <x v="0"/>
    <n v="38265"/>
    <n v="14324"/>
    <n v="0"/>
    <n v="0"/>
    <s v="11/23/2019"/>
    <s v="11/23/2019"/>
    <d v="2026-02-11T00:00:00"/>
    <e v="#VALUE!"/>
    <n v="4"/>
    <n v="52589"/>
    <n v="26294.5"/>
    <s v=" Not Achieved"/>
    <s v="Average"/>
  </r>
  <r>
    <x v="631"/>
    <x v="631"/>
    <s v="EMP_632"/>
    <x v="1"/>
    <s v="EMP_632IT"/>
    <x v="3"/>
    <x v="1"/>
    <n v="70293"/>
    <n v="4696"/>
    <n v="0"/>
    <n v="0"/>
    <s v="6/13/2018"/>
    <s v="6/13/2018"/>
    <d v="2026-02-11T00:00:00"/>
    <e v="#VALUE!"/>
    <n v="2"/>
    <n v="74989"/>
    <n v="37494.5"/>
    <s v=" Not Achieved"/>
    <s v=" Excellent"/>
  </r>
  <r>
    <x v="632"/>
    <x v="632"/>
    <s v="EMP_633"/>
    <x v="1"/>
    <s v="EMP_633Finance"/>
    <x v="2"/>
    <x v="2"/>
    <n v="32458"/>
    <n v="9212"/>
    <n v="0"/>
    <n v="0"/>
    <s v="11/14/2023"/>
    <s v="11/14/2023"/>
    <d v="2026-02-11T00:00:00"/>
    <e v="#VALUE!"/>
    <n v="4"/>
    <n v="41670"/>
    <n v="20835"/>
    <s v=" Not Achieved"/>
    <s v="Average"/>
  </r>
  <r>
    <x v="633"/>
    <x v="633"/>
    <s v="EMP_634"/>
    <x v="0"/>
    <s v="EMP_634HR"/>
    <x v="0"/>
    <x v="1"/>
    <n v="38004"/>
    <n v="13476"/>
    <n v="0"/>
    <n v="0"/>
    <s v="2/14/2018"/>
    <s v="2/14/2018"/>
    <d v="2026-02-11T00:00:00"/>
    <e v="#VALUE!"/>
    <n v="1"/>
    <n v="51480"/>
    <n v="25740"/>
    <s v=" Not Achieved"/>
    <s v="Average"/>
  </r>
  <r>
    <x v="634"/>
    <x v="634"/>
    <s v="EMP_635"/>
    <x v="0"/>
    <s v="EMP_635HR"/>
    <x v="0"/>
    <x v="0"/>
    <n v="25088"/>
    <n v="13282"/>
    <n v="0"/>
    <n v="0"/>
    <s v="10/30/2023"/>
    <s v="10/30/2023"/>
    <d v="2026-02-11T00:00:00"/>
    <e v="#VALUE!"/>
    <n v="4"/>
    <n v="38370"/>
    <n v="19185"/>
    <s v=" Not Achieved"/>
    <s v="poor"/>
  </r>
  <r>
    <x v="635"/>
    <x v="635"/>
    <s v="EMP_636"/>
    <x v="1"/>
    <s v="EMP_636Sales"/>
    <x v="1"/>
    <x v="4"/>
    <n v="57094"/>
    <n v="9233"/>
    <n v="227098"/>
    <n v="240158"/>
    <s v="8/15/2023"/>
    <s v="8/15/2023"/>
    <d v="2026-02-11T00:00:00"/>
    <e v="#VALUE!"/>
    <n v="3"/>
    <n v="66327"/>
    <n v="33163.5"/>
    <s v=" Not Achieved"/>
    <s v=" Excellent"/>
  </r>
  <r>
    <x v="636"/>
    <x v="636"/>
    <s v="EMP_637"/>
    <x v="0"/>
    <s v="EMP_637Marketing"/>
    <x v="4"/>
    <x v="4"/>
    <n v="40529"/>
    <n v="5587"/>
    <n v="0"/>
    <n v="0"/>
    <s v="11/15/2019"/>
    <s v="11/15/2019"/>
    <d v="2026-02-11T00:00:00"/>
    <e v="#VALUE!"/>
    <n v="2"/>
    <n v="46116"/>
    <n v="23058"/>
    <s v=" Not Achieved"/>
    <s v="Good"/>
  </r>
  <r>
    <x v="637"/>
    <x v="637"/>
    <s v="EMP_638"/>
    <x v="0"/>
    <s v="EMP_638Finance"/>
    <x v="2"/>
    <x v="4"/>
    <n v="55207"/>
    <n v="10446"/>
    <n v="0"/>
    <n v="0"/>
    <s v="11/18/2022"/>
    <s v="11/18/2022"/>
    <d v="2026-02-11T00:00:00"/>
    <e v="#VALUE!"/>
    <n v="1"/>
    <n v="65653"/>
    <n v="32826.5"/>
    <s v=" Not Achieved"/>
    <s v=" Excellent"/>
  </r>
  <r>
    <x v="638"/>
    <x v="638"/>
    <s v="EMP_639"/>
    <x v="0"/>
    <s v="EMP_639IT"/>
    <x v="3"/>
    <x v="3"/>
    <n v="36617"/>
    <n v="3098"/>
    <n v="0"/>
    <n v="0"/>
    <d v="2020-04-03T00:00:00"/>
    <s v="2020"/>
    <d v="2026-02-11T00:00:00"/>
    <n v="5"/>
    <n v="1"/>
    <n v="39715"/>
    <n v="19857.5"/>
    <s v=" Not Achieved"/>
    <s v="Average"/>
  </r>
  <r>
    <x v="639"/>
    <x v="639"/>
    <s v="EMP_640"/>
    <x v="0"/>
    <s v="EMP_640IT"/>
    <x v="3"/>
    <x v="0"/>
    <n v="27014"/>
    <n v="6776"/>
    <n v="0"/>
    <n v="0"/>
    <s v="3/28/2020"/>
    <s v="3/28/2020"/>
    <d v="2026-02-11T00:00:00"/>
    <e v="#VALUE!"/>
    <n v="5"/>
    <n v="33790"/>
    <n v="16895"/>
    <s v=" Not Achieved"/>
    <s v="poor"/>
  </r>
  <r>
    <x v="640"/>
    <x v="640"/>
    <s v="EMP_641"/>
    <x v="1"/>
    <s v="EMP_641Sales"/>
    <x v="1"/>
    <x v="0"/>
    <n v="34527"/>
    <n v="4532"/>
    <n v="147048"/>
    <n v="177773"/>
    <s v="2/20/2019"/>
    <s v="2/20/2019"/>
    <d v="2026-02-11T00:00:00"/>
    <e v="#VALUE!"/>
    <n v="1"/>
    <n v="39059"/>
    <n v="19529.5"/>
    <s v=" Not Achieved"/>
    <s v="Average"/>
  </r>
  <r>
    <x v="641"/>
    <x v="641"/>
    <s v="EMP_642"/>
    <x v="1"/>
    <s v="EMP_642Sales"/>
    <x v="1"/>
    <x v="0"/>
    <n v="20548"/>
    <n v="4800"/>
    <n v="64313"/>
    <n v="185059"/>
    <d v="2023-12-08T00:00:00"/>
    <s v="2023"/>
    <d v="2026-02-11T00:00:00"/>
    <n v="2"/>
    <n v="1"/>
    <n v="25348"/>
    <n v="12674"/>
    <s v=" Not Achieved"/>
    <s v="poor"/>
  </r>
  <r>
    <x v="642"/>
    <x v="642"/>
    <s v="EMP_643"/>
    <x v="1"/>
    <s v="EMP_643IT"/>
    <x v="3"/>
    <x v="1"/>
    <n v="52748"/>
    <n v="9993"/>
    <n v="0"/>
    <n v="0"/>
    <s v="11/17/2023"/>
    <s v="11/17/2023"/>
    <d v="2026-02-11T00:00:00"/>
    <e v="#VALUE!"/>
    <n v="5"/>
    <n v="62741"/>
    <n v="31370.5"/>
    <s v=" Not Achieved"/>
    <s v=" Excellent"/>
  </r>
  <r>
    <x v="643"/>
    <x v="643"/>
    <s v="EMP_644"/>
    <x v="1"/>
    <s v="EMP_644Sales"/>
    <x v="1"/>
    <x v="1"/>
    <n v="30519"/>
    <n v="10073"/>
    <n v="125156"/>
    <n v="155240"/>
    <s v="4/20/2024"/>
    <s v="4/20/2024"/>
    <d v="2026-02-11T00:00:00"/>
    <e v="#VALUE!"/>
    <n v="2"/>
    <n v="40592"/>
    <n v="20296"/>
    <s v=" Not Achieved"/>
    <s v="Average"/>
  </r>
  <r>
    <x v="644"/>
    <x v="644"/>
    <s v="EMP_645"/>
    <x v="0"/>
    <s v="EMP_645HR"/>
    <x v="0"/>
    <x v="3"/>
    <n v="32597"/>
    <n v="8587"/>
    <n v="0"/>
    <n v="0"/>
    <s v="8/19/2024"/>
    <s v="8/19/2024"/>
    <d v="2026-02-11T00:00:00"/>
    <e v="#VALUE!"/>
    <n v="3"/>
    <n v="41184"/>
    <n v="20592"/>
    <s v=" Not Achieved"/>
    <s v="Average"/>
  </r>
  <r>
    <x v="645"/>
    <x v="645"/>
    <s v="EMP_646"/>
    <x v="1"/>
    <s v="EMP_646HR"/>
    <x v="0"/>
    <x v="3"/>
    <n v="67553"/>
    <n v="7105"/>
    <n v="0"/>
    <n v="0"/>
    <d v="2021-12-03T00:00:00"/>
    <s v="2021"/>
    <d v="2026-02-11T00:00:00"/>
    <n v="4"/>
    <n v="2"/>
    <n v="74658"/>
    <n v="37329"/>
    <s v=" Not Achieved"/>
    <s v=" Excellent"/>
  </r>
  <r>
    <x v="646"/>
    <x v="646"/>
    <s v="EMP_647"/>
    <x v="0"/>
    <s v="EMP_647Sales"/>
    <x v="1"/>
    <x v="4"/>
    <n v="34758"/>
    <n v="3558"/>
    <n v="76168"/>
    <n v="200566"/>
    <s v="6/29/2023"/>
    <s v="6/29/2023"/>
    <d v="2026-02-11T00:00:00"/>
    <e v="#VALUE!"/>
    <n v="4"/>
    <n v="38316"/>
    <n v="19158"/>
    <s v=" Not Achieved"/>
    <s v="Average"/>
  </r>
  <r>
    <x v="647"/>
    <x v="647"/>
    <s v="EMP_648"/>
    <x v="0"/>
    <s v="EMP_648Marketing"/>
    <x v="4"/>
    <x v="3"/>
    <n v="26268"/>
    <n v="6251"/>
    <n v="0"/>
    <n v="0"/>
    <s v="6/25/2018"/>
    <s v="6/25/2018"/>
    <d v="2026-02-11T00:00:00"/>
    <e v="#VALUE!"/>
    <n v="2"/>
    <n v="32519"/>
    <n v="16259.5"/>
    <s v=" Not Achieved"/>
    <s v="poor"/>
  </r>
  <r>
    <x v="648"/>
    <x v="648"/>
    <s v="EMP_649"/>
    <x v="1"/>
    <s v="EMP_649Finance"/>
    <x v="2"/>
    <x v="0"/>
    <n v="64643"/>
    <n v="13993"/>
    <n v="0"/>
    <n v="0"/>
    <d v="2021-12-06T00:00:00"/>
    <s v="2021"/>
    <d v="2026-02-11T00:00:00"/>
    <n v="4"/>
    <n v="3"/>
    <n v="78636"/>
    <n v="39318"/>
    <s v=" Not Achieved"/>
    <s v=" Excellent"/>
  </r>
  <r>
    <x v="649"/>
    <x v="649"/>
    <s v="EMP_650"/>
    <x v="1"/>
    <s v="EMP_650Sales"/>
    <x v="1"/>
    <x v="4"/>
    <n v="42485"/>
    <n v="9300"/>
    <n v="219887"/>
    <n v="201787"/>
    <s v="1/25/2018"/>
    <s v="1/25/2018"/>
    <d v="2026-02-11T00:00:00"/>
    <e v="#VALUE!"/>
    <n v="2"/>
    <n v="51785"/>
    <n v="25892.5"/>
    <s v="Achieved"/>
    <s v="Good"/>
  </r>
  <r>
    <x v="650"/>
    <x v="650"/>
    <s v="EMP_651"/>
    <x v="1"/>
    <s v="EMP_651HR"/>
    <x v="0"/>
    <x v="0"/>
    <n v="27886"/>
    <n v="8674"/>
    <n v="0"/>
    <n v="0"/>
    <s v="1/22/2018"/>
    <s v="1/22/2018"/>
    <d v="2026-02-11T00:00:00"/>
    <e v="#VALUE!"/>
    <n v="1"/>
    <n v="36560"/>
    <n v="18280"/>
    <s v=" Not Achieved"/>
    <s v="poor"/>
  </r>
  <r>
    <x v="651"/>
    <x v="651"/>
    <s v="EMP_652"/>
    <x v="1"/>
    <s v="EMP_652Finance"/>
    <x v="2"/>
    <x v="3"/>
    <n v="56302"/>
    <n v="13372"/>
    <n v="0"/>
    <n v="0"/>
    <s v="8/27/2019"/>
    <s v="8/27/2019"/>
    <d v="2026-02-11T00:00:00"/>
    <e v="#VALUE!"/>
    <n v="4"/>
    <n v="69674"/>
    <n v="34837"/>
    <s v=" Not Achieved"/>
    <s v=" Excellent"/>
  </r>
  <r>
    <x v="652"/>
    <x v="652"/>
    <s v="EMP_653"/>
    <x v="0"/>
    <s v="EMP_653Finance"/>
    <x v="2"/>
    <x v="0"/>
    <n v="55888"/>
    <n v="9547"/>
    <n v="0"/>
    <n v="0"/>
    <s v="8/18/2024"/>
    <s v="8/18/2024"/>
    <d v="2026-02-11T00:00:00"/>
    <e v="#VALUE!"/>
    <n v="5"/>
    <n v="65435"/>
    <n v="32717.5"/>
    <s v=" Not Achieved"/>
    <s v=" Excellent"/>
  </r>
  <r>
    <x v="653"/>
    <x v="653"/>
    <s v="EMP_654"/>
    <x v="0"/>
    <s v="EMP_654IT"/>
    <x v="3"/>
    <x v="3"/>
    <n v="23577"/>
    <n v="11592"/>
    <n v="0"/>
    <n v="0"/>
    <s v="5/26/2019"/>
    <s v="5/26/2019"/>
    <d v="2026-02-11T00:00:00"/>
    <e v="#VALUE!"/>
    <n v="2"/>
    <n v="35169"/>
    <n v="17584.5"/>
    <s v=" Not Achieved"/>
    <s v="poor"/>
  </r>
  <r>
    <x v="654"/>
    <x v="654"/>
    <s v="EMP_655"/>
    <x v="1"/>
    <s v="EMP_655IT"/>
    <x v="3"/>
    <x v="2"/>
    <n v="31989"/>
    <n v="8094"/>
    <n v="0"/>
    <n v="0"/>
    <s v="2/27/2024"/>
    <s v="2/27/2024"/>
    <d v="2026-02-11T00:00:00"/>
    <e v="#VALUE!"/>
    <n v="2"/>
    <n v="40083"/>
    <n v="20041.5"/>
    <s v=" Not Achieved"/>
    <s v="Average"/>
  </r>
  <r>
    <x v="655"/>
    <x v="655"/>
    <s v="EMP_656"/>
    <x v="0"/>
    <s v="EMP_656HR"/>
    <x v="0"/>
    <x v="0"/>
    <n v="37440"/>
    <n v="4004"/>
    <n v="0"/>
    <n v="0"/>
    <s v="8/31/2023"/>
    <s v="8/31/2023"/>
    <d v="2026-02-11T00:00:00"/>
    <e v="#VALUE!"/>
    <n v="1"/>
    <n v="41444"/>
    <n v="20722"/>
    <s v=" Not Achieved"/>
    <s v="Average"/>
  </r>
  <r>
    <x v="656"/>
    <x v="656"/>
    <s v="EMP_657"/>
    <x v="0"/>
    <s v="EMP_657Sales"/>
    <x v="1"/>
    <x v="0"/>
    <n v="63304"/>
    <n v="4802"/>
    <n v="193151"/>
    <n v="222647"/>
    <d v="2020-10-04T00:00:00"/>
    <s v="2020"/>
    <d v="2026-02-11T00:00:00"/>
    <n v="5"/>
    <n v="4"/>
    <n v="68106"/>
    <n v="34053"/>
    <s v=" Not Achieved"/>
    <s v=" Excellent"/>
  </r>
  <r>
    <x v="657"/>
    <x v="657"/>
    <s v="EMP_658"/>
    <x v="1"/>
    <s v="EMP_658IT"/>
    <x v="3"/>
    <x v="2"/>
    <n v="32516"/>
    <n v="8196"/>
    <n v="0"/>
    <n v="0"/>
    <d v="2019-12-06T00:00:00"/>
    <s v="2019"/>
    <d v="2026-02-11T00:00:00"/>
    <n v="6"/>
    <n v="1"/>
    <n v="40712"/>
    <n v="20356"/>
    <s v=" Not Achieved"/>
    <s v="Average"/>
  </r>
  <r>
    <x v="658"/>
    <x v="658"/>
    <s v="EMP_659"/>
    <x v="0"/>
    <s v="EMP_659Marketing"/>
    <x v="4"/>
    <x v="3"/>
    <n v="61391"/>
    <n v="10096"/>
    <n v="0"/>
    <n v="0"/>
    <d v="2022-12-02T00:00:00"/>
    <s v="2022"/>
    <d v="2026-02-11T00:00:00"/>
    <n v="3"/>
    <n v="3"/>
    <n v="71487"/>
    <n v="35743.5"/>
    <s v=" Not Achieved"/>
    <s v=" Excellent"/>
  </r>
  <r>
    <x v="659"/>
    <x v="659"/>
    <s v="EMP_660"/>
    <x v="0"/>
    <s v="EMP_660IT"/>
    <x v="3"/>
    <x v="2"/>
    <n v="70016"/>
    <n v="13198"/>
    <n v="0"/>
    <n v="0"/>
    <d v="2019-12-08T00:00:00"/>
    <s v="2019"/>
    <d v="2026-02-11T00:00:00"/>
    <n v="6"/>
    <n v="3"/>
    <n v="83214"/>
    <n v="41607"/>
    <s v=" Not Achieved"/>
    <s v=" Excellent"/>
  </r>
  <r>
    <x v="660"/>
    <x v="660"/>
    <s v="EMP_661"/>
    <x v="1"/>
    <s v="EMP_661Finance"/>
    <x v="2"/>
    <x v="3"/>
    <n v="25496"/>
    <n v="9353"/>
    <n v="0"/>
    <n v="0"/>
    <s v="3/15/2021"/>
    <s v="3/15/2021"/>
    <d v="2026-02-11T00:00:00"/>
    <e v="#VALUE!"/>
    <n v="4"/>
    <n v="34849"/>
    <n v="17424.5"/>
    <s v=" Not Achieved"/>
    <s v="poor"/>
  </r>
  <r>
    <x v="661"/>
    <x v="661"/>
    <s v="EMP_662"/>
    <x v="0"/>
    <s v="EMP_662Finance"/>
    <x v="2"/>
    <x v="2"/>
    <n v="46480"/>
    <n v="2109"/>
    <n v="0"/>
    <n v="0"/>
    <s v="12/17/2024"/>
    <s v="12/17/2024"/>
    <d v="2026-02-11T00:00:00"/>
    <e v="#VALUE!"/>
    <n v="5"/>
    <n v="48589"/>
    <n v="24294.5"/>
    <s v=" Not Achieved"/>
    <s v="Good"/>
  </r>
  <r>
    <x v="662"/>
    <x v="662"/>
    <s v="EMP_663"/>
    <x v="0"/>
    <s v="EMP_663IT"/>
    <x v="3"/>
    <x v="4"/>
    <n v="72918"/>
    <n v="11954"/>
    <n v="0"/>
    <n v="0"/>
    <s v="9/19/2018"/>
    <s v="9/19/2018"/>
    <d v="2026-02-11T00:00:00"/>
    <e v="#VALUE!"/>
    <n v="2"/>
    <n v="84872"/>
    <n v="42436"/>
    <s v=" Not Achieved"/>
    <s v=" Excellent"/>
  </r>
  <r>
    <x v="663"/>
    <x v="663"/>
    <s v="EMP_664"/>
    <x v="0"/>
    <s v="EMP_664Sales"/>
    <x v="1"/>
    <x v="4"/>
    <n v="55461"/>
    <n v="12173"/>
    <n v="232029"/>
    <n v="106533"/>
    <s v="2/25/2019"/>
    <s v="2/25/2019"/>
    <d v="2026-02-11T00:00:00"/>
    <e v="#VALUE!"/>
    <n v="1"/>
    <n v="67634"/>
    <n v="33817"/>
    <s v="Achieved"/>
    <s v=" Excellent"/>
  </r>
  <r>
    <x v="664"/>
    <x v="664"/>
    <s v="EMP_665"/>
    <x v="0"/>
    <s v="EMP_665IT"/>
    <x v="3"/>
    <x v="4"/>
    <n v="63138"/>
    <n v="2393"/>
    <n v="0"/>
    <n v="0"/>
    <s v="5/29/2019"/>
    <s v="5/29/2019"/>
    <d v="2026-02-11T00:00:00"/>
    <e v="#VALUE!"/>
    <n v="3"/>
    <n v="65531"/>
    <n v="32765.5"/>
    <s v=" Not Achieved"/>
    <s v=" Excellent"/>
  </r>
  <r>
    <x v="665"/>
    <x v="665"/>
    <s v="EMP_666"/>
    <x v="1"/>
    <s v="EMP_666HR"/>
    <x v="0"/>
    <x v="2"/>
    <n v="53551"/>
    <n v="12888"/>
    <n v="0"/>
    <n v="0"/>
    <d v="2019-01-04T00:00:00"/>
    <s v="2019"/>
    <d v="2026-02-11T00:00:00"/>
    <n v="7"/>
    <n v="4"/>
    <n v="66439"/>
    <n v="33219.5"/>
    <s v=" Not Achieved"/>
    <s v=" Excellent"/>
  </r>
  <r>
    <x v="666"/>
    <x v="666"/>
    <s v="EMP_667"/>
    <x v="0"/>
    <s v="EMP_667Finance"/>
    <x v="2"/>
    <x v="0"/>
    <n v="47100"/>
    <n v="4475"/>
    <n v="0"/>
    <n v="0"/>
    <s v="7/25/2023"/>
    <s v="7/25/2023"/>
    <d v="2026-02-11T00:00:00"/>
    <e v="#VALUE!"/>
    <n v="4"/>
    <n v="51575"/>
    <n v="25787.5"/>
    <s v=" Not Achieved"/>
    <s v="Good"/>
  </r>
  <r>
    <x v="667"/>
    <x v="667"/>
    <s v="EMP_668"/>
    <x v="0"/>
    <s v="EMP_668Finance"/>
    <x v="2"/>
    <x v="2"/>
    <n v="26265"/>
    <n v="7739"/>
    <n v="0"/>
    <n v="0"/>
    <s v="11/30/2019"/>
    <s v="11/30/2019"/>
    <d v="2026-02-11T00:00:00"/>
    <e v="#VALUE!"/>
    <n v="1"/>
    <n v="34004"/>
    <n v="17002"/>
    <s v=" Not Achieved"/>
    <s v="poor"/>
  </r>
  <r>
    <x v="668"/>
    <x v="668"/>
    <s v="EMP_669"/>
    <x v="1"/>
    <s v="EMP_669Marketing"/>
    <x v="4"/>
    <x v="1"/>
    <n v="75137"/>
    <n v="3706"/>
    <n v="0"/>
    <n v="0"/>
    <s v="9/13/2024"/>
    <s v="9/13/2024"/>
    <d v="2026-02-11T00:00:00"/>
    <e v="#VALUE!"/>
    <n v="5"/>
    <n v="78843"/>
    <n v="39421.5"/>
    <s v=" Not Achieved"/>
    <s v=" Excellent"/>
  </r>
  <r>
    <x v="669"/>
    <x v="669"/>
    <s v="EMP_670"/>
    <x v="0"/>
    <s v="EMP_670HR"/>
    <x v="0"/>
    <x v="3"/>
    <n v="21905"/>
    <n v="3747"/>
    <n v="0"/>
    <n v="0"/>
    <s v="12/18/2021"/>
    <s v="12/18/2021"/>
    <d v="2026-02-11T00:00:00"/>
    <e v="#VALUE!"/>
    <n v="4"/>
    <n v="25652"/>
    <n v="12826"/>
    <s v=" Not Achieved"/>
    <s v="poor"/>
  </r>
  <r>
    <x v="670"/>
    <x v="670"/>
    <s v="EMP_671"/>
    <x v="0"/>
    <s v="EMP_671IT"/>
    <x v="3"/>
    <x v="1"/>
    <n v="21603"/>
    <n v="8709"/>
    <n v="0"/>
    <n v="0"/>
    <s v="6/21/2020"/>
    <s v="6/21/2020"/>
    <d v="2026-02-11T00:00:00"/>
    <e v="#VALUE!"/>
    <n v="5"/>
    <n v="30312"/>
    <n v="15156"/>
    <s v=" Not Achieved"/>
    <s v="poor"/>
  </r>
  <r>
    <x v="671"/>
    <x v="671"/>
    <s v="EMP_672"/>
    <x v="1"/>
    <s v="EMP_672IT"/>
    <x v="3"/>
    <x v="1"/>
    <n v="49881"/>
    <n v="5837"/>
    <n v="0"/>
    <n v="0"/>
    <s v="5/15/2024"/>
    <s v="5/15/2024"/>
    <d v="2026-02-11T00:00:00"/>
    <e v="#VALUE!"/>
    <n v="4"/>
    <n v="55718"/>
    <n v="27859"/>
    <s v=" Not Achieved"/>
    <s v="Good"/>
  </r>
  <r>
    <x v="672"/>
    <x v="672"/>
    <s v="EMP_673"/>
    <x v="1"/>
    <s v="EMP_673Finance"/>
    <x v="2"/>
    <x v="1"/>
    <n v="63053"/>
    <n v="8519"/>
    <n v="0"/>
    <n v="0"/>
    <s v="10/29/2018"/>
    <s v="10/29/2018"/>
    <d v="2026-02-11T00:00:00"/>
    <e v="#VALUE!"/>
    <n v="2"/>
    <n v="71572"/>
    <n v="35786"/>
    <s v=" Not Achieved"/>
    <s v=" Excellent"/>
  </r>
  <r>
    <x v="673"/>
    <x v="673"/>
    <s v="EMP_674"/>
    <x v="1"/>
    <s v="EMP_674Sales"/>
    <x v="1"/>
    <x v="1"/>
    <n v="26217"/>
    <n v="9051"/>
    <n v="82851"/>
    <n v="245636"/>
    <s v="8/18/2021"/>
    <s v="8/18/2021"/>
    <d v="2026-02-11T00:00:00"/>
    <e v="#VALUE!"/>
    <n v="5"/>
    <n v="35268"/>
    <n v="17634"/>
    <s v=" Not Achieved"/>
    <s v="poor"/>
  </r>
  <r>
    <x v="674"/>
    <x v="674"/>
    <s v="EMP_675"/>
    <x v="1"/>
    <s v="EMP_675IT"/>
    <x v="3"/>
    <x v="0"/>
    <n v="75411"/>
    <n v="5868"/>
    <n v="0"/>
    <n v="0"/>
    <s v="3/19/2022"/>
    <s v="3/19/2022"/>
    <d v="2026-02-11T00:00:00"/>
    <e v="#VALUE!"/>
    <n v="3"/>
    <n v="81279"/>
    <n v="40639.5"/>
    <s v=" Not Achieved"/>
    <s v=" Excellent"/>
  </r>
  <r>
    <x v="675"/>
    <x v="675"/>
    <s v="EMP_676"/>
    <x v="1"/>
    <s v="EMP_676IT"/>
    <x v="3"/>
    <x v="0"/>
    <n v="20943"/>
    <n v="12300"/>
    <n v="0"/>
    <n v="0"/>
    <s v="5/21/2018"/>
    <s v="5/21/2018"/>
    <d v="2026-02-11T00:00:00"/>
    <e v="#VALUE!"/>
    <n v="4"/>
    <n v="33243"/>
    <n v="16621.5"/>
    <s v=" Not Achieved"/>
    <s v="poor"/>
  </r>
  <r>
    <x v="676"/>
    <x v="676"/>
    <s v="EMP_677"/>
    <x v="1"/>
    <s v="EMP_677IT"/>
    <x v="3"/>
    <x v="1"/>
    <n v="35725"/>
    <n v="2205"/>
    <n v="0"/>
    <n v="0"/>
    <d v="2022-02-06T00:00:00"/>
    <s v="2022"/>
    <d v="2026-02-11T00:00:00"/>
    <n v="4"/>
    <n v="2"/>
    <n v="37930"/>
    <n v="18965"/>
    <s v=" Not Achieved"/>
    <s v="Average"/>
  </r>
  <r>
    <x v="677"/>
    <x v="677"/>
    <s v="EMP_678"/>
    <x v="1"/>
    <s v="EMP_678Sales"/>
    <x v="1"/>
    <x v="3"/>
    <n v="31396"/>
    <n v="9883"/>
    <n v="110994"/>
    <n v="192028"/>
    <d v="2022-03-12T00:00:00"/>
    <s v="2022"/>
    <d v="2026-02-11T00:00:00"/>
    <n v="3"/>
    <n v="5"/>
    <n v="41279"/>
    <n v="20639.5"/>
    <s v=" Not Achieved"/>
    <s v="Average"/>
  </r>
  <r>
    <x v="678"/>
    <x v="678"/>
    <s v="EMP_679"/>
    <x v="0"/>
    <s v="EMP_679HR"/>
    <x v="0"/>
    <x v="1"/>
    <n v="31898"/>
    <n v="9651"/>
    <n v="0"/>
    <n v="0"/>
    <d v="2020-10-11T00:00:00"/>
    <s v="2020"/>
    <d v="2026-02-11T00:00:00"/>
    <n v="5"/>
    <n v="5"/>
    <n v="41549"/>
    <n v="20774.5"/>
    <s v=" Not Achieved"/>
    <s v="Average"/>
  </r>
  <r>
    <x v="679"/>
    <x v="679"/>
    <s v="EMP_680"/>
    <x v="0"/>
    <s v="EMP_680HR"/>
    <x v="0"/>
    <x v="4"/>
    <n v="26008"/>
    <n v="8171"/>
    <n v="0"/>
    <n v="0"/>
    <s v="9/22/2022"/>
    <s v="9/22/2022"/>
    <d v="2026-02-11T00:00:00"/>
    <e v="#VALUE!"/>
    <n v="2"/>
    <n v="34179"/>
    <n v="17089.5"/>
    <s v=" Not Achieved"/>
    <s v="poor"/>
  </r>
  <r>
    <x v="680"/>
    <x v="680"/>
    <s v="EMP_681"/>
    <x v="0"/>
    <s v="EMP_681Sales"/>
    <x v="1"/>
    <x v="0"/>
    <n v="59566"/>
    <n v="11966"/>
    <n v="83180"/>
    <n v="246805"/>
    <d v="2021-12-02T00:00:00"/>
    <s v="2021"/>
    <d v="2026-02-11T00:00:00"/>
    <n v="4"/>
    <n v="5"/>
    <n v="71532"/>
    <n v="35766"/>
    <s v=" Not Achieved"/>
    <s v=" Excellent"/>
  </r>
  <r>
    <x v="681"/>
    <x v="681"/>
    <s v="EMP_682"/>
    <x v="1"/>
    <s v="EMP_682Finance"/>
    <x v="2"/>
    <x v="0"/>
    <n v="64192"/>
    <n v="13201"/>
    <n v="0"/>
    <n v="0"/>
    <d v="2018-11-06T00:00:00"/>
    <s v="2018"/>
    <d v="2026-02-11T00:00:00"/>
    <n v="7"/>
    <n v="4"/>
    <n v="77393"/>
    <n v="38696.5"/>
    <s v=" Not Achieved"/>
    <s v=" Excellent"/>
  </r>
  <r>
    <x v="682"/>
    <x v="682"/>
    <s v="EMP_683"/>
    <x v="1"/>
    <s v="EMP_683Sales"/>
    <x v="1"/>
    <x v="2"/>
    <n v="31948"/>
    <n v="4105"/>
    <n v="172339"/>
    <n v="106900"/>
    <d v="2020-10-05T00:00:00"/>
    <s v="2020"/>
    <d v="2026-02-11T00:00:00"/>
    <n v="5"/>
    <n v="5"/>
    <n v="36053"/>
    <n v="18026.5"/>
    <s v="Achieved"/>
    <s v="Average"/>
  </r>
  <r>
    <x v="683"/>
    <x v="683"/>
    <s v="EMP_684"/>
    <x v="1"/>
    <s v="EMP_684Finance"/>
    <x v="2"/>
    <x v="4"/>
    <n v="41002"/>
    <n v="13925"/>
    <n v="0"/>
    <n v="0"/>
    <s v="3/16/2021"/>
    <s v="3/16/2021"/>
    <d v="2026-02-11T00:00:00"/>
    <e v="#VALUE!"/>
    <n v="4"/>
    <n v="54927"/>
    <n v="27463.5"/>
    <s v=" Not Achieved"/>
    <s v="Good"/>
  </r>
  <r>
    <x v="684"/>
    <x v="684"/>
    <s v="EMP_685"/>
    <x v="0"/>
    <s v="EMP_685Marketing"/>
    <x v="4"/>
    <x v="0"/>
    <n v="33053"/>
    <n v="11186"/>
    <n v="0"/>
    <n v="0"/>
    <d v="2023-02-12T00:00:00"/>
    <s v="2023"/>
    <d v="2026-02-11T00:00:00"/>
    <n v="2"/>
    <n v="3"/>
    <n v="44239"/>
    <n v="22119.5"/>
    <s v=" Not Achieved"/>
    <s v="Average"/>
  </r>
  <r>
    <x v="685"/>
    <x v="685"/>
    <s v="EMP_686"/>
    <x v="1"/>
    <s v="EMP_686Sales"/>
    <x v="1"/>
    <x v="4"/>
    <n v="43371"/>
    <n v="8038"/>
    <n v="243889"/>
    <n v="149033"/>
    <s v="4/18/2024"/>
    <s v="4/18/2024"/>
    <d v="2026-02-11T00:00:00"/>
    <e v="#VALUE!"/>
    <n v="3"/>
    <n v="51409"/>
    <n v="25704.5"/>
    <s v="Achieved"/>
    <s v="Good"/>
  </r>
  <r>
    <x v="686"/>
    <x v="686"/>
    <s v="EMP_687"/>
    <x v="1"/>
    <s v="EMP_687Finance"/>
    <x v="2"/>
    <x v="1"/>
    <n v="23034"/>
    <n v="11376"/>
    <n v="0"/>
    <n v="0"/>
    <d v="2022-08-05T00:00:00"/>
    <s v="2022"/>
    <d v="2026-02-11T00:00:00"/>
    <n v="3"/>
    <n v="4"/>
    <n v="34410"/>
    <n v="17205"/>
    <s v=" Not Achieved"/>
    <s v="poor"/>
  </r>
  <r>
    <x v="687"/>
    <x v="687"/>
    <s v="EMP_688"/>
    <x v="0"/>
    <s v="EMP_688Finance"/>
    <x v="2"/>
    <x v="4"/>
    <n v="35192"/>
    <n v="6992"/>
    <n v="0"/>
    <n v="0"/>
    <d v="2022-07-07T00:00:00"/>
    <s v="2022"/>
    <d v="2026-02-11T00:00:00"/>
    <n v="3"/>
    <n v="1"/>
    <n v="42184"/>
    <n v="21092"/>
    <s v=" Not Achieved"/>
    <s v="Average"/>
  </r>
  <r>
    <x v="688"/>
    <x v="688"/>
    <s v="EMP_689"/>
    <x v="1"/>
    <s v="EMP_689HR"/>
    <x v="0"/>
    <x v="3"/>
    <n v="38319"/>
    <n v="10559"/>
    <n v="0"/>
    <n v="0"/>
    <d v="2024-09-09T00:00:00"/>
    <s v="2024"/>
    <d v="2026-02-11T00:00:00"/>
    <n v="1"/>
    <n v="4"/>
    <n v="48878"/>
    <n v="24439"/>
    <s v=" Not Achieved"/>
    <s v="Average"/>
  </r>
  <r>
    <x v="689"/>
    <x v="689"/>
    <s v="EMP_690"/>
    <x v="1"/>
    <s v="EMP_690IT"/>
    <x v="3"/>
    <x v="0"/>
    <n v="42522"/>
    <n v="14697"/>
    <n v="0"/>
    <n v="0"/>
    <s v="1/27/2021"/>
    <s v="1/27/2021"/>
    <d v="2026-02-11T00:00:00"/>
    <e v="#VALUE!"/>
    <n v="4"/>
    <n v="57219"/>
    <n v="28609.5"/>
    <s v=" Not Achieved"/>
    <s v="Good"/>
  </r>
  <r>
    <x v="690"/>
    <x v="690"/>
    <s v="EMP_691"/>
    <x v="1"/>
    <s v="EMP_691Marketing"/>
    <x v="4"/>
    <x v="4"/>
    <n v="55814"/>
    <n v="8431"/>
    <n v="0"/>
    <n v="0"/>
    <d v="2022-02-07T00:00:00"/>
    <s v="2022"/>
    <d v="2026-02-11T00:00:00"/>
    <n v="4"/>
    <n v="3"/>
    <n v="64245"/>
    <n v="32122.5"/>
    <s v=" Not Achieved"/>
    <s v=" Excellent"/>
  </r>
  <r>
    <x v="691"/>
    <x v="691"/>
    <s v="EMP_692"/>
    <x v="1"/>
    <s v="EMP_692IT"/>
    <x v="3"/>
    <x v="3"/>
    <n v="40048"/>
    <n v="14160"/>
    <n v="0"/>
    <n v="0"/>
    <d v="2022-09-02T00:00:00"/>
    <s v="2022"/>
    <d v="2026-02-11T00:00:00"/>
    <n v="3"/>
    <n v="2"/>
    <n v="54208"/>
    <n v="27104"/>
    <s v=" Not Achieved"/>
    <s v="Good"/>
  </r>
  <r>
    <x v="692"/>
    <x v="692"/>
    <s v="EMP_693"/>
    <x v="0"/>
    <s v="EMP_693Finance"/>
    <x v="2"/>
    <x v="4"/>
    <n v="69554"/>
    <n v="6057"/>
    <n v="0"/>
    <n v="0"/>
    <s v="10/25/2023"/>
    <s v="10/25/2023"/>
    <d v="2026-02-11T00:00:00"/>
    <e v="#VALUE!"/>
    <n v="2"/>
    <n v="75611"/>
    <n v="37805.5"/>
    <s v=" Not Achieved"/>
    <s v=" Excellent"/>
  </r>
  <r>
    <x v="693"/>
    <x v="693"/>
    <s v="EMP_694"/>
    <x v="1"/>
    <s v="EMP_694Finance"/>
    <x v="2"/>
    <x v="4"/>
    <n v="52505"/>
    <n v="6273"/>
    <n v="0"/>
    <n v="0"/>
    <s v="11/15/2018"/>
    <s v="11/15/2018"/>
    <d v="2026-02-11T00:00:00"/>
    <e v="#VALUE!"/>
    <n v="2"/>
    <n v="58778"/>
    <n v="29389"/>
    <s v=" Not Achieved"/>
    <s v=" Excellent"/>
  </r>
  <r>
    <x v="694"/>
    <x v="694"/>
    <s v="EMP_695"/>
    <x v="1"/>
    <s v="EMP_695Marketing"/>
    <x v="4"/>
    <x v="2"/>
    <n v="69931"/>
    <n v="6487"/>
    <n v="0"/>
    <n v="0"/>
    <d v="2024-04-02T00:00:00"/>
    <s v="2024"/>
    <d v="2026-02-11T00:00:00"/>
    <n v="1"/>
    <n v="2"/>
    <n v="76418"/>
    <n v="38209"/>
    <s v=" Not Achieved"/>
    <s v=" Excellent"/>
  </r>
  <r>
    <x v="695"/>
    <x v="695"/>
    <s v="EMP_696"/>
    <x v="1"/>
    <s v="EMP_696Sales"/>
    <x v="1"/>
    <x v="0"/>
    <n v="24031"/>
    <n v="4259"/>
    <n v="51098"/>
    <n v="110187"/>
    <d v="2020-07-05T00:00:00"/>
    <s v="2020"/>
    <d v="2026-02-11T00:00:00"/>
    <n v="5"/>
    <n v="3"/>
    <n v="28290"/>
    <n v="14145"/>
    <s v=" Not Achieved"/>
    <s v="poor"/>
  </r>
  <r>
    <x v="696"/>
    <x v="696"/>
    <s v="EMP_697"/>
    <x v="1"/>
    <s v="EMP_697Marketing"/>
    <x v="4"/>
    <x v="3"/>
    <n v="26207"/>
    <n v="3088"/>
    <n v="0"/>
    <n v="0"/>
    <s v="11/14/2019"/>
    <s v="11/14/2019"/>
    <d v="2026-02-11T00:00:00"/>
    <e v="#VALUE!"/>
    <n v="5"/>
    <n v="29295"/>
    <n v="14647.5"/>
    <s v=" Not Achieved"/>
    <s v="poor"/>
  </r>
  <r>
    <x v="697"/>
    <x v="697"/>
    <s v="EMP_698"/>
    <x v="0"/>
    <s v="EMP_698Sales"/>
    <x v="1"/>
    <x v="4"/>
    <n v="74266"/>
    <n v="9553"/>
    <n v="232747"/>
    <n v="156044"/>
    <d v="2018-08-03T00:00:00"/>
    <s v="2018"/>
    <d v="2026-02-11T00:00:00"/>
    <n v="7"/>
    <n v="5"/>
    <n v="83819"/>
    <n v="41909.5"/>
    <s v="Achieved"/>
    <s v=" Excellent"/>
  </r>
  <r>
    <x v="698"/>
    <x v="698"/>
    <s v="EMP_699"/>
    <x v="0"/>
    <s v="EMP_699HR"/>
    <x v="0"/>
    <x v="3"/>
    <n v="56891"/>
    <n v="2201"/>
    <n v="0"/>
    <n v="0"/>
    <d v="2018-07-06T00:00:00"/>
    <s v="2018"/>
    <d v="2026-02-11T00:00:00"/>
    <n v="7"/>
    <n v="3"/>
    <n v="59092"/>
    <n v="29546"/>
    <s v=" Not Achieved"/>
    <s v=" Excellent"/>
  </r>
  <r>
    <x v="699"/>
    <x v="699"/>
    <s v="EMP_700"/>
    <x v="0"/>
    <s v="EMP_700Sales"/>
    <x v="1"/>
    <x v="4"/>
    <n v="36244"/>
    <n v="11074"/>
    <n v="287130"/>
    <n v="122302"/>
    <d v="2023-08-11T00:00:00"/>
    <s v="2023"/>
    <d v="2026-02-11T00:00:00"/>
    <n v="2"/>
    <n v="2"/>
    <n v="47318"/>
    <n v="23659"/>
    <s v="Achieved"/>
    <s v="Average"/>
  </r>
  <r>
    <x v="700"/>
    <x v="700"/>
    <s v="EMP_701"/>
    <x v="0"/>
    <s v="EMP_701IT"/>
    <x v="3"/>
    <x v="2"/>
    <n v="24760"/>
    <n v="11745"/>
    <n v="0"/>
    <n v="0"/>
    <s v="8/21/2024"/>
    <s v="8/21/2024"/>
    <d v="2026-02-11T00:00:00"/>
    <e v="#VALUE!"/>
    <n v="1"/>
    <n v="36505"/>
    <n v="18252.5"/>
    <s v=" Not Achieved"/>
    <s v="poor"/>
  </r>
  <r>
    <x v="701"/>
    <x v="701"/>
    <s v="EMP_702"/>
    <x v="1"/>
    <s v="EMP_702HR"/>
    <x v="0"/>
    <x v="2"/>
    <n v="77170"/>
    <n v="2362"/>
    <n v="0"/>
    <n v="0"/>
    <s v="1/17/2019"/>
    <s v="1/17/2019"/>
    <d v="2026-02-11T00:00:00"/>
    <e v="#VALUE!"/>
    <n v="2"/>
    <n v="79532"/>
    <n v="39766"/>
    <s v=" Not Achieved"/>
    <s v=" Excellent"/>
  </r>
  <r>
    <x v="702"/>
    <x v="702"/>
    <s v="EMP_703"/>
    <x v="1"/>
    <s v="EMP_703Sales"/>
    <x v="1"/>
    <x v="2"/>
    <n v="49042"/>
    <n v="13429"/>
    <n v="154013"/>
    <n v="170970"/>
    <s v="1/21/2024"/>
    <s v="1/21/2024"/>
    <d v="2026-02-11T00:00:00"/>
    <e v="#VALUE!"/>
    <n v="5"/>
    <n v="62471"/>
    <n v="31235.5"/>
    <s v=" Not Achieved"/>
    <s v="Good"/>
  </r>
  <r>
    <x v="703"/>
    <x v="703"/>
    <s v="EMP_704"/>
    <x v="0"/>
    <s v="EMP_704IT"/>
    <x v="3"/>
    <x v="2"/>
    <n v="42365"/>
    <n v="11064"/>
    <n v="0"/>
    <n v="0"/>
    <s v="1/22/2018"/>
    <s v="1/22/2018"/>
    <d v="2026-02-11T00:00:00"/>
    <e v="#VALUE!"/>
    <n v="2"/>
    <n v="53429"/>
    <n v="26714.5"/>
    <s v=" Not Achieved"/>
    <s v="Good"/>
  </r>
  <r>
    <x v="704"/>
    <x v="704"/>
    <s v="EMP_705"/>
    <x v="1"/>
    <s v="EMP_705Marketing"/>
    <x v="4"/>
    <x v="4"/>
    <n v="37621"/>
    <n v="11639"/>
    <n v="0"/>
    <n v="0"/>
    <s v="2/22/2021"/>
    <s v="2/22/2021"/>
    <d v="2026-02-11T00:00:00"/>
    <e v="#VALUE!"/>
    <n v="5"/>
    <n v="49260"/>
    <n v="24630"/>
    <s v=" Not Achieved"/>
    <s v="Average"/>
  </r>
  <r>
    <x v="705"/>
    <x v="705"/>
    <s v="EMP_706"/>
    <x v="1"/>
    <s v="EMP_706IT"/>
    <x v="3"/>
    <x v="4"/>
    <n v="72459"/>
    <n v="11474"/>
    <n v="0"/>
    <n v="0"/>
    <d v="2022-02-02T00:00:00"/>
    <s v="2022"/>
    <d v="2026-02-11T00:00:00"/>
    <n v="4"/>
    <n v="1"/>
    <n v="83933"/>
    <n v="41966.5"/>
    <s v=" Not Achieved"/>
    <s v=" Excellent"/>
  </r>
  <r>
    <x v="706"/>
    <x v="706"/>
    <s v="EMP_707"/>
    <x v="0"/>
    <s v="EMP_707IT"/>
    <x v="3"/>
    <x v="4"/>
    <n v="76213"/>
    <n v="10368"/>
    <n v="0"/>
    <n v="0"/>
    <s v="12/31/2020"/>
    <s v="12/31/2020"/>
    <d v="2026-02-11T00:00:00"/>
    <e v="#VALUE!"/>
    <n v="1"/>
    <n v="86581"/>
    <n v="43290.5"/>
    <s v=" Not Achieved"/>
    <s v=" Excellent"/>
  </r>
  <r>
    <x v="707"/>
    <x v="707"/>
    <s v="EMP_708"/>
    <x v="0"/>
    <s v="EMP_708HR"/>
    <x v="0"/>
    <x v="4"/>
    <n v="36090"/>
    <n v="11600"/>
    <n v="0"/>
    <n v="0"/>
    <d v="2018-01-11T00:00:00"/>
    <s v="2018"/>
    <d v="2026-02-11T00:00:00"/>
    <n v="8"/>
    <n v="4"/>
    <n v="47690"/>
    <n v="23845"/>
    <s v=" Not Achieved"/>
    <s v="Average"/>
  </r>
  <r>
    <x v="708"/>
    <x v="708"/>
    <s v="EMP_709"/>
    <x v="1"/>
    <s v="EMP_709HR"/>
    <x v="0"/>
    <x v="0"/>
    <n v="38876"/>
    <n v="5069"/>
    <n v="0"/>
    <n v="0"/>
    <d v="2023-01-09T00:00:00"/>
    <s v="2023"/>
    <d v="2026-02-11T00:00:00"/>
    <n v="3"/>
    <n v="3"/>
    <n v="43945"/>
    <n v="21972.5"/>
    <s v=" Not Achieved"/>
    <s v="Average"/>
  </r>
  <r>
    <x v="709"/>
    <x v="709"/>
    <s v="EMP_710"/>
    <x v="1"/>
    <s v="EMP_710Sales"/>
    <x v="1"/>
    <x v="2"/>
    <n v="38108"/>
    <n v="12512"/>
    <n v="145499"/>
    <n v="176192"/>
    <s v="11/15/2019"/>
    <s v="11/15/2019"/>
    <d v="2026-02-11T00:00:00"/>
    <e v="#VALUE!"/>
    <n v="1"/>
    <n v="50620"/>
    <n v="25310"/>
    <s v=" Not Achieved"/>
    <s v="Average"/>
  </r>
  <r>
    <x v="710"/>
    <x v="710"/>
    <s v="EMP_711"/>
    <x v="1"/>
    <s v="EMP_711Sales"/>
    <x v="1"/>
    <x v="2"/>
    <n v="75824"/>
    <n v="4895"/>
    <n v="146497"/>
    <n v="224228"/>
    <d v="2020-03-05T00:00:00"/>
    <s v="2020"/>
    <d v="2026-02-11T00:00:00"/>
    <n v="5"/>
    <n v="3"/>
    <n v="80719"/>
    <n v="40359.5"/>
    <s v=" Not Achieved"/>
    <s v=" Excellent"/>
  </r>
  <r>
    <x v="711"/>
    <x v="711"/>
    <s v="EMP_712"/>
    <x v="0"/>
    <s v="EMP_712Finance"/>
    <x v="2"/>
    <x v="3"/>
    <n v="31940"/>
    <n v="14022"/>
    <n v="0"/>
    <n v="0"/>
    <d v="2023-06-06T00:00:00"/>
    <s v="2023"/>
    <d v="2026-02-11T00:00:00"/>
    <n v="2"/>
    <n v="5"/>
    <n v="45962"/>
    <n v="22981"/>
    <s v=" Not Achieved"/>
    <s v="Average"/>
  </r>
  <r>
    <x v="712"/>
    <x v="712"/>
    <s v="EMP_713"/>
    <x v="0"/>
    <s v="EMP_713Finance"/>
    <x v="2"/>
    <x v="0"/>
    <n v="67560"/>
    <n v="2023"/>
    <n v="0"/>
    <n v="0"/>
    <s v="12/22/2022"/>
    <s v="12/22/2022"/>
    <d v="2026-02-11T00:00:00"/>
    <e v="#VALUE!"/>
    <n v="4"/>
    <n v="69583"/>
    <n v="34791.5"/>
    <s v=" Not Achieved"/>
    <s v=" Excellent"/>
  </r>
  <r>
    <x v="713"/>
    <x v="713"/>
    <s v="EMP_714"/>
    <x v="1"/>
    <s v="EMP_714Sales"/>
    <x v="1"/>
    <x v="4"/>
    <n v="74676"/>
    <n v="6941"/>
    <n v="63906"/>
    <n v="200839"/>
    <s v="1/27/2024"/>
    <s v="1/27/2024"/>
    <d v="2026-02-11T00:00:00"/>
    <e v="#VALUE!"/>
    <n v="3"/>
    <n v="81617"/>
    <n v="40808.5"/>
    <s v=" Not Achieved"/>
    <s v=" Excellent"/>
  </r>
  <r>
    <x v="714"/>
    <x v="714"/>
    <s v="EMP_715"/>
    <x v="0"/>
    <s v="EMP_715HR"/>
    <x v="0"/>
    <x v="1"/>
    <n v="38344"/>
    <n v="4779"/>
    <n v="0"/>
    <n v="0"/>
    <d v="2022-12-05T00:00:00"/>
    <s v="2022"/>
    <d v="2026-02-11T00:00:00"/>
    <n v="3"/>
    <n v="3"/>
    <n v="43123"/>
    <n v="21561.5"/>
    <s v=" Not Achieved"/>
    <s v="Average"/>
  </r>
  <r>
    <x v="715"/>
    <x v="715"/>
    <s v="EMP_716"/>
    <x v="1"/>
    <s v="EMP_716Finance"/>
    <x v="2"/>
    <x v="2"/>
    <n v="21802"/>
    <n v="11255"/>
    <n v="0"/>
    <n v="0"/>
    <s v="6/21/2020"/>
    <s v="6/21/2020"/>
    <d v="2026-02-11T00:00:00"/>
    <e v="#VALUE!"/>
    <n v="2"/>
    <n v="33057"/>
    <n v="16528.5"/>
    <s v=" Not Achieved"/>
    <s v="poor"/>
  </r>
  <r>
    <x v="716"/>
    <x v="716"/>
    <s v="EMP_717"/>
    <x v="0"/>
    <s v="EMP_717Sales"/>
    <x v="1"/>
    <x v="0"/>
    <n v="27572"/>
    <n v="2104"/>
    <n v="59017"/>
    <n v="136903"/>
    <d v="2023-12-09T00:00:00"/>
    <s v="2023"/>
    <d v="2026-02-11T00:00:00"/>
    <n v="2"/>
    <n v="5"/>
    <n v="29676"/>
    <n v="14838"/>
    <s v=" Not Achieved"/>
    <s v="poor"/>
  </r>
  <r>
    <x v="717"/>
    <x v="717"/>
    <s v="EMP_718"/>
    <x v="0"/>
    <s v="EMP_718Marketing"/>
    <x v="4"/>
    <x v="4"/>
    <n v="73507"/>
    <n v="2332"/>
    <n v="0"/>
    <n v="0"/>
    <d v="2024-05-01T00:00:00"/>
    <s v="2024"/>
    <d v="2026-02-11T00:00:00"/>
    <n v="1"/>
    <n v="1"/>
    <n v="75839"/>
    <n v="37919.5"/>
    <s v=" Not Achieved"/>
    <s v=" Excellent"/>
  </r>
  <r>
    <x v="718"/>
    <x v="718"/>
    <s v="EMP_719"/>
    <x v="1"/>
    <s v="EMP_719IT"/>
    <x v="3"/>
    <x v="3"/>
    <n v="59015"/>
    <n v="7359"/>
    <n v="0"/>
    <n v="0"/>
    <s v="12/19/2021"/>
    <s v="12/19/2021"/>
    <d v="2026-02-11T00:00:00"/>
    <e v="#VALUE!"/>
    <n v="4"/>
    <n v="66374"/>
    <n v="33187"/>
    <s v=" Not Achieved"/>
    <s v=" Excellent"/>
  </r>
  <r>
    <x v="719"/>
    <x v="719"/>
    <s v="EMP_720"/>
    <x v="1"/>
    <s v="EMP_720IT"/>
    <x v="3"/>
    <x v="0"/>
    <n v="23418"/>
    <n v="13549"/>
    <n v="0"/>
    <n v="0"/>
    <d v="2022-08-05T00:00:00"/>
    <s v="2022"/>
    <d v="2026-02-11T00:00:00"/>
    <n v="3"/>
    <n v="1"/>
    <n v="36967"/>
    <n v="18483.5"/>
    <s v=" Not Achieved"/>
    <s v="poor"/>
  </r>
  <r>
    <x v="720"/>
    <x v="720"/>
    <s v="EMP_721"/>
    <x v="0"/>
    <s v="EMP_721IT"/>
    <x v="3"/>
    <x v="3"/>
    <n v="62972"/>
    <n v="13237"/>
    <n v="0"/>
    <n v="0"/>
    <d v="2018-02-01T00:00:00"/>
    <s v="2018"/>
    <d v="2026-02-11T00:00:00"/>
    <n v="8"/>
    <n v="3"/>
    <n v="76209"/>
    <n v="38104.5"/>
    <s v=" Not Achieved"/>
    <s v=" Excellent"/>
  </r>
  <r>
    <x v="721"/>
    <x v="721"/>
    <s v="EMP_722"/>
    <x v="1"/>
    <s v="EMP_722Sales"/>
    <x v="1"/>
    <x v="4"/>
    <n v="55468"/>
    <n v="5149"/>
    <n v="203350"/>
    <n v="244896"/>
    <s v="5/19/2024"/>
    <s v="5/19/2024"/>
    <d v="2026-02-11T00:00:00"/>
    <e v="#VALUE!"/>
    <n v="1"/>
    <n v="60617"/>
    <n v="30308.5"/>
    <s v=" Not Achieved"/>
    <s v=" Excellent"/>
  </r>
  <r>
    <x v="722"/>
    <x v="722"/>
    <s v="EMP_723"/>
    <x v="1"/>
    <s v="EMP_723IT"/>
    <x v="3"/>
    <x v="1"/>
    <n v="54618"/>
    <n v="12447"/>
    <n v="0"/>
    <n v="0"/>
    <s v="4/17/2020"/>
    <s v="4/17/2020"/>
    <d v="2026-02-11T00:00:00"/>
    <e v="#VALUE!"/>
    <n v="5"/>
    <n v="67065"/>
    <n v="33532.5"/>
    <s v=" Not Achieved"/>
    <s v=" Excellent"/>
  </r>
  <r>
    <x v="723"/>
    <x v="723"/>
    <s v="EMP_724"/>
    <x v="0"/>
    <s v="EMP_724HR"/>
    <x v="0"/>
    <x v="4"/>
    <n v="76857"/>
    <n v="11957"/>
    <n v="0"/>
    <n v="0"/>
    <s v="6/22/2018"/>
    <s v="6/22/2018"/>
    <d v="2026-02-11T00:00:00"/>
    <e v="#VALUE!"/>
    <n v="3"/>
    <n v="88814"/>
    <n v="44407"/>
    <s v=" Not Achieved"/>
    <s v=" Excellent"/>
  </r>
  <r>
    <x v="724"/>
    <x v="724"/>
    <s v="EMP_725"/>
    <x v="1"/>
    <s v="EMP_725Sales"/>
    <x v="1"/>
    <x v="4"/>
    <n v="58153"/>
    <n v="4493"/>
    <n v="93254"/>
    <n v="94247"/>
    <s v="7/14/2021"/>
    <s v="7/14/2021"/>
    <d v="2026-02-11T00:00:00"/>
    <e v="#VALUE!"/>
    <n v="1"/>
    <n v="62646"/>
    <n v="31323"/>
    <s v=" Not Achieved"/>
    <s v=" Excellent"/>
  </r>
  <r>
    <x v="725"/>
    <x v="725"/>
    <s v="EMP_726"/>
    <x v="0"/>
    <s v="EMP_726Finance"/>
    <x v="2"/>
    <x v="4"/>
    <n v="29023"/>
    <n v="14665"/>
    <n v="0"/>
    <n v="0"/>
    <s v="11/28/2021"/>
    <s v="11/28/2021"/>
    <d v="2026-02-11T00:00:00"/>
    <e v="#VALUE!"/>
    <n v="2"/>
    <n v="43688"/>
    <n v="21844"/>
    <s v=" Not Achieved"/>
    <s v="poor"/>
  </r>
  <r>
    <x v="726"/>
    <x v="726"/>
    <s v="EMP_727"/>
    <x v="0"/>
    <s v="EMP_727Sales"/>
    <x v="1"/>
    <x v="4"/>
    <n v="25705"/>
    <n v="9024"/>
    <n v="93346"/>
    <n v="185828"/>
    <d v="2023-05-10T00:00:00"/>
    <s v="2023"/>
    <d v="2026-02-11T00:00:00"/>
    <n v="2"/>
    <n v="4"/>
    <n v="34729"/>
    <n v="17364.5"/>
    <s v=" Not Achieved"/>
    <s v="poor"/>
  </r>
  <r>
    <x v="727"/>
    <x v="727"/>
    <s v="EMP_728"/>
    <x v="1"/>
    <s v="EMP_728Finance"/>
    <x v="2"/>
    <x v="0"/>
    <n v="45944"/>
    <n v="5561"/>
    <n v="0"/>
    <n v="0"/>
    <d v="2018-06-02T00:00:00"/>
    <s v="2018"/>
    <d v="2026-02-11T00:00:00"/>
    <n v="7"/>
    <n v="1"/>
    <n v="51505"/>
    <n v="25752.5"/>
    <s v=" Not Achieved"/>
    <s v="Good"/>
  </r>
  <r>
    <x v="728"/>
    <x v="728"/>
    <s v="EMP_729"/>
    <x v="1"/>
    <s v="EMP_729IT"/>
    <x v="3"/>
    <x v="1"/>
    <n v="34858"/>
    <n v="11490"/>
    <n v="0"/>
    <n v="0"/>
    <d v="2022-06-05T00:00:00"/>
    <s v="2022"/>
    <d v="2026-02-11T00:00:00"/>
    <n v="3"/>
    <n v="2"/>
    <n v="46348"/>
    <n v="23174"/>
    <s v=" Not Achieved"/>
    <s v="Average"/>
  </r>
  <r>
    <x v="729"/>
    <x v="729"/>
    <s v="EMP_730"/>
    <x v="1"/>
    <s v="EMP_730HR"/>
    <x v="0"/>
    <x v="2"/>
    <n v="74331"/>
    <n v="11620"/>
    <n v="0"/>
    <n v="0"/>
    <s v="8/19/2020"/>
    <s v="8/19/2020"/>
    <d v="2026-02-11T00:00:00"/>
    <e v="#VALUE!"/>
    <n v="2"/>
    <n v="85951"/>
    <n v="42975.5"/>
    <s v=" Not Achieved"/>
    <s v=" Excellent"/>
  </r>
  <r>
    <x v="730"/>
    <x v="730"/>
    <s v="EMP_731"/>
    <x v="1"/>
    <s v="EMP_731HR"/>
    <x v="0"/>
    <x v="4"/>
    <n v="27720"/>
    <n v="7326"/>
    <n v="0"/>
    <n v="0"/>
    <d v="2021-04-06T00:00:00"/>
    <s v="2021"/>
    <d v="2026-02-11T00:00:00"/>
    <n v="4"/>
    <n v="2"/>
    <n v="35046"/>
    <n v="17523"/>
    <s v=" Not Achieved"/>
    <s v="poor"/>
  </r>
  <r>
    <x v="731"/>
    <x v="731"/>
    <s v="EMP_732"/>
    <x v="1"/>
    <s v="EMP_732IT"/>
    <x v="3"/>
    <x v="2"/>
    <n v="75521"/>
    <n v="2474"/>
    <n v="0"/>
    <n v="0"/>
    <s v="2/28/2019"/>
    <s v="2/28/2019"/>
    <d v="2026-02-11T00:00:00"/>
    <e v="#VALUE!"/>
    <n v="5"/>
    <n v="77995"/>
    <n v="38997.5"/>
    <s v=" Not Achieved"/>
    <s v=" Excellent"/>
  </r>
  <r>
    <x v="732"/>
    <x v="732"/>
    <s v="EMP_733"/>
    <x v="0"/>
    <s v="EMP_733Sales"/>
    <x v="1"/>
    <x v="2"/>
    <n v="26611"/>
    <n v="3506"/>
    <n v="260692"/>
    <n v="183025"/>
    <s v="8/22/2023"/>
    <s v="8/22/2023"/>
    <d v="2026-02-11T00:00:00"/>
    <e v="#VALUE!"/>
    <n v="1"/>
    <n v="30117"/>
    <n v="15058.5"/>
    <s v="Achieved"/>
    <s v="poor"/>
  </r>
  <r>
    <x v="733"/>
    <x v="733"/>
    <s v="EMP_734"/>
    <x v="0"/>
    <s v="EMP_734Marketing"/>
    <x v="4"/>
    <x v="4"/>
    <n v="31350"/>
    <n v="2888"/>
    <n v="0"/>
    <n v="0"/>
    <d v="2022-03-05T00:00:00"/>
    <s v="2022"/>
    <d v="2026-02-11T00:00:00"/>
    <n v="3"/>
    <n v="3"/>
    <n v="34238"/>
    <n v="17119"/>
    <s v=" Not Achieved"/>
    <s v="Average"/>
  </r>
  <r>
    <x v="734"/>
    <x v="734"/>
    <s v="EMP_735"/>
    <x v="0"/>
    <s v="EMP_735Finance"/>
    <x v="2"/>
    <x v="1"/>
    <n v="23043"/>
    <n v="8939"/>
    <n v="0"/>
    <n v="0"/>
    <d v="2019-06-10T00:00:00"/>
    <s v="2019"/>
    <d v="2026-02-11T00:00:00"/>
    <n v="6"/>
    <n v="1"/>
    <n v="31982"/>
    <n v="15991"/>
    <s v=" Not Achieved"/>
    <s v="poor"/>
  </r>
  <r>
    <x v="735"/>
    <x v="735"/>
    <s v="EMP_736"/>
    <x v="1"/>
    <s v="EMP_736Sales"/>
    <x v="1"/>
    <x v="1"/>
    <n v="76062"/>
    <n v="14461"/>
    <n v="261496"/>
    <n v="151918"/>
    <d v="2023-11-07T00:00:00"/>
    <s v="2023"/>
    <d v="2026-02-11T00:00:00"/>
    <n v="2"/>
    <n v="3"/>
    <n v="90523"/>
    <n v="45261.5"/>
    <s v="Achieved"/>
    <s v=" Excellent"/>
  </r>
  <r>
    <x v="736"/>
    <x v="736"/>
    <s v="EMP_737"/>
    <x v="1"/>
    <s v="EMP_737IT"/>
    <x v="3"/>
    <x v="2"/>
    <n v="26926"/>
    <n v="11397"/>
    <n v="0"/>
    <n v="0"/>
    <s v="3/24/2023"/>
    <s v="3/24/2023"/>
    <d v="2026-02-11T00:00:00"/>
    <e v="#VALUE!"/>
    <n v="4"/>
    <n v="38323"/>
    <n v="19161.5"/>
    <s v=" Not Achieved"/>
    <s v="poor"/>
  </r>
  <r>
    <x v="737"/>
    <x v="737"/>
    <s v="EMP_738"/>
    <x v="0"/>
    <s v="EMP_738IT"/>
    <x v="3"/>
    <x v="4"/>
    <n v="77449"/>
    <n v="9003"/>
    <n v="0"/>
    <n v="0"/>
    <s v="2/22/2018"/>
    <s v="2/22/2018"/>
    <d v="2026-02-11T00:00:00"/>
    <e v="#VALUE!"/>
    <n v="5"/>
    <n v="86452"/>
    <n v="43226"/>
    <s v=" Not Achieved"/>
    <s v=" Excellent"/>
  </r>
  <r>
    <x v="738"/>
    <x v="738"/>
    <s v="EMP_739"/>
    <x v="1"/>
    <s v="EMP_739HR"/>
    <x v="0"/>
    <x v="0"/>
    <n v="34899"/>
    <n v="2989"/>
    <n v="0"/>
    <n v="0"/>
    <d v="2019-08-06T00:00:00"/>
    <s v="2019"/>
    <d v="2026-02-11T00:00:00"/>
    <n v="6"/>
    <n v="1"/>
    <n v="37888"/>
    <n v="18944"/>
    <s v=" Not Achieved"/>
    <s v="Average"/>
  </r>
  <r>
    <x v="739"/>
    <x v="739"/>
    <s v="EMP_740"/>
    <x v="0"/>
    <s v="EMP_740Marketing"/>
    <x v="4"/>
    <x v="2"/>
    <n v="33071"/>
    <n v="2896"/>
    <n v="0"/>
    <n v="0"/>
    <s v="10/26/2022"/>
    <s v="10/26/2022"/>
    <d v="2026-02-11T00:00:00"/>
    <e v="#VALUE!"/>
    <n v="5"/>
    <n v="35967"/>
    <n v="17983.5"/>
    <s v=" Not Achieved"/>
    <s v="Average"/>
  </r>
  <r>
    <x v="740"/>
    <x v="740"/>
    <s v="EMP_741"/>
    <x v="1"/>
    <s v="EMP_741HR"/>
    <x v="0"/>
    <x v="3"/>
    <n v="46405"/>
    <n v="6030"/>
    <n v="0"/>
    <n v="0"/>
    <s v="5/26/2024"/>
    <s v="5/26/2024"/>
    <d v="2026-02-11T00:00:00"/>
    <e v="#VALUE!"/>
    <n v="1"/>
    <n v="52435"/>
    <n v="26217.5"/>
    <s v=" Not Achieved"/>
    <s v="Good"/>
  </r>
  <r>
    <x v="741"/>
    <x v="741"/>
    <s v="EMP_742"/>
    <x v="1"/>
    <s v="EMP_742IT"/>
    <x v="3"/>
    <x v="0"/>
    <n v="54981"/>
    <n v="4726"/>
    <n v="0"/>
    <n v="0"/>
    <s v="5/22/2024"/>
    <s v="5/22/2024"/>
    <d v="2026-02-11T00:00:00"/>
    <e v="#VALUE!"/>
    <n v="5"/>
    <n v="59707"/>
    <n v="29853.5"/>
    <s v=" Not Achieved"/>
    <s v=" Excellent"/>
  </r>
  <r>
    <x v="742"/>
    <x v="742"/>
    <s v="EMP_743"/>
    <x v="0"/>
    <s v="EMP_743Sales"/>
    <x v="1"/>
    <x v="2"/>
    <n v="51428"/>
    <n v="10137"/>
    <n v="246366"/>
    <n v="134434"/>
    <d v="2021-10-12T00:00:00"/>
    <s v="2021"/>
    <d v="2026-02-11T00:00:00"/>
    <n v="4"/>
    <n v="3"/>
    <n v="61565"/>
    <n v="30782.5"/>
    <s v="Achieved"/>
    <s v=" Excellent"/>
  </r>
  <r>
    <x v="743"/>
    <x v="743"/>
    <s v="EMP_744"/>
    <x v="0"/>
    <s v="EMP_744Sales"/>
    <x v="1"/>
    <x v="1"/>
    <n v="42951"/>
    <n v="2274"/>
    <n v="241436"/>
    <n v="163477"/>
    <d v="2022-03-06T00:00:00"/>
    <s v="2022"/>
    <d v="2026-02-11T00:00:00"/>
    <n v="3"/>
    <n v="4"/>
    <n v="45225"/>
    <n v="22612.5"/>
    <s v="Achieved"/>
    <s v="Good"/>
  </r>
  <r>
    <x v="744"/>
    <x v="744"/>
    <s v="EMP_745"/>
    <x v="1"/>
    <s v="EMP_745IT"/>
    <x v="3"/>
    <x v="3"/>
    <n v="20261"/>
    <n v="13821"/>
    <n v="0"/>
    <n v="0"/>
    <s v="10/28/2019"/>
    <s v="10/28/2019"/>
    <d v="2026-02-11T00:00:00"/>
    <e v="#VALUE!"/>
    <n v="3"/>
    <n v="34082"/>
    <n v="17041"/>
    <s v=" Not Achieved"/>
    <s v="poor"/>
  </r>
  <r>
    <x v="745"/>
    <x v="745"/>
    <s v="EMP_746"/>
    <x v="1"/>
    <s v="EMP_746Finance"/>
    <x v="2"/>
    <x v="0"/>
    <n v="68459"/>
    <n v="5414"/>
    <n v="0"/>
    <n v="0"/>
    <s v="10/27/2019"/>
    <s v="10/27/2019"/>
    <d v="2026-02-11T00:00:00"/>
    <e v="#VALUE!"/>
    <n v="1"/>
    <n v="73873"/>
    <n v="36936.5"/>
    <s v=" Not Achieved"/>
    <s v=" Excellent"/>
  </r>
  <r>
    <x v="746"/>
    <x v="746"/>
    <s v="EMP_747"/>
    <x v="1"/>
    <s v="EMP_747Finance"/>
    <x v="2"/>
    <x v="3"/>
    <n v="39759"/>
    <n v="5836"/>
    <n v="0"/>
    <n v="0"/>
    <s v="11/26/2022"/>
    <s v="11/26/2022"/>
    <d v="2026-02-11T00:00:00"/>
    <e v="#VALUE!"/>
    <n v="2"/>
    <n v="45595"/>
    <n v="22797.5"/>
    <s v=" Not Achieved"/>
    <s v="Average"/>
  </r>
  <r>
    <x v="747"/>
    <x v="747"/>
    <s v="EMP_748"/>
    <x v="0"/>
    <s v="EMP_748IT"/>
    <x v="3"/>
    <x v="1"/>
    <n v="53538"/>
    <n v="14133"/>
    <n v="0"/>
    <n v="0"/>
    <d v="2024-10-11T00:00:00"/>
    <s v="2024"/>
    <d v="2026-02-11T00:00:00"/>
    <n v="1"/>
    <n v="2"/>
    <n v="67671"/>
    <n v="33835.5"/>
    <s v=" Not Achieved"/>
    <s v=" Excellent"/>
  </r>
  <r>
    <x v="748"/>
    <x v="748"/>
    <s v="EMP_749"/>
    <x v="0"/>
    <s v="EMP_749Finance"/>
    <x v="2"/>
    <x v="3"/>
    <n v="47094"/>
    <n v="8812"/>
    <n v="0"/>
    <n v="0"/>
    <s v="1/13/2024"/>
    <s v="1/13/2024"/>
    <d v="2026-02-11T00:00:00"/>
    <e v="#VALUE!"/>
    <n v="1"/>
    <n v="55906"/>
    <n v="27953"/>
    <s v=" Not Achieved"/>
    <s v="Good"/>
  </r>
  <r>
    <x v="749"/>
    <x v="749"/>
    <s v="EMP_750"/>
    <x v="0"/>
    <s v="EMP_750Sales"/>
    <x v="1"/>
    <x v="4"/>
    <n v="37701"/>
    <n v="9729"/>
    <n v="74255"/>
    <n v="116002"/>
    <d v="2021-06-01T00:00:00"/>
    <s v="2021"/>
    <d v="2026-02-11T00:00:00"/>
    <n v="4"/>
    <n v="2"/>
    <n v="47430"/>
    <n v="23715"/>
    <s v=" Not Achieved"/>
    <s v="Average"/>
  </r>
  <r>
    <x v="750"/>
    <x v="750"/>
    <s v="EMP_751"/>
    <x v="0"/>
    <s v="EMP_751Marketing"/>
    <x v="4"/>
    <x v="0"/>
    <n v="75909"/>
    <n v="6932"/>
    <n v="0"/>
    <n v="0"/>
    <s v="10/13/2022"/>
    <s v="10/13/2022"/>
    <d v="2026-02-11T00:00:00"/>
    <e v="#VALUE!"/>
    <n v="1"/>
    <n v="82841"/>
    <n v="41420.5"/>
    <s v=" Not Achieved"/>
    <s v=" Excellent"/>
  </r>
  <r>
    <x v="751"/>
    <x v="751"/>
    <s v="EMP_752"/>
    <x v="1"/>
    <s v="EMP_752Finance"/>
    <x v="2"/>
    <x v="1"/>
    <n v="65802"/>
    <n v="8403"/>
    <n v="0"/>
    <n v="0"/>
    <s v="6/19/2022"/>
    <s v="6/19/2022"/>
    <d v="2026-02-11T00:00:00"/>
    <e v="#VALUE!"/>
    <n v="4"/>
    <n v="74205"/>
    <n v="37102.5"/>
    <s v=" Not Achieved"/>
    <s v=" Excellent"/>
  </r>
  <r>
    <x v="752"/>
    <x v="752"/>
    <s v="EMP_753"/>
    <x v="0"/>
    <s v="EMP_753Marketing"/>
    <x v="4"/>
    <x v="3"/>
    <n v="58626"/>
    <n v="13810"/>
    <n v="0"/>
    <n v="0"/>
    <s v="7/17/2019"/>
    <s v="7/17/2019"/>
    <d v="2026-02-11T00:00:00"/>
    <e v="#VALUE!"/>
    <n v="1"/>
    <n v="72436"/>
    <n v="36218"/>
    <s v=" Not Achieved"/>
    <s v=" Excellent"/>
  </r>
  <r>
    <x v="753"/>
    <x v="753"/>
    <s v="EMP_754"/>
    <x v="0"/>
    <s v="EMP_754HR"/>
    <x v="0"/>
    <x v="1"/>
    <n v="34585"/>
    <n v="6227"/>
    <n v="0"/>
    <n v="0"/>
    <s v="10/20/2024"/>
    <s v="10/20/2024"/>
    <d v="2026-02-11T00:00:00"/>
    <e v="#VALUE!"/>
    <n v="2"/>
    <n v="40812"/>
    <n v="20406"/>
    <s v=" Not Achieved"/>
    <s v="Average"/>
  </r>
  <r>
    <x v="754"/>
    <x v="754"/>
    <s v="EMP_755"/>
    <x v="1"/>
    <s v="EMP_755IT"/>
    <x v="3"/>
    <x v="4"/>
    <n v="21851"/>
    <n v="12232"/>
    <n v="0"/>
    <n v="0"/>
    <s v="6/22/2018"/>
    <s v="6/22/2018"/>
    <d v="2026-02-11T00:00:00"/>
    <e v="#VALUE!"/>
    <n v="2"/>
    <n v="34083"/>
    <n v="17041.5"/>
    <s v=" Not Achieved"/>
    <s v="poor"/>
  </r>
  <r>
    <x v="755"/>
    <x v="755"/>
    <s v="EMP_756"/>
    <x v="1"/>
    <s v="EMP_756HR"/>
    <x v="0"/>
    <x v="4"/>
    <n v="20108"/>
    <n v="10657"/>
    <n v="0"/>
    <n v="0"/>
    <s v="9/20/2024"/>
    <s v="9/20/2024"/>
    <d v="2026-02-11T00:00:00"/>
    <e v="#VALUE!"/>
    <n v="2"/>
    <n v="30765"/>
    <n v="15382.5"/>
    <s v=" Not Achieved"/>
    <s v="poor"/>
  </r>
  <r>
    <x v="756"/>
    <x v="756"/>
    <s v="EMP_757"/>
    <x v="1"/>
    <s v="EMP_757Finance"/>
    <x v="2"/>
    <x v="0"/>
    <n v="26754"/>
    <n v="4884"/>
    <n v="0"/>
    <n v="0"/>
    <s v="6/29/2024"/>
    <s v="6/29/2024"/>
    <d v="2026-02-11T00:00:00"/>
    <e v="#VALUE!"/>
    <n v="4"/>
    <n v="31638"/>
    <n v="15819"/>
    <s v=" Not Achieved"/>
    <s v="poor"/>
  </r>
  <r>
    <x v="757"/>
    <x v="757"/>
    <s v="EMP_758"/>
    <x v="1"/>
    <s v="EMP_758IT"/>
    <x v="3"/>
    <x v="4"/>
    <n v="58500"/>
    <n v="12340"/>
    <n v="0"/>
    <n v="0"/>
    <d v="2021-07-11T00:00:00"/>
    <s v="2021"/>
    <d v="2026-02-11T00:00:00"/>
    <n v="4"/>
    <n v="3"/>
    <n v="70840"/>
    <n v="35420"/>
    <s v=" Not Achieved"/>
    <s v=" Excellent"/>
  </r>
  <r>
    <x v="758"/>
    <x v="758"/>
    <s v="EMP_759"/>
    <x v="1"/>
    <s v="EMP_759Sales"/>
    <x v="1"/>
    <x v="4"/>
    <n v="77618"/>
    <n v="8073"/>
    <n v="164914"/>
    <n v="138027"/>
    <s v="5/28/2019"/>
    <s v="5/28/2019"/>
    <d v="2026-02-11T00:00:00"/>
    <e v="#VALUE!"/>
    <n v="3"/>
    <n v="85691"/>
    <n v="42845.5"/>
    <s v="Achieved"/>
    <s v=" Excellent"/>
  </r>
  <r>
    <x v="759"/>
    <x v="759"/>
    <s v="EMP_760"/>
    <x v="1"/>
    <s v="EMP_760Sales"/>
    <x v="1"/>
    <x v="1"/>
    <n v="61036"/>
    <n v="11667"/>
    <n v="218624"/>
    <n v="244648"/>
    <s v="12/26/2018"/>
    <s v="12/26/2018"/>
    <d v="2026-02-11T00:00:00"/>
    <e v="#VALUE!"/>
    <n v="5"/>
    <n v="72703"/>
    <n v="36351.5"/>
    <s v=" Not Achieved"/>
    <s v=" Excellent"/>
  </r>
  <r>
    <x v="760"/>
    <x v="760"/>
    <s v="EMP_761"/>
    <x v="1"/>
    <s v="EMP_761IT"/>
    <x v="3"/>
    <x v="1"/>
    <n v="46230"/>
    <n v="14592"/>
    <n v="0"/>
    <n v="0"/>
    <s v="1/15/2019"/>
    <s v="1/15/2019"/>
    <d v="2026-02-11T00:00:00"/>
    <e v="#VALUE!"/>
    <n v="2"/>
    <n v="60822"/>
    <n v="30411"/>
    <s v=" Not Achieved"/>
    <s v="Good"/>
  </r>
  <r>
    <x v="761"/>
    <x v="761"/>
    <s v="EMP_762"/>
    <x v="1"/>
    <s v="EMP_762HR"/>
    <x v="0"/>
    <x v="3"/>
    <n v="20134"/>
    <n v="9814"/>
    <n v="0"/>
    <n v="0"/>
    <d v="2020-09-03T00:00:00"/>
    <s v="2020"/>
    <d v="2026-02-11T00:00:00"/>
    <n v="5"/>
    <n v="5"/>
    <n v="29948"/>
    <n v="14974"/>
    <s v=" Not Achieved"/>
    <s v="poor"/>
  </r>
  <r>
    <x v="762"/>
    <x v="762"/>
    <s v="EMP_763"/>
    <x v="0"/>
    <s v="EMP_763IT"/>
    <x v="3"/>
    <x v="3"/>
    <n v="56781"/>
    <n v="6039"/>
    <n v="0"/>
    <n v="0"/>
    <s v="1/23/2020"/>
    <s v="1/23/2020"/>
    <d v="2026-02-11T00:00:00"/>
    <e v="#VALUE!"/>
    <n v="4"/>
    <n v="62820"/>
    <n v="31410"/>
    <s v=" Not Achieved"/>
    <s v=" Excellent"/>
  </r>
  <r>
    <x v="763"/>
    <x v="763"/>
    <s v="EMP_764"/>
    <x v="1"/>
    <s v="EMP_764Finance"/>
    <x v="2"/>
    <x v="0"/>
    <n v="40343"/>
    <n v="7789"/>
    <n v="0"/>
    <n v="0"/>
    <s v="10/24/2018"/>
    <s v="10/24/2018"/>
    <d v="2026-02-11T00:00:00"/>
    <e v="#VALUE!"/>
    <n v="1"/>
    <n v="48132"/>
    <n v="24066"/>
    <s v=" Not Achieved"/>
    <s v="Good"/>
  </r>
  <r>
    <x v="764"/>
    <x v="764"/>
    <s v="EMP_765"/>
    <x v="0"/>
    <s v="EMP_765Marketing"/>
    <x v="4"/>
    <x v="2"/>
    <n v="24798"/>
    <n v="3354"/>
    <n v="0"/>
    <n v="0"/>
    <s v="11/14/2024"/>
    <s v="11/14/2024"/>
    <d v="2026-02-11T00:00:00"/>
    <e v="#VALUE!"/>
    <n v="2"/>
    <n v="28152"/>
    <n v="14076"/>
    <s v=" Not Achieved"/>
    <s v="poor"/>
  </r>
  <r>
    <x v="765"/>
    <x v="765"/>
    <s v="EMP_766"/>
    <x v="0"/>
    <s v="EMP_766Finance"/>
    <x v="2"/>
    <x v="1"/>
    <n v="42403"/>
    <n v="5429"/>
    <n v="0"/>
    <n v="0"/>
    <s v="3/15/2019"/>
    <s v="3/15/2019"/>
    <d v="2026-02-11T00:00:00"/>
    <e v="#VALUE!"/>
    <n v="5"/>
    <n v="47832"/>
    <n v="23916"/>
    <s v=" Not Achieved"/>
    <s v="Good"/>
  </r>
  <r>
    <x v="766"/>
    <x v="766"/>
    <s v="EMP_767"/>
    <x v="1"/>
    <s v="EMP_767HR"/>
    <x v="0"/>
    <x v="3"/>
    <n v="53523"/>
    <n v="11621"/>
    <n v="0"/>
    <n v="0"/>
    <d v="2019-11-06T00:00:00"/>
    <s v="2019"/>
    <d v="2026-02-11T00:00:00"/>
    <n v="6"/>
    <n v="1"/>
    <n v="65144"/>
    <n v="32572"/>
    <s v=" Not Achieved"/>
    <s v=" Excellent"/>
  </r>
  <r>
    <x v="767"/>
    <x v="767"/>
    <s v="EMP_768"/>
    <x v="1"/>
    <s v="EMP_768IT"/>
    <x v="3"/>
    <x v="4"/>
    <n v="64020"/>
    <n v="10591"/>
    <n v="0"/>
    <n v="0"/>
    <s v="6/17/2023"/>
    <s v="6/17/2023"/>
    <d v="2026-02-11T00:00:00"/>
    <e v="#VALUE!"/>
    <n v="5"/>
    <n v="74611"/>
    <n v="37305.5"/>
    <s v=" Not Achieved"/>
    <s v=" Excellent"/>
  </r>
  <r>
    <x v="768"/>
    <x v="768"/>
    <s v="EMP_769"/>
    <x v="1"/>
    <s v="EMP_769Marketing"/>
    <x v="4"/>
    <x v="3"/>
    <n v="33423"/>
    <n v="9547"/>
    <n v="0"/>
    <n v="0"/>
    <s v="7/27/2024"/>
    <s v="7/27/2024"/>
    <d v="2026-02-11T00:00:00"/>
    <e v="#VALUE!"/>
    <n v="2"/>
    <n v="42970"/>
    <n v="21485"/>
    <s v=" Not Achieved"/>
    <s v="Average"/>
  </r>
  <r>
    <x v="769"/>
    <x v="769"/>
    <s v="EMP_770"/>
    <x v="0"/>
    <s v="EMP_770HR"/>
    <x v="0"/>
    <x v="3"/>
    <n v="67098"/>
    <n v="3886"/>
    <n v="0"/>
    <n v="0"/>
    <d v="2023-02-08T00:00:00"/>
    <s v="2023"/>
    <d v="2026-02-11T00:00:00"/>
    <n v="3"/>
    <n v="4"/>
    <n v="70984"/>
    <n v="35492"/>
    <s v=" Not Achieved"/>
    <s v=" Excellent"/>
  </r>
  <r>
    <x v="770"/>
    <x v="770"/>
    <s v="EMP_771"/>
    <x v="0"/>
    <s v="EMP_771Marketing"/>
    <x v="4"/>
    <x v="4"/>
    <n v="32699"/>
    <n v="12476"/>
    <n v="0"/>
    <n v="0"/>
    <d v="2021-09-01T00:00:00"/>
    <s v="2021"/>
    <d v="2026-02-11T00:00:00"/>
    <n v="4"/>
    <n v="1"/>
    <n v="45175"/>
    <n v="22587.5"/>
    <s v=" Not Achieved"/>
    <s v="Average"/>
  </r>
  <r>
    <x v="771"/>
    <x v="771"/>
    <s v="EMP_772"/>
    <x v="0"/>
    <s v="EMP_772Marketing"/>
    <x v="4"/>
    <x v="3"/>
    <n v="26468"/>
    <n v="8560"/>
    <n v="0"/>
    <n v="0"/>
    <d v="2024-04-06T00:00:00"/>
    <s v="2024"/>
    <d v="2026-02-11T00:00:00"/>
    <n v="1"/>
    <n v="3"/>
    <n v="35028"/>
    <n v="17514"/>
    <s v=" Not Achieved"/>
    <s v="poor"/>
  </r>
  <r>
    <x v="772"/>
    <x v="772"/>
    <s v="EMP_773"/>
    <x v="0"/>
    <s v="EMP_773HR"/>
    <x v="0"/>
    <x v="1"/>
    <n v="44682"/>
    <n v="8417"/>
    <n v="0"/>
    <n v="0"/>
    <d v="2020-08-11T00:00:00"/>
    <s v="2020"/>
    <d v="2026-02-11T00:00:00"/>
    <n v="5"/>
    <n v="3"/>
    <n v="53099"/>
    <n v="26549.5"/>
    <s v=" Not Achieved"/>
    <s v="Good"/>
  </r>
  <r>
    <x v="773"/>
    <x v="773"/>
    <s v="EMP_774"/>
    <x v="1"/>
    <s v="EMP_774Sales"/>
    <x v="1"/>
    <x v="4"/>
    <n v="41722"/>
    <n v="4965"/>
    <n v="217138"/>
    <n v="85975"/>
    <s v="4/28/2018"/>
    <s v="4/28/2018"/>
    <d v="2026-02-11T00:00:00"/>
    <e v="#VALUE!"/>
    <n v="4"/>
    <n v="46687"/>
    <n v="23343.5"/>
    <s v="Achieved"/>
    <s v="Good"/>
  </r>
  <r>
    <x v="774"/>
    <x v="774"/>
    <s v="EMP_775"/>
    <x v="0"/>
    <s v="EMP_775IT"/>
    <x v="3"/>
    <x v="2"/>
    <n v="32201"/>
    <n v="10884"/>
    <n v="0"/>
    <n v="0"/>
    <d v="2020-03-02T00:00:00"/>
    <s v="2020"/>
    <d v="2026-02-11T00:00:00"/>
    <n v="5"/>
    <n v="1"/>
    <n v="43085"/>
    <n v="21542.5"/>
    <s v=" Not Achieved"/>
    <s v="Average"/>
  </r>
  <r>
    <x v="775"/>
    <x v="775"/>
    <s v="EMP_776"/>
    <x v="0"/>
    <s v="EMP_776Sales"/>
    <x v="1"/>
    <x v="3"/>
    <n v="38058"/>
    <n v="7933"/>
    <n v="88208"/>
    <n v="233493"/>
    <d v="2023-08-12T00:00:00"/>
    <s v="2023"/>
    <d v="2026-02-11T00:00:00"/>
    <n v="2"/>
    <n v="1"/>
    <n v="45991"/>
    <n v="22995.5"/>
    <s v=" Not Achieved"/>
    <s v="Average"/>
  </r>
  <r>
    <x v="776"/>
    <x v="776"/>
    <s v="EMP_777"/>
    <x v="1"/>
    <s v="EMP_777Sales"/>
    <x v="1"/>
    <x v="4"/>
    <n v="23407"/>
    <n v="14264"/>
    <n v="53085"/>
    <n v="84671"/>
    <s v="7/29/2019"/>
    <s v="7/29/2019"/>
    <d v="2026-02-11T00:00:00"/>
    <e v="#VALUE!"/>
    <n v="1"/>
    <n v="37671"/>
    <n v="18835.5"/>
    <s v=" Not Achieved"/>
    <s v="poor"/>
  </r>
  <r>
    <x v="777"/>
    <x v="777"/>
    <s v="EMP_778"/>
    <x v="0"/>
    <s v="EMP_778HR"/>
    <x v="0"/>
    <x v="0"/>
    <n v="70946"/>
    <n v="7224"/>
    <n v="0"/>
    <n v="0"/>
    <d v="2023-05-06T00:00:00"/>
    <s v="2023"/>
    <d v="2026-02-11T00:00:00"/>
    <n v="2"/>
    <n v="2"/>
    <n v="78170"/>
    <n v="39085"/>
    <s v=" Not Achieved"/>
    <s v=" Excellent"/>
  </r>
  <r>
    <x v="778"/>
    <x v="778"/>
    <s v="EMP_779"/>
    <x v="1"/>
    <s v="EMP_779IT"/>
    <x v="3"/>
    <x v="1"/>
    <n v="58028"/>
    <n v="3772"/>
    <n v="0"/>
    <n v="0"/>
    <d v="2021-03-08T00:00:00"/>
    <s v="2021"/>
    <d v="2026-02-11T00:00:00"/>
    <n v="4"/>
    <n v="4"/>
    <n v="61800"/>
    <n v="30900"/>
    <s v=" Not Achieved"/>
    <s v=" Excellent"/>
  </r>
  <r>
    <x v="779"/>
    <x v="779"/>
    <s v="EMP_780"/>
    <x v="0"/>
    <s v="EMP_780Finance"/>
    <x v="2"/>
    <x v="2"/>
    <n v="50078"/>
    <n v="14742"/>
    <n v="0"/>
    <n v="0"/>
    <d v="2021-07-01T00:00:00"/>
    <s v="2021"/>
    <d v="2026-02-11T00:00:00"/>
    <n v="4"/>
    <n v="1"/>
    <n v="64820"/>
    <n v="32410"/>
    <s v=" Not Achieved"/>
    <s v=" Excellent"/>
  </r>
  <r>
    <x v="780"/>
    <x v="780"/>
    <s v="EMP_781"/>
    <x v="0"/>
    <s v="EMP_781IT"/>
    <x v="3"/>
    <x v="3"/>
    <n v="70671"/>
    <n v="7343"/>
    <n v="0"/>
    <n v="0"/>
    <s v="8/20/2023"/>
    <s v="8/20/2023"/>
    <d v="2026-02-11T00:00:00"/>
    <e v="#VALUE!"/>
    <n v="5"/>
    <n v="78014"/>
    <n v="39007"/>
    <s v=" Not Achieved"/>
    <s v=" Excellent"/>
  </r>
  <r>
    <x v="781"/>
    <x v="781"/>
    <s v="EMP_782"/>
    <x v="0"/>
    <s v="EMP_782IT"/>
    <x v="3"/>
    <x v="2"/>
    <n v="73606"/>
    <n v="10807"/>
    <n v="0"/>
    <n v="0"/>
    <s v="12/14/2023"/>
    <s v="12/14/2023"/>
    <d v="2026-02-11T00:00:00"/>
    <e v="#VALUE!"/>
    <n v="1"/>
    <n v="84413"/>
    <n v="42206.5"/>
    <s v=" Not Achieved"/>
    <s v=" Excellent"/>
  </r>
  <r>
    <x v="782"/>
    <x v="782"/>
    <s v="EMP_783"/>
    <x v="0"/>
    <s v="EMP_783Sales"/>
    <x v="1"/>
    <x v="4"/>
    <n v="36984"/>
    <n v="2252"/>
    <n v="195998"/>
    <n v="142366"/>
    <s v="11/13/2020"/>
    <s v="11/13/2020"/>
    <d v="2026-02-11T00:00:00"/>
    <e v="#VALUE!"/>
    <n v="1"/>
    <n v="39236"/>
    <n v="19618"/>
    <s v="Achieved"/>
    <s v="Average"/>
  </r>
  <r>
    <x v="783"/>
    <x v="783"/>
    <s v="EMP_784"/>
    <x v="1"/>
    <s v="EMP_784HR"/>
    <x v="0"/>
    <x v="3"/>
    <n v="29680"/>
    <n v="11460"/>
    <n v="0"/>
    <n v="0"/>
    <s v="4/14/2018"/>
    <s v="4/14/2018"/>
    <d v="2026-02-11T00:00:00"/>
    <e v="#VALUE!"/>
    <n v="4"/>
    <n v="41140"/>
    <n v="20570"/>
    <s v=" Not Achieved"/>
    <s v="poor"/>
  </r>
  <r>
    <x v="784"/>
    <x v="784"/>
    <s v="EMP_785"/>
    <x v="0"/>
    <s v="EMP_785HR"/>
    <x v="0"/>
    <x v="2"/>
    <n v="54001"/>
    <n v="8938"/>
    <n v="0"/>
    <n v="0"/>
    <s v="8/31/2023"/>
    <s v="8/31/2023"/>
    <d v="2026-02-11T00:00:00"/>
    <e v="#VALUE!"/>
    <n v="1"/>
    <n v="62939"/>
    <n v="31469.5"/>
    <s v=" Not Achieved"/>
    <s v=" Excellent"/>
  </r>
  <r>
    <x v="785"/>
    <x v="785"/>
    <s v="EMP_786"/>
    <x v="1"/>
    <s v="EMP_786Finance"/>
    <x v="2"/>
    <x v="2"/>
    <n v="72375"/>
    <n v="13107"/>
    <n v="0"/>
    <n v="0"/>
    <d v="2024-08-04T00:00:00"/>
    <s v="2024"/>
    <d v="2026-02-11T00:00:00"/>
    <n v="1"/>
    <n v="3"/>
    <n v="85482"/>
    <n v="42741"/>
    <s v=" Not Achieved"/>
    <s v=" Excellent"/>
  </r>
  <r>
    <x v="786"/>
    <x v="786"/>
    <s v="EMP_787"/>
    <x v="0"/>
    <s v="EMP_787HR"/>
    <x v="0"/>
    <x v="4"/>
    <n v="40951"/>
    <n v="9729"/>
    <n v="0"/>
    <n v="0"/>
    <s v="2/23/2024"/>
    <s v="2/23/2024"/>
    <d v="2026-02-11T00:00:00"/>
    <e v="#VALUE!"/>
    <n v="4"/>
    <n v="50680"/>
    <n v="25340"/>
    <s v=" Not Achieved"/>
    <s v="Good"/>
  </r>
  <r>
    <x v="787"/>
    <x v="787"/>
    <s v="EMP_788"/>
    <x v="1"/>
    <s v="EMP_788HR"/>
    <x v="0"/>
    <x v="4"/>
    <n v="23085"/>
    <n v="11131"/>
    <n v="0"/>
    <n v="0"/>
    <s v="1/24/2020"/>
    <s v="1/24/2020"/>
    <d v="2026-02-11T00:00:00"/>
    <e v="#VALUE!"/>
    <n v="5"/>
    <n v="34216"/>
    <n v="17108"/>
    <s v=" Not Achieved"/>
    <s v="poor"/>
  </r>
  <r>
    <x v="788"/>
    <x v="788"/>
    <s v="EMP_789"/>
    <x v="1"/>
    <s v="EMP_789IT"/>
    <x v="3"/>
    <x v="1"/>
    <n v="53965"/>
    <n v="12562"/>
    <n v="0"/>
    <n v="0"/>
    <d v="2021-01-09T00:00:00"/>
    <s v="2021"/>
    <d v="2026-02-11T00:00:00"/>
    <n v="5"/>
    <n v="2"/>
    <n v="66527"/>
    <n v="33263.5"/>
    <s v=" Not Achieved"/>
    <s v=" Excellent"/>
  </r>
  <r>
    <x v="789"/>
    <x v="789"/>
    <s v="EMP_790"/>
    <x v="1"/>
    <s v="EMP_790Marketing"/>
    <x v="4"/>
    <x v="4"/>
    <n v="39933"/>
    <n v="6951"/>
    <n v="0"/>
    <n v="0"/>
    <d v="2024-04-01T00:00:00"/>
    <s v="2024"/>
    <d v="2026-02-11T00:00:00"/>
    <n v="1"/>
    <n v="3"/>
    <n v="46884"/>
    <n v="23442"/>
    <s v=" Not Achieved"/>
    <s v="Average"/>
  </r>
  <r>
    <x v="790"/>
    <x v="790"/>
    <s v="EMP_791"/>
    <x v="0"/>
    <s v="EMP_791IT"/>
    <x v="3"/>
    <x v="4"/>
    <n v="48378"/>
    <n v="2021"/>
    <n v="0"/>
    <n v="0"/>
    <s v="12/27/2023"/>
    <s v="12/27/2023"/>
    <d v="2026-02-11T00:00:00"/>
    <e v="#VALUE!"/>
    <n v="3"/>
    <n v="50399"/>
    <n v="25199.5"/>
    <s v=" Not Achieved"/>
    <s v="Good"/>
  </r>
  <r>
    <x v="791"/>
    <x v="791"/>
    <s v="EMP_792"/>
    <x v="0"/>
    <s v="EMP_792Marketing"/>
    <x v="4"/>
    <x v="4"/>
    <n v="53952"/>
    <n v="14344"/>
    <n v="0"/>
    <n v="0"/>
    <d v="2024-04-01T00:00:00"/>
    <s v="2024"/>
    <d v="2026-02-11T00:00:00"/>
    <n v="1"/>
    <n v="4"/>
    <n v="68296"/>
    <n v="34148"/>
    <s v=" Not Achieved"/>
    <s v=" Excellent"/>
  </r>
  <r>
    <x v="792"/>
    <x v="792"/>
    <s v="EMP_793"/>
    <x v="1"/>
    <s v="EMP_793IT"/>
    <x v="3"/>
    <x v="3"/>
    <n v="20348"/>
    <n v="11588"/>
    <n v="0"/>
    <n v="0"/>
    <s v="4/27/2021"/>
    <s v="4/27/2021"/>
    <d v="2026-02-11T00:00:00"/>
    <e v="#VALUE!"/>
    <n v="2"/>
    <n v="31936"/>
    <n v="15968"/>
    <s v=" Not Achieved"/>
    <s v="poor"/>
  </r>
  <r>
    <x v="793"/>
    <x v="793"/>
    <s v="EMP_794"/>
    <x v="1"/>
    <s v="EMP_794Marketing"/>
    <x v="4"/>
    <x v="1"/>
    <n v="67415"/>
    <n v="14660"/>
    <n v="0"/>
    <n v="0"/>
    <s v="8/13/2020"/>
    <s v="8/13/2020"/>
    <d v="2026-02-11T00:00:00"/>
    <e v="#VALUE!"/>
    <n v="2"/>
    <n v="82075"/>
    <n v="41037.5"/>
    <s v=" Not Achieved"/>
    <s v=" Excellent"/>
  </r>
  <r>
    <x v="794"/>
    <x v="794"/>
    <s v="EMP_795"/>
    <x v="1"/>
    <s v="EMP_795IT"/>
    <x v="3"/>
    <x v="1"/>
    <n v="71070"/>
    <n v="14038"/>
    <n v="0"/>
    <n v="0"/>
    <d v="2024-11-03T00:00:00"/>
    <s v="2024"/>
    <d v="2026-02-11T00:00:00"/>
    <n v="1"/>
    <n v="1"/>
    <n v="85108"/>
    <n v="42554"/>
    <s v=" Not Achieved"/>
    <s v=" Excellent"/>
  </r>
  <r>
    <x v="795"/>
    <x v="795"/>
    <s v="EMP_796"/>
    <x v="0"/>
    <s v="EMP_796HR"/>
    <x v="0"/>
    <x v="4"/>
    <n v="54063"/>
    <n v="3305"/>
    <n v="0"/>
    <n v="0"/>
    <s v="8/26/2020"/>
    <s v="8/26/2020"/>
    <d v="2026-02-11T00:00:00"/>
    <e v="#VALUE!"/>
    <n v="1"/>
    <n v="57368"/>
    <n v="28684"/>
    <s v=" Not Achieved"/>
    <s v=" Excellent"/>
  </r>
  <r>
    <x v="796"/>
    <x v="796"/>
    <s v="EMP_797"/>
    <x v="1"/>
    <s v="EMP_797Sales"/>
    <x v="1"/>
    <x v="1"/>
    <n v="49892"/>
    <n v="14447"/>
    <n v="64669"/>
    <n v="174020"/>
    <s v="6/29/2019"/>
    <s v="6/29/2019"/>
    <d v="2026-02-11T00:00:00"/>
    <e v="#VALUE!"/>
    <n v="4"/>
    <n v="64339"/>
    <n v="32169.5"/>
    <s v=" Not Achieved"/>
    <s v="Good"/>
  </r>
  <r>
    <x v="797"/>
    <x v="797"/>
    <s v="EMP_798"/>
    <x v="1"/>
    <s v="EMP_798Marketing"/>
    <x v="4"/>
    <x v="4"/>
    <n v="38110"/>
    <n v="3511"/>
    <n v="0"/>
    <n v="0"/>
    <d v="2021-05-11T00:00:00"/>
    <s v="2021"/>
    <d v="2026-02-11T00:00:00"/>
    <n v="4"/>
    <n v="4"/>
    <n v="41621"/>
    <n v="20810.5"/>
    <s v=" Not Achieved"/>
    <s v="Average"/>
  </r>
  <r>
    <x v="798"/>
    <x v="798"/>
    <s v="EMP_799"/>
    <x v="0"/>
    <s v="EMP_799IT"/>
    <x v="3"/>
    <x v="4"/>
    <n v="69902"/>
    <n v="11742"/>
    <n v="0"/>
    <n v="0"/>
    <s v="12/20/2018"/>
    <s v="12/20/2018"/>
    <d v="2026-02-11T00:00:00"/>
    <e v="#VALUE!"/>
    <n v="4"/>
    <n v="81644"/>
    <n v="40822"/>
    <s v=" Not Achieved"/>
    <s v=" Excellent"/>
  </r>
  <r>
    <x v="799"/>
    <x v="799"/>
    <s v="EMP_800"/>
    <x v="0"/>
    <s v="EMP_800Marketing"/>
    <x v="4"/>
    <x v="0"/>
    <n v="49395"/>
    <n v="12246"/>
    <n v="0"/>
    <n v="0"/>
    <d v="2021-01-03T00:00:00"/>
    <s v="2021"/>
    <d v="2026-02-11T00:00:00"/>
    <n v="5"/>
    <n v="4"/>
    <n v="61641"/>
    <n v="30820.5"/>
    <s v=" Not Achieved"/>
    <s v="Good"/>
  </r>
  <r>
    <x v="800"/>
    <x v="800"/>
    <s v="EMP_801"/>
    <x v="1"/>
    <s v="EMP_801HR"/>
    <x v="0"/>
    <x v="1"/>
    <n v="20337"/>
    <n v="2002"/>
    <n v="0"/>
    <n v="0"/>
    <s v="5/29/2018"/>
    <s v="5/29/2018"/>
    <d v="2026-02-11T00:00:00"/>
    <e v="#VALUE!"/>
    <n v="3"/>
    <n v="22339"/>
    <n v="11169.5"/>
    <s v=" Not Achieved"/>
    <s v="poor"/>
  </r>
  <r>
    <x v="801"/>
    <x v="801"/>
    <s v="EMP_802"/>
    <x v="0"/>
    <s v="EMP_802HR"/>
    <x v="0"/>
    <x v="3"/>
    <n v="34023"/>
    <n v="8149"/>
    <n v="0"/>
    <n v="0"/>
    <s v="10/29/2018"/>
    <s v="10/29/2018"/>
    <d v="2026-02-11T00:00:00"/>
    <e v="#VALUE!"/>
    <n v="3"/>
    <n v="42172"/>
    <n v="21086"/>
    <s v=" Not Achieved"/>
    <s v="Average"/>
  </r>
  <r>
    <x v="802"/>
    <x v="802"/>
    <s v="EMP_803"/>
    <x v="1"/>
    <s v="EMP_803Finance"/>
    <x v="2"/>
    <x v="1"/>
    <n v="35063"/>
    <n v="4490"/>
    <n v="0"/>
    <n v="0"/>
    <d v="2024-02-11T00:00:00"/>
    <s v="2024"/>
    <d v="2026-02-11T00:00:00"/>
    <n v="2"/>
    <n v="4"/>
    <n v="39553"/>
    <n v="19776.5"/>
    <s v=" Not Achieved"/>
    <s v="Average"/>
  </r>
  <r>
    <x v="803"/>
    <x v="803"/>
    <s v="EMP_804"/>
    <x v="1"/>
    <s v="EMP_804IT"/>
    <x v="3"/>
    <x v="3"/>
    <n v="35860"/>
    <n v="2245"/>
    <n v="0"/>
    <n v="0"/>
    <s v="10/24/2022"/>
    <s v="10/24/2022"/>
    <d v="2026-02-11T00:00:00"/>
    <e v="#VALUE!"/>
    <n v="5"/>
    <n v="38105"/>
    <n v="19052.5"/>
    <s v=" Not Achieved"/>
    <s v="Average"/>
  </r>
  <r>
    <x v="804"/>
    <x v="804"/>
    <s v="EMP_805"/>
    <x v="1"/>
    <s v="EMP_805Sales"/>
    <x v="1"/>
    <x v="4"/>
    <n v="31660"/>
    <n v="14121"/>
    <n v="162314"/>
    <n v="221747"/>
    <s v="2/18/2018"/>
    <s v="2/18/2018"/>
    <d v="2026-02-11T00:00:00"/>
    <e v="#VALUE!"/>
    <n v="4"/>
    <n v="45781"/>
    <n v="22890.5"/>
    <s v=" Not Achieved"/>
    <s v="Average"/>
  </r>
  <r>
    <x v="805"/>
    <x v="805"/>
    <s v="EMP_806"/>
    <x v="0"/>
    <s v="EMP_806Finance"/>
    <x v="2"/>
    <x v="3"/>
    <n v="78832"/>
    <n v="13527"/>
    <n v="0"/>
    <n v="0"/>
    <s v="4/15/2019"/>
    <s v="4/15/2019"/>
    <d v="2026-02-11T00:00:00"/>
    <e v="#VALUE!"/>
    <n v="3"/>
    <n v="92359"/>
    <n v="46179.5"/>
    <s v=" Not Achieved"/>
    <s v=" Excellent"/>
  </r>
  <r>
    <x v="806"/>
    <x v="806"/>
    <s v="EMP_807"/>
    <x v="1"/>
    <s v="EMP_807Sales"/>
    <x v="1"/>
    <x v="1"/>
    <n v="28308"/>
    <n v="13907"/>
    <n v="98744"/>
    <n v="169826"/>
    <s v="12/27/2019"/>
    <s v="12/27/2019"/>
    <d v="2026-02-11T00:00:00"/>
    <e v="#VALUE!"/>
    <n v="3"/>
    <n v="42215"/>
    <n v="21107.5"/>
    <s v=" Not Achieved"/>
    <s v="poor"/>
  </r>
  <r>
    <x v="807"/>
    <x v="807"/>
    <s v="EMP_808"/>
    <x v="1"/>
    <s v="EMP_808Marketing"/>
    <x v="4"/>
    <x v="1"/>
    <n v="61024"/>
    <n v="12666"/>
    <n v="0"/>
    <n v="0"/>
    <d v="2023-12-04T00:00:00"/>
    <s v="2023"/>
    <d v="2026-02-11T00:00:00"/>
    <n v="2"/>
    <n v="2"/>
    <n v="73690"/>
    <n v="36845"/>
    <s v=" Not Achieved"/>
    <s v=" Excellent"/>
  </r>
  <r>
    <x v="808"/>
    <x v="808"/>
    <s v="EMP_809"/>
    <x v="1"/>
    <s v="EMP_809Finance"/>
    <x v="2"/>
    <x v="1"/>
    <n v="45967"/>
    <n v="3557"/>
    <n v="0"/>
    <n v="0"/>
    <d v="2022-01-11T00:00:00"/>
    <s v="2022"/>
    <d v="2026-02-11T00:00:00"/>
    <n v="4"/>
    <n v="1"/>
    <n v="49524"/>
    <n v="24762"/>
    <s v=" Not Achieved"/>
    <s v="Good"/>
  </r>
  <r>
    <x v="809"/>
    <x v="809"/>
    <s v="EMP_810"/>
    <x v="1"/>
    <s v="EMP_810IT"/>
    <x v="3"/>
    <x v="1"/>
    <n v="68994"/>
    <n v="8696"/>
    <n v="0"/>
    <n v="0"/>
    <d v="2019-05-10T00:00:00"/>
    <s v="2019"/>
    <d v="2026-02-11T00:00:00"/>
    <n v="6"/>
    <n v="1"/>
    <n v="77690"/>
    <n v="38845"/>
    <s v=" Not Achieved"/>
    <s v=" Excellent"/>
  </r>
  <r>
    <x v="810"/>
    <x v="810"/>
    <s v="EMP_811"/>
    <x v="0"/>
    <s v="EMP_811IT"/>
    <x v="3"/>
    <x v="0"/>
    <n v="22859"/>
    <n v="13848"/>
    <n v="0"/>
    <n v="0"/>
    <d v="2021-12-11T00:00:00"/>
    <s v="2021"/>
    <d v="2026-02-11T00:00:00"/>
    <n v="4"/>
    <n v="4"/>
    <n v="36707"/>
    <n v="18353.5"/>
    <s v=" Not Achieved"/>
    <s v="poor"/>
  </r>
  <r>
    <x v="811"/>
    <x v="811"/>
    <s v="EMP_812"/>
    <x v="1"/>
    <s v="EMP_812IT"/>
    <x v="3"/>
    <x v="1"/>
    <n v="45351"/>
    <n v="5283"/>
    <n v="0"/>
    <n v="0"/>
    <s v="1/13/2018"/>
    <s v="1/13/2018"/>
    <d v="2026-02-11T00:00:00"/>
    <e v="#VALUE!"/>
    <n v="2"/>
    <n v="50634"/>
    <n v="25317"/>
    <s v=" Not Achieved"/>
    <s v="Good"/>
  </r>
  <r>
    <x v="812"/>
    <x v="812"/>
    <s v="EMP_813"/>
    <x v="1"/>
    <s v="EMP_813HR"/>
    <x v="0"/>
    <x v="0"/>
    <n v="62143"/>
    <n v="13964"/>
    <n v="0"/>
    <n v="0"/>
    <d v="2023-04-03T00:00:00"/>
    <s v="2023"/>
    <d v="2026-02-11T00:00:00"/>
    <n v="2"/>
    <n v="5"/>
    <n v="76107"/>
    <n v="38053.5"/>
    <s v=" Not Achieved"/>
    <s v=" Excellent"/>
  </r>
  <r>
    <x v="813"/>
    <x v="813"/>
    <s v="EMP_814"/>
    <x v="0"/>
    <s v="EMP_814Sales"/>
    <x v="1"/>
    <x v="1"/>
    <n v="38415"/>
    <n v="11991"/>
    <n v="84700"/>
    <n v="170122"/>
    <s v="5/17/2024"/>
    <s v="5/17/2024"/>
    <d v="2026-02-11T00:00:00"/>
    <e v="#VALUE!"/>
    <n v="3"/>
    <n v="50406"/>
    <n v="25203"/>
    <s v=" Not Achieved"/>
    <s v="Average"/>
  </r>
  <r>
    <x v="814"/>
    <x v="814"/>
    <s v="EMP_815"/>
    <x v="1"/>
    <s v="EMP_815Marketing"/>
    <x v="4"/>
    <x v="1"/>
    <n v="40332"/>
    <n v="7050"/>
    <n v="0"/>
    <n v="0"/>
    <s v="1/25/2022"/>
    <s v="1/25/2022"/>
    <d v="2026-02-11T00:00:00"/>
    <e v="#VALUE!"/>
    <n v="4"/>
    <n v="47382"/>
    <n v="23691"/>
    <s v=" Not Achieved"/>
    <s v="Good"/>
  </r>
  <r>
    <x v="815"/>
    <x v="815"/>
    <s v="EMP_816"/>
    <x v="0"/>
    <s v="EMP_816Marketing"/>
    <x v="4"/>
    <x v="0"/>
    <n v="67738"/>
    <n v="8337"/>
    <n v="0"/>
    <n v="0"/>
    <d v="2023-05-04T00:00:00"/>
    <s v="2023"/>
    <d v="2026-02-11T00:00:00"/>
    <n v="2"/>
    <n v="1"/>
    <n v="76075"/>
    <n v="38037.5"/>
    <s v=" Not Achieved"/>
    <s v=" Excellent"/>
  </r>
  <r>
    <x v="816"/>
    <x v="816"/>
    <s v="EMP_817"/>
    <x v="1"/>
    <s v="EMP_817IT"/>
    <x v="3"/>
    <x v="0"/>
    <n v="45981"/>
    <n v="13388"/>
    <n v="0"/>
    <n v="0"/>
    <d v="2022-06-03T00:00:00"/>
    <s v="2022"/>
    <d v="2026-02-11T00:00:00"/>
    <n v="3"/>
    <n v="2"/>
    <n v="59369"/>
    <n v="29684.5"/>
    <s v=" Not Achieved"/>
    <s v="Good"/>
  </r>
  <r>
    <x v="817"/>
    <x v="817"/>
    <s v="EMP_818"/>
    <x v="1"/>
    <s v="EMP_818HR"/>
    <x v="0"/>
    <x v="2"/>
    <n v="31367"/>
    <n v="8147"/>
    <n v="0"/>
    <n v="0"/>
    <s v="5/27/2024"/>
    <s v="5/27/2024"/>
    <d v="2026-02-11T00:00:00"/>
    <e v="#VALUE!"/>
    <n v="2"/>
    <n v="39514"/>
    <n v="19757"/>
    <s v=" Not Achieved"/>
    <s v="Average"/>
  </r>
  <r>
    <x v="818"/>
    <x v="818"/>
    <s v="EMP_819"/>
    <x v="1"/>
    <s v="EMP_819IT"/>
    <x v="3"/>
    <x v="3"/>
    <n v="22373"/>
    <n v="2596"/>
    <n v="0"/>
    <n v="0"/>
    <d v="2019-01-06T00:00:00"/>
    <s v="2019"/>
    <d v="2026-02-11T00:00:00"/>
    <n v="7"/>
    <n v="3"/>
    <n v="24969"/>
    <n v="12484.5"/>
    <s v=" Not Achieved"/>
    <s v="poor"/>
  </r>
  <r>
    <x v="819"/>
    <x v="819"/>
    <s v="EMP_820"/>
    <x v="0"/>
    <s v="EMP_820Sales"/>
    <x v="1"/>
    <x v="4"/>
    <n v="72928"/>
    <n v="5285"/>
    <n v="178445"/>
    <n v="116615"/>
    <s v="4/20/2021"/>
    <s v="4/20/2021"/>
    <d v="2026-02-11T00:00:00"/>
    <e v="#VALUE!"/>
    <n v="4"/>
    <n v="78213"/>
    <n v="39106.5"/>
    <s v="Achieved"/>
    <s v=" Excellent"/>
  </r>
  <r>
    <x v="820"/>
    <x v="820"/>
    <s v="EMP_821"/>
    <x v="0"/>
    <s v="EMP_821Finance"/>
    <x v="2"/>
    <x v="2"/>
    <n v="55210"/>
    <n v="11364"/>
    <n v="0"/>
    <n v="0"/>
    <d v="2023-03-12T00:00:00"/>
    <s v="2023"/>
    <d v="2026-02-11T00:00:00"/>
    <n v="2"/>
    <n v="5"/>
    <n v="66574"/>
    <n v="33287"/>
    <s v=" Not Achieved"/>
    <s v=" Excellent"/>
  </r>
  <r>
    <x v="821"/>
    <x v="821"/>
    <s v="EMP_822"/>
    <x v="1"/>
    <s v="EMP_822IT"/>
    <x v="3"/>
    <x v="0"/>
    <n v="35506"/>
    <n v="4621"/>
    <n v="0"/>
    <n v="0"/>
    <s v="12/30/2021"/>
    <s v="12/30/2021"/>
    <d v="2026-02-11T00:00:00"/>
    <e v="#VALUE!"/>
    <n v="3"/>
    <n v="40127"/>
    <n v="20063.5"/>
    <s v=" Not Achieved"/>
    <s v="Average"/>
  </r>
  <r>
    <x v="822"/>
    <x v="822"/>
    <s v="EMP_823"/>
    <x v="1"/>
    <s v="EMP_823Marketing"/>
    <x v="4"/>
    <x v="0"/>
    <n v="74500"/>
    <n v="12860"/>
    <n v="0"/>
    <n v="0"/>
    <s v="7/24/2023"/>
    <s v="7/24/2023"/>
    <d v="2026-02-11T00:00:00"/>
    <e v="#VALUE!"/>
    <n v="3"/>
    <n v="87360"/>
    <n v="43680"/>
    <s v=" Not Achieved"/>
    <s v=" Excellent"/>
  </r>
  <r>
    <x v="823"/>
    <x v="823"/>
    <s v="EMP_824"/>
    <x v="0"/>
    <s v="EMP_824Marketing"/>
    <x v="4"/>
    <x v="2"/>
    <n v="49801"/>
    <n v="5268"/>
    <n v="0"/>
    <n v="0"/>
    <s v="6/29/2022"/>
    <s v="6/29/2022"/>
    <d v="2026-02-11T00:00:00"/>
    <e v="#VALUE!"/>
    <n v="3"/>
    <n v="55069"/>
    <n v="27534.5"/>
    <s v=" Not Achieved"/>
    <s v="Good"/>
  </r>
  <r>
    <x v="824"/>
    <x v="824"/>
    <s v="EMP_825"/>
    <x v="0"/>
    <s v="EMP_825Sales"/>
    <x v="1"/>
    <x v="4"/>
    <n v="44657"/>
    <n v="5737"/>
    <n v="235005"/>
    <n v="219767"/>
    <s v="4/27/2020"/>
    <s v="4/27/2020"/>
    <d v="2026-02-11T00:00:00"/>
    <e v="#VALUE!"/>
    <n v="2"/>
    <n v="50394"/>
    <n v="25197"/>
    <s v="Achieved"/>
    <s v="Good"/>
  </r>
  <r>
    <x v="825"/>
    <x v="825"/>
    <s v="EMP_826"/>
    <x v="1"/>
    <s v="EMP_826HR"/>
    <x v="0"/>
    <x v="1"/>
    <n v="52424"/>
    <n v="9454"/>
    <n v="0"/>
    <n v="0"/>
    <s v="4/20/2021"/>
    <s v="4/20/2021"/>
    <d v="2026-02-11T00:00:00"/>
    <e v="#VALUE!"/>
    <n v="4"/>
    <n v="61878"/>
    <n v="30939"/>
    <s v=" Not Achieved"/>
    <s v=" Excellent"/>
  </r>
  <r>
    <x v="826"/>
    <x v="826"/>
    <s v="EMP_827"/>
    <x v="0"/>
    <s v="EMP_827Finance"/>
    <x v="2"/>
    <x v="2"/>
    <n v="68954"/>
    <n v="13306"/>
    <n v="0"/>
    <n v="0"/>
    <s v="9/18/2020"/>
    <s v="9/18/2020"/>
    <d v="2026-02-11T00:00:00"/>
    <e v="#VALUE!"/>
    <n v="2"/>
    <n v="82260"/>
    <n v="41130"/>
    <s v=" Not Achieved"/>
    <s v=" Excellent"/>
  </r>
  <r>
    <x v="827"/>
    <x v="827"/>
    <s v="EMP_828"/>
    <x v="0"/>
    <s v="EMP_828IT"/>
    <x v="3"/>
    <x v="1"/>
    <n v="21293"/>
    <n v="6563"/>
    <n v="0"/>
    <n v="0"/>
    <s v="8/17/2024"/>
    <s v="8/17/2024"/>
    <d v="2026-02-11T00:00:00"/>
    <e v="#VALUE!"/>
    <n v="2"/>
    <n v="27856"/>
    <n v="13928"/>
    <s v=" Not Achieved"/>
    <s v="poor"/>
  </r>
  <r>
    <x v="828"/>
    <x v="828"/>
    <s v="EMP_829"/>
    <x v="1"/>
    <s v="EMP_829HR"/>
    <x v="0"/>
    <x v="1"/>
    <n v="71670"/>
    <n v="8070"/>
    <n v="0"/>
    <n v="0"/>
    <d v="2020-08-03T00:00:00"/>
    <s v="2020"/>
    <d v="2026-02-11T00:00:00"/>
    <n v="5"/>
    <n v="3"/>
    <n v="79740"/>
    <n v="39870"/>
    <s v=" Not Achieved"/>
    <s v=" Excellent"/>
  </r>
  <r>
    <x v="829"/>
    <x v="829"/>
    <s v="EMP_830"/>
    <x v="1"/>
    <s v="EMP_830Sales"/>
    <x v="1"/>
    <x v="2"/>
    <n v="64794"/>
    <n v="11903"/>
    <n v="172397"/>
    <n v="140155"/>
    <d v="2022-05-06T00:00:00"/>
    <s v="2022"/>
    <d v="2026-02-11T00:00:00"/>
    <n v="3"/>
    <n v="3"/>
    <n v="76697"/>
    <n v="38348.5"/>
    <s v="Achieved"/>
    <s v=" Excellent"/>
  </r>
  <r>
    <x v="830"/>
    <x v="830"/>
    <s v="EMP_831"/>
    <x v="0"/>
    <s v="EMP_831Finance"/>
    <x v="2"/>
    <x v="4"/>
    <n v="60680"/>
    <n v="6949"/>
    <n v="0"/>
    <n v="0"/>
    <d v="2023-09-12T00:00:00"/>
    <s v="2023"/>
    <d v="2026-02-11T00:00:00"/>
    <n v="2"/>
    <n v="2"/>
    <n v="67629"/>
    <n v="33814.5"/>
    <s v=" Not Achieved"/>
    <s v=" Excellent"/>
  </r>
  <r>
    <x v="831"/>
    <x v="831"/>
    <s v="EMP_832"/>
    <x v="0"/>
    <s v="EMP_832HR"/>
    <x v="0"/>
    <x v="0"/>
    <n v="52398"/>
    <n v="12284"/>
    <n v="0"/>
    <n v="0"/>
    <d v="2024-05-06T00:00:00"/>
    <s v="2024"/>
    <d v="2026-02-11T00:00:00"/>
    <n v="1"/>
    <n v="3"/>
    <n v="64682"/>
    <n v="32341"/>
    <s v=" Not Achieved"/>
    <s v=" Excellent"/>
  </r>
  <r>
    <x v="832"/>
    <x v="832"/>
    <s v="EMP_833"/>
    <x v="1"/>
    <s v="EMP_833Marketing"/>
    <x v="4"/>
    <x v="1"/>
    <n v="32397"/>
    <n v="9913"/>
    <n v="0"/>
    <n v="0"/>
    <s v="5/21/2024"/>
    <s v="5/21/2024"/>
    <d v="2026-02-11T00:00:00"/>
    <e v="#VALUE!"/>
    <n v="4"/>
    <n v="42310"/>
    <n v="21155"/>
    <s v=" Not Achieved"/>
    <s v="Average"/>
  </r>
  <r>
    <x v="833"/>
    <x v="833"/>
    <s v="EMP_834"/>
    <x v="0"/>
    <s v="EMP_834Sales"/>
    <x v="1"/>
    <x v="3"/>
    <n v="23056"/>
    <n v="10121"/>
    <n v="196756"/>
    <n v="207226"/>
    <s v="9/20/2024"/>
    <s v="9/20/2024"/>
    <d v="2026-02-11T00:00:00"/>
    <e v="#VALUE!"/>
    <n v="4"/>
    <n v="33177"/>
    <n v="16588.5"/>
    <s v=" Not Achieved"/>
    <s v="poor"/>
  </r>
  <r>
    <x v="834"/>
    <x v="834"/>
    <s v="EMP_835"/>
    <x v="0"/>
    <s v="EMP_835Sales"/>
    <x v="1"/>
    <x v="3"/>
    <n v="41576"/>
    <n v="13419"/>
    <n v="299312"/>
    <n v="184097"/>
    <s v="10/30/2022"/>
    <s v="10/30/2022"/>
    <d v="2026-02-11T00:00:00"/>
    <e v="#VALUE!"/>
    <n v="1"/>
    <n v="54995"/>
    <n v="27497.5"/>
    <s v="Achieved"/>
    <s v="Good"/>
  </r>
  <r>
    <x v="835"/>
    <x v="835"/>
    <s v="EMP_836"/>
    <x v="1"/>
    <s v="EMP_836HR"/>
    <x v="0"/>
    <x v="1"/>
    <n v="55291"/>
    <n v="12894"/>
    <n v="0"/>
    <n v="0"/>
    <s v="11/24/2020"/>
    <s v="11/24/2020"/>
    <d v="2026-02-11T00:00:00"/>
    <e v="#VALUE!"/>
    <n v="4"/>
    <n v="68185"/>
    <n v="34092.5"/>
    <s v=" Not Achieved"/>
    <s v=" Excellent"/>
  </r>
  <r>
    <x v="836"/>
    <x v="836"/>
    <s v="EMP_837"/>
    <x v="0"/>
    <s v="EMP_837IT"/>
    <x v="3"/>
    <x v="0"/>
    <n v="25744"/>
    <n v="3581"/>
    <n v="0"/>
    <n v="0"/>
    <d v="2023-01-08T00:00:00"/>
    <s v="2023"/>
    <d v="2026-02-11T00:00:00"/>
    <n v="3"/>
    <n v="1"/>
    <n v="29325"/>
    <n v="14662.5"/>
    <s v=" Not Achieved"/>
    <s v="poor"/>
  </r>
  <r>
    <x v="837"/>
    <x v="837"/>
    <s v="EMP_838"/>
    <x v="1"/>
    <s v="EMP_838Marketing"/>
    <x v="4"/>
    <x v="4"/>
    <n v="70604"/>
    <n v="10556"/>
    <n v="0"/>
    <n v="0"/>
    <d v="2023-05-11T00:00:00"/>
    <s v="2023"/>
    <d v="2026-02-11T00:00:00"/>
    <n v="2"/>
    <n v="4"/>
    <n v="81160"/>
    <n v="40580"/>
    <s v=" Not Achieved"/>
    <s v=" Excellent"/>
  </r>
  <r>
    <x v="838"/>
    <x v="838"/>
    <s v="EMP_839"/>
    <x v="1"/>
    <s v="EMP_839HR"/>
    <x v="0"/>
    <x v="3"/>
    <n v="25273"/>
    <n v="10153"/>
    <n v="0"/>
    <n v="0"/>
    <d v="2022-03-03T00:00:00"/>
    <s v="2022"/>
    <d v="2026-02-11T00:00:00"/>
    <n v="3"/>
    <n v="5"/>
    <n v="35426"/>
    <n v="17713"/>
    <s v=" Not Achieved"/>
    <s v="poor"/>
  </r>
  <r>
    <x v="839"/>
    <x v="839"/>
    <s v="EMP_840"/>
    <x v="0"/>
    <s v="EMP_840HR"/>
    <x v="0"/>
    <x v="0"/>
    <n v="30859"/>
    <n v="8703"/>
    <n v="0"/>
    <n v="0"/>
    <d v="2018-10-05T00:00:00"/>
    <s v="2018"/>
    <d v="2026-02-11T00:00:00"/>
    <n v="7"/>
    <n v="2"/>
    <n v="39562"/>
    <n v="19781"/>
    <s v=" Not Achieved"/>
    <s v="Average"/>
  </r>
  <r>
    <x v="840"/>
    <x v="840"/>
    <s v="EMP_841"/>
    <x v="1"/>
    <s v="EMP_841Sales"/>
    <x v="1"/>
    <x v="1"/>
    <n v="34806"/>
    <n v="2523"/>
    <n v="212683"/>
    <n v="101442"/>
    <s v="2/22/2022"/>
    <s v="2/22/2022"/>
    <d v="2026-02-11T00:00:00"/>
    <e v="#VALUE!"/>
    <n v="2"/>
    <n v="37329"/>
    <n v="18664.5"/>
    <s v="Achieved"/>
    <s v="Average"/>
  </r>
  <r>
    <x v="841"/>
    <x v="841"/>
    <s v="EMP_842"/>
    <x v="0"/>
    <s v="EMP_842Sales"/>
    <x v="1"/>
    <x v="3"/>
    <n v="63051"/>
    <n v="4173"/>
    <n v="210073"/>
    <n v="120915"/>
    <s v="1/18/2021"/>
    <s v="1/18/2021"/>
    <d v="2026-02-11T00:00:00"/>
    <e v="#VALUE!"/>
    <n v="1"/>
    <n v="67224"/>
    <n v="33612"/>
    <s v="Achieved"/>
    <s v=" Excellent"/>
  </r>
  <r>
    <x v="842"/>
    <x v="842"/>
    <s v="EMP_843"/>
    <x v="0"/>
    <s v="EMP_843HR"/>
    <x v="0"/>
    <x v="3"/>
    <n v="26799"/>
    <n v="5871"/>
    <n v="0"/>
    <n v="0"/>
    <s v="11/28/2020"/>
    <s v="11/28/2020"/>
    <d v="2026-02-11T00:00:00"/>
    <e v="#VALUE!"/>
    <n v="5"/>
    <n v="32670"/>
    <n v="16335"/>
    <s v=" Not Achieved"/>
    <s v="poor"/>
  </r>
  <r>
    <x v="843"/>
    <x v="843"/>
    <s v="EMP_844"/>
    <x v="0"/>
    <s v="EMP_844HR"/>
    <x v="0"/>
    <x v="2"/>
    <n v="62691"/>
    <n v="7961"/>
    <n v="0"/>
    <n v="0"/>
    <s v="10/27/2020"/>
    <s v="10/27/2020"/>
    <d v="2026-02-11T00:00:00"/>
    <e v="#VALUE!"/>
    <n v="2"/>
    <n v="70652"/>
    <n v="35326"/>
    <s v=" Not Achieved"/>
    <s v=" Excellent"/>
  </r>
  <r>
    <x v="844"/>
    <x v="844"/>
    <s v="EMP_845"/>
    <x v="0"/>
    <s v="EMP_845Sales"/>
    <x v="1"/>
    <x v="4"/>
    <n v="32011"/>
    <n v="9249"/>
    <n v="78139"/>
    <n v="133856"/>
    <s v="12/28/2023"/>
    <s v="12/28/2023"/>
    <d v="2026-02-11T00:00:00"/>
    <e v="#VALUE!"/>
    <n v="4"/>
    <n v="41260"/>
    <n v="20630"/>
    <s v=" Not Achieved"/>
    <s v="Average"/>
  </r>
  <r>
    <x v="845"/>
    <x v="845"/>
    <s v="EMP_846"/>
    <x v="1"/>
    <s v="EMP_846HR"/>
    <x v="0"/>
    <x v="3"/>
    <n v="26610"/>
    <n v="9019"/>
    <n v="0"/>
    <n v="0"/>
    <s v="5/27/2022"/>
    <s v="5/27/2022"/>
    <d v="2026-02-11T00:00:00"/>
    <e v="#VALUE!"/>
    <n v="3"/>
    <n v="35629"/>
    <n v="17814.5"/>
    <s v=" Not Achieved"/>
    <s v="poor"/>
  </r>
  <r>
    <x v="846"/>
    <x v="846"/>
    <s v="EMP_847"/>
    <x v="0"/>
    <s v="EMP_847IT"/>
    <x v="3"/>
    <x v="4"/>
    <n v="23095"/>
    <n v="7491"/>
    <n v="0"/>
    <n v="0"/>
    <s v="5/15/2021"/>
    <s v="5/15/2021"/>
    <d v="2026-02-11T00:00:00"/>
    <e v="#VALUE!"/>
    <n v="4"/>
    <n v="30586"/>
    <n v="15293"/>
    <s v=" Not Achieved"/>
    <s v="poor"/>
  </r>
  <r>
    <x v="847"/>
    <x v="847"/>
    <s v="EMP_848"/>
    <x v="1"/>
    <s v="EMP_848IT"/>
    <x v="3"/>
    <x v="3"/>
    <n v="23090"/>
    <n v="4694"/>
    <n v="0"/>
    <n v="0"/>
    <s v="12/21/2020"/>
    <s v="12/21/2020"/>
    <d v="2026-02-11T00:00:00"/>
    <e v="#VALUE!"/>
    <n v="1"/>
    <n v="27784"/>
    <n v="13892"/>
    <s v=" Not Achieved"/>
    <s v="poor"/>
  </r>
  <r>
    <x v="848"/>
    <x v="848"/>
    <s v="EMP_849"/>
    <x v="0"/>
    <s v="EMP_849Marketing"/>
    <x v="4"/>
    <x v="2"/>
    <n v="27506"/>
    <n v="13592"/>
    <n v="0"/>
    <n v="0"/>
    <s v="4/17/2021"/>
    <s v="4/17/2021"/>
    <d v="2026-02-11T00:00:00"/>
    <e v="#VALUE!"/>
    <n v="5"/>
    <n v="41098"/>
    <n v="20549"/>
    <s v=" Not Achieved"/>
    <s v="poor"/>
  </r>
  <r>
    <x v="849"/>
    <x v="849"/>
    <s v="EMP_850"/>
    <x v="0"/>
    <s v="EMP_850Sales"/>
    <x v="1"/>
    <x v="4"/>
    <n v="33335"/>
    <n v="10011"/>
    <n v="265120"/>
    <n v="170779"/>
    <s v="2/14/2022"/>
    <s v="2/14/2022"/>
    <d v="2026-02-11T00:00:00"/>
    <e v="#VALUE!"/>
    <n v="3"/>
    <n v="43346"/>
    <n v="21673"/>
    <s v="Achieved"/>
    <s v="Average"/>
  </r>
  <r>
    <x v="850"/>
    <x v="850"/>
    <s v="EMP_851"/>
    <x v="1"/>
    <s v="EMP_851IT"/>
    <x v="3"/>
    <x v="4"/>
    <n v="28107"/>
    <n v="13402"/>
    <n v="0"/>
    <n v="0"/>
    <s v="11/30/2022"/>
    <s v="11/30/2022"/>
    <d v="2026-02-11T00:00:00"/>
    <e v="#VALUE!"/>
    <n v="1"/>
    <n v="41509"/>
    <n v="20754.5"/>
    <s v=" Not Achieved"/>
    <s v="poor"/>
  </r>
  <r>
    <x v="851"/>
    <x v="851"/>
    <s v="EMP_852"/>
    <x v="0"/>
    <s v="EMP_852HR"/>
    <x v="0"/>
    <x v="3"/>
    <n v="26405"/>
    <n v="6494"/>
    <n v="0"/>
    <n v="0"/>
    <d v="2020-08-07T00:00:00"/>
    <s v="2020"/>
    <d v="2026-02-11T00:00:00"/>
    <n v="5"/>
    <n v="4"/>
    <n v="32899"/>
    <n v="16449.5"/>
    <s v=" Not Achieved"/>
    <s v="poor"/>
  </r>
  <r>
    <x v="852"/>
    <x v="852"/>
    <s v="EMP_853"/>
    <x v="1"/>
    <s v="EMP_853HR"/>
    <x v="0"/>
    <x v="3"/>
    <n v="45067"/>
    <n v="7534"/>
    <n v="0"/>
    <n v="0"/>
    <s v="7/16/2023"/>
    <s v="7/16/2023"/>
    <d v="2026-02-11T00:00:00"/>
    <e v="#VALUE!"/>
    <n v="1"/>
    <n v="52601"/>
    <n v="26300.5"/>
    <s v=" Not Achieved"/>
    <s v="Good"/>
  </r>
  <r>
    <x v="853"/>
    <x v="853"/>
    <s v="EMP_854"/>
    <x v="1"/>
    <s v="EMP_854HR"/>
    <x v="0"/>
    <x v="4"/>
    <n v="53843"/>
    <n v="4158"/>
    <n v="0"/>
    <n v="0"/>
    <s v="8/26/2023"/>
    <s v="8/26/2023"/>
    <d v="2026-02-11T00:00:00"/>
    <e v="#VALUE!"/>
    <n v="2"/>
    <n v="58001"/>
    <n v="29000.5"/>
    <s v=" Not Achieved"/>
    <s v=" Excellent"/>
  </r>
  <r>
    <x v="854"/>
    <x v="854"/>
    <s v="EMP_855"/>
    <x v="0"/>
    <s v="EMP_855Sales"/>
    <x v="1"/>
    <x v="0"/>
    <n v="35068"/>
    <n v="2918"/>
    <n v="91702"/>
    <n v="214718"/>
    <d v="2019-03-09T00:00:00"/>
    <s v="2019"/>
    <d v="2026-02-11T00:00:00"/>
    <n v="6"/>
    <n v="1"/>
    <n v="37986"/>
    <n v="18993"/>
    <s v=" Not Achieved"/>
    <s v="Average"/>
  </r>
  <r>
    <x v="855"/>
    <x v="855"/>
    <s v="EMP_856"/>
    <x v="1"/>
    <s v="EMP_856HR"/>
    <x v="0"/>
    <x v="2"/>
    <n v="45003"/>
    <n v="12545"/>
    <n v="0"/>
    <n v="0"/>
    <s v="9/19/2018"/>
    <s v="9/19/2018"/>
    <d v="2026-02-11T00:00:00"/>
    <e v="#VALUE!"/>
    <n v="2"/>
    <n v="57548"/>
    <n v="28774"/>
    <s v=" Not Achieved"/>
    <s v="Good"/>
  </r>
  <r>
    <x v="856"/>
    <x v="856"/>
    <s v="EMP_857"/>
    <x v="1"/>
    <s v="EMP_857Marketing"/>
    <x v="4"/>
    <x v="1"/>
    <n v="29602"/>
    <n v="6896"/>
    <n v="0"/>
    <n v="0"/>
    <d v="2023-07-05T00:00:00"/>
    <s v="2023"/>
    <d v="2026-02-11T00:00:00"/>
    <n v="2"/>
    <n v="3"/>
    <n v="36498"/>
    <n v="18249"/>
    <s v=" Not Achieved"/>
    <s v="poor"/>
  </r>
  <r>
    <x v="857"/>
    <x v="857"/>
    <s v="EMP_858"/>
    <x v="1"/>
    <s v="EMP_858HR"/>
    <x v="0"/>
    <x v="2"/>
    <n v="64804"/>
    <n v="5604"/>
    <n v="0"/>
    <n v="0"/>
    <s v="2/27/2021"/>
    <s v="2/27/2021"/>
    <d v="2026-02-11T00:00:00"/>
    <e v="#VALUE!"/>
    <n v="2"/>
    <n v="70408"/>
    <n v="35204"/>
    <s v=" Not Achieved"/>
    <s v=" Excellent"/>
  </r>
  <r>
    <x v="858"/>
    <x v="858"/>
    <s v="EMP_859"/>
    <x v="0"/>
    <s v="EMP_859Marketing"/>
    <x v="4"/>
    <x v="2"/>
    <n v="57187"/>
    <n v="11773"/>
    <n v="0"/>
    <n v="0"/>
    <d v="2023-08-01T00:00:00"/>
    <s v="2023"/>
    <d v="2026-02-11T00:00:00"/>
    <n v="2"/>
    <n v="1"/>
    <n v="68960"/>
    <n v="34480"/>
    <s v=" Not Achieved"/>
    <s v=" Excellent"/>
  </r>
  <r>
    <x v="859"/>
    <x v="859"/>
    <s v="EMP_860"/>
    <x v="0"/>
    <s v="EMP_860IT"/>
    <x v="3"/>
    <x v="3"/>
    <n v="66483"/>
    <n v="9417"/>
    <n v="0"/>
    <n v="0"/>
    <d v="2022-06-07T00:00:00"/>
    <s v="2022"/>
    <d v="2026-02-11T00:00:00"/>
    <n v="3"/>
    <n v="3"/>
    <n v="75900"/>
    <n v="37950"/>
    <s v=" Not Achieved"/>
    <s v=" Excellent"/>
  </r>
  <r>
    <x v="860"/>
    <x v="860"/>
    <s v="EMP_861"/>
    <x v="0"/>
    <s v="EMP_861Sales"/>
    <x v="1"/>
    <x v="3"/>
    <n v="46952"/>
    <n v="13239"/>
    <n v="274747"/>
    <n v="190114"/>
    <s v="12/28/2018"/>
    <s v="12/28/2018"/>
    <d v="2026-02-11T00:00:00"/>
    <e v="#VALUE!"/>
    <n v="1"/>
    <n v="60191"/>
    <n v="30095.5"/>
    <s v="Achieved"/>
    <s v="Good"/>
  </r>
  <r>
    <x v="861"/>
    <x v="861"/>
    <s v="EMP_862"/>
    <x v="0"/>
    <s v="EMP_862HR"/>
    <x v="0"/>
    <x v="1"/>
    <n v="54536"/>
    <n v="5252"/>
    <n v="0"/>
    <n v="0"/>
    <d v="2018-05-02T00:00:00"/>
    <s v="2018"/>
    <d v="2026-02-11T00:00:00"/>
    <n v="7"/>
    <n v="5"/>
    <n v="59788"/>
    <n v="29894"/>
    <s v=" Not Achieved"/>
    <s v=" Excellent"/>
  </r>
  <r>
    <x v="862"/>
    <x v="862"/>
    <s v="EMP_863"/>
    <x v="0"/>
    <s v="EMP_863IT"/>
    <x v="3"/>
    <x v="0"/>
    <n v="66305"/>
    <n v="11292"/>
    <n v="0"/>
    <n v="0"/>
    <d v="2018-01-10T00:00:00"/>
    <s v="2018"/>
    <d v="2026-02-11T00:00:00"/>
    <n v="8"/>
    <n v="2"/>
    <n v="77597"/>
    <n v="38798.5"/>
    <s v=" Not Achieved"/>
    <s v=" Excellent"/>
  </r>
  <r>
    <x v="863"/>
    <x v="863"/>
    <s v="EMP_864"/>
    <x v="1"/>
    <s v="EMP_864Marketing"/>
    <x v="4"/>
    <x v="3"/>
    <n v="25402"/>
    <n v="7822"/>
    <n v="0"/>
    <n v="0"/>
    <d v="2024-07-03T00:00:00"/>
    <s v="2024"/>
    <d v="2026-02-11T00:00:00"/>
    <n v="1"/>
    <n v="3"/>
    <n v="33224"/>
    <n v="16612"/>
    <s v=" Not Achieved"/>
    <s v="poor"/>
  </r>
  <r>
    <x v="864"/>
    <x v="864"/>
    <s v="EMP_865"/>
    <x v="1"/>
    <s v="EMP_865IT"/>
    <x v="3"/>
    <x v="0"/>
    <n v="36822"/>
    <n v="10227"/>
    <n v="0"/>
    <n v="0"/>
    <d v="2023-12-08T00:00:00"/>
    <s v="2023"/>
    <d v="2026-02-11T00:00:00"/>
    <n v="2"/>
    <n v="5"/>
    <n v="47049"/>
    <n v="23524.5"/>
    <s v=" Not Achieved"/>
    <s v="Average"/>
  </r>
  <r>
    <x v="865"/>
    <x v="865"/>
    <s v="EMP_866"/>
    <x v="1"/>
    <s v="EMP_866IT"/>
    <x v="3"/>
    <x v="1"/>
    <n v="24285"/>
    <n v="5528"/>
    <n v="0"/>
    <n v="0"/>
    <s v="4/21/2024"/>
    <s v="4/21/2024"/>
    <d v="2026-02-11T00:00:00"/>
    <e v="#VALUE!"/>
    <n v="2"/>
    <n v="29813"/>
    <n v="14906.5"/>
    <s v=" Not Achieved"/>
    <s v="poor"/>
  </r>
  <r>
    <x v="866"/>
    <x v="866"/>
    <s v="EMP_867"/>
    <x v="1"/>
    <s v="EMP_867HR"/>
    <x v="0"/>
    <x v="0"/>
    <n v="29171"/>
    <n v="2662"/>
    <n v="0"/>
    <n v="0"/>
    <s v="10/17/2022"/>
    <s v="10/17/2022"/>
    <d v="2026-02-11T00:00:00"/>
    <e v="#VALUE!"/>
    <n v="2"/>
    <n v="31833"/>
    <n v="15916.5"/>
    <s v=" Not Achieved"/>
    <s v="poor"/>
  </r>
  <r>
    <x v="867"/>
    <x v="867"/>
    <s v="EMP_868"/>
    <x v="1"/>
    <s v="EMP_868Sales"/>
    <x v="1"/>
    <x v="4"/>
    <n v="21483"/>
    <n v="9650"/>
    <n v="251043"/>
    <n v="138093"/>
    <d v="2019-07-03T00:00:00"/>
    <s v="2019"/>
    <d v="2026-02-11T00:00:00"/>
    <n v="6"/>
    <n v="5"/>
    <n v="31133"/>
    <n v="15566.5"/>
    <s v="Achieved"/>
    <s v="poor"/>
  </r>
  <r>
    <x v="868"/>
    <x v="868"/>
    <s v="EMP_869"/>
    <x v="0"/>
    <s v="EMP_869Sales"/>
    <x v="1"/>
    <x v="4"/>
    <n v="30890"/>
    <n v="7708"/>
    <n v="52123"/>
    <n v="126643"/>
    <s v="7/18/2020"/>
    <s v="7/18/2020"/>
    <d v="2026-02-11T00:00:00"/>
    <e v="#VALUE!"/>
    <n v="5"/>
    <n v="38598"/>
    <n v="19299"/>
    <s v=" Not Achieved"/>
    <s v="Average"/>
  </r>
  <r>
    <x v="869"/>
    <x v="869"/>
    <s v="EMP_870"/>
    <x v="1"/>
    <s v="EMP_870Sales"/>
    <x v="1"/>
    <x v="0"/>
    <n v="30891"/>
    <n v="12730"/>
    <n v="145800"/>
    <n v="158427"/>
    <d v="2023-01-06T00:00:00"/>
    <s v="2023"/>
    <d v="2026-02-11T00:00:00"/>
    <n v="3"/>
    <n v="1"/>
    <n v="43621"/>
    <n v="21810.5"/>
    <s v=" Not Achieved"/>
    <s v="Average"/>
  </r>
  <r>
    <x v="870"/>
    <x v="870"/>
    <s v="EMP_871"/>
    <x v="1"/>
    <s v="EMP_871HR"/>
    <x v="0"/>
    <x v="3"/>
    <n v="49806"/>
    <n v="14005"/>
    <n v="0"/>
    <n v="0"/>
    <s v="7/24/2023"/>
    <s v="7/24/2023"/>
    <d v="2026-02-11T00:00:00"/>
    <e v="#VALUE!"/>
    <n v="3"/>
    <n v="63811"/>
    <n v="31905.5"/>
    <s v=" Not Achieved"/>
    <s v="Good"/>
  </r>
  <r>
    <x v="871"/>
    <x v="871"/>
    <s v="EMP_872"/>
    <x v="1"/>
    <s v="EMP_872Marketing"/>
    <x v="4"/>
    <x v="1"/>
    <n v="55459"/>
    <n v="12705"/>
    <n v="0"/>
    <n v="0"/>
    <s v="3/18/2022"/>
    <s v="3/18/2022"/>
    <d v="2026-02-11T00:00:00"/>
    <e v="#VALUE!"/>
    <n v="1"/>
    <n v="68164"/>
    <n v="34082"/>
    <s v=" Not Achieved"/>
    <s v=" Excellent"/>
  </r>
  <r>
    <x v="872"/>
    <x v="872"/>
    <s v="EMP_873"/>
    <x v="1"/>
    <s v="EMP_873Finance"/>
    <x v="2"/>
    <x v="0"/>
    <n v="44920"/>
    <n v="14278"/>
    <n v="0"/>
    <n v="0"/>
    <s v="5/27/2021"/>
    <s v="5/27/2021"/>
    <d v="2026-02-11T00:00:00"/>
    <e v="#VALUE!"/>
    <n v="1"/>
    <n v="59198"/>
    <n v="29599"/>
    <s v=" Not Achieved"/>
    <s v="Good"/>
  </r>
  <r>
    <x v="873"/>
    <x v="873"/>
    <s v="EMP_874"/>
    <x v="1"/>
    <s v="EMP_874IT"/>
    <x v="3"/>
    <x v="1"/>
    <n v="71154"/>
    <n v="5887"/>
    <n v="0"/>
    <n v="0"/>
    <d v="2023-07-01T00:00:00"/>
    <s v="2023"/>
    <d v="2026-02-11T00:00:00"/>
    <n v="2"/>
    <n v="4"/>
    <n v="77041"/>
    <n v="38520.5"/>
    <s v=" Not Achieved"/>
    <s v=" Excellent"/>
  </r>
  <r>
    <x v="874"/>
    <x v="874"/>
    <s v="EMP_875"/>
    <x v="1"/>
    <s v="EMP_875HR"/>
    <x v="0"/>
    <x v="0"/>
    <n v="24728"/>
    <n v="13311"/>
    <n v="0"/>
    <n v="0"/>
    <d v="2018-03-11T00:00:00"/>
    <s v="2018"/>
    <d v="2026-02-11T00:00:00"/>
    <n v="7"/>
    <n v="2"/>
    <n v="38039"/>
    <n v="19019.5"/>
    <s v=" Not Achieved"/>
    <s v="poor"/>
  </r>
  <r>
    <x v="875"/>
    <x v="875"/>
    <s v="EMP_876"/>
    <x v="1"/>
    <s v="EMP_876Finance"/>
    <x v="2"/>
    <x v="4"/>
    <n v="49487"/>
    <n v="5210"/>
    <n v="0"/>
    <n v="0"/>
    <s v="12/29/2024"/>
    <s v="12/29/2024"/>
    <d v="2026-02-11T00:00:00"/>
    <e v="#VALUE!"/>
    <n v="5"/>
    <n v="54697"/>
    <n v="27348.5"/>
    <s v=" Not Achieved"/>
    <s v="Good"/>
  </r>
  <r>
    <x v="876"/>
    <x v="876"/>
    <s v="EMP_877"/>
    <x v="1"/>
    <s v="EMP_877IT"/>
    <x v="3"/>
    <x v="1"/>
    <n v="63097"/>
    <n v="4235"/>
    <n v="0"/>
    <n v="0"/>
    <s v="2/24/2024"/>
    <s v="2/24/2024"/>
    <d v="2026-02-11T00:00:00"/>
    <e v="#VALUE!"/>
    <n v="5"/>
    <n v="67332"/>
    <n v="33666"/>
    <s v=" Not Achieved"/>
    <s v=" Excellent"/>
  </r>
  <r>
    <x v="877"/>
    <x v="877"/>
    <s v="EMP_878"/>
    <x v="1"/>
    <s v="EMP_878HR"/>
    <x v="0"/>
    <x v="4"/>
    <n v="23880"/>
    <n v="9665"/>
    <n v="0"/>
    <n v="0"/>
    <s v="12/20/2018"/>
    <s v="12/20/2018"/>
    <d v="2026-02-11T00:00:00"/>
    <e v="#VALUE!"/>
    <n v="3"/>
    <n v="33545"/>
    <n v="16772.5"/>
    <s v=" Not Achieved"/>
    <s v="poor"/>
  </r>
  <r>
    <x v="878"/>
    <x v="878"/>
    <s v="EMP_879"/>
    <x v="0"/>
    <s v="EMP_879Finance"/>
    <x v="2"/>
    <x v="2"/>
    <n v="76373"/>
    <n v="2824"/>
    <n v="0"/>
    <n v="0"/>
    <s v="1/28/2019"/>
    <s v="1/28/2019"/>
    <d v="2026-02-11T00:00:00"/>
    <e v="#VALUE!"/>
    <n v="4"/>
    <n v="79197"/>
    <n v="39598.5"/>
    <s v=" Not Achieved"/>
    <s v=" Excellent"/>
  </r>
  <r>
    <x v="879"/>
    <x v="879"/>
    <s v="EMP_880"/>
    <x v="1"/>
    <s v="EMP_880Finance"/>
    <x v="2"/>
    <x v="1"/>
    <n v="67957"/>
    <n v="13118"/>
    <n v="0"/>
    <n v="0"/>
    <d v="2019-04-06T00:00:00"/>
    <s v="2019"/>
    <d v="2026-02-11T00:00:00"/>
    <n v="6"/>
    <n v="1"/>
    <n v="81075"/>
    <n v="40537.5"/>
    <s v=" Not Achieved"/>
    <s v=" Excellent"/>
  </r>
  <r>
    <x v="880"/>
    <x v="880"/>
    <s v="EMP_881"/>
    <x v="0"/>
    <s v="EMP_881IT"/>
    <x v="3"/>
    <x v="3"/>
    <n v="75983"/>
    <n v="11310"/>
    <n v="0"/>
    <n v="0"/>
    <s v="7/21/2024"/>
    <s v="7/21/2024"/>
    <d v="2026-02-11T00:00:00"/>
    <e v="#VALUE!"/>
    <n v="3"/>
    <n v="87293"/>
    <n v="43646.5"/>
    <s v=" Not Achieved"/>
    <s v=" Excellent"/>
  </r>
  <r>
    <x v="881"/>
    <x v="881"/>
    <s v="EMP_882"/>
    <x v="1"/>
    <s v="EMP_882Sales"/>
    <x v="1"/>
    <x v="0"/>
    <n v="25853"/>
    <n v="7630"/>
    <n v="116693"/>
    <n v="83103"/>
    <d v="2018-10-12T00:00:00"/>
    <s v="2018"/>
    <d v="2026-02-11T00:00:00"/>
    <n v="7"/>
    <n v="1"/>
    <n v="33483"/>
    <n v="16741.5"/>
    <s v="Achieved"/>
    <s v="poor"/>
  </r>
  <r>
    <x v="882"/>
    <x v="882"/>
    <s v="EMP_883"/>
    <x v="1"/>
    <s v="EMP_883Finance"/>
    <x v="2"/>
    <x v="4"/>
    <n v="61692"/>
    <n v="7286"/>
    <n v="0"/>
    <n v="0"/>
    <d v="2021-09-09T00:00:00"/>
    <s v="2021"/>
    <d v="2026-02-11T00:00:00"/>
    <n v="4"/>
    <n v="4"/>
    <n v="68978"/>
    <n v="34489"/>
    <s v=" Not Achieved"/>
    <s v=" Excellent"/>
  </r>
  <r>
    <x v="883"/>
    <x v="883"/>
    <s v="EMP_884"/>
    <x v="0"/>
    <s v="EMP_884Finance"/>
    <x v="2"/>
    <x v="0"/>
    <n v="59809"/>
    <n v="12269"/>
    <n v="0"/>
    <n v="0"/>
    <d v="2023-05-03T00:00:00"/>
    <s v="2023"/>
    <d v="2026-02-11T00:00:00"/>
    <n v="2"/>
    <n v="4"/>
    <n v="72078"/>
    <n v="36039"/>
    <s v=" Not Achieved"/>
    <s v=" Excellent"/>
  </r>
  <r>
    <x v="884"/>
    <x v="884"/>
    <s v="EMP_885"/>
    <x v="0"/>
    <s v="EMP_885Finance"/>
    <x v="2"/>
    <x v="0"/>
    <n v="47077"/>
    <n v="6542"/>
    <n v="0"/>
    <n v="0"/>
    <d v="2018-03-12T00:00:00"/>
    <s v="2018"/>
    <d v="2026-02-11T00:00:00"/>
    <n v="7"/>
    <n v="5"/>
    <n v="53619"/>
    <n v="26809.5"/>
    <s v=" Not Achieved"/>
    <s v="Good"/>
  </r>
  <r>
    <x v="885"/>
    <x v="885"/>
    <s v="EMP_886"/>
    <x v="1"/>
    <s v="EMP_886Sales"/>
    <x v="1"/>
    <x v="3"/>
    <n v="58843"/>
    <n v="2274"/>
    <n v="85539"/>
    <n v="243619"/>
    <s v="7/28/2020"/>
    <s v="7/28/2020"/>
    <d v="2026-02-11T00:00:00"/>
    <e v="#VALUE!"/>
    <n v="3"/>
    <n v="61117"/>
    <n v="30558.5"/>
    <s v=" Not Achieved"/>
    <s v=" Excellent"/>
  </r>
  <r>
    <x v="886"/>
    <x v="886"/>
    <s v="EMP_887"/>
    <x v="0"/>
    <s v="EMP_887IT"/>
    <x v="3"/>
    <x v="0"/>
    <n v="64522"/>
    <n v="12403"/>
    <n v="0"/>
    <n v="0"/>
    <d v="2018-01-11T00:00:00"/>
    <s v="2018"/>
    <d v="2026-02-11T00:00:00"/>
    <n v="8"/>
    <n v="4"/>
    <n v="76925"/>
    <n v="38462.5"/>
    <s v=" Not Achieved"/>
    <s v=" Excellent"/>
  </r>
  <r>
    <x v="887"/>
    <x v="887"/>
    <s v="EMP_888"/>
    <x v="0"/>
    <s v="EMP_888Finance"/>
    <x v="2"/>
    <x v="2"/>
    <n v="20742"/>
    <n v="7385"/>
    <n v="0"/>
    <n v="0"/>
    <d v="2022-05-07T00:00:00"/>
    <s v="2022"/>
    <d v="2026-02-11T00:00:00"/>
    <n v="3"/>
    <n v="3"/>
    <n v="28127"/>
    <n v="14063.5"/>
    <s v=" Not Achieved"/>
    <s v="poor"/>
  </r>
  <r>
    <x v="888"/>
    <x v="888"/>
    <s v="EMP_889"/>
    <x v="0"/>
    <s v="EMP_889HR"/>
    <x v="0"/>
    <x v="1"/>
    <n v="20662"/>
    <n v="9359"/>
    <n v="0"/>
    <n v="0"/>
    <s v="7/15/2024"/>
    <s v="7/15/2024"/>
    <d v="2026-02-11T00:00:00"/>
    <e v="#VALUE!"/>
    <n v="2"/>
    <n v="30021"/>
    <n v="15010.5"/>
    <s v=" Not Achieved"/>
    <s v="poor"/>
  </r>
  <r>
    <x v="889"/>
    <x v="889"/>
    <s v="EMP_890"/>
    <x v="0"/>
    <s v="EMP_890HR"/>
    <x v="0"/>
    <x v="1"/>
    <n v="51281"/>
    <n v="8258"/>
    <n v="0"/>
    <n v="0"/>
    <s v="11/16/2023"/>
    <s v="11/16/2023"/>
    <d v="2026-02-11T00:00:00"/>
    <e v="#VALUE!"/>
    <n v="3"/>
    <n v="59539"/>
    <n v="29769.5"/>
    <s v=" Not Achieved"/>
    <s v=" Excellent"/>
  </r>
  <r>
    <x v="890"/>
    <x v="890"/>
    <s v="EMP_891"/>
    <x v="0"/>
    <s v="EMP_891IT"/>
    <x v="3"/>
    <x v="4"/>
    <n v="46774"/>
    <n v="10737"/>
    <n v="0"/>
    <n v="0"/>
    <s v="12/13/2023"/>
    <s v="12/13/2023"/>
    <d v="2026-02-11T00:00:00"/>
    <e v="#VALUE!"/>
    <n v="4"/>
    <n v="57511"/>
    <n v="28755.5"/>
    <s v=" Not Achieved"/>
    <s v="Good"/>
  </r>
  <r>
    <x v="891"/>
    <x v="891"/>
    <s v="EMP_892"/>
    <x v="0"/>
    <s v="EMP_892Finance"/>
    <x v="2"/>
    <x v="1"/>
    <n v="47337"/>
    <n v="2535"/>
    <n v="0"/>
    <n v="0"/>
    <s v="6/21/2022"/>
    <s v="6/21/2022"/>
    <d v="2026-02-11T00:00:00"/>
    <e v="#VALUE!"/>
    <n v="5"/>
    <n v="49872"/>
    <n v="24936"/>
    <s v=" Not Achieved"/>
    <s v="Good"/>
  </r>
  <r>
    <x v="892"/>
    <x v="892"/>
    <s v="EMP_893"/>
    <x v="0"/>
    <s v="EMP_893Sales"/>
    <x v="1"/>
    <x v="0"/>
    <n v="41343"/>
    <n v="12622"/>
    <n v="116552"/>
    <n v="139323"/>
    <d v="2020-09-10T00:00:00"/>
    <s v="2020"/>
    <d v="2026-02-11T00:00:00"/>
    <n v="5"/>
    <n v="1"/>
    <n v="53965"/>
    <n v="26982.5"/>
    <s v=" Not Achieved"/>
    <s v="Good"/>
  </r>
  <r>
    <x v="893"/>
    <x v="893"/>
    <s v="EMP_894"/>
    <x v="1"/>
    <s v="EMP_894Finance"/>
    <x v="2"/>
    <x v="2"/>
    <n v="28459"/>
    <n v="3977"/>
    <n v="0"/>
    <n v="0"/>
    <s v="4/22/2022"/>
    <s v="4/22/2022"/>
    <d v="2026-02-11T00:00:00"/>
    <e v="#VALUE!"/>
    <n v="4"/>
    <n v="32436"/>
    <n v="16218"/>
    <s v=" Not Achieved"/>
    <s v="poor"/>
  </r>
  <r>
    <x v="894"/>
    <x v="894"/>
    <s v="EMP_895"/>
    <x v="1"/>
    <s v="EMP_895Sales"/>
    <x v="1"/>
    <x v="0"/>
    <n v="54802"/>
    <n v="2259"/>
    <n v="233898"/>
    <n v="111392"/>
    <d v="2022-10-09T00:00:00"/>
    <s v="2022"/>
    <d v="2026-02-11T00:00:00"/>
    <n v="3"/>
    <n v="1"/>
    <n v="57061"/>
    <n v="28530.5"/>
    <s v="Achieved"/>
    <s v=" Excellent"/>
  </r>
  <r>
    <x v="895"/>
    <x v="895"/>
    <s v="EMP_896"/>
    <x v="1"/>
    <s v="EMP_896IT"/>
    <x v="3"/>
    <x v="3"/>
    <n v="45567"/>
    <n v="12842"/>
    <n v="0"/>
    <n v="0"/>
    <d v="2022-03-03T00:00:00"/>
    <s v="2022"/>
    <d v="2026-02-11T00:00:00"/>
    <n v="3"/>
    <n v="4"/>
    <n v="58409"/>
    <n v="29204.5"/>
    <s v=" Not Achieved"/>
    <s v="Good"/>
  </r>
  <r>
    <x v="896"/>
    <x v="896"/>
    <s v="EMP_897"/>
    <x v="0"/>
    <s v="EMP_897Finance"/>
    <x v="2"/>
    <x v="1"/>
    <n v="72729"/>
    <n v="9333"/>
    <n v="0"/>
    <n v="0"/>
    <d v="2021-05-04T00:00:00"/>
    <s v="2021"/>
    <d v="2026-02-11T00:00:00"/>
    <n v="4"/>
    <n v="3"/>
    <n v="82062"/>
    <n v="41031"/>
    <s v=" Not Achieved"/>
    <s v=" Excellent"/>
  </r>
  <r>
    <x v="897"/>
    <x v="897"/>
    <s v="EMP_898"/>
    <x v="0"/>
    <s v="EMP_898HR"/>
    <x v="0"/>
    <x v="2"/>
    <n v="73567"/>
    <n v="12582"/>
    <n v="0"/>
    <n v="0"/>
    <s v="7/26/2023"/>
    <s v="7/26/2023"/>
    <d v="2026-02-11T00:00:00"/>
    <e v="#VALUE!"/>
    <n v="4"/>
    <n v="86149"/>
    <n v="43074.5"/>
    <s v=" Not Achieved"/>
    <s v=" Excellent"/>
  </r>
  <r>
    <x v="898"/>
    <x v="898"/>
    <s v="EMP_899"/>
    <x v="0"/>
    <s v="EMP_899Marketing"/>
    <x v="4"/>
    <x v="4"/>
    <n v="21640"/>
    <n v="9487"/>
    <n v="0"/>
    <n v="0"/>
    <d v="2022-08-12T00:00:00"/>
    <s v="2022"/>
    <d v="2026-02-11T00:00:00"/>
    <n v="3"/>
    <n v="1"/>
    <n v="31127"/>
    <n v="15563.5"/>
    <s v=" Not Achieved"/>
    <s v="poor"/>
  </r>
  <r>
    <x v="899"/>
    <x v="899"/>
    <s v="EMP_900"/>
    <x v="1"/>
    <s v="EMP_900IT"/>
    <x v="3"/>
    <x v="0"/>
    <n v="44094"/>
    <n v="7874"/>
    <n v="0"/>
    <n v="0"/>
    <s v="2/13/2024"/>
    <s v="2/13/2024"/>
    <d v="2026-02-11T00:00:00"/>
    <e v="#VALUE!"/>
    <n v="1"/>
    <n v="51968"/>
    <n v="25984"/>
    <s v=" Not Achieved"/>
    <s v="Good"/>
  </r>
  <r>
    <x v="900"/>
    <x v="900"/>
    <s v="EMP_901"/>
    <x v="0"/>
    <s v="EMP_901Marketing"/>
    <x v="4"/>
    <x v="1"/>
    <n v="66744"/>
    <n v="12471"/>
    <n v="0"/>
    <n v="0"/>
    <s v="2/19/2019"/>
    <s v="2/19/2019"/>
    <d v="2026-02-11T00:00:00"/>
    <e v="#VALUE!"/>
    <n v="4"/>
    <n v="79215"/>
    <n v="39607.5"/>
    <s v=" Not Achieved"/>
    <s v=" Excellent"/>
  </r>
  <r>
    <x v="901"/>
    <x v="901"/>
    <s v="EMP_902"/>
    <x v="1"/>
    <s v="EMP_902HR"/>
    <x v="0"/>
    <x v="4"/>
    <n v="29768"/>
    <n v="5974"/>
    <n v="0"/>
    <n v="0"/>
    <s v="7/17/2019"/>
    <s v="7/17/2019"/>
    <d v="2026-02-11T00:00:00"/>
    <e v="#VALUE!"/>
    <n v="4"/>
    <n v="35742"/>
    <n v="17871"/>
    <s v=" Not Achieved"/>
    <s v="poor"/>
  </r>
  <r>
    <x v="902"/>
    <x v="902"/>
    <s v="EMP_903"/>
    <x v="0"/>
    <s v="EMP_903Sales"/>
    <x v="1"/>
    <x v="1"/>
    <n v="20107"/>
    <n v="12753"/>
    <n v="57250"/>
    <n v="219823"/>
    <s v="6/17/2020"/>
    <s v="6/17/2020"/>
    <d v="2026-02-11T00:00:00"/>
    <e v="#VALUE!"/>
    <n v="5"/>
    <n v="32860"/>
    <n v="16430"/>
    <s v=" Not Achieved"/>
    <s v="poor"/>
  </r>
  <r>
    <x v="903"/>
    <x v="903"/>
    <s v="EMP_904"/>
    <x v="1"/>
    <s v="EMP_904HR"/>
    <x v="0"/>
    <x v="2"/>
    <n v="52940"/>
    <n v="8627"/>
    <n v="0"/>
    <n v="0"/>
    <s v="1/16/2020"/>
    <s v="1/16/2020"/>
    <d v="2026-02-11T00:00:00"/>
    <e v="#VALUE!"/>
    <n v="2"/>
    <n v="61567"/>
    <n v="30783.5"/>
    <s v=" Not Achieved"/>
    <s v=" Excellent"/>
  </r>
  <r>
    <x v="904"/>
    <x v="904"/>
    <s v="EMP_905"/>
    <x v="0"/>
    <s v="EMP_905Finance"/>
    <x v="2"/>
    <x v="4"/>
    <n v="79841"/>
    <n v="13493"/>
    <n v="0"/>
    <n v="0"/>
    <d v="2022-05-03T00:00:00"/>
    <s v="2022"/>
    <d v="2026-02-11T00:00:00"/>
    <n v="3"/>
    <n v="5"/>
    <n v="93334"/>
    <n v="46667"/>
    <s v=" Not Achieved"/>
    <s v=" Excellent"/>
  </r>
  <r>
    <x v="905"/>
    <x v="905"/>
    <s v="EMP_906"/>
    <x v="0"/>
    <s v="EMP_906Marketing"/>
    <x v="4"/>
    <x v="2"/>
    <n v="47553"/>
    <n v="6680"/>
    <n v="0"/>
    <n v="0"/>
    <s v="9/26/2022"/>
    <s v="9/26/2022"/>
    <d v="2026-02-11T00:00:00"/>
    <e v="#VALUE!"/>
    <n v="4"/>
    <n v="54233"/>
    <n v="27116.5"/>
    <s v=" Not Achieved"/>
    <s v="Good"/>
  </r>
  <r>
    <x v="906"/>
    <x v="906"/>
    <s v="EMP_907"/>
    <x v="1"/>
    <s v="EMP_907HR"/>
    <x v="0"/>
    <x v="0"/>
    <n v="50930"/>
    <n v="11100"/>
    <n v="0"/>
    <n v="0"/>
    <d v="2019-10-01T00:00:00"/>
    <s v="2019"/>
    <d v="2026-02-11T00:00:00"/>
    <n v="6"/>
    <n v="5"/>
    <n v="62030"/>
    <n v="31015"/>
    <s v=" Not Achieved"/>
    <s v=" Excellent"/>
  </r>
  <r>
    <x v="907"/>
    <x v="907"/>
    <s v="EMP_908"/>
    <x v="1"/>
    <s v="EMP_908Sales"/>
    <x v="1"/>
    <x v="3"/>
    <n v="37296"/>
    <n v="9833"/>
    <n v="111471"/>
    <n v="109961"/>
    <s v="2/22/2021"/>
    <s v="2/22/2021"/>
    <d v="2026-02-11T00:00:00"/>
    <e v="#VALUE!"/>
    <n v="1"/>
    <n v="47129"/>
    <n v="23564.5"/>
    <s v="Achieved"/>
    <s v="Average"/>
  </r>
  <r>
    <x v="908"/>
    <x v="908"/>
    <s v="EMP_909"/>
    <x v="1"/>
    <s v="EMP_909IT"/>
    <x v="3"/>
    <x v="2"/>
    <n v="50807"/>
    <n v="13998"/>
    <n v="0"/>
    <n v="0"/>
    <s v="8/15/2019"/>
    <s v="8/15/2019"/>
    <d v="2026-02-11T00:00:00"/>
    <e v="#VALUE!"/>
    <n v="4"/>
    <n v="64805"/>
    <n v="32402.5"/>
    <s v=" Not Achieved"/>
    <s v=" Excellent"/>
  </r>
  <r>
    <x v="909"/>
    <x v="909"/>
    <s v="EMP_910"/>
    <x v="0"/>
    <s v="EMP_910Finance"/>
    <x v="2"/>
    <x v="0"/>
    <n v="45134"/>
    <n v="6240"/>
    <n v="0"/>
    <n v="0"/>
    <s v="12/15/2022"/>
    <s v="12/15/2022"/>
    <d v="2026-02-11T00:00:00"/>
    <e v="#VALUE!"/>
    <n v="5"/>
    <n v="51374"/>
    <n v="25687"/>
    <s v=" Not Achieved"/>
    <s v="Good"/>
  </r>
  <r>
    <x v="910"/>
    <x v="910"/>
    <s v="EMP_911"/>
    <x v="1"/>
    <s v="EMP_911Sales"/>
    <x v="1"/>
    <x v="0"/>
    <n v="68750"/>
    <n v="12951"/>
    <n v="80626"/>
    <n v="191243"/>
    <s v="4/23/2020"/>
    <s v="4/23/2020"/>
    <d v="2026-02-11T00:00:00"/>
    <e v="#VALUE!"/>
    <n v="3"/>
    <n v="81701"/>
    <n v="40850.5"/>
    <s v=" Not Achieved"/>
    <s v=" Excellent"/>
  </r>
  <r>
    <x v="911"/>
    <x v="911"/>
    <s v="EMP_912"/>
    <x v="1"/>
    <s v="EMP_912Sales"/>
    <x v="1"/>
    <x v="3"/>
    <n v="33126"/>
    <n v="5793"/>
    <n v="224121"/>
    <n v="170606"/>
    <d v="2020-03-09T00:00:00"/>
    <s v="2020"/>
    <d v="2026-02-11T00:00:00"/>
    <n v="5"/>
    <n v="3"/>
    <n v="38919"/>
    <n v="19459.5"/>
    <s v="Achieved"/>
    <s v="Average"/>
  </r>
  <r>
    <x v="912"/>
    <x v="912"/>
    <s v="EMP_913"/>
    <x v="0"/>
    <s v="EMP_913Finance"/>
    <x v="2"/>
    <x v="2"/>
    <n v="76832"/>
    <n v="6527"/>
    <n v="0"/>
    <n v="0"/>
    <s v="8/30/2023"/>
    <s v="8/30/2023"/>
    <d v="2026-02-11T00:00:00"/>
    <e v="#VALUE!"/>
    <n v="1"/>
    <n v="83359"/>
    <n v="41679.5"/>
    <s v=" Not Achieved"/>
    <s v=" Excellent"/>
  </r>
  <r>
    <x v="913"/>
    <x v="913"/>
    <s v="EMP_914"/>
    <x v="0"/>
    <s v="EMP_914HR"/>
    <x v="0"/>
    <x v="3"/>
    <n v="20342"/>
    <n v="3200"/>
    <n v="0"/>
    <n v="0"/>
    <s v="12/13/2018"/>
    <s v="12/13/2018"/>
    <d v="2026-02-11T00:00:00"/>
    <e v="#VALUE!"/>
    <n v="5"/>
    <n v="23542"/>
    <n v="11771"/>
    <s v=" Not Achieved"/>
    <s v="poor"/>
  </r>
  <r>
    <x v="914"/>
    <x v="914"/>
    <s v="EMP_915"/>
    <x v="1"/>
    <s v="EMP_915Sales"/>
    <x v="1"/>
    <x v="3"/>
    <n v="38571"/>
    <n v="5793"/>
    <n v="96626"/>
    <n v="236236"/>
    <s v="9/28/2020"/>
    <s v="9/28/2020"/>
    <d v="2026-02-11T00:00:00"/>
    <e v="#VALUE!"/>
    <n v="1"/>
    <n v="44364"/>
    <n v="22182"/>
    <s v=" Not Achieved"/>
    <s v="Average"/>
  </r>
  <r>
    <x v="915"/>
    <x v="915"/>
    <s v="EMP_916"/>
    <x v="1"/>
    <s v="EMP_916HR"/>
    <x v="0"/>
    <x v="3"/>
    <n v="28907"/>
    <n v="11923"/>
    <n v="0"/>
    <n v="0"/>
    <s v="8/21/2024"/>
    <s v="8/21/2024"/>
    <d v="2026-02-11T00:00:00"/>
    <e v="#VALUE!"/>
    <n v="5"/>
    <n v="40830"/>
    <n v="20415"/>
    <s v=" Not Achieved"/>
    <s v="poor"/>
  </r>
  <r>
    <x v="916"/>
    <x v="916"/>
    <s v="EMP_917"/>
    <x v="1"/>
    <s v="EMP_917IT"/>
    <x v="3"/>
    <x v="0"/>
    <n v="70378"/>
    <n v="13433"/>
    <n v="0"/>
    <n v="0"/>
    <s v="4/16/2021"/>
    <s v="4/16/2021"/>
    <d v="2026-02-11T00:00:00"/>
    <e v="#VALUE!"/>
    <n v="4"/>
    <n v="83811"/>
    <n v="41905.5"/>
    <s v=" Not Achieved"/>
    <s v=" Excellent"/>
  </r>
  <r>
    <x v="917"/>
    <x v="917"/>
    <s v="EMP_918"/>
    <x v="0"/>
    <s v="EMP_918HR"/>
    <x v="0"/>
    <x v="3"/>
    <n v="79219"/>
    <n v="12218"/>
    <n v="0"/>
    <n v="0"/>
    <s v="12/16/2021"/>
    <s v="12/16/2021"/>
    <d v="2026-02-11T00:00:00"/>
    <e v="#VALUE!"/>
    <n v="5"/>
    <n v="91437"/>
    <n v="45718.5"/>
    <s v=" Not Achieved"/>
    <s v=" Excellent"/>
  </r>
  <r>
    <x v="918"/>
    <x v="918"/>
    <s v="EMP_919"/>
    <x v="1"/>
    <s v="EMP_919Finance"/>
    <x v="2"/>
    <x v="0"/>
    <n v="37428"/>
    <n v="7665"/>
    <n v="0"/>
    <n v="0"/>
    <d v="2020-01-11T00:00:00"/>
    <s v="2020"/>
    <d v="2026-02-11T00:00:00"/>
    <n v="6"/>
    <n v="1"/>
    <n v="45093"/>
    <n v="22546.5"/>
    <s v=" Not Achieved"/>
    <s v="Average"/>
  </r>
  <r>
    <x v="919"/>
    <x v="919"/>
    <s v="EMP_920"/>
    <x v="1"/>
    <s v="EMP_920Finance"/>
    <x v="2"/>
    <x v="4"/>
    <n v="41984"/>
    <n v="4892"/>
    <n v="0"/>
    <n v="0"/>
    <s v="12/28/2020"/>
    <s v="12/28/2020"/>
    <d v="2026-02-11T00:00:00"/>
    <e v="#VALUE!"/>
    <n v="1"/>
    <n v="46876"/>
    <n v="23438"/>
    <s v=" Not Achieved"/>
    <s v="Good"/>
  </r>
  <r>
    <x v="920"/>
    <x v="920"/>
    <s v="EMP_921"/>
    <x v="1"/>
    <s v="EMP_921Marketing"/>
    <x v="4"/>
    <x v="1"/>
    <n v="38810"/>
    <n v="8444"/>
    <n v="0"/>
    <n v="0"/>
    <d v="2018-09-11T00:00:00"/>
    <s v="2018"/>
    <d v="2026-02-11T00:00:00"/>
    <n v="7"/>
    <n v="4"/>
    <n v="47254"/>
    <n v="23627"/>
    <s v=" Not Achieved"/>
    <s v="Average"/>
  </r>
  <r>
    <x v="921"/>
    <x v="921"/>
    <s v="EMP_922"/>
    <x v="1"/>
    <s v="EMP_922Finance"/>
    <x v="2"/>
    <x v="2"/>
    <n v="45324"/>
    <n v="11804"/>
    <n v="0"/>
    <n v="0"/>
    <d v="2023-04-04T00:00:00"/>
    <s v="2023"/>
    <d v="2026-02-11T00:00:00"/>
    <n v="2"/>
    <n v="4"/>
    <n v="57128"/>
    <n v="28564"/>
    <s v=" Not Achieved"/>
    <s v="Good"/>
  </r>
  <r>
    <x v="922"/>
    <x v="922"/>
    <s v="EMP_923"/>
    <x v="1"/>
    <s v="EMP_923Marketing"/>
    <x v="4"/>
    <x v="3"/>
    <n v="60922"/>
    <n v="8838"/>
    <n v="0"/>
    <n v="0"/>
    <s v="4/28/2018"/>
    <s v="4/28/2018"/>
    <d v="2026-02-11T00:00:00"/>
    <e v="#VALUE!"/>
    <n v="2"/>
    <n v="69760"/>
    <n v="34880"/>
    <s v=" Not Achieved"/>
    <s v=" Excellent"/>
  </r>
  <r>
    <x v="923"/>
    <x v="923"/>
    <s v="EMP_924"/>
    <x v="0"/>
    <s v="EMP_924Marketing"/>
    <x v="4"/>
    <x v="3"/>
    <n v="69878"/>
    <n v="9668"/>
    <n v="0"/>
    <n v="0"/>
    <d v="2018-01-06T00:00:00"/>
    <s v="2018"/>
    <d v="2026-02-11T00:00:00"/>
    <n v="8"/>
    <n v="2"/>
    <n v="79546"/>
    <n v="39773"/>
    <s v=" Not Achieved"/>
    <s v=" Excellent"/>
  </r>
  <r>
    <x v="924"/>
    <x v="924"/>
    <s v="EMP_925"/>
    <x v="1"/>
    <s v="EMP_925Sales"/>
    <x v="1"/>
    <x v="0"/>
    <n v="36818"/>
    <n v="5918"/>
    <n v="58015"/>
    <n v="221656"/>
    <d v="2024-12-11T00:00:00"/>
    <s v="2024"/>
    <d v="2026-02-11T00:00:00"/>
    <n v="1"/>
    <n v="4"/>
    <n v="42736"/>
    <n v="21368"/>
    <s v=" Not Achieved"/>
    <s v="Average"/>
  </r>
  <r>
    <x v="925"/>
    <x v="925"/>
    <s v="EMP_926"/>
    <x v="1"/>
    <s v="EMP_926Marketing"/>
    <x v="4"/>
    <x v="4"/>
    <n v="54658"/>
    <n v="10417"/>
    <n v="0"/>
    <n v="0"/>
    <d v="2024-06-01T00:00:00"/>
    <s v="2024"/>
    <d v="2026-02-11T00:00:00"/>
    <n v="1"/>
    <n v="1"/>
    <n v="65075"/>
    <n v="32537.5"/>
    <s v=" Not Achieved"/>
    <s v=" Excellent"/>
  </r>
  <r>
    <x v="926"/>
    <x v="926"/>
    <s v="EMP_927"/>
    <x v="1"/>
    <s v="EMP_927IT"/>
    <x v="3"/>
    <x v="3"/>
    <n v="33556"/>
    <n v="3697"/>
    <n v="0"/>
    <n v="0"/>
    <s v="6/18/2024"/>
    <s v="6/18/2024"/>
    <d v="2026-02-11T00:00:00"/>
    <e v="#VALUE!"/>
    <n v="4"/>
    <n v="37253"/>
    <n v="18626.5"/>
    <s v=" Not Achieved"/>
    <s v="Average"/>
  </r>
  <r>
    <x v="927"/>
    <x v="927"/>
    <s v="EMP_928"/>
    <x v="0"/>
    <s v="EMP_928Sales"/>
    <x v="1"/>
    <x v="1"/>
    <n v="31072"/>
    <n v="8042"/>
    <n v="181553"/>
    <n v="223324"/>
    <d v="2022-06-04T00:00:00"/>
    <s v="2022"/>
    <d v="2026-02-11T00:00:00"/>
    <n v="3"/>
    <n v="3"/>
    <n v="39114"/>
    <n v="19557"/>
    <s v=" Not Achieved"/>
    <s v="Average"/>
  </r>
  <r>
    <x v="928"/>
    <x v="928"/>
    <s v="EMP_929"/>
    <x v="1"/>
    <s v="EMP_929Finance"/>
    <x v="2"/>
    <x v="2"/>
    <n v="72643"/>
    <n v="2920"/>
    <n v="0"/>
    <n v="0"/>
    <s v="1/25/2019"/>
    <s v="1/25/2019"/>
    <d v="2026-02-11T00:00:00"/>
    <e v="#VALUE!"/>
    <n v="4"/>
    <n v="75563"/>
    <n v="37781.5"/>
    <s v=" Not Achieved"/>
    <s v=" Excellent"/>
  </r>
  <r>
    <x v="929"/>
    <x v="929"/>
    <s v="EMP_930"/>
    <x v="0"/>
    <s v="EMP_930HR"/>
    <x v="0"/>
    <x v="3"/>
    <n v="44708"/>
    <n v="13451"/>
    <n v="0"/>
    <n v="0"/>
    <d v="2021-01-10T00:00:00"/>
    <s v="2021"/>
    <d v="2026-02-11T00:00:00"/>
    <n v="5"/>
    <n v="2"/>
    <n v="58159"/>
    <n v="29079.5"/>
    <s v=" Not Achieved"/>
    <s v="Good"/>
  </r>
  <r>
    <x v="930"/>
    <x v="930"/>
    <s v="EMP_931"/>
    <x v="1"/>
    <s v="EMP_931Finance"/>
    <x v="2"/>
    <x v="4"/>
    <n v="36909"/>
    <n v="9814"/>
    <n v="0"/>
    <n v="0"/>
    <d v="2024-05-01T00:00:00"/>
    <s v="2024"/>
    <d v="2026-02-11T00:00:00"/>
    <n v="1"/>
    <n v="3"/>
    <n v="46723"/>
    <n v="23361.5"/>
    <s v=" Not Achieved"/>
    <s v="Average"/>
  </r>
  <r>
    <x v="931"/>
    <x v="931"/>
    <s v="EMP_932"/>
    <x v="0"/>
    <s v="EMP_932Marketing"/>
    <x v="4"/>
    <x v="1"/>
    <n v="47537"/>
    <n v="5107"/>
    <n v="0"/>
    <n v="0"/>
    <d v="2019-09-03T00:00:00"/>
    <s v="2019"/>
    <d v="2026-02-11T00:00:00"/>
    <n v="6"/>
    <n v="5"/>
    <n v="52644"/>
    <n v="26322"/>
    <s v=" Not Achieved"/>
    <s v="Good"/>
  </r>
  <r>
    <x v="932"/>
    <x v="932"/>
    <s v="EMP_933"/>
    <x v="1"/>
    <s v="EMP_933IT"/>
    <x v="3"/>
    <x v="0"/>
    <n v="55292"/>
    <n v="10870"/>
    <n v="0"/>
    <n v="0"/>
    <s v="12/27/2021"/>
    <s v="12/27/2021"/>
    <d v="2026-02-11T00:00:00"/>
    <e v="#VALUE!"/>
    <n v="2"/>
    <n v="66162"/>
    <n v="33081"/>
    <s v=" Not Achieved"/>
    <s v=" Excellent"/>
  </r>
  <r>
    <x v="933"/>
    <x v="933"/>
    <s v="EMP_934"/>
    <x v="0"/>
    <s v="EMP_934HR"/>
    <x v="0"/>
    <x v="2"/>
    <n v="22802"/>
    <n v="12348"/>
    <n v="0"/>
    <n v="0"/>
    <s v="1/15/2022"/>
    <s v="1/15/2022"/>
    <d v="2026-02-11T00:00:00"/>
    <e v="#VALUE!"/>
    <n v="2"/>
    <n v="35150"/>
    <n v="17575"/>
    <s v=" Not Achieved"/>
    <s v="poor"/>
  </r>
  <r>
    <x v="934"/>
    <x v="934"/>
    <s v="EMP_935"/>
    <x v="1"/>
    <s v="EMP_935IT"/>
    <x v="3"/>
    <x v="1"/>
    <n v="72233"/>
    <n v="10049"/>
    <n v="0"/>
    <n v="0"/>
    <d v="2019-10-10T00:00:00"/>
    <s v="2019"/>
    <d v="2026-02-11T00:00:00"/>
    <n v="6"/>
    <n v="4"/>
    <n v="82282"/>
    <n v="41141"/>
    <s v=" Not Achieved"/>
    <s v=" Excellent"/>
  </r>
  <r>
    <x v="935"/>
    <x v="935"/>
    <s v="EMP_936"/>
    <x v="0"/>
    <s v="EMP_936Sales"/>
    <x v="1"/>
    <x v="3"/>
    <n v="29145"/>
    <n v="9059"/>
    <n v="249332"/>
    <n v="122314"/>
    <s v="1/19/2022"/>
    <s v="1/19/2022"/>
    <d v="2026-02-11T00:00:00"/>
    <e v="#VALUE!"/>
    <n v="4"/>
    <n v="38204"/>
    <n v="19102"/>
    <s v="Achieved"/>
    <s v="poor"/>
  </r>
  <r>
    <x v="936"/>
    <x v="936"/>
    <s v="EMP_937"/>
    <x v="1"/>
    <s v="EMP_937IT"/>
    <x v="3"/>
    <x v="1"/>
    <n v="29843"/>
    <n v="6364"/>
    <n v="0"/>
    <n v="0"/>
    <d v="2018-09-12T00:00:00"/>
    <s v="2018"/>
    <d v="2026-02-11T00:00:00"/>
    <n v="7"/>
    <n v="5"/>
    <n v="36207"/>
    <n v="18103.5"/>
    <s v=" Not Achieved"/>
    <s v="poor"/>
  </r>
  <r>
    <x v="937"/>
    <x v="937"/>
    <s v="EMP_938"/>
    <x v="1"/>
    <s v="EMP_938Sales"/>
    <x v="1"/>
    <x v="2"/>
    <n v="29695"/>
    <n v="6029"/>
    <n v="295243"/>
    <n v="111766"/>
    <s v="7/13/2020"/>
    <s v="7/13/2020"/>
    <d v="2026-02-11T00:00:00"/>
    <e v="#VALUE!"/>
    <n v="2"/>
    <n v="35724"/>
    <n v="17862"/>
    <s v="Achieved"/>
    <s v="poor"/>
  </r>
  <r>
    <x v="938"/>
    <x v="938"/>
    <s v="EMP_939"/>
    <x v="0"/>
    <s v="EMP_939IT"/>
    <x v="3"/>
    <x v="0"/>
    <n v="34133"/>
    <n v="8626"/>
    <n v="0"/>
    <n v="0"/>
    <d v="2020-07-08T00:00:00"/>
    <s v="2020"/>
    <d v="2026-02-11T00:00:00"/>
    <n v="5"/>
    <n v="5"/>
    <n v="42759"/>
    <n v="21379.5"/>
    <s v=" Not Achieved"/>
    <s v="Average"/>
  </r>
  <r>
    <x v="939"/>
    <x v="939"/>
    <s v="EMP_940"/>
    <x v="1"/>
    <s v="EMP_940HR"/>
    <x v="0"/>
    <x v="4"/>
    <n v="54760"/>
    <n v="13686"/>
    <n v="0"/>
    <n v="0"/>
    <s v="7/22/2021"/>
    <s v="7/22/2021"/>
    <d v="2026-02-11T00:00:00"/>
    <e v="#VALUE!"/>
    <n v="1"/>
    <n v="68446"/>
    <n v="34223"/>
    <s v=" Not Achieved"/>
    <s v=" Excellent"/>
  </r>
  <r>
    <x v="940"/>
    <x v="940"/>
    <s v="EMP_941"/>
    <x v="0"/>
    <s v="EMP_941IT"/>
    <x v="3"/>
    <x v="1"/>
    <n v="32242"/>
    <n v="8203"/>
    <n v="0"/>
    <n v="0"/>
    <d v="2022-12-07T00:00:00"/>
    <s v="2022"/>
    <d v="2026-02-11T00:00:00"/>
    <n v="3"/>
    <n v="3"/>
    <n v="40445"/>
    <n v="20222.5"/>
    <s v=" Not Achieved"/>
    <s v="Average"/>
  </r>
  <r>
    <x v="941"/>
    <x v="941"/>
    <s v="EMP_942"/>
    <x v="1"/>
    <s v="EMP_942Sales"/>
    <x v="1"/>
    <x v="3"/>
    <n v="39938"/>
    <n v="7630"/>
    <n v="61351"/>
    <n v="182057"/>
    <d v="2021-03-10T00:00:00"/>
    <s v="2021"/>
    <d v="2026-02-11T00:00:00"/>
    <n v="4"/>
    <n v="3"/>
    <n v="47568"/>
    <n v="23784"/>
    <s v=" Not Achieved"/>
    <s v="Average"/>
  </r>
  <r>
    <x v="942"/>
    <x v="942"/>
    <s v="EMP_943"/>
    <x v="0"/>
    <s v="EMP_943Marketing"/>
    <x v="4"/>
    <x v="2"/>
    <n v="45186"/>
    <n v="6381"/>
    <n v="0"/>
    <n v="0"/>
    <s v="5/28/2024"/>
    <s v="5/28/2024"/>
    <d v="2026-02-11T00:00:00"/>
    <e v="#VALUE!"/>
    <n v="2"/>
    <n v="51567"/>
    <n v="25783.5"/>
    <s v=" Not Achieved"/>
    <s v="Good"/>
  </r>
  <r>
    <x v="943"/>
    <x v="943"/>
    <s v="EMP_944"/>
    <x v="0"/>
    <s v="EMP_944Sales"/>
    <x v="1"/>
    <x v="1"/>
    <n v="54148"/>
    <n v="13252"/>
    <n v="255958"/>
    <n v="150445"/>
    <d v="2021-06-01T00:00:00"/>
    <s v="2021"/>
    <d v="2026-02-11T00:00:00"/>
    <n v="4"/>
    <n v="3"/>
    <n v="67400"/>
    <n v="33700"/>
    <s v="Achieved"/>
    <s v=" Excellent"/>
  </r>
  <r>
    <x v="944"/>
    <x v="944"/>
    <s v="EMP_945"/>
    <x v="0"/>
    <s v="EMP_945HR"/>
    <x v="0"/>
    <x v="0"/>
    <n v="26443"/>
    <n v="10859"/>
    <n v="0"/>
    <n v="0"/>
    <s v="5/31/2023"/>
    <s v="5/31/2023"/>
    <d v="2026-02-11T00:00:00"/>
    <e v="#VALUE!"/>
    <n v="2"/>
    <n v="37302"/>
    <n v="18651"/>
    <s v=" Not Achieved"/>
    <s v="poor"/>
  </r>
  <r>
    <x v="945"/>
    <x v="945"/>
    <s v="EMP_946"/>
    <x v="0"/>
    <s v="EMP_946HR"/>
    <x v="0"/>
    <x v="4"/>
    <n v="47910"/>
    <n v="12373"/>
    <n v="0"/>
    <n v="0"/>
    <s v="8/24/2020"/>
    <s v="8/24/2020"/>
    <d v="2026-02-11T00:00:00"/>
    <e v="#VALUE!"/>
    <n v="5"/>
    <n v="60283"/>
    <n v="30141.5"/>
    <s v=" Not Achieved"/>
    <s v="Good"/>
  </r>
  <r>
    <x v="946"/>
    <x v="946"/>
    <s v="EMP_947"/>
    <x v="1"/>
    <s v="EMP_947IT"/>
    <x v="3"/>
    <x v="4"/>
    <n v="40162"/>
    <n v="8629"/>
    <n v="0"/>
    <n v="0"/>
    <d v="2021-03-12T00:00:00"/>
    <s v="2021"/>
    <d v="2026-02-11T00:00:00"/>
    <n v="4"/>
    <n v="4"/>
    <n v="48791"/>
    <n v="24395.5"/>
    <s v=" Not Achieved"/>
    <s v="Good"/>
  </r>
  <r>
    <x v="947"/>
    <x v="947"/>
    <s v="EMP_948"/>
    <x v="0"/>
    <s v="EMP_948IT"/>
    <x v="3"/>
    <x v="0"/>
    <n v="79644"/>
    <n v="4843"/>
    <n v="0"/>
    <n v="0"/>
    <d v="2022-07-07T00:00:00"/>
    <s v="2022"/>
    <d v="2026-02-11T00:00:00"/>
    <n v="3"/>
    <n v="5"/>
    <n v="84487"/>
    <n v="42243.5"/>
    <s v=" Not Achieved"/>
    <s v=" Excellent"/>
  </r>
  <r>
    <x v="948"/>
    <x v="948"/>
    <s v="EMP_949"/>
    <x v="0"/>
    <s v="EMP_949IT"/>
    <x v="3"/>
    <x v="3"/>
    <n v="59023"/>
    <n v="11090"/>
    <n v="0"/>
    <n v="0"/>
    <s v="8/17/2020"/>
    <s v="8/17/2020"/>
    <d v="2026-02-11T00:00:00"/>
    <e v="#VALUE!"/>
    <n v="4"/>
    <n v="70113"/>
    <n v="35056.5"/>
    <s v=" Not Achieved"/>
    <s v=" Excellent"/>
  </r>
  <r>
    <x v="949"/>
    <x v="949"/>
    <s v="EMP_950"/>
    <x v="0"/>
    <s v="EMP_950Sales"/>
    <x v="1"/>
    <x v="3"/>
    <n v="35267"/>
    <n v="14536"/>
    <n v="249913"/>
    <n v="171530"/>
    <d v="2019-12-11T00:00:00"/>
    <s v="2019"/>
    <d v="2026-02-11T00:00:00"/>
    <n v="6"/>
    <n v="3"/>
    <n v="49803"/>
    <n v="24901.5"/>
    <s v="Achieved"/>
    <s v="Average"/>
  </r>
  <r>
    <x v="950"/>
    <x v="950"/>
    <s v="EMP_951"/>
    <x v="1"/>
    <s v="EMP_951Sales"/>
    <x v="1"/>
    <x v="3"/>
    <n v="22755"/>
    <n v="3546"/>
    <n v="215280"/>
    <n v="229759"/>
    <s v="7/13/2019"/>
    <s v="7/13/2019"/>
    <d v="2026-02-11T00:00:00"/>
    <e v="#VALUE!"/>
    <n v="5"/>
    <n v="26301"/>
    <n v="13150.5"/>
    <s v=" Not Achieved"/>
    <s v="poor"/>
  </r>
  <r>
    <x v="951"/>
    <x v="951"/>
    <s v="EMP_952"/>
    <x v="1"/>
    <s v="EMP_952Sales"/>
    <x v="1"/>
    <x v="2"/>
    <n v="27307"/>
    <n v="12473"/>
    <n v="294349"/>
    <n v="167858"/>
    <s v="5/21/2023"/>
    <s v="5/21/2023"/>
    <d v="2026-02-11T00:00:00"/>
    <e v="#VALUE!"/>
    <n v="5"/>
    <n v="39780"/>
    <n v="19890"/>
    <s v="Achieved"/>
    <s v="poor"/>
  </r>
  <r>
    <x v="952"/>
    <x v="952"/>
    <s v="EMP_953"/>
    <x v="1"/>
    <s v="EMP_953HR"/>
    <x v="0"/>
    <x v="2"/>
    <n v="55569"/>
    <n v="11730"/>
    <n v="0"/>
    <n v="0"/>
    <s v="5/22/2021"/>
    <s v="5/22/2021"/>
    <d v="2026-02-11T00:00:00"/>
    <e v="#VALUE!"/>
    <n v="1"/>
    <n v="67299"/>
    <n v="33649.5"/>
    <s v=" Not Achieved"/>
    <s v=" Excellent"/>
  </r>
  <r>
    <x v="953"/>
    <x v="953"/>
    <s v="EMP_954"/>
    <x v="0"/>
    <s v="EMP_954IT"/>
    <x v="3"/>
    <x v="2"/>
    <n v="38976"/>
    <n v="6013"/>
    <n v="0"/>
    <n v="0"/>
    <s v="8/16/2018"/>
    <s v="8/16/2018"/>
    <d v="2026-02-11T00:00:00"/>
    <e v="#VALUE!"/>
    <n v="3"/>
    <n v="44989"/>
    <n v="22494.5"/>
    <s v=" Not Achieved"/>
    <s v="Average"/>
  </r>
  <r>
    <x v="954"/>
    <x v="954"/>
    <s v="EMP_955"/>
    <x v="0"/>
    <s v="EMP_955Sales"/>
    <x v="1"/>
    <x v="3"/>
    <n v="63514"/>
    <n v="11712"/>
    <n v="99915"/>
    <n v="148968"/>
    <s v="1/23/2018"/>
    <s v="1/23/2018"/>
    <d v="2026-02-11T00:00:00"/>
    <e v="#VALUE!"/>
    <n v="5"/>
    <n v="75226"/>
    <n v="37613"/>
    <s v=" Not Achieved"/>
    <s v=" Excellent"/>
  </r>
  <r>
    <x v="955"/>
    <x v="955"/>
    <s v="EMP_956"/>
    <x v="1"/>
    <s v="EMP_956Marketing"/>
    <x v="4"/>
    <x v="3"/>
    <n v="29975"/>
    <n v="4819"/>
    <n v="0"/>
    <n v="0"/>
    <s v="11/17/2020"/>
    <s v="11/17/2020"/>
    <d v="2026-02-11T00:00:00"/>
    <e v="#VALUE!"/>
    <n v="1"/>
    <n v="34794"/>
    <n v="17397"/>
    <s v=" Not Achieved"/>
    <s v="poor"/>
  </r>
  <r>
    <x v="956"/>
    <x v="956"/>
    <s v="EMP_957"/>
    <x v="1"/>
    <s v="EMP_957IT"/>
    <x v="3"/>
    <x v="4"/>
    <n v="21398"/>
    <n v="10307"/>
    <n v="0"/>
    <n v="0"/>
    <d v="2019-11-02T00:00:00"/>
    <s v="2019"/>
    <d v="2026-02-11T00:00:00"/>
    <n v="6"/>
    <n v="1"/>
    <n v="31705"/>
    <n v="15852.5"/>
    <s v=" Not Achieved"/>
    <s v="poor"/>
  </r>
  <r>
    <x v="957"/>
    <x v="957"/>
    <s v="EMP_958"/>
    <x v="1"/>
    <s v="EMP_958IT"/>
    <x v="3"/>
    <x v="4"/>
    <n v="40561"/>
    <n v="7532"/>
    <n v="0"/>
    <n v="0"/>
    <d v="2024-05-01T00:00:00"/>
    <s v="2024"/>
    <d v="2026-02-11T00:00:00"/>
    <n v="1"/>
    <n v="3"/>
    <n v="48093"/>
    <n v="24046.5"/>
    <s v=" Not Achieved"/>
    <s v="Good"/>
  </r>
  <r>
    <x v="958"/>
    <x v="958"/>
    <s v="EMP_959"/>
    <x v="0"/>
    <s v="EMP_959Finance"/>
    <x v="2"/>
    <x v="3"/>
    <n v="78968"/>
    <n v="6991"/>
    <n v="0"/>
    <n v="0"/>
    <s v="1/21/2022"/>
    <s v="1/21/2022"/>
    <d v="2026-02-11T00:00:00"/>
    <e v="#VALUE!"/>
    <n v="4"/>
    <n v="85959"/>
    <n v="42979.5"/>
    <s v=" Not Achieved"/>
    <s v=" Excellent"/>
  </r>
  <r>
    <x v="959"/>
    <x v="959"/>
    <s v="EMP_960"/>
    <x v="0"/>
    <s v="EMP_960IT"/>
    <x v="3"/>
    <x v="4"/>
    <n v="68867"/>
    <n v="3877"/>
    <n v="0"/>
    <n v="0"/>
    <s v="1/30/2021"/>
    <s v="1/30/2021"/>
    <d v="2026-02-11T00:00:00"/>
    <e v="#VALUE!"/>
    <n v="3"/>
    <n v="72744"/>
    <n v="36372"/>
    <s v=" Not Achieved"/>
    <s v=" Excellent"/>
  </r>
  <r>
    <x v="960"/>
    <x v="960"/>
    <s v="EMP_961"/>
    <x v="0"/>
    <s v="EMP_961Sales"/>
    <x v="1"/>
    <x v="0"/>
    <n v="38913"/>
    <n v="11315"/>
    <n v="228584"/>
    <n v="199121"/>
    <d v="2022-08-10T00:00:00"/>
    <s v="2022"/>
    <d v="2026-02-11T00:00:00"/>
    <n v="3"/>
    <n v="2"/>
    <n v="50228"/>
    <n v="25114"/>
    <s v="Achieved"/>
    <s v="Average"/>
  </r>
  <r>
    <x v="961"/>
    <x v="961"/>
    <s v="EMP_962"/>
    <x v="1"/>
    <s v="EMP_962IT"/>
    <x v="3"/>
    <x v="3"/>
    <n v="46679"/>
    <n v="10245"/>
    <n v="0"/>
    <n v="0"/>
    <s v="8/27/2020"/>
    <s v="8/27/2020"/>
    <d v="2026-02-11T00:00:00"/>
    <e v="#VALUE!"/>
    <n v="1"/>
    <n v="56924"/>
    <n v="28462"/>
    <s v=" Not Achieved"/>
    <s v="Good"/>
  </r>
  <r>
    <x v="962"/>
    <x v="962"/>
    <s v="EMP_963"/>
    <x v="0"/>
    <s v="EMP_963Finance"/>
    <x v="2"/>
    <x v="1"/>
    <n v="65169"/>
    <n v="2371"/>
    <n v="0"/>
    <n v="0"/>
    <s v="8/22/2020"/>
    <s v="8/22/2020"/>
    <d v="2026-02-11T00:00:00"/>
    <e v="#VALUE!"/>
    <n v="3"/>
    <n v="67540"/>
    <n v="33770"/>
    <s v=" Not Achieved"/>
    <s v=" Excellent"/>
  </r>
  <r>
    <x v="963"/>
    <x v="963"/>
    <s v="EMP_964"/>
    <x v="1"/>
    <s v="EMP_964IT"/>
    <x v="3"/>
    <x v="1"/>
    <n v="76875"/>
    <n v="9994"/>
    <n v="0"/>
    <n v="0"/>
    <d v="2020-08-01T00:00:00"/>
    <s v="2020"/>
    <d v="2026-02-11T00:00:00"/>
    <n v="5"/>
    <n v="5"/>
    <n v="86869"/>
    <n v="43434.5"/>
    <s v=" Not Achieved"/>
    <s v=" Excellent"/>
  </r>
  <r>
    <x v="964"/>
    <x v="964"/>
    <s v="EMP_965"/>
    <x v="0"/>
    <s v="EMP_965IT"/>
    <x v="3"/>
    <x v="4"/>
    <n v="28052"/>
    <n v="5578"/>
    <n v="0"/>
    <n v="0"/>
    <s v="6/27/2023"/>
    <s v="6/27/2023"/>
    <d v="2026-02-11T00:00:00"/>
    <e v="#VALUE!"/>
    <n v="3"/>
    <n v="33630"/>
    <n v="16815"/>
    <s v=" Not Achieved"/>
    <s v="poor"/>
  </r>
  <r>
    <x v="965"/>
    <x v="965"/>
    <s v="EMP_966"/>
    <x v="0"/>
    <s v="EMP_966HR"/>
    <x v="0"/>
    <x v="4"/>
    <n v="45476"/>
    <n v="7580"/>
    <n v="0"/>
    <n v="0"/>
    <d v="2022-06-04T00:00:00"/>
    <s v="2022"/>
    <d v="2026-02-11T00:00:00"/>
    <n v="3"/>
    <n v="1"/>
    <n v="53056"/>
    <n v="26528"/>
    <s v=" Not Achieved"/>
    <s v="Good"/>
  </r>
  <r>
    <x v="966"/>
    <x v="966"/>
    <s v="EMP_967"/>
    <x v="1"/>
    <s v="EMP_967Marketing"/>
    <x v="4"/>
    <x v="0"/>
    <n v="75971"/>
    <n v="6879"/>
    <n v="0"/>
    <n v="0"/>
    <d v="2018-04-07T00:00:00"/>
    <s v="2018"/>
    <d v="2026-02-11T00:00:00"/>
    <n v="7"/>
    <n v="3"/>
    <n v="82850"/>
    <n v="41425"/>
    <s v=" Not Achieved"/>
    <s v=" Excellent"/>
  </r>
  <r>
    <x v="967"/>
    <x v="967"/>
    <s v="EMP_968"/>
    <x v="1"/>
    <s v="EMP_968IT"/>
    <x v="3"/>
    <x v="4"/>
    <n v="32016"/>
    <n v="10958"/>
    <n v="0"/>
    <n v="0"/>
    <s v="9/16/2019"/>
    <s v="9/16/2019"/>
    <d v="2026-02-11T00:00:00"/>
    <e v="#VALUE!"/>
    <n v="5"/>
    <n v="42974"/>
    <n v="21487"/>
    <s v=" Not Achieved"/>
    <s v="Average"/>
  </r>
  <r>
    <x v="968"/>
    <x v="968"/>
    <s v="EMP_969"/>
    <x v="1"/>
    <s v="EMP_969HR"/>
    <x v="0"/>
    <x v="4"/>
    <n v="55948"/>
    <n v="2609"/>
    <n v="0"/>
    <n v="0"/>
    <d v="2021-02-03T00:00:00"/>
    <s v="2021"/>
    <d v="2026-02-11T00:00:00"/>
    <n v="5"/>
    <n v="1"/>
    <n v="58557"/>
    <n v="29278.5"/>
    <s v=" Not Achieved"/>
    <s v=" Excellent"/>
  </r>
  <r>
    <x v="969"/>
    <x v="969"/>
    <s v="EMP_970"/>
    <x v="0"/>
    <s v="EMP_970Sales"/>
    <x v="1"/>
    <x v="1"/>
    <n v="78610"/>
    <n v="13480"/>
    <n v="283360"/>
    <n v="95183"/>
    <s v="10/25/2022"/>
    <s v="10/25/2022"/>
    <d v="2026-02-11T00:00:00"/>
    <e v="#VALUE!"/>
    <n v="2"/>
    <n v="92090"/>
    <n v="46045"/>
    <s v="Achieved"/>
    <s v=" Excellent"/>
  </r>
  <r>
    <x v="970"/>
    <x v="970"/>
    <s v="EMP_971"/>
    <x v="0"/>
    <s v="EMP_971IT"/>
    <x v="3"/>
    <x v="4"/>
    <n v="65599"/>
    <n v="7730"/>
    <n v="0"/>
    <n v="0"/>
    <d v="2018-07-12T00:00:00"/>
    <s v="2018"/>
    <d v="2026-02-11T00:00:00"/>
    <n v="7"/>
    <n v="1"/>
    <n v="73329"/>
    <n v="36664.5"/>
    <s v=" Not Achieved"/>
    <s v=" Excellent"/>
  </r>
  <r>
    <x v="971"/>
    <x v="971"/>
    <s v="EMP_972"/>
    <x v="1"/>
    <s v="EMP_972HR"/>
    <x v="0"/>
    <x v="4"/>
    <n v="62016"/>
    <n v="7353"/>
    <n v="0"/>
    <n v="0"/>
    <d v="2021-11-10T00:00:00"/>
    <s v="2021"/>
    <d v="2026-02-11T00:00:00"/>
    <n v="4"/>
    <n v="3"/>
    <n v="69369"/>
    <n v="34684.5"/>
    <s v=" Not Achieved"/>
    <s v=" Excellent"/>
  </r>
  <r>
    <x v="972"/>
    <x v="972"/>
    <s v="EMP_973"/>
    <x v="0"/>
    <s v="EMP_973Sales"/>
    <x v="1"/>
    <x v="3"/>
    <n v="38047"/>
    <n v="14939"/>
    <n v="78713"/>
    <n v="220263"/>
    <d v="2022-11-01T00:00:00"/>
    <s v="2022"/>
    <d v="2026-02-11T00:00:00"/>
    <n v="3"/>
    <n v="3"/>
    <n v="52986"/>
    <n v="26493"/>
    <s v=" Not Achieved"/>
    <s v="Average"/>
  </r>
  <r>
    <x v="973"/>
    <x v="973"/>
    <s v="EMP_974"/>
    <x v="1"/>
    <s v="EMP_974Sales"/>
    <x v="1"/>
    <x v="2"/>
    <n v="73949"/>
    <n v="8918"/>
    <n v="233229"/>
    <n v="236071"/>
    <d v="2023-03-03T00:00:00"/>
    <s v="2023"/>
    <d v="2026-02-11T00:00:00"/>
    <n v="2"/>
    <n v="5"/>
    <n v="82867"/>
    <n v="41433.5"/>
    <s v=" Not Achieved"/>
    <s v=" Excellent"/>
  </r>
  <r>
    <x v="974"/>
    <x v="974"/>
    <s v="EMP_975"/>
    <x v="1"/>
    <s v="EMP_975HR"/>
    <x v="0"/>
    <x v="0"/>
    <n v="20778"/>
    <n v="8976"/>
    <n v="0"/>
    <n v="0"/>
    <s v="11/20/2018"/>
    <s v="11/20/2018"/>
    <d v="2026-02-11T00:00:00"/>
    <e v="#VALUE!"/>
    <n v="2"/>
    <n v="29754"/>
    <n v="14877"/>
    <s v=" Not Achieved"/>
    <s v="poor"/>
  </r>
  <r>
    <x v="975"/>
    <x v="975"/>
    <s v="EMP_976"/>
    <x v="0"/>
    <s v="EMP_976Finance"/>
    <x v="2"/>
    <x v="4"/>
    <n v="28944"/>
    <n v="3049"/>
    <n v="0"/>
    <n v="0"/>
    <s v="9/28/2021"/>
    <s v="9/28/2021"/>
    <d v="2026-02-11T00:00:00"/>
    <e v="#VALUE!"/>
    <n v="5"/>
    <n v="31993"/>
    <n v="15996.5"/>
    <s v=" Not Achieved"/>
    <s v="poor"/>
  </r>
  <r>
    <x v="976"/>
    <x v="976"/>
    <s v="EMP_977"/>
    <x v="1"/>
    <s v="EMP_977Finance"/>
    <x v="2"/>
    <x v="1"/>
    <n v="27047"/>
    <n v="8387"/>
    <n v="0"/>
    <n v="0"/>
    <s v="10/14/2019"/>
    <s v="10/14/2019"/>
    <d v="2026-02-11T00:00:00"/>
    <e v="#VALUE!"/>
    <n v="3"/>
    <n v="35434"/>
    <n v="17717"/>
    <s v=" Not Achieved"/>
    <s v="poor"/>
  </r>
  <r>
    <x v="977"/>
    <x v="977"/>
    <s v="EMP_978"/>
    <x v="1"/>
    <s v="EMP_978Marketing"/>
    <x v="4"/>
    <x v="1"/>
    <n v="33422"/>
    <n v="8251"/>
    <n v="0"/>
    <n v="0"/>
    <s v="11/28/2018"/>
    <s v="11/28/2018"/>
    <d v="2026-02-11T00:00:00"/>
    <e v="#VALUE!"/>
    <n v="2"/>
    <n v="41673"/>
    <n v="20836.5"/>
    <s v=" Not Achieved"/>
    <s v="Average"/>
  </r>
  <r>
    <x v="978"/>
    <x v="978"/>
    <s v="EMP_979"/>
    <x v="1"/>
    <s v="EMP_979Finance"/>
    <x v="2"/>
    <x v="0"/>
    <n v="70924"/>
    <n v="10423"/>
    <n v="0"/>
    <n v="0"/>
    <d v="2024-02-05T00:00:00"/>
    <s v="2024"/>
    <d v="2026-02-11T00:00:00"/>
    <n v="2"/>
    <n v="1"/>
    <n v="81347"/>
    <n v="40673.5"/>
    <s v=" Not Achieved"/>
    <s v=" Excellent"/>
  </r>
  <r>
    <x v="979"/>
    <x v="979"/>
    <s v="EMP_980"/>
    <x v="0"/>
    <s v="EMP_980Marketing"/>
    <x v="4"/>
    <x v="3"/>
    <n v="49957"/>
    <n v="10744"/>
    <n v="0"/>
    <n v="0"/>
    <s v="5/16/2022"/>
    <s v="5/16/2022"/>
    <d v="2026-02-11T00:00:00"/>
    <e v="#VALUE!"/>
    <n v="3"/>
    <n v="60701"/>
    <n v="30350.5"/>
    <s v=" Not Achieved"/>
    <s v="Good"/>
  </r>
  <r>
    <x v="980"/>
    <x v="980"/>
    <s v="EMP_981"/>
    <x v="1"/>
    <s v="EMP_981Finance"/>
    <x v="2"/>
    <x v="3"/>
    <n v="75682"/>
    <n v="12163"/>
    <n v="0"/>
    <n v="0"/>
    <d v="2023-04-02T00:00:00"/>
    <s v="2023"/>
    <d v="2026-02-11T00:00:00"/>
    <n v="2"/>
    <n v="2"/>
    <n v="87845"/>
    <n v="43922.5"/>
    <s v=" Not Achieved"/>
    <s v=" Excellent"/>
  </r>
  <r>
    <x v="981"/>
    <x v="981"/>
    <s v="EMP_982"/>
    <x v="0"/>
    <s v="EMP_982Sales"/>
    <x v="1"/>
    <x v="1"/>
    <n v="61593"/>
    <n v="8042"/>
    <n v="276085"/>
    <n v="171003"/>
    <s v="10/27/2024"/>
    <s v="10/27/2024"/>
    <d v="2026-02-11T00:00:00"/>
    <e v="#VALUE!"/>
    <n v="5"/>
    <n v="69635"/>
    <n v="34817.5"/>
    <s v="Achieved"/>
    <s v=" Excellent"/>
  </r>
  <r>
    <x v="982"/>
    <x v="982"/>
    <s v="EMP_983"/>
    <x v="0"/>
    <s v="EMP_983Finance"/>
    <x v="2"/>
    <x v="4"/>
    <n v="75192"/>
    <n v="14057"/>
    <n v="0"/>
    <n v="0"/>
    <s v="7/26/2019"/>
    <s v="7/26/2019"/>
    <d v="2026-02-11T00:00:00"/>
    <e v="#VALUE!"/>
    <n v="4"/>
    <n v="89249"/>
    <n v="44624.5"/>
    <s v=" Not Achieved"/>
    <s v=" Excellent"/>
  </r>
  <r>
    <x v="983"/>
    <x v="983"/>
    <s v="EMP_984"/>
    <x v="0"/>
    <s v="EMP_984Sales"/>
    <x v="1"/>
    <x v="3"/>
    <n v="42077"/>
    <n v="11109"/>
    <n v="240361"/>
    <n v="201196"/>
    <s v="9/30/2021"/>
    <s v="9/30/2021"/>
    <d v="2026-02-11T00:00:00"/>
    <e v="#VALUE!"/>
    <n v="3"/>
    <n v="53186"/>
    <n v="26593"/>
    <s v="Achieved"/>
    <s v="Good"/>
  </r>
  <r>
    <x v="984"/>
    <x v="984"/>
    <s v="EMP_985"/>
    <x v="1"/>
    <s v="EMP_985Marketing"/>
    <x v="4"/>
    <x v="2"/>
    <n v="71557"/>
    <n v="2630"/>
    <n v="0"/>
    <n v="0"/>
    <d v="2024-09-02T00:00:00"/>
    <s v="2024"/>
    <d v="2026-02-11T00:00:00"/>
    <n v="1"/>
    <n v="4"/>
    <n v="74187"/>
    <n v="37093.5"/>
    <s v=" Not Achieved"/>
    <s v=" Excellent"/>
  </r>
  <r>
    <x v="985"/>
    <x v="985"/>
    <s v="EMP_986"/>
    <x v="1"/>
    <s v="EMP_986IT"/>
    <x v="3"/>
    <x v="0"/>
    <n v="24830"/>
    <n v="6610"/>
    <n v="0"/>
    <n v="0"/>
    <s v="2/13/2023"/>
    <s v="2/13/2023"/>
    <d v="2026-02-11T00:00:00"/>
    <e v="#VALUE!"/>
    <n v="4"/>
    <n v="31440"/>
    <n v="15720"/>
    <s v=" Not Achieved"/>
    <s v="poor"/>
  </r>
  <r>
    <x v="986"/>
    <x v="986"/>
    <s v="EMP_987"/>
    <x v="1"/>
    <s v="EMP_987HR"/>
    <x v="0"/>
    <x v="1"/>
    <n v="77194"/>
    <n v="12008"/>
    <n v="0"/>
    <n v="0"/>
    <s v="4/25/2022"/>
    <s v="4/25/2022"/>
    <d v="2026-02-11T00:00:00"/>
    <e v="#VALUE!"/>
    <n v="5"/>
    <n v="89202"/>
    <n v="44601"/>
    <s v=" Not Achieved"/>
    <s v=" Excellent"/>
  </r>
  <r>
    <x v="987"/>
    <x v="987"/>
    <s v="EMP_988"/>
    <x v="0"/>
    <s v="EMP_988Marketing"/>
    <x v="4"/>
    <x v="4"/>
    <n v="70814"/>
    <n v="10435"/>
    <n v="0"/>
    <n v="0"/>
    <s v="9/13/2020"/>
    <s v="9/13/2020"/>
    <d v="2026-02-11T00:00:00"/>
    <e v="#VALUE!"/>
    <n v="4"/>
    <n v="81249"/>
    <n v="40624.5"/>
    <s v=" Not Achieved"/>
    <s v=" Excellent"/>
  </r>
  <r>
    <x v="988"/>
    <x v="988"/>
    <s v="EMP_989"/>
    <x v="1"/>
    <s v="EMP_989Marketing"/>
    <x v="4"/>
    <x v="3"/>
    <n v="35190"/>
    <n v="13323"/>
    <n v="0"/>
    <n v="0"/>
    <s v="9/14/2023"/>
    <s v="9/14/2023"/>
    <d v="2026-02-11T00:00:00"/>
    <e v="#VALUE!"/>
    <n v="5"/>
    <n v="48513"/>
    <n v="24256.5"/>
    <s v=" Not Achieved"/>
    <s v="Average"/>
  </r>
  <r>
    <x v="989"/>
    <x v="989"/>
    <s v="EMP_990"/>
    <x v="0"/>
    <s v="EMP_990Marketing"/>
    <x v="4"/>
    <x v="0"/>
    <n v="35286"/>
    <n v="9147"/>
    <n v="0"/>
    <n v="0"/>
    <d v="2018-05-11T00:00:00"/>
    <s v="2018"/>
    <d v="2026-02-11T00:00:00"/>
    <n v="7"/>
    <n v="5"/>
    <n v="44433"/>
    <n v="22216.5"/>
    <s v=" Not Achieved"/>
    <s v="Average"/>
  </r>
  <r>
    <x v="990"/>
    <x v="990"/>
    <s v="EMP_991"/>
    <x v="0"/>
    <s v="EMP_991Sales"/>
    <x v="1"/>
    <x v="0"/>
    <n v="44978"/>
    <n v="14117"/>
    <n v="159327"/>
    <n v="119532"/>
    <s v="12/16/2020"/>
    <s v="12/16/2020"/>
    <d v="2026-02-11T00:00:00"/>
    <e v="#VALUE!"/>
    <n v="2"/>
    <n v="59095"/>
    <n v="29547.5"/>
    <s v="Achieved"/>
    <s v="Good"/>
  </r>
  <r>
    <x v="991"/>
    <x v="991"/>
    <s v="EMP_992"/>
    <x v="1"/>
    <s v="EMP_992HR"/>
    <x v="0"/>
    <x v="4"/>
    <n v="75273"/>
    <n v="6357"/>
    <n v="0"/>
    <n v="0"/>
    <s v="12/15/2024"/>
    <s v="12/15/2024"/>
    <d v="2026-02-11T00:00:00"/>
    <e v="#VALUE!"/>
    <n v="2"/>
    <n v="81630"/>
    <n v="40815"/>
    <s v=" Not Achieved"/>
    <s v=" Excellent"/>
  </r>
  <r>
    <x v="992"/>
    <x v="992"/>
    <s v="EMP_993"/>
    <x v="0"/>
    <s v="EMP_993Sales"/>
    <x v="1"/>
    <x v="1"/>
    <n v="32680"/>
    <n v="3351"/>
    <n v="99492"/>
    <n v="190469"/>
    <s v="12/16/2020"/>
    <s v="12/16/2020"/>
    <d v="2026-02-11T00:00:00"/>
    <e v="#VALUE!"/>
    <n v="3"/>
    <n v="36031"/>
    <n v="18015.5"/>
    <s v=" Not Achieved"/>
    <s v="Average"/>
  </r>
  <r>
    <x v="993"/>
    <x v="993"/>
    <s v="EMP_994"/>
    <x v="1"/>
    <s v="EMP_994Marketing"/>
    <x v="4"/>
    <x v="2"/>
    <n v="63595"/>
    <n v="12413"/>
    <n v="0"/>
    <n v="0"/>
    <s v="3/15/2020"/>
    <s v="3/15/2020"/>
    <d v="2026-02-11T00:00:00"/>
    <e v="#VALUE!"/>
    <n v="5"/>
    <n v="76008"/>
    <n v="38004"/>
    <s v=" Not Achieved"/>
    <s v=" Excellent"/>
  </r>
  <r>
    <x v="994"/>
    <x v="994"/>
    <s v="EMP_995"/>
    <x v="0"/>
    <s v="EMP_995IT"/>
    <x v="3"/>
    <x v="2"/>
    <n v="74783"/>
    <n v="12714"/>
    <n v="0"/>
    <n v="0"/>
    <d v="2020-04-08T00:00:00"/>
    <s v="2020"/>
    <d v="2026-02-11T00:00:00"/>
    <n v="5"/>
    <n v="1"/>
    <n v="87497"/>
    <n v="43748.5"/>
    <s v=" Not Achieved"/>
    <s v=" Excellent"/>
  </r>
  <r>
    <x v="995"/>
    <x v="995"/>
    <s v="EMP_996"/>
    <x v="1"/>
    <s v="EMP_996Sales"/>
    <x v="1"/>
    <x v="0"/>
    <n v="72287"/>
    <n v="5786"/>
    <n v="153090"/>
    <n v="110946"/>
    <d v="2021-10-07T00:00:00"/>
    <s v="2021"/>
    <d v="2026-02-11T00:00:00"/>
    <n v="4"/>
    <n v="4"/>
    <n v="78073"/>
    <n v="39036.5"/>
    <s v="Achieved"/>
    <s v=" Excellent"/>
  </r>
  <r>
    <x v="996"/>
    <x v="996"/>
    <s v="EMP_997"/>
    <x v="1"/>
    <s v="EMP_997HR"/>
    <x v="0"/>
    <x v="3"/>
    <n v="40282"/>
    <n v="12835"/>
    <n v="0"/>
    <n v="0"/>
    <d v="2021-01-11T00:00:00"/>
    <s v="2021"/>
    <d v="2026-02-11T00:00:00"/>
    <n v="5"/>
    <n v="1"/>
    <n v="53117"/>
    <n v="26558.5"/>
    <s v=" Not Achieved"/>
    <s v="Good"/>
  </r>
  <r>
    <x v="997"/>
    <x v="997"/>
    <s v="EMP_998"/>
    <x v="0"/>
    <s v="EMP_998Marketing"/>
    <x v="4"/>
    <x v="2"/>
    <n v="46327"/>
    <n v="2743"/>
    <n v="0"/>
    <n v="0"/>
    <s v="9/19/2021"/>
    <s v="9/19/2021"/>
    <d v="2026-02-11T00:00:00"/>
    <e v="#VALUE!"/>
    <n v="5"/>
    <n v="49070"/>
    <n v="24535"/>
    <s v=" Not Achieved"/>
    <s v="Good"/>
  </r>
  <r>
    <x v="998"/>
    <x v="998"/>
    <s v="EMP_999"/>
    <x v="0"/>
    <s v="EMP_999IT"/>
    <x v="3"/>
    <x v="0"/>
    <n v="33017"/>
    <n v="10968"/>
    <n v="0"/>
    <n v="0"/>
    <s v="12/26/2021"/>
    <s v="12/26/2021"/>
    <d v="2026-02-11T00:00:00"/>
    <e v="#VALUE!"/>
    <n v="1"/>
    <n v="43985"/>
    <n v="21992.5"/>
    <s v=" Not Achieved"/>
    <s v="Average"/>
  </r>
  <r>
    <x v="999"/>
    <x v="999"/>
    <s v="EMP_1000"/>
    <x v="0"/>
    <s v="EMP_1000Finance"/>
    <x v="2"/>
    <x v="2"/>
    <n v="53517"/>
    <n v="13611"/>
    <n v="0"/>
    <n v="0"/>
    <s v="8/24/2019"/>
    <s v="8/24/2019"/>
    <d v="2026-02-11T00:00:00"/>
    <e v="#VALUE!"/>
    <n v="2"/>
    <n v="67128"/>
    <n v="33564"/>
    <s v=" Not Achieved"/>
    <s v=" Excellent"/>
  </r>
  <r>
    <x v="1000"/>
    <x v="1000"/>
    <s v="EMP_1001"/>
    <x v="0"/>
    <s v="EMP_1001IT"/>
    <x v="3"/>
    <x v="4"/>
    <n v="57802"/>
    <n v="7807"/>
    <n v="0"/>
    <n v="0"/>
    <s v="3/16/2023"/>
    <s v="3/16/2023"/>
    <d v="2026-02-11T00:00:00"/>
    <e v="#VALUE!"/>
    <n v="1"/>
    <n v="65609"/>
    <n v="32804.5"/>
    <s v=" Not Achieved"/>
    <s v=" Excellent"/>
  </r>
  <r>
    <x v="1001"/>
    <x v="1001"/>
    <s v="EMP_1002"/>
    <x v="1"/>
    <s v="EMP_1002Marketing"/>
    <x v="4"/>
    <x v="0"/>
    <n v="42629"/>
    <n v="5412"/>
    <n v="0"/>
    <n v="0"/>
    <s v="7/31/2022"/>
    <s v="7/31/2022"/>
    <d v="2026-02-11T00:00:00"/>
    <e v="#VALUE!"/>
    <n v="4"/>
    <n v="48041"/>
    <n v="24020.5"/>
    <s v=" Not Achieved"/>
    <s v="Good"/>
  </r>
  <r>
    <x v="1002"/>
    <x v="1002"/>
    <s v="EMP_1003"/>
    <x v="0"/>
    <s v="EMP_1003Sales"/>
    <x v="1"/>
    <x v="2"/>
    <n v="31157"/>
    <n v="13518"/>
    <n v="100260"/>
    <n v="122117"/>
    <d v="2019-02-12T00:00:00"/>
    <s v="2019"/>
    <d v="2026-02-11T00:00:00"/>
    <n v="6"/>
    <n v="1"/>
    <n v="44675"/>
    <n v="22337.5"/>
    <s v=" Not Achieved"/>
    <s v="Average"/>
  </r>
  <r>
    <x v="1003"/>
    <x v="1003"/>
    <s v="EMP_1004"/>
    <x v="1"/>
    <s v="EMP_1004Finance"/>
    <x v="2"/>
    <x v="2"/>
    <n v="29167"/>
    <n v="5556"/>
    <n v="0"/>
    <n v="0"/>
    <s v="11/23/2021"/>
    <s v="11/23/2021"/>
    <d v="2026-02-11T00:00:00"/>
    <e v="#VALUE!"/>
    <n v="2"/>
    <n v="34723"/>
    <n v="17361.5"/>
    <s v=" Not Achieved"/>
    <s v="poor"/>
  </r>
  <r>
    <x v="1004"/>
    <x v="1004"/>
    <s v="EMP_1005"/>
    <x v="1"/>
    <s v="EMP_1005Finance"/>
    <x v="2"/>
    <x v="3"/>
    <n v="24530"/>
    <n v="7247"/>
    <n v="0"/>
    <n v="0"/>
    <s v="5/17/2022"/>
    <s v="5/17/2022"/>
    <d v="2026-02-11T00:00:00"/>
    <e v="#VALUE!"/>
    <n v="5"/>
    <n v="31777"/>
    <n v="15888.5"/>
    <s v=" Not Achieved"/>
    <s v="poor"/>
  </r>
  <r>
    <x v="1005"/>
    <x v="1005"/>
    <s v="EMP_1006"/>
    <x v="0"/>
    <s v="EMP_1006Finance"/>
    <x v="2"/>
    <x v="1"/>
    <n v="26629"/>
    <n v="13944"/>
    <n v="0"/>
    <n v="0"/>
    <d v="2018-10-07T00:00:00"/>
    <s v="2018"/>
    <d v="2026-02-11T00:00:00"/>
    <n v="7"/>
    <n v="5"/>
    <n v="40573"/>
    <n v="20286.5"/>
    <s v=" Not Achieved"/>
    <s v="poor"/>
  </r>
  <r>
    <x v="1006"/>
    <x v="1006"/>
    <s v="EMP_1007"/>
    <x v="0"/>
    <s v="EMP_1007IT"/>
    <x v="3"/>
    <x v="0"/>
    <n v="24840"/>
    <n v="11846"/>
    <n v="0"/>
    <n v="0"/>
    <d v="2024-11-07T00:00:00"/>
    <s v="2024"/>
    <d v="2026-02-11T00:00:00"/>
    <n v="1"/>
    <n v="2"/>
    <n v="36686"/>
    <n v="18343"/>
    <s v=" Not Achieved"/>
    <s v="poor"/>
  </r>
  <r>
    <x v="1007"/>
    <x v="1007"/>
    <s v="EMP_1008"/>
    <x v="1"/>
    <s v="EMP_1008IT"/>
    <x v="3"/>
    <x v="2"/>
    <n v="34101"/>
    <n v="14584"/>
    <n v="0"/>
    <n v="0"/>
    <s v="5/15/2018"/>
    <s v="5/15/2018"/>
    <d v="2026-02-11T00:00:00"/>
    <e v="#VALUE!"/>
    <n v="2"/>
    <n v="48685"/>
    <n v="24342.5"/>
    <s v=" Not Achieved"/>
    <s v="Average"/>
  </r>
  <r>
    <x v="1008"/>
    <x v="1008"/>
    <s v="EMP_1009"/>
    <x v="0"/>
    <s v="EMP_1009HR"/>
    <x v="0"/>
    <x v="4"/>
    <n v="27255"/>
    <n v="11792"/>
    <n v="0"/>
    <n v="0"/>
    <d v="2018-12-08T00:00:00"/>
    <s v="2018"/>
    <d v="2026-02-11T00:00:00"/>
    <n v="7"/>
    <n v="4"/>
    <n v="39047"/>
    <n v="19523.5"/>
    <s v=" Not Achieved"/>
    <s v="poor"/>
  </r>
  <r>
    <x v="1009"/>
    <x v="1009"/>
    <s v="EMP_1010"/>
    <x v="0"/>
    <s v="EMP_1010HR"/>
    <x v="0"/>
    <x v="1"/>
    <n v="29602"/>
    <n v="6601"/>
    <n v="0"/>
    <n v="0"/>
    <s v="5/13/2024"/>
    <s v="5/13/2024"/>
    <d v="2026-02-11T00:00:00"/>
    <e v="#VALUE!"/>
    <n v="1"/>
    <n v="36203"/>
    <n v="18101.5"/>
    <s v=" Not Achieved"/>
    <s v="poor"/>
  </r>
  <r>
    <x v="1010"/>
    <x v="1010"/>
    <s v="EMP_1011"/>
    <x v="1"/>
    <s v="EMP_1011Marketing"/>
    <x v="4"/>
    <x v="0"/>
    <n v="41646"/>
    <n v="13287"/>
    <n v="0"/>
    <n v="0"/>
    <s v="1/13/2020"/>
    <s v="1/13/2020"/>
    <d v="2026-02-11T00:00:00"/>
    <e v="#VALUE!"/>
    <n v="2"/>
    <n v="54933"/>
    <n v="27466.5"/>
    <s v=" Not Achieved"/>
    <s v="Good"/>
  </r>
  <r>
    <x v="1011"/>
    <x v="1011"/>
    <s v="EMP_1012"/>
    <x v="0"/>
    <s v="EMP_1012HR"/>
    <x v="0"/>
    <x v="0"/>
    <n v="74523"/>
    <n v="11515"/>
    <n v="0"/>
    <n v="0"/>
    <d v="2024-01-05T00:00:00"/>
    <s v="2024"/>
    <d v="2026-02-11T00:00:00"/>
    <n v="2"/>
    <n v="4"/>
    <n v="86038"/>
    <n v="43019"/>
    <s v=" Not Achieved"/>
    <s v=" Excellent"/>
  </r>
  <r>
    <x v="1012"/>
    <x v="1012"/>
    <s v="EMP_1013"/>
    <x v="1"/>
    <s v="EMP_1013HR"/>
    <x v="0"/>
    <x v="0"/>
    <n v="72821"/>
    <n v="13514"/>
    <n v="0"/>
    <n v="0"/>
    <s v="1/29/2020"/>
    <s v="1/29/2020"/>
    <d v="2026-02-11T00:00:00"/>
    <e v="#VALUE!"/>
    <n v="3"/>
    <n v="86335"/>
    <n v="43167.5"/>
    <s v=" Not Achieved"/>
    <s v=" Excellent"/>
  </r>
  <r>
    <x v="1013"/>
    <x v="1013"/>
    <s v="EMP_1014"/>
    <x v="0"/>
    <s v="EMP_1014IT"/>
    <x v="3"/>
    <x v="4"/>
    <n v="52457"/>
    <n v="2165"/>
    <n v="0"/>
    <n v="0"/>
    <d v="2023-05-09T00:00:00"/>
    <s v="2023"/>
    <d v="2026-02-11T00:00:00"/>
    <n v="2"/>
    <n v="2"/>
    <n v="54622"/>
    <n v="27311"/>
    <s v=" Not Achieved"/>
    <s v=" Excellent"/>
  </r>
  <r>
    <x v="1014"/>
    <x v="1014"/>
    <s v="EMP_1015"/>
    <x v="0"/>
    <s v="EMP_1015Sales"/>
    <x v="1"/>
    <x v="2"/>
    <n v="70545"/>
    <n v="4510"/>
    <n v="106799"/>
    <n v="103226"/>
    <s v="2/26/2019"/>
    <s v="2/26/2019"/>
    <d v="2026-02-11T00:00:00"/>
    <e v="#VALUE!"/>
    <n v="4"/>
    <n v="75055"/>
    <n v="37527.5"/>
    <s v="Achieved"/>
    <s v=" Excellent"/>
  </r>
  <r>
    <x v="1015"/>
    <x v="1015"/>
    <s v="EMP_1016"/>
    <x v="1"/>
    <s v="EMP_1016Sales"/>
    <x v="1"/>
    <x v="1"/>
    <n v="23410"/>
    <n v="8952"/>
    <n v="232486"/>
    <n v="151621"/>
    <d v="2021-06-06T00:00:00"/>
    <s v="2021"/>
    <d v="2026-02-11T00:00:00"/>
    <n v="4"/>
    <n v="1"/>
    <n v="32362"/>
    <n v="16181"/>
    <s v="Achieved"/>
    <s v="poor"/>
  </r>
  <r>
    <x v="1016"/>
    <x v="1016"/>
    <s v="EMP_1017"/>
    <x v="0"/>
    <s v="EMP_1017Sales"/>
    <x v="1"/>
    <x v="1"/>
    <n v="72265"/>
    <n v="11343"/>
    <n v="232827"/>
    <n v="120019"/>
    <d v="2020-09-12T00:00:00"/>
    <s v="2020"/>
    <d v="2026-02-11T00:00:00"/>
    <n v="5"/>
    <n v="4"/>
    <n v="83608"/>
    <n v="41804"/>
    <s v="Achieved"/>
    <s v=" Excellent"/>
  </r>
  <r>
    <x v="1017"/>
    <x v="1017"/>
    <s v="EMP_1018"/>
    <x v="1"/>
    <s v="EMP_1018Marketing"/>
    <x v="4"/>
    <x v="1"/>
    <n v="74950"/>
    <n v="5653"/>
    <n v="0"/>
    <n v="0"/>
    <d v="2020-06-05T00:00:00"/>
    <s v="2020"/>
    <d v="2026-02-11T00:00:00"/>
    <n v="5"/>
    <n v="3"/>
    <n v="80603"/>
    <n v="40301.5"/>
    <s v=" Not Achieved"/>
    <s v=" Excellent"/>
  </r>
  <r>
    <x v="1018"/>
    <x v="1018"/>
    <s v="EMP_1019"/>
    <x v="0"/>
    <s v="EMP_1019Finance"/>
    <x v="2"/>
    <x v="4"/>
    <n v="66301"/>
    <n v="9547"/>
    <n v="0"/>
    <n v="0"/>
    <s v="3/20/2019"/>
    <s v="3/20/2019"/>
    <d v="2026-02-11T00:00:00"/>
    <e v="#VALUE!"/>
    <n v="2"/>
    <n v="75848"/>
    <n v="37924"/>
    <s v=" Not Achieved"/>
    <s v=" Excellent"/>
  </r>
  <r>
    <x v="1019"/>
    <x v="1019"/>
    <s v="EMP_1020"/>
    <x v="1"/>
    <s v="EMP_1020HR"/>
    <x v="0"/>
    <x v="3"/>
    <n v="37573"/>
    <n v="12171"/>
    <n v="0"/>
    <n v="0"/>
    <s v="9/16/2018"/>
    <s v="9/16/2018"/>
    <d v="2026-02-11T00:00:00"/>
    <e v="#VALUE!"/>
    <n v="1"/>
    <n v="49744"/>
    <n v="24872"/>
    <s v=" Not Achieved"/>
    <s v="Average"/>
  </r>
  <r>
    <x v="1020"/>
    <x v="1020"/>
    <s v="EMP_1021"/>
    <x v="0"/>
    <s v="EMP_1021Marketing"/>
    <x v="4"/>
    <x v="3"/>
    <n v="46958"/>
    <n v="2313"/>
    <n v="0"/>
    <n v="0"/>
    <s v="11/22/2018"/>
    <s v="11/22/2018"/>
    <d v="2026-02-11T00:00:00"/>
    <e v="#VALUE!"/>
    <n v="1"/>
    <n v="49271"/>
    <n v="24635.5"/>
    <s v=" Not Achieved"/>
    <s v="Good"/>
  </r>
  <r>
    <x v="1021"/>
    <x v="1021"/>
    <s v="EMP_1022"/>
    <x v="1"/>
    <s v="EMP_1022IT"/>
    <x v="3"/>
    <x v="2"/>
    <n v="55543"/>
    <n v="11818"/>
    <n v="0"/>
    <n v="0"/>
    <d v="2023-08-05T00:00:00"/>
    <s v="2023"/>
    <d v="2026-02-11T00:00:00"/>
    <n v="2"/>
    <n v="2"/>
    <n v="67361"/>
    <n v="33680.5"/>
    <s v=" Not Achieved"/>
    <s v=" Excellent"/>
  </r>
  <r>
    <x v="1022"/>
    <x v="1022"/>
    <s v="EMP_1023"/>
    <x v="1"/>
    <s v="EMP_1023Sales"/>
    <x v="1"/>
    <x v="1"/>
    <n v="26072"/>
    <n v="14046"/>
    <n v="60873"/>
    <n v="169063"/>
    <d v="2021-03-05T00:00:00"/>
    <s v="2021"/>
    <d v="2026-02-11T00:00:00"/>
    <n v="4"/>
    <n v="3"/>
    <n v="40118"/>
    <n v="20059"/>
    <s v=" Not Achieved"/>
    <s v="poor"/>
  </r>
  <r>
    <x v="1023"/>
    <x v="1023"/>
    <s v="EMP_1024"/>
    <x v="1"/>
    <s v="EMP_1024Finance"/>
    <x v="2"/>
    <x v="0"/>
    <n v="68072"/>
    <n v="3191"/>
    <n v="0"/>
    <n v="0"/>
    <s v="3/17/2019"/>
    <s v="3/17/2019"/>
    <d v="2026-02-11T00:00:00"/>
    <e v="#VALUE!"/>
    <n v="2"/>
    <n v="71263"/>
    <n v="35631.5"/>
    <s v=" Not Achieved"/>
    <s v=" Excellent"/>
  </r>
  <r>
    <x v="1024"/>
    <x v="1024"/>
    <s v="EMP_1025"/>
    <x v="0"/>
    <s v="EMP_1025Sales"/>
    <x v="1"/>
    <x v="0"/>
    <n v="23612"/>
    <n v="7161"/>
    <n v="147244"/>
    <n v="136898"/>
    <d v="2022-10-11T00:00:00"/>
    <s v="2022"/>
    <d v="2026-02-11T00:00:00"/>
    <n v="3"/>
    <n v="5"/>
    <n v="30773"/>
    <n v="15386.5"/>
    <s v="Achieved"/>
    <s v="poor"/>
  </r>
  <r>
    <x v="1025"/>
    <x v="1025"/>
    <s v="EMP_1026"/>
    <x v="1"/>
    <s v="EMP_1026Marketing"/>
    <x v="4"/>
    <x v="4"/>
    <n v="59734"/>
    <n v="12456"/>
    <n v="0"/>
    <n v="0"/>
    <s v="9/22/2023"/>
    <s v="9/22/2023"/>
    <d v="2026-02-11T00:00:00"/>
    <e v="#VALUE!"/>
    <n v="4"/>
    <n v="72190"/>
    <n v="36095"/>
    <s v=" Not Achieved"/>
    <s v=" Excellent"/>
  </r>
  <r>
    <x v="1026"/>
    <x v="1026"/>
    <s v="EMP_1027"/>
    <x v="1"/>
    <s v="EMP_1027HR"/>
    <x v="0"/>
    <x v="1"/>
    <n v="39909"/>
    <n v="3810"/>
    <n v="0"/>
    <n v="0"/>
    <s v="7/30/2021"/>
    <s v="7/30/2021"/>
    <d v="2026-02-11T00:00:00"/>
    <e v="#VALUE!"/>
    <n v="3"/>
    <n v="43719"/>
    <n v="21859.5"/>
    <s v=" Not Achieved"/>
    <s v="Average"/>
  </r>
  <r>
    <x v="1027"/>
    <x v="1027"/>
    <s v="EMP_1028"/>
    <x v="1"/>
    <s v="EMP_1028Finance"/>
    <x v="2"/>
    <x v="4"/>
    <n v="78448"/>
    <n v="6489"/>
    <n v="0"/>
    <n v="0"/>
    <d v="2021-09-04T00:00:00"/>
    <s v="2021"/>
    <d v="2026-02-11T00:00:00"/>
    <n v="4"/>
    <n v="5"/>
    <n v="84937"/>
    <n v="42468.5"/>
    <s v=" Not Achieved"/>
    <s v=" Excellent"/>
  </r>
  <r>
    <x v="1028"/>
    <x v="1028"/>
    <s v="EMP_1029"/>
    <x v="0"/>
    <s v="EMP_1029Finance"/>
    <x v="2"/>
    <x v="1"/>
    <n v="51936"/>
    <n v="13860"/>
    <n v="0"/>
    <n v="0"/>
    <s v="11/13/2023"/>
    <s v="11/13/2023"/>
    <d v="2026-02-11T00:00:00"/>
    <e v="#VALUE!"/>
    <n v="3"/>
    <n v="65796"/>
    <n v="32898"/>
    <s v=" Not Achieved"/>
    <s v=" Excellent"/>
  </r>
  <r>
    <x v="1029"/>
    <x v="1029"/>
    <s v="EMP_1030"/>
    <x v="0"/>
    <s v="EMP_1030Finance"/>
    <x v="2"/>
    <x v="4"/>
    <n v="58232"/>
    <n v="12895"/>
    <n v="0"/>
    <n v="0"/>
    <s v="4/17/2023"/>
    <s v="4/17/2023"/>
    <d v="2026-02-11T00:00:00"/>
    <e v="#VALUE!"/>
    <n v="4"/>
    <n v="71127"/>
    <n v="35563.5"/>
    <s v=" Not Achieved"/>
    <s v=" Excellent"/>
  </r>
  <r>
    <x v="1030"/>
    <x v="1030"/>
    <s v="EMP_1031"/>
    <x v="0"/>
    <s v="EMP_1031Marketing"/>
    <x v="4"/>
    <x v="3"/>
    <n v="73857"/>
    <n v="3161"/>
    <n v="0"/>
    <n v="0"/>
    <s v="2/16/2019"/>
    <s v="2/16/2019"/>
    <d v="2026-02-11T00:00:00"/>
    <e v="#VALUE!"/>
    <n v="4"/>
    <n v="77018"/>
    <n v="38509"/>
    <s v=" Not Achieved"/>
    <s v=" Excellent"/>
  </r>
  <r>
    <x v="1031"/>
    <x v="1031"/>
    <s v="EMP_1032"/>
    <x v="0"/>
    <s v="EMP_1032Marketing"/>
    <x v="4"/>
    <x v="3"/>
    <n v="65998"/>
    <n v="7879"/>
    <n v="0"/>
    <n v="0"/>
    <s v="2/14/2024"/>
    <s v="2/14/2024"/>
    <d v="2026-02-11T00:00:00"/>
    <e v="#VALUE!"/>
    <n v="5"/>
    <n v="73877"/>
    <n v="36938.5"/>
    <s v=" Not Achieved"/>
    <s v=" Excellent"/>
  </r>
  <r>
    <x v="1032"/>
    <x v="1032"/>
    <s v="EMP_1033"/>
    <x v="1"/>
    <s v="EMP_1033IT"/>
    <x v="3"/>
    <x v="3"/>
    <n v="37661"/>
    <n v="9961"/>
    <n v="0"/>
    <n v="0"/>
    <s v="8/17/2021"/>
    <s v="8/17/2021"/>
    <d v="2026-02-11T00:00:00"/>
    <e v="#VALUE!"/>
    <n v="2"/>
    <n v="47622"/>
    <n v="23811"/>
    <s v=" Not Achieved"/>
    <s v="Average"/>
  </r>
  <r>
    <x v="1033"/>
    <x v="1033"/>
    <s v="EMP_1034"/>
    <x v="0"/>
    <s v="EMP_1034HR"/>
    <x v="0"/>
    <x v="2"/>
    <n v="70254"/>
    <n v="9320"/>
    <n v="0"/>
    <n v="0"/>
    <d v="2023-02-05T00:00:00"/>
    <s v="2023"/>
    <d v="2026-02-11T00:00:00"/>
    <n v="3"/>
    <n v="4"/>
    <n v="79574"/>
    <n v="39787"/>
    <s v=" Not Achieved"/>
    <s v=" Excellent"/>
  </r>
  <r>
    <x v="1034"/>
    <x v="1034"/>
    <s v="EMP_1035"/>
    <x v="1"/>
    <s v="EMP_1035IT"/>
    <x v="3"/>
    <x v="0"/>
    <n v="59062"/>
    <n v="3678"/>
    <n v="0"/>
    <n v="0"/>
    <d v="2020-10-06T00:00:00"/>
    <s v="2020"/>
    <d v="2026-02-11T00:00:00"/>
    <n v="5"/>
    <n v="4"/>
    <n v="62740"/>
    <n v="31370"/>
    <s v=" Not Achieved"/>
    <s v=" Excellent"/>
  </r>
  <r>
    <x v="1035"/>
    <x v="1035"/>
    <s v="EMP_1036"/>
    <x v="0"/>
    <s v="EMP_1036Finance"/>
    <x v="2"/>
    <x v="0"/>
    <n v="67012"/>
    <n v="5736"/>
    <n v="0"/>
    <n v="0"/>
    <d v="2024-06-04T00:00:00"/>
    <s v="2024"/>
    <d v="2026-02-11T00:00:00"/>
    <n v="1"/>
    <n v="1"/>
    <n v="72748"/>
    <n v="36374"/>
    <s v=" Not Achieved"/>
    <s v=" Excellent"/>
  </r>
  <r>
    <x v="1036"/>
    <x v="1036"/>
    <s v="EMP_1037"/>
    <x v="1"/>
    <s v="EMP_1037IT"/>
    <x v="3"/>
    <x v="0"/>
    <n v="24683"/>
    <n v="8414"/>
    <n v="0"/>
    <n v="0"/>
    <s v="7/22/2021"/>
    <s v="7/22/2021"/>
    <d v="2026-02-11T00:00:00"/>
    <e v="#VALUE!"/>
    <n v="3"/>
    <n v="33097"/>
    <n v="16548.5"/>
    <s v=" Not Achieved"/>
    <s v="poor"/>
  </r>
  <r>
    <x v="1037"/>
    <x v="1037"/>
    <s v="EMP_1038"/>
    <x v="0"/>
    <s v="EMP_1038IT"/>
    <x v="3"/>
    <x v="0"/>
    <n v="22231"/>
    <n v="9346"/>
    <n v="0"/>
    <n v="0"/>
    <s v="8/28/2022"/>
    <s v="8/28/2022"/>
    <d v="2026-02-11T00:00:00"/>
    <e v="#VALUE!"/>
    <n v="3"/>
    <n v="31577"/>
    <n v="15788.5"/>
    <s v=" Not Achieved"/>
    <s v="poor"/>
  </r>
  <r>
    <x v="1038"/>
    <x v="1038"/>
    <s v="EMP_1039"/>
    <x v="0"/>
    <s v="EMP_1039Marketing"/>
    <x v="4"/>
    <x v="3"/>
    <n v="64763"/>
    <n v="3148"/>
    <n v="0"/>
    <n v="0"/>
    <d v="2020-09-04T00:00:00"/>
    <s v="2020"/>
    <d v="2026-02-11T00:00:00"/>
    <n v="5"/>
    <n v="3"/>
    <n v="67911"/>
    <n v="33955.5"/>
    <s v=" Not Achieved"/>
    <s v=" Excellent"/>
  </r>
  <r>
    <x v="1039"/>
    <x v="1039"/>
    <s v="EMP_1040"/>
    <x v="0"/>
    <s v="EMP_1040Finance"/>
    <x v="2"/>
    <x v="3"/>
    <n v="44350"/>
    <n v="13586"/>
    <n v="0"/>
    <n v="0"/>
    <s v="9/28/2022"/>
    <s v="9/28/2022"/>
    <d v="2026-02-11T00:00:00"/>
    <e v="#VALUE!"/>
    <n v="4"/>
    <n v="57936"/>
    <n v="28968"/>
    <s v=" Not Achieved"/>
    <s v="Good"/>
  </r>
  <r>
    <x v="1040"/>
    <x v="1040"/>
    <s v="EMP_1041"/>
    <x v="0"/>
    <s v="EMP_1041IT"/>
    <x v="3"/>
    <x v="1"/>
    <n v="42822"/>
    <n v="9407"/>
    <n v="0"/>
    <n v="0"/>
    <s v="10/29/2018"/>
    <s v="10/29/2018"/>
    <d v="2026-02-11T00:00:00"/>
    <e v="#VALUE!"/>
    <n v="3"/>
    <n v="52229"/>
    <n v="26114.5"/>
    <s v=" Not Achieved"/>
    <s v="Good"/>
  </r>
  <r>
    <x v="1041"/>
    <x v="1041"/>
    <s v="EMP_1042"/>
    <x v="0"/>
    <s v="EMP_1042HR"/>
    <x v="0"/>
    <x v="4"/>
    <n v="72897"/>
    <n v="14257"/>
    <n v="0"/>
    <n v="0"/>
    <d v="2020-10-01T00:00:00"/>
    <s v="2020"/>
    <d v="2026-02-11T00:00:00"/>
    <n v="5"/>
    <n v="2"/>
    <n v="87154"/>
    <n v="43577"/>
    <s v=" Not Achieved"/>
    <s v=" Excellent"/>
  </r>
  <r>
    <x v="1042"/>
    <x v="1042"/>
    <s v="EMP_1043"/>
    <x v="0"/>
    <s v="EMP_1043Marketing"/>
    <x v="4"/>
    <x v="0"/>
    <n v="59822"/>
    <n v="13979"/>
    <n v="0"/>
    <n v="0"/>
    <d v="2024-02-03T00:00:00"/>
    <s v="2024"/>
    <d v="2026-02-11T00:00:00"/>
    <n v="2"/>
    <n v="1"/>
    <n v="73801"/>
    <n v="36900.5"/>
    <s v=" Not Achieved"/>
    <s v=" Excellent"/>
  </r>
  <r>
    <x v="1043"/>
    <x v="1043"/>
    <s v="EMP_1044"/>
    <x v="0"/>
    <s v="EMP_1044Finance"/>
    <x v="2"/>
    <x v="4"/>
    <n v="74222"/>
    <n v="7629"/>
    <n v="0"/>
    <n v="0"/>
    <d v="2022-01-06T00:00:00"/>
    <s v="2022"/>
    <d v="2026-02-11T00:00:00"/>
    <n v="4"/>
    <n v="3"/>
    <n v="81851"/>
    <n v="40925.5"/>
    <s v=" Not Achieved"/>
    <s v=" Excellent"/>
  </r>
  <r>
    <x v="1044"/>
    <x v="1044"/>
    <s v="EMP_1045"/>
    <x v="0"/>
    <s v="EMP_1045Sales"/>
    <x v="1"/>
    <x v="1"/>
    <n v="25619"/>
    <n v="4252"/>
    <n v="244150"/>
    <n v="185181"/>
    <d v="2022-05-03T00:00:00"/>
    <s v="2022"/>
    <d v="2026-02-11T00:00:00"/>
    <n v="3"/>
    <n v="1"/>
    <n v="29871"/>
    <n v="14935.5"/>
    <s v="Achieved"/>
    <s v="poor"/>
  </r>
  <r>
    <x v="1045"/>
    <x v="1045"/>
    <s v="EMP_1046"/>
    <x v="1"/>
    <s v="EMP_1046Sales"/>
    <x v="1"/>
    <x v="1"/>
    <n v="75557"/>
    <n v="4553"/>
    <n v="199597"/>
    <n v="102072"/>
    <d v="2018-08-07T00:00:00"/>
    <s v="2018"/>
    <d v="2026-02-11T00:00:00"/>
    <n v="7"/>
    <n v="2"/>
    <n v="80110"/>
    <n v="40055"/>
    <s v="Achieved"/>
    <s v=" Excellent"/>
  </r>
  <r>
    <x v="1046"/>
    <x v="1046"/>
    <s v="EMP_1047"/>
    <x v="1"/>
    <s v="EMP_1047Sales"/>
    <x v="1"/>
    <x v="4"/>
    <n v="79348"/>
    <n v="14128"/>
    <n v="195204"/>
    <n v="242531"/>
    <s v="9/22/2018"/>
    <s v="9/22/2018"/>
    <d v="2026-02-11T00:00:00"/>
    <e v="#VALUE!"/>
    <n v="5"/>
    <n v="93476"/>
    <n v="46738"/>
    <s v=" Not Achieved"/>
    <s v=" Excellent"/>
  </r>
  <r>
    <x v="1047"/>
    <x v="1047"/>
    <s v="EMP_1048"/>
    <x v="0"/>
    <s v="EMP_1048HR"/>
    <x v="0"/>
    <x v="0"/>
    <n v="30438"/>
    <n v="7173"/>
    <n v="0"/>
    <n v="0"/>
    <s v="8/26/2021"/>
    <s v="8/26/2021"/>
    <d v="2026-02-11T00:00:00"/>
    <e v="#VALUE!"/>
    <n v="3"/>
    <n v="37611"/>
    <n v="18805.5"/>
    <s v=" Not Achieved"/>
    <s v="Average"/>
  </r>
  <r>
    <x v="1048"/>
    <x v="1048"/>
    <s v="EMP_1049"/>
    <x v="0"/>
    <s v="EMP_1049IT"/>
    <x v="3"/>
    <x v="1"/>
    <n v="64212"/>
    <n v="9664"/>
    <n v="0"/>
    <n v="0"/>
    <s v="2/24/2019"/>
    <s v="2/24/2019"/>
    <d v="2026-02-11T00:00:00"/>
    <e v="#VALUE!"/>
    <n v="5"/>
    <n v="73876"/>
    <n v="36938"/>
    <s v=" Not Achieved"/>
    <s v=" Excellent"/>
  </r>
  <r>
    <x v="1049"/>
    <x v="1049"/>
    <s v="EMP_1050"/>
    <x v="0"/>
    <s v="EMP_1050Finance"/>
    <x v="2"/>
    <x v="3"/>
    <n v="36004"/>
    <n v="10536"/>
    <n v="0"/>
    <n v="0"/>
    <s v="8/28/2022"/>
    <s v="8/28/2022"/>
    <d v="2026-02-11T00:00:00"/>
    <e v="#VALUE!"/>
    <n v="1"/>
    <n v="46540"/>
    <n v="23270"/>
    <s v=" Not Achieved"/>
    <s v="Average"/>
  </r>
  <r>
    <x v="1050"/>
    <x v="1050"/>
    <s v="EMP_1051"/>
    <x v="1"/>
    <s v="EMP_1051HR"/>
    <x v="0"/>
    <x v="4"/>
    <n v="59060"/>
    <n v="11700"/>
    <n v="0"/>
    <n v="0"/>
    <s v="1/19/2024"/>
    <s v="1/19/2024"/>
    <d v="2026-02-11T00:00:00"/>
    <e v="#VALUE!"/>
    <n v="2"/>
    <n v="70760"/>
    <n v="35380"/>
    <s v=" Not Achieved"/>
    <s v=" Excellent"/>
  </r>
  <r>
    <x v="1051"/>
    <x v="1051"/>
    <s v="EMP_1052"/>
    <x v="0"/>
    <s v="EMP_1052IT"/>
    <x v="3"/>
    <x v="0"/>
    <n v="72002"/>
    <n v="6180"/>
    <n v="0"/>
    <n v="0"/>
    <s v="9/24/2024"/>
    <s v="9/24/2024"/>
    <d v="2026-02-11T00:00:00"/>
    <e v="#VALUE!"/>
    <n v="2"/>
    <n v="78182"/>
    <n v="39091"/>
    <s v=" Not Achieved"/>
    <s v=" Excellent"/>
  </r>
  <r>
    <x v="1052"/>
    <x v="1052"/>
    <s v="EMP_1053"/>
    <x v="0"/>
    <s v="EMP_1053Sales"/>
    <x v="1"/>
    <x v="1"/>
    <n v="41646"/>
    <n v="2932"/>
    <n v="255068"/>
    <n v="156490"/>
    <s v="3/31/2020"/>
    <s v="3/31/2020"/>
    <d v="2026-02-11T00:00:00"/>
    <e v="#VALUE!"/>
    <n v="1"/>
    <n v="44578"/>
    <n v="22289"/>
    <s v="Achieved"/>
    <s v="Good"/>
  </r>
  <r>
    <x v="1053"/>
    <x v="1053"/>
    <s v="EMP_1054"/>
    <x v="0"/>
    <s v="EMP_1054Sales"/>
    <x v="1"/>
    <x v="4"/>
    <n v="46982"/>
    <n v="5160"/>
    <n v="276997"/>
    <n v="196097"/>
    <d v="2022-05-09T00:00:00"/>
    <s v="2022"/>
    <d v="2026-02-11T00:00:00"/>
    <n v="3"/>
    <n v="3"/>
    <n v="52142"/>
    <n v="26071"/>
    <s v="Achieved"/>
    <s v="Good"/>
  </r>
  <r>
    <x v="1054"/>
    <x v="1054"/>
    <s v="EMP_1055"/>
    <x v="0"/>
    <s v="EMP_1055Sales"/>
    <x v="1"/>
    <x v="4"/>
    <n v="61324"/>
    <n v="2710"/>
    <n v="232409"/>
    <n v="146489"/>
    <d v="2024-02-01T00:00:00"/>
    <s v="2024"/>
    <d v="2026-02-11T00:00:00"/>
    <n v="2"/>
    <n v="5"/>
    <n v="64034"/>
    <n v="32017"/>
    <s v="Achieved"/>
    <s v=" Excellent"/>
  </r>
  <r>
    <x v="1055"/>
    <x v="1055"/>
    <s v="EMP_1056"/>
    <x v="1"/>
    <s v="EMP_1056Sales"/>
    <x v="1"/>
    <x v="3"/>
    <n v="40346"/>
    <n v="13633"/>
    <n v="206432"/>
    <n v="182382"/>
    <d v="2022-12-06T00:00:00"/>
    <s v="2022"/>
    <d v="2026-02-11T00:00:00"/>
    <n v="3"/>
    <n v="1"/>
    <n v="53979"/>
    <n v="26989.5"/>
    <s v="Achieved"/>
    <s v="Good"/>
  </r>
  <r>
    <x v="1056"/>
    <x v="1056"/>
    <s v="EMP_1057"/>
    <x v="1"/>
    <s v="EMP_1057Finance"/>
    <x v="2"/>
    <x v="4"/>
    <n v="23205"/>
    <n v="6631"/>
    <n v="0"/>
    <n v="0"/>
    <s v="1/25/2019"/>
    <s v="1/25/2019"/>
    <d v="2026-02-11T00:00:00"/>
    <e v="#VALUE!"/>
    <n v="3"/>
    <n v="29836"/>
    <n v="14918"/>
    <s v=" Not Achieved"/>
    <s v="poor"/>
  </r>
  <r>
    <x v="1057"/>
    <x v="1057"/>
    <s v="EMP_1058"/>
    <x v="1"/>
    <s v="EMP_1058Marketing"/>
    <x v="4"/>
    <x v="2"/>
    <n v="51303"/>
    <n v="2468"/>
    <n v="0"/>
    <n v="0"/>
    <d v="2022-03-04T00:00:00"/>
    <s v="2022"/>
    <d v="2026-02-11T00:00:00"/>
    <n v="3"/>
    <n v="4"/>
    <n v="53771"/>
    <n v="26885.5"/>
    <s v=" Not Achieved"/>
    <s v=" Excellent"/>
  </r>
  <r>
    <x v="1058"/>
    <x v="1058"/>
    <s v="EMP_1059"/>
    <x v="0"/>
    <s v="EMP_1059Marketing"/>
    <x v="4"/>
    <x v="0"/>
    <n v="45238"/>
    <n v="3122"/>
    <n v="0"/>
    <n v="0"/>
    <s v="12/24/2018"/>
    <s v="12/24/2018"/>
    <d v="2026-02-11T00:00:00"/>
    <e v="#VALUE!"/>
    <n v="1"/>
    <n v="48360"/>
    <n v="24180"/>
    <s v=" Not Achieved"/>
    <s v="Good"/>
  </r>
  <r>
    <x v="1059"/>
    <x v="1059"/>
    <s v="EMP_1060"/>
    <x v="1"/>
    <s v="EMP_1060Sales"/>
    <x v="1"/>
    <x v="1"/>
    <n v="57726"/>
    <n v="10783"/>
    <n v="51970"/>
    <n v="92106"/>
    <d v="2021-09-02T00:00:00"/>
    <s v="2021"/>
    <d v="2026-02-11T00:00:00"/>
    <n v="4"/>
    <n v="3"/>
    <n v="68509"/>
    <n v="34254.5"/>
    <s v=" Not Achieved"/>
    <s v=" Excellent"/>
  </r>
  <r>
    <x v="1060"/>
    <x v="1060"/>
    <s v="EMP_1061"/>
    <x v="0"/>
    <s v="EMP_1061HR"/>
    <x v="0"/>
    <x v="1"/>
    <n v="47214"/>
    <n v="14631"/>
    <n v="0"/>
    <n v="0"/>
    <d v="2022-09-07T00:00:00"/>
    <s v="2022"/>
    <d v="2026-02-11T00:00:00"/>
    <n v="3"/>
    <n v="4"/>
    <n v="61845"/>
    <n v="30922.5"/>
    <s v=" Not Achieved"/>
    <s v="Good"/>
  </r>
  <r>
    <x v="1061"/>
    <x v="1061"/>
    <s v="EMP_1062"/>
    <x v="1"/>
    <s v="EMP_1062HR"/>
    <x v="0"/>
    <x v="1"/>
    <n v="28298"/>
    <n v="14343"/>
    <n v="0"/>
    <n v="0"/>
    <s v="12/25/2020"/>
    <s v="12/25/2020"/>
    <d v="2026-02-11T00:00:00"/>
    <e v="#VALUE!"/>
    <n v="3"/>
    <n v="42641"/>
    <n v="21320.5"/>
    <s v=" Not Achieved"/>
    <s v="poor"/>
  </r>
  <r>
    <x v="1062"/>
    <x v="1062"/>
    <s v="EMP_1063"/>
    <x v="0"/>
    <s v="EMP_1063HR"/>
    <x v="0"/>
    <x v="4"/>
    <n v="44956"/>
    <n v="3010"/>
    <n v="0"/>
    <n v="0"/>
    <s v="8/29/2019"/>
    <s v="8/29/2019"/>
    <d v="2026-02-11T00:00:00"/>
    <e v="#VALUE!"/>
    <n v="5"/>
    <n v="47966"/>
    <n v="23983"/>
    <s v=" Not Achieved"/>
    <s v="Good"/>
  </r>
  <r>
    <x v="1063"/>
    <x v="1063"/>
    <s v="EMP_1064"/>
    <x v="0"/>
    <s v="EMP_1064Sales"/>
    <x v="1"/>
    <x v="4"/>
    <n v="25855"/>
    <n v="9286"/>
    <n v="209312"/>
    <n v="246525"/>
    <d v="2018-01-01T00:00:00"/>
    <s v="2018"/>
    <d v="2026-02-11T00:00:00"/>
    <n v="8"/>
    <n v="5"/>
    <n v="35141"/>
    <n v="17570.5"/>
    <s v=" Not Achieved"/>
    <s v="poor"/>
  </r>
  <r>
    <x v="1064"/>
    <x v="1064"/>
    <s v="EMP_1065"/>
    <x v="1"/>
    <s v="EMP_1065Marketing"/>
    <x v="4"/>
    <x v="0"/>
    <n v="77894"/>
    <n v="13407"/>
    <n v="0"/>
    <n v="0"/>
    <s v="12/26/2023"/>
    <s v="12/26/2023"/>
    <d v="2026-02-11T00:00:00"/>
    <e v="#VALUE!"/>
    <n v="2"/>
    <n v="91301"/>
    <n v="45650.5"/>
    <s v=" Not Achieved"/>
    <s v=" Excellent"/>
  </r>
  <r>
    <x v="1065"/>
    <x v="1065"/>
    <s v="EMP_1066"/>
    <x v="1"/>
    <s v="EMP_1066IT"/>
    <x v="3"/>
    <x v="3"/>
    <n v="43837"/>
    <n v="10708"/>
    <n v="0"/>
    <n v="0"/>
    <s v="12/16/2020"/>
    <s v="12/16/2020"/>
    <d v="2026-02-11T00:00:00"/>
    <e v="#VALUE!"/>
    <n v="5"/>
    <n v="54545"/>
    <n v="27272.5"/>
    <s v=" Not Achieved"/>
    <s v="Good"/>
  </r>
  <r>
    <x v="1066"/>
    <x v="1066"/>
    <s v="EMP_1067"/>
    <x v="1"/>
    <s v="EMP_1067Sales"/>
    <x v="1"/>
    <x v="1"/>
    <n v="58452"/>
    <n v="8953"/>
    <n v="268846"/>
    <n v="177077"/>
    <d v="2020-08-04T00:00:00"/>
    <s v="2020"/>
    <d v="2026-02-11T00:00:00"/>
    <n v="5"/>
    <n v="5"/>
    <n v="67405"/>
    <n v="33702.5"/>
    <s v="Achieved"/>
    <s v=" Excellent"/>
  </r>
  <r>
    <x v="1067"/>
    <x v="1067"/>
    <s v="EMP_1068"/>
    <x v="1"/>
    <s v="EMP_1068Sales"/>
    <x v="1"/>
    <x v="2"/>
    <n v="76764"/>
    <n v="12307"/>
    <n v="231494"/>
    <n v="200434"/>
    <s v="4/15/2022"/>
    <s v="4/15/2022"/>
    <d v="2026-02-11T00:00:00"/>
    <e v="#VALUE!"/>
    <n v="5"/>
    <n v="89071"/>
    <n v="44535.5"/>
    <s v="Achieved"/>
    <s v=" Excellent"/>
  </r>
  <r>
    <x v="1068"/>
    <x v="1068"/>
    <s v="EMP_1069"/>
    <x v="0"/>
    <s v="EMP_1069Marketing"/>
    <x v="4"/>
    <x v="3"/>
    <n v="48461"/>
    <n v="8695"/>
    <n v="0"/>
    <n v="0"/>
    <s v="12/20/2024"/>
    <s v="12/20/2024"/>
    <d v="2026-02-11T00:00:00"/>
    <e v="#VALUE!"/>
    <n v="2"/>
    <n v="57156"/>
    <n v="28578"/>
    <s v=" Not Achieved"/>
    <s v="Good"/>
  </r>
  <r>
    <x v="1069"/>
    <x v="1069"/>
    <s v="EMP_1070"/>
    <x v="1"/>
    <s v="EMP_1070HR"/>
    <x v="0"/>
    <x v="2"/>
    <n v="35271"/>
    <n v="3837"/>
    <n v="0"/>
    <n v="0"/>
    <d v="2019-04-04T00:00:00"/>
    <s v="2019"/>
    <d v="2026-02-11T00:00:00"/>
    <n v="6"/>
    <n v="1"/>
    <n v="39108"/>
    <n v="19554"/>
    <s v=" Not Achieved"/>
    <s v="Average"/>
  </r>
  <r>
    <x v="1070"/>
    <x v="1070"/>
    <s v="EMP_1071"/>
    <x v="1"/>
    <s v="EMP_1071Sales"/>
    <x v="1"/>
    <x v="2"/>
    <n v="33807"/>
    <n v="9224"/>
    <n v="148142"/>
    <n v="199953"/>
    <d v="2019-03-10T00:00:00"/>
    <s v="2019"/>
    <d v="2026-02-11T00:00:00"/>
    <n v="6"/>
    <n v="1"/>
    <n v="43031"/>
    <n v="21515.5"/>
    <s v=" Not Achieved"/>
    <s v="Average"/>
  </r>
  <r>
    <x v="1071"/>
    <x v="1071"/>
    <s v="EMP_1072"/>
    <x v="0"/>
    <s v="EMP_1072HR"/>
    <x v="0"/>
    <x v="2"/>
    <n v="50494"/>
    <n v="2067"/>
    <n v="0"/>
    <n v="0"/>
    <s v="7/29/2021"/>
    <s v="7/29/2021"/>
    <d v="2026-02-11T00:00:00"/>
    <e v="#VALUE!"/>
    <n v="4"/>
    <n v="52561"/>
    <n v="26280.5"/>
    <s v=" Not Achieved"/>
    <s v=" Excellent"/>
  </r>
  <r>
    <x v="1072"/>
    <x v="1072"/>
    <s v="EMP_1073"/>
    <x v="0"/>
    <s v="EMP_1073Marketing"/>
    <x v="4"/>
    <x v="2"/>
    <n v="32604"/>
    <n v="7396"/>
    <n v="0"/>
    <n v="0"/>
    <s v="2/17/2024"/>
    <s v="2/17/2024"/>
    <d v="2026-02-11T00:00:00"/>
    <e v="#VALUE!"/>
    <n v="3"/>
    <n v="40000"/>
    <n v="20000"/>
    <s v=" Not Achieved"/>
    <s v="Average"/>
  </r>
  <r>
    <x v="1073"/>
    <x v="1073"/>
    <s v="EMP_1074"/>
    <x v="1"/>
    <s v="EMP_1074Sales"/>
    <x v="1"/>
    <x v="2"/>
    <n v="39050"/>
    <n v="7688"/>
    <n v="216911"/>
    <n v="234267"/>
    <d v="2020-12-02T00:00:00"/>
    <s v="2020"/>
    <d v="2026-02-11T00:00:00"/>
    <n v="5"/>
    <n v="3"/>
    <n v="46738"/>
    <n v="23369"/>
    <s v=" Not Achieved"/>
    <s v="Average"/>
  </r>
  <r>
    <x v="1074"/>
    <x v="1074"/>
    <s v="EMP_1075"/>
    <x v="0"/>
    <s v="EMP_1075Sales"/>
    <x v="1"/>
    <x v="0"/>
    <n v="44193"/>
    <n v="4969"/>
    <n v="216328"/>
    <n v="125357"/>
    <s v="11/15/2021"/>
    <s v="11/15/2021"/>
    <d v="2026-02-11T00:00:00"/>
    <e v="#VALUE!"/>
    <n v="1"/>
    <n v="49162"/>
    <n v="24581"/>
    <s v="Achieved"/>
    <s v="Good"/>
  </r>
  <r>
    <x v="1075"/>
    <x v="1075"/>
    <s v="EMP_1076"/>
    <x v="0"/>
    <s v="EMP_1076HR"/>
    <x v="0"/>
    <x v="1"/>
    <n v="53354"/>
    <n v="2390"/>
    <n v="0"/>
    <n v="0"/>
    <d v="2019-11-01T00:00:00"/>
    <s v="2019"/>
    <d v="2026-02-11T00:00:00"/>
    <n v="6"/>
    <n v="2"/>
    <n v="55744"/>
    <n v="27872"/>
    <s v=" Not Achieved"/>
    <s v=" Excellent"/>
  </r>
  <r>
    <x v="1076"/>
    <x v="1076"/>
    <s v="EMP_1077"/>
    <x v="0"/>
    <s v="EMP_1077IT"/>
    <x v="3"/>
    <x v="2"/>
    <n v="49174"/>
    <n v="4034"/>
    <n v="0"/>
    <n v="0"/>
    <s v="7/24/2021"/>
    <s v="7/24/2021"/>
    <d v="2026-02-11T00:00:00"/>
    <e v="#VALUE!"/>
    <n v="2"/>
    <n v="53208"/>
    <n v="26604"/>
    <s v=" Not Achieved"/>
    <s v="Good"/>
  </r>
  <r>
    <x v="1077"/>
    <x v="1077"/>
    <s v="EMP_1078"/>
    <x v="0"/>
    <s v="EMP_1078HR"/>
    <x v="0"/>
    <x v="2"/>
    <n v="64504"/>
    <n v="9731"/>
    <n v="0"/>
    <n v="0"/>
    <d v="2019-04-02T00:00:00"/>
    <s v="2019"/>
    <d v="2026-02-11T00:00:00"/>
    <n v="6"/>
    <n v="4"/>
    <n v="74235"/>
    <n v="37117.5"/>
    <s v=" Not Achieved"/>
    <s v=" Excellent"/>
  </r>
  <r>
    <x v="1078"/>
    <x v="1078"/>
    <s v="EMP_1079"/>
    <x v="1"/>
    <s v="EMP_1079IT"/>
    <x v="3"/>
    <x v="4"/>
    <n v="36611"/>
    <n v="8005"/>
    <n v="0"/>
    <n v="0"/>
    <s v="10/26/2019"/>
    <s v="10/26/2019"/>
    <d v="2026-02-11T00:00:00"/>
    <e v="#VALUE!"/>
    <n v="4"/>
    <n v="44616"/>
    <n v="22308"/>
    <s v=" Not Achieved"/>
    <s v="Average"/>
  </r>
  <r>
    <x v="1079"/>
    <x v="1079"/>
    <s v="EMP_1080"/>
    <x v="1"/>
    <s v="EMP_1080Marketing"/>
    <x v="4"/>
    <x v="2"/>
    <n v="62101"/>
    <n v="5218"/>
    <n v="0"/>
    <n v="0"/>
    <s v="11/23/2024"/>
    <s v="11/23/2024"/>
    <d v="2026-02-11T00:00:00"/>
    <e v="#VALUE!"/>
    <n v="5"/>
    <n v="67319"/>
    <n v="33659.5"/>
    <s v=" Not Achieved"/>
    <s v=" Excellent"/>
  </r>
  <r>
    <x v="1080"/>
    <x v="1080"/>
    <s v="EMP_1081"/>
    <x v="0"/>
    <s v="EMP_1081Finance"/>
    <x v="2"/>
    <x v="1"/>
    <n v="62110"/>
    <n v="8157"/>
    <n v="0"/>
    <n v="0"/>
    <d v="2024-12-01T00:00:00"/>
    <s v="2024"/>
    <d v="2026-02-11T00:00:00"/>
    <n v="1"/>
    <n v="4"/>
    <n v="70267"/>
    <n v="35133.5"/>
    <s v=" Not Achieved"/>
    <s v=" Excellent"/>
  </r>
  <r>
    <x v="1081"/>
    <x v="1081"/>
    <s v="EMP_1082"/>
    <x v="0"/>
    <s v="EMP_1082IT"/>
    <x v="3"/>
    <x v="0"/>
    <n v="70553"/>
    <n v="11640"/>
    <n v="0"/>
    <n v="0"/>
    <d v="2023-02-09T00:00:00"/>
    <s v="2023"/>
    <d v="2026-02-11T00:00:00"/>
    <n v="3"/>
    <n v="5"/>
    <n v="82193"/>
    <n v="41096.5"/>
    <s v=" Not Achieved"/>
    <s v=" Excellent"/>
  </r>
  <r>
    <x v="1082"/>
    <x v="1082"/>
    <s v="EMP_1083"/>
    <x v="0"/>
    <s v="EMP_1083HR"/>
    <x v="0"/>
    <x v="1"/>
    <n v="29634"/>
    <n v="11675"/>
    <n v="0"/>
    <n v="0"/>
    <s v="10/25/2018"/>
    <s v="10/25/2018"/>
    <d v="2026-02-11T00:00:00"/>
    <e v="#VALUE!"/>
    <n v="1"/>
    <n v="41309"/>
    <n v="20654.5"/>
    <s v=" Not Achieved"/>
    <s v="poor"/>
  </r>
  <r>
    <x v="1083"/>
    <x v="1083"/>
    <s v="EMP_1084"/>
    <x v="0"/>
    <s v="EMP_1084HR"/>
    <x v="0"/>
    <x v="3"/>
    <n v="31665"/>
    <n v="4106"/>
    <n v="0"/>
    <n v="0"/>
    <s v="3/27/2019"/>
    <s v="3/27/2019"/>
    <d v="2026-02-11T00:00:00"/>
    <e v="#VALUE!"/>
    <n v="4"/>
    <n v="35771"/>
    <n v="17885.5"/>
    <s v=" Not Achieved"/>
    <s v="Average"/>
  </r>
  <r>
    <x v="1084"/>
    <x v="1084"/>
    <s v="EMP_1085"/>
    <x v="1"/>
    <s v="EMP_1085Finance"/>
    <x v="2"/>
    <x v="4"/>
    <n v="33476"/>
    <n v="10266"/>
    <n v="0"/>
    <n v="0"/>
    <d v="2022-09-08T00:00:00"/>
    <s v="2022"/>
    <d v="2026-02-11T00:00:00"/>
    <n v="3"/>
    <n v="4"/>
    <n v="43742"/>
    <n v="21871"/>
    <s v=" Not Achieved"/>
    <s v="Average"/>
  </r>
  <r>
    <x v="1085"/>
    <x v="1085"/>
    <s v="EMP_1086"/>
    <x v="1"/>
    <s v="EMP_1086Finance"/>
    <x v="2"/>
    <x v="4"/>
    <n v="42062"/>
    <n v="9442"/>
    <n v="0"/>
    <n v="0"/>
    <s v="3/13/2018"/>
    <s v="3/13/2018"/>
    <d v="2026-02-11T00:00:00"/>
    <e v="#VALUE!"/>
    <n v="2"/>
    <n v="51504"/>
    <n v="25752"/>
    <s v=" Not Achieved"/>
    <s v="Good"/>
  </r>
  <r>
    <x v="1086"/>
    <x v="1086"/>
    <s v="EMP_1087"/>
    <x v="1"/>
    <s v="EMP_1087IT"/>
    <x v="3"/>
    <x v="1"/>
    <n v="48228"/>
    <n v="9072"/>
    <n v="0"/>
    <n v="0"/>
    <s v="10/16/2019"/>
    <s v="10/16/2019"/>
    <d v="2026-02-11T00:00:00"/>
    <e v="#VALUE!"/>
    <n v="4"/>
    <n v="57300"/>
    <n v="28650"/>
    <s v=" Not Achieved"/>
    <s v="Good"/>
  </r>
  <r>
    <x v="1087"/>
    <x v="1087"/>
    <s v="EMP_1088"/>
    <x v="0"/>
    <s v="EMP_1088Finance"/>
    <x v="2"/>
    <x v="3"/>
    <n v="79819"/>
    <n v="6950"/>
    <n v="0"/>
    <n v="0"/>
    <d v="2019-10-10T00:00:00"/>
    <s v="2019"/>
    <d v="2026-02-11T00:00:00"/>
    <n v="6"/>
    <n v="1"/>
    <n v="86769"/>
    <n v="43384.5"/>
    <s v=" Not Achieved"/>
    <s v=" Excellent"/>
  </r>
  <r>
    <x v="1088"/>
    <x v="1088"/>
    <s v="EMP_1089"/>
    <x v="1"/>
    <s v="EMP_1089HR"/>
    <x v="0"/>
    <x v="1"/>
    <n v="23967"/>
    <n v="7246"/>
    <n v="0"/>
    <n v="0"/>
    <s v="12/17/2024"/>
    <s v="12/17/2024"/>
    <d v="2026-02-11T00:00:00"/>
    <e v="#VALUE!"/>
    <n v="2"/>
    <n v="31213"/>
    <n v="15606.5"/>
    <s v=" Not Achieved"/>
    <s v="poor"/>
  </r>
  <r>
    <x v="1089"/>
    <x v="1089"/>
    <s v="EMP_1090"/>
    <x v="1"/>
    <s v="EMP_1090Marketing"/>
    <x v="4"/>
    <x v="1"/>
    <n v="79837"/>
    <n v="3648"/>
    <n v="0"/>
    <n v="0"/>
    <s v="7/25/2023"/>
    <s v="7/25/2023"/>
    <d v="2026-02-11T00:00:00"/>
    <e v="#VALUE!"/>
    <n v="3"/>
    <n v="83485"/>
    <n v="41742.5"/>
    <s v=" Not Achieved"/>
    <s v=" Excellent"/>
  </r>
  <r>
    <x v="1090"/>
    <x v="1090"/>
    <s v="EMP_1091"/>
    <x v="0"/>
    <s v="EMP_1091HR"/>
    <x v="0"/>
    <x v="4"/>
    <n v="27259"/>
    <n v="13145"/>
    <n v="0"/>
    <n v="0"/>
    <d v="2023-05-09T00:00:00"/>
    <s v="2023"/>
    <d v="2026-02-11T00:00:00"/>
    <n v="2"/>
    <n v="4"/>
    <n v="40404"/>
    <n v="20202"/>
    <s v=" Not Achieved"/>
    <s v="poor"/>
  </r>
  <r>
    <x v="1091"/>
    <x v="1091"/>
    <s v="EMP_1092"/>
    <x v="1"/>
    <s v="EMP_1092Marketing"/>
    <x v="4"/>
    <x v="2"/>
    <n v="24015"/>
    <n v="9403"/>
    <n v="0"/>
    <n v="0"/>
    <s v="8/27/2023"/>
    <s v="8/27/2023"/>
    <d v="2026-02-11T00:00:00"/>
    <e v="#VALUE!"/>
    <n v="4"/>
    <n v="33418"/>
    <n v="16709"/>
    <s v=" Not Achieved"/>
    <s v="poor"/>
  </r>
  <r>
    <x v="1092"/>
    <x v="1092"/>
    <s v="EMP_1093"/>
    <x v="1"/>
    <s v="EMP_1093Marketing"/>
    <x v="4"/>
    <x v="2"/>
    <n v="30605"/>
    <n v="7646"/>
    <n v="0"/>
    <n v="0"/>
    <s v="9/17/2018"/>
    <s v="9/17/2018"/>
    <d v="2026-02-11T00:00:00"/>
    <e v="#VALUE!"/>
    <n v="2"/>
    <n v="38251"/>
    <n v="19125.5"/>
    <s v=" Not Achieved"/>
    <s v="Average"/>
  </r>
  <r>
    <x v="1093"/>
    <x v="1093"/>
    <s v="EMP_1094"/>
    <x v="1"/>
    <s v="EMP_1094IT"/>
    <x v="3"/>
    <x v="0"/>
    <n v="26055"/>
    <n v="10018"/>
    <n v="0"/>
    <n v="0"/>
    <s v="5/28/2021"/>
    <s v="5/28/2021"/>
    <d v="2026-02-11T00:00:00"/>
    <e v="#VALUE!"/>
    <n v="2"/>
    <n v="36073"/>
    <n v="18036.5"/>
    <s v=" Not Achieved"/>
    <s v="poor"/>
  </r>
  <r>
    <x v="1094"/>
    <x v="1094"/>
    <s v="EMP_1095"/>
    <x v="0"/>
    <s v="EMP_1095Sales"/>
    <x v="1"/>
    <x v="0"/>
    <n v="68694"/>
    <n v="5964"/>
    <n v="52951"/>
    <n v="186593"/>
    <s v="2/27/2022"/>
    <s v="2/27/2022"/>
    <d v="2026-02-11T00:00:00"/>
    <e v="#VALUE!"/>
    <n v="2"/>
    <n v="74658"/>
    <n v="37329"/>
    <s v=" Not Achieved"/>
    <s v=" Excellent"/>
  </r>
  <r>
    <x v="1095"/>
    <x v="1095"/>
    <s v="EMP_1096"/>
    <x v="0"/>
    <s v="EMP_1096HR"/>
    <x v="0"/>
    <x v="2"/>
    <n v="34214"/>
    <n v="10542"/>
    <n v="0"/>
    <n v="0"/>
    <d v="2023-09-02T00:00:00"/>
    <s v="2023"/>
    <d v="2026-02-11T00:00:00"/>
    <n v="2"/>
    <n v="4"/>
    <n v="44756"/>
    <n v="22378"/>
    <s v=" Not Achieved"/>
    <s v="Average"/>
  </r>
  <r>
    <x v="1096"/>
    <x v="1096"/>
    <s v="EMP_1097"/>
    <x v="0"/>
    <s v="EMP_1097HR"/>
    <x v="0"/>
    <x v="1"/>
    <n v="70528"/>
    <n v="10231"/>
    <n v="0"/>
    <n v="0"/>
    <d v="2019-11-04T00:00:00"/>
    <s v="2019"/>
    <d v="2026-02-11T00:00:00"/>
    <n v="6"/>
    <n v="5"/>
    <n v="80759"/>
    <n v="40379.5"/>
    <s v=" Not Achieved"/>
    <s v=" Excellent"/>
  </r>
  <r>
    <x v="1097"/>
    <x v="1097"/>
    <s v="EMP_1098"/>
    <x v="1"/>
    <s v="EMP_1098HR"/>
    <x v="0"/>
    <x v="2"/>
    <n v="52019"/>
    <n v="14976"/>
    <n v="0"/>
    <n v="0"/>
    <s v="9/24/2022"/>
    <s v="9/24/2022"/>
    <d v="2026-02-11T00:00:00"/>
    <e v="#VALUE!"/>
    <n v="3"/>
    <n v="66995"/>
    <n v="33497.5"/>
    <s v=" Not Achieved"/>
    <s v=" Excellent"/>
  </r>
  <r>
    <x v="1098"/>
    <x v="1098"/>
    <s v="EMP_1099"/>
    <x v="0"/>
    <s v="EMP_1099HR"/>
    <x v="0"/>
    <x v="0"/>
    <n v="44635"/>
    <n v="13675"/>
    <n v="0"/>
    <n v="0"/>
    <s v="8/25/2018"/>
    <s v="8/25/2018"/>
    <d v="2026-02-11T00:00:00"/>
    <e v="#VALUE!"/>
    <n v="5"/>
    <n v="58310"/>
    <n v="29155"/>
    <s v=" Not Achieved"/>
    <s v="Good"/>
  </r>
  <r>
    <x v="1099"/>
    <x v="1099"/>
    <s v="EMP_1100"/>
    <x v="1"/>
    <s v="EMP_1100HR"/>
    <x v="0"/>
    <x v="2"/>
    <n v="58862"/>
    <n v="7238"/>
    <n v="0"/>
    <n v="0"/>
    <s v="7/23/2023"/>
    <s v="7/23/2023"/>
    <d v="2026-02-11T00:00:00"/>
    <e v="#VALUE!"/>
    <n v="5"/>
    <n v="66100"/>
    <n v="33050"/>
    <s v=" Not Achieved"/>
    <s v=" Excellent"/>
  </r>
  <r>
    <x v="1100"/>
    <x v="1100"/>
    <s v="EMP_1101"/>
    <x v="0"/>
    <s v="EMP_1101Sales"/>
    <x v="1"/>
    <x v="2"/>
    <n v="26481"/>
    <n v="4655"/>
    <n v="257138"/>
    <n v="201644"/>
    <d v="2021-05-12T00:00:00"/>
    <s v="2021"/>
    <d v="2026-02-11T00:00:00"/>
    <n v="4"/>
    <n v="2"/>
    <n v="31136"/>
    <n v="15568"/>
    <s v="Achieved"/>
    <s v="poor"/>
  </r>
  <r>
    <x v="1101"/>
    <x v="1101"/>
    <s v="EMP_1102"/>
    <x v="1"/>
    <s v="EMP_1102IT"/>
    <x v="3"/>
    <x v="0"/>
    <n v="32245"/>
    <n v="3405"/>
    <n v="0"/>
    <n v="0"/>
    <d v="2020-01-09T00:00:00"/>
    <s v="2020"/>
    <d v="2026-02-11T00:00:00"/>
    <n v="6"/>
    <n v="2"/>
    <n v="35650"/>
    <n v="17825"/>
    <s v=" Not Achieved"/>
    <s v="Average"/>
  </r>
  <r>
    <x v="1102"/>
    <x v="1102"/>
    <s v="EMP_1103"/>
    <x v="0"/>
    <s v="EMP_1103Finance"/>
    <x v="2"/>
    <x v="2"/>
    <n v="37773"/>
    <n v="12705"/>
    <n v="0"/>
    <n v="0"/>
    <s v="6/25/2023"/>
    <s v="6/25/2023"/>
    <d v="2026-02-11T00:00:00"/>
    <e v="#VALUE!"/>
    <n v="3"/>
    <n v="50478"/>
    <n v="25239"/>
    <s v=" Not Achieved"/>
    <s v="Average"/>
  </r>
  <r>
    <x v="1103"/>
    <x v="1103"/>
    <s v="EMP_1104"/>
    <x v="1"/>
    <s v="EMP_1104Sales"/>
    <x v="1"/>
    <x v="1"/>
    <n v="41866"/>
    <n v="14693"/>
    <n v="51471"/>
    <n v="196562"/>
    <d v="2019-02-10T00:00:00"/>
    <s v="2019"/>
    <d v="2026-02-11T00:00:00"/>
    <n v="7"/>
    <n v="5"/>
    <n v="56559"/>
    <n v="28279.5"/>
    <s v=" Not Achieved"/>
    <s v="Good"/>
  </r>
  <r>
    <x v="1104"/>
    <x v="1104"/>
    <s v="EMP_1105"/>
    <x v="1"/>
    <s v="EMP_1105Marketing"/>
    <x v="4"/>
    <x v="1"/>
    <n v="29538"/>
    <n v="10882"/>
    <n v="0"/>
    <n v="0"/>
    <d v="2020-11-08T00:00:00"/>
    <s v="2020"/>
    <d v="2026-02-11T00:00:00"/>
    <n v="5"/>
    <n v="1"/>
    <n v="40420"/>
    <n v="20210"/>
    <s v=" Not Achieved"/>
    <s v="poor"/>
  </r>
  <r>
    <x v="1105"/>
    <x v="1105"/>
    <s v="EMP_1106"/>
    <x v="1"/>
    <s v="EMP_1106IT"/>
    <x v="3"/>
    <x v="0"/>
    <n v="65959"/>
    <n v="6334"/>
    <n v="0"/>
    <n v="0"/>
    <s v="4/14/2019"/>
    <s v="4/14/2019"/>
    <d v="2026-02-11T00:00:00"/>
    <e v="#VALUE!"/>
    <n v="1"/>
    <n v="72293"/>
    <n v="36146.5"/>
    <s v=" Not Achieved"/>
    <s v=" Excellent"/>
  </r>
  <r>
    <x v="1106"/>
    <x v="1106"/>
    <s v="EMP_1107"/>
    <x v="0"/>
    <s v="EMP_1107Sales"/>
    <x v="1"/>
    <x v="2"/>
    <n v="75307"/>
    <n v="2051"/>
    <n v="245874"/>
    <n v="198783"/>
    <s v="6/18/2020"/>
    <s v="6/18/2020"/>
    <d v="2026-02-11T00:00:00"/>
    <e v="#VALUE!"/>
    <n v="1"/>
    <n v="77358"/>
    <n v="38679"/>
    <s v="Achieved"/>
    <s v=" Excellent"/>
  </r>
  <r>
    <x v="1107"/>
    <x v="1107"/>
    <s v="EMP_1108"/>
    <x v="0"/>
    <s v="EMP_1108Finance"/>
    <x v="2"/>
    <x v="2"/>
    <n v="62499"/>
    <n v="5265"/>
    <n v="0"/>
    <n v="0"/>
    <s v="9/28/2019"/>
    <s v="9/28/2019"/>
    <d v="2026-02-11T00:00:00"/>
    <e v="#VALUE!"/>
    <n v="5"/>
    <n v="67764"/>
    <n v="33882"/>
    <s v=" Not Achieved"/>
    <s v=" Excellent"/>
  </r>
  <r>
    <x v="1108"/>
    <x v="1108"/>
    <s v="EMP_1109"/>
    <x v="0"/>
    <s v="EMP_1109IT"/>
    <x v="3"/>
    <x v="2"/>
    <n v="71256"/>
    <n v="3699"/>
    <n v="0"/>
    <n v="0"/>
    <s v="11/28/2019"/>
    <s v="11/28/2019"/>
    <d v="2026-02-11T00:00:00"/>
    <e v="#VALUE!"/>
    <n v="2"/>
    <n v="74955"/>
    <n v="37477.5"/>
    <s v=" Not Achieved"/>
    <s v=" Excellent"/>
  </r>
  <r>
    <x v="1109"/>
    <x v="1109"/>
    <s v="EMP_1110"/>
    <x v="0"/>
    <s v="EMP_1110Finance"/>
    <x v="2"/>
    <x v="1"/>
    <n v="35815"/>
    <n v="10752"/>
    <n v="0"/>
    <n v="0"/>
    <d v="2020-08-03T00:00:00"/>
    <s v="2020"/>
    <d v="2026-02-11T00:00:00"/>
    <n v="5"/>
    <n v="4"/>
    <n v="46567"/>
    <n v="23283.5"/>
    <s v=" Not Achieved"/>
    <s v="Average"/>
  </r>
  <r>
    <x v="1110"/>
    <x v="1110"/>
    <s v="EMP_1111"/>
    <x v="0"/>
    <s v="EMP_1111Finance"/>
    <x v="2"/>
    <x v="3"/>
    <n v="50564"/>
    <n v="2931"/>
    <n v="0"/>
    <n v="0"/>
    <s v="6/19/2023"/>
    <s v="6/19/2023"/>
    <d v="2026-02-11T00:00:00"/>
    <e v="#VALUE!"/>
    <n v="4"/>
    <n v="53495"/>
    <n v="26747.5"/>
    <s v=" Not Achieved"/>
    <s v=" Excellent"/>
  </r>
  <r>
    <x v="1111"/>
    <x v="1111"/>
    <s v="EMP_1112"/>
    <x v="0"/>
    <s v="EMP_1112IT"/>
    <x v="3"/>
    <x v="0"/>
    <n v="78782"/>
    <n v="3365"/>
    <n v="0"/>
    <n v="0"/>
    <s v="2/28/2024"/>
    <s v="2/28/2024"/>
    <d v="2026-02-11T00:00:00"/>
    <e v="#VALUE!"/>
    <n v="4"/>
    <n v="82147"/>
    <n v="41073.5"/>
    <s v=" Not Achieved"/>
    <s v=" Excellent"/>
  </r>
  <r>
    <x v="1112"/>
    <x v="1112"/>
    <s v="EMP_1113"/>
    <x v="1"/>
    <s v="EMP_1113Marketing"/>
    <x v="4"/>
    <x v="3"/>
    <n v="64828"/>
    <n v="8988"/>
    <n v="0"/>
    <n v="0"/>
    <d v="2022-02-11T00:00:00"/>
    <s v="2022"/>
    <d v="2026-02-11T00:00:00"/>
    <n v="4"/>
    <n v="2"/>
    <n v="73816"/>
    <n v="36908"/>
    <s v=" Not Achieved"/>
    <s v=" Excellent"/>
  </r>
  <r>
    <x v="1113"/>
    <x v="1113"/>
    <s v="EMP_1114"/>
    <x v="0"/>
    <s v="EMP_1114Marketing"/>
    <x v="4"/>
    <x v="4"/>
    <n v="58864"/>
    <n v="12113"/>
    <n v="0"/>
    <n v="0"/>
    <s v="12/16/2018"/>
    <s v="12/16/2018"/>
    <d v="2026-02-11T00:00:00"/>
    <e v="#VALUE!"/>
    <n v="3"/>
    <n v="70977"/>
    <n v="35488.5"/>
    <s v=" Not Achieved"/>
    <s v=" Excellent"/>
  </r>
  <r>
    <x v="1114"/>
    <x v="1114"/>
    <s v="EMP_1115"/>
    <x v="1"/>
    <s v="EMP_1115Finance"/>
    <x v="2"/>
    <x v="1"/>
    <n v="21580"/>
    <n v="13993"/>
    <n v="0"/>
    <n v="0"/>
    <s v="11/18/2019"/>
    <s v="11/18/2019"/>
    <d v="2026-02-11T00:00:00"/>
    <e v="#VALUE!"/>
    <n v="3"/>
    <n v="35573"/>
    <n v="17786.5"/>
    <s v=" Not Achieved"/>
    <s v="poor"/>
  </r>
  <r>
    <x v="1115"/>
    <x v="1115"/>
    <s v="EMP_1116"/>
    <x v="0"/>
    <s v="EMP_1116IT"/>
    <x v="3"/>
    <x v="2"/>
    <n v="29300"/>
    <n v="14416"/>
    <n v="0"/>
    <n v="0"/>
    <s v="6/22/2018"/>
    <s v="6/22/2018"/>
    <d v="2026-02-11T00:00:00"/>
    <e v="#VALUE!"/>
    <n v="3"/>
    <n v="43716"/>
    <n v="21858"/>
    <s v=" Not Achieved"/>
    <s v="poor"/>
  </r>
  <r>
    <x v="1116"/>
    <x v="1116"/>
    <s v="EMP_1117"/>
    <x v="0"/>
    <s v="EMP_1117Sales"/>
    <x v="1"/>
    <x v="0"/>
    <n v="46028"/>
    <n v="3160"/>
    <n v="221922"/>
    <n v="183545"/>
    <s v="3/17/2022"/>
    <s v="3/17/2022"/>
    <d v="2026-02-11T00:00:00"/>
    <e v="#VALUE!"/>
    <n v="1"/>
    <n v="49188"/>
    <n v="24594"/>
    <s v="Achieved"/>
    <s v="Good"/>
  </r>
  <r>
    <x v="1117"/>
    <x v="1117"/>
    <s v="EMP_1118"/>
    <x v="0"/>
    <s v="EMP_1118IT"/>
    <x v="3"/>
    <x v="4"/>
    <n v="46919"/>
    <n v="7435"/>
    <n v="0"/>
    <n v="0"/>
    <s v="9/22/2024"/>
    <s v="9/22/2024"/>
    <d v="2026-02-11T00:00:00"/>
    <e v="#VALUE!"/>
    <n v="2"/>
    <n v="54354"/>
    <n v="27177"/>
    <s v=" Not Achieved"/>
    <s v="Good"/>
  </r>
  <r>
    <x v="1118"/>
    <x v="1118"/>
    <s v="EMP_1119"/>
    <x v="0"/>
    <s v="EMP_1119Marketing"/>
    <x v="4"/>
    <x v="1"/>
    <n v="76345"/>
    <n v="7091"/>
    <n v="0"/>
    <n v="0"/>
    <s v="3/22/2022"/>
    <s v="3/22/2022"/>
    <d v="2026-02-11T00:00:00"/>
    <e v="#VALUE!"/>
    <n v="3"/>
    <n v="83436"/>
    <n v="41718"/>
    <s v=" Not Achieved"/>
    <s v=" Excellent"/>
  </r>
  <r>
    <x v="1119"/>
    <x v="1119"/>
    <s v="EMP_1120"/>
    <x v="0"/>
    <s v="EMP_1120Sales"/>
    <x v="1"/>
    <x v="1"/>
    <n v="53974"/>
    <n v="2103"/>
    <n v="140346"/>
    <n v="166515"/>
    <d v="2020-08-04T00:00:00"/>
    <s v="2020"/>
    <d v="2026-02-11T00:00:00"/>
    <n v="5"/>
    <n v="4"/>
    <n v="56077"/>
    <n v="28038.5"/>
    <s v=" Not Achieved"/>
    <s v=" Excellent"/>
  </r>
  <r>
    <x v="1120"/>
    <x v="1120"/>
    <s v="EMP_1121"/>
    <x v="0"/>
    <s v="EMP_1121IT"/>
    <x v="3"/>
    <x v="0"/>
    <n v="77308"/>
    <n v="11052"/>
    <n v="0"/>
    <n v="0"/>
    <s v="6/29/2021"/>
    <s v="6/29/2021"/>
    <d v="2026-02-11T00:00:00"/>
    <e v="#VALUE!"/>
    <n v="4"/>
    <n v="88360"/>
    <n v="44180"/>
    <s v=" Not Achieved"/>
    <s v=" Excellent"/>
  </r>
  <r>
    <x v="1121"/>
    <x v="1121"/>
    <s v="EMP_1122"/>
    <x v="0"/>
    <s v="EMP_1122Marketing"/>
    <x v="4"/>
    <x v="0"/>
    <n v="64179"/>
    <n v="14817"/>
    <n v="0"/>
    <n v="0"/>
    <s v="2/13/2022"/>
    <s v="2/13/2022"/>
    <d v="2026-02-11T00:00:00"/>
    <e v="#VALUE!"/>
    <n v="3"/>
    <n v="78996"/>
    <n v="39498"/>
    <s v=" Not Achieved"/>
    <s v=" Excellent"/>
  </r>
  <r>
    <x v="1122"/>
    <x v="1122"/>
    <s v="EMP_1123"/>
    <x v="1"/>
    <s v="EMP_1123Sales"/>
    <x v="1"/>
    <x v="2"/>
    <n v="58674"/>
    <n v="3355"/>
    <n v="61962"/>
    <n v="147929"/>
    <s v="2/22/2019"/>
    <s v="2/22/2019"/>
    <d v="2026-02-11T00:00:00"/>
    <e v="#VALUE!"/>
    <n v="4"/>
    <n v="62029"/>
    <n v="31014.5"/>
    <s v=" Not Achieved"/>
    <s v=" Excellent"/>
  </r>
  <r>
    <x v="1123"/>
    <x v="1123"/>
    <s v="EMP_1124"/>
    <x v="1"/>
    <s v="EMP_1124Marketing"/>
    <x v="4"/>
    <x v="1"/>
    <n v="78117"/>
    <n v="5967"/>
    <n v="0"/>
    <n v="0"/>
    <s v="5/15/2022"/>
    <s v="5/15/2022"/>
    <d v="2026-02-11T00:00:00"/>
    <e v="#VALUE!"/>
    <n v="4"/>
    <n v="84084"/>
    <n v="42042"/>
    <s v=" Not Achieved"/>
    <s v=" Excellent"/>
  </r>
  <r>
    <x v="1124"/>
    <x v="1124"/>
    <s v="EMP_1125"/>
    <x v="0"/>
    <s v="EMP_1125HR"/>
    <x v="0"/>
    <x v="3"/>
    <n v="34699"/>
    <n v="5362"/>
    <n v="0"/>
    <n v="0"/>
    <s v="8/21/2024"/>
    <s v="8/21/2024"/>
    <d v="2026-02-11T00:00:00"/>
    <e v="#VALUE!"/>
    <n v="5"/>
    <n v="40061"/>
    <n v="20030.5"/>
    <s v=" Not Achieved"/>
    <s v="Average"/>
  </r>
  <r>
    <x v="1125"/>
    <x v="1125"/>
    <s v="EMP_1126"/>
    <x v="1"/>
    <s v="EMP_1126Finance"/>
    <x v="2"/>
    <x v="3"/>
    <n v="27499"/>
    <n v="11042"/>
    <n v="0"/>
    <n v="0"/>
    <s v="8/30/2024"/>
    <s v="8/30/2024"/>
    <d v="2026-02-11T00:00:00"/>
    <e v="#VALUE!"/>
    <n v="3"/>
    <n v="38541"/>
    <n v="19270.5"/>
    <s v=" Not Achieved"/>
    <s v="poor"/>
  </r>
  <r>
    <x v="1126"/>
    <x v="1126"/>
    <s v="EMP_1127"/>
    <x v="0"/>
    <s v="EMP_1127HR"/>
    <x v="0"/>
    <x v="3"/>
    <n v="74332"/>
    <n v="6662"/>
    <n v="0"/>
    <n v="0"/>
    <s v="12/24/2021"/>
    <s v="12/24/2021"/>
    <d v="2026-02-11T00:00:00"/>
    <e v="#VALUE!"/>
    <n v="3"/>
    <n v="80994"/>
    <n v="40497"/>
    <s v=" Not Achieved"/>
    <s v=" Excellent"/>
  </r>
  <r>
    <x v="1127"/>
    <x v="1127"/>
    <s v="EMP_1128"/>
    <x v="0"/>
    <s v="EMP_1128Sales"/>
    <x v="1"/>
    <x v="1"/>
    <n v="23438"/>
    <n v="9164"/>
    <n v="264737"/>
    <n v="233754"/>
    <d v="2021-01-03T00:00:00"/>
    <s v="2021"/>
    <d v="2026-02-11T00:00:00"/>
    <n v="5"/>
    <n v="3"/>
    <n v="32602"/>
    <n v="16301"/>
    <s v="Achieved"/>
    <s v="poor"/>
  </r>
  <r>
    <x v="1128"/>
    <x v="1128"/>
    <s v="EMP_1129"/>
    <x v="0"/>
    <s v="EMP_1129HR"/>
    <x v="0"/>
    <x v="3"/>
    <n v="63087"/>
    <n v="7000"/>
    <n v="0"/>
    <n v="0"/>
    <s v="5/19/2023"/>
    <s v="5/19/2023"/>
    <d v="2026-02-11T00:00:00"/>
    <e v="#VALUE!"/>
    <n v="5"/>
    <n v="70087"/>
    <n v="35043.5"/>
    <s v=" Not Achieved"/>
    <s v=" Excellent"/>
  </r>
  <r>
    <x v="1129"/>
    <x v="1129"/>
    <s v="EMP_1130"/>
    <x v="1"/>
    <s v="EMP_1130Finance"/>
    <x v="2"/>
    <x v="3"/>
    <n v="56845"/>
    <n v="8718"/>
    <n v="0"/>
    <n v="0"/>
    <s v="4/20/2020"/>
    <s v="4/20/2020"/>
    <d v="2026-02-11T00:00:00"/>
    <e v="#VALUE!"/>
    <n v="2"/>
    <n v="65563"/>
    <n v="32781.5"/>
    <s v=" Not Achieved"/>
    <s v=" Excellent"/>
  </r>
  <r>
    <x v="1130"/>
    <x v="1130"/>
    <s v="EMP_1131"/>
    <x v="0"/>
    <s v="EMP_1131Finance"/>
    <x v="2"/>
    <x v="0"/>
    <n v="20834"/>
    <n v="3015"/>
    <n v="0"/>
    <n v="0"/>
    <d v="2022-12-03T00:00:00"/>
    <s v="2022"/>
    <d v="2026-02-11T00:00:00"/>
    <n v="3"/>
    <n v="2"/>
    <n v="23849"/>
    <n v="11924.5"/>
    <s v=" Not Achieved"/>
    <s v="poor"/>
  </r>
  <r>
    <x v="1131"/>
    <x v="1131"/>
    <s v="EMP_1132"/>
    <x v="0"/>
    <s v="EMP_1132IT"/>
    <x v="3"/>
    <x v="1"/>
    <n v="76737"/>
    <n v="7875"/>
    <n v="0"/>
    <n v="0"/>
    <d v="2019-05-01T00:00:00"/>
    <s v="2019"/>
    <d v="2026-02-11T00:00:00"/>
    <n v="6"/>
    <n v="3"/>
    <n v="84612"/>
    <n v="42306"/>
    <s v=" Not Achieved"/>
    <s v=" Excellent"/>
  </r>
  <r>
    <x v="1132"/>
    <x v="1132"/>
    <s v="EMP_1133"/>
    <x v="0"/>
    <s v="EMP_1133Sales"/>
    <x v="1"/>
    <x v="2"/>
    <n v="38528"/>
    <n v="11908"/>
    <n v="192845"/>
    <n v="165896"/>
    <d v="2019-02-04T00:00:00"/>
    <s v="2019"/>
    <d v="2026-02-11T00:00:00"/>
    <n v="7"/>
    <n v="1"/>
    <n v="50436"/>
    <n v="25218"/>
    <s v="Achieved"/>
    <s v="Average"/>
  </r>
  <r>
    <x v="1133"/>
    <x v="1133"/>
    <s v="EMP_1134"/>
    <x v="0"/>
    <s v="EMP_1134Marketing"/>
    <x v="4"/>
    <x v="4"/>
    <n v="52140"/>
    <n v="6821"/>
    <n v="0"/>
    <n v="0"/>
    <s v="12/22/2018"/>
    <s v="12/22/2018"/>
    <d v="2026-02-11T00:00:00"/>
    <e v="#VALUE!"/>
    <n v="5"/>
    <n v="58961"/>
    <n v="29480.5"/>
    <s v=" Not Achieved"/>
    <s v=" Excellent"/>
  </r>
  <r>
    <x v="1134"/>
    <x v="1134"/>
    <s v="EMP_1135"/>
    <x v="0"/>
    <s v="EMP_1135IT"/>
    <x v="3"/>
    <x v="3"/>
    <n v="58144"/>
    <n v="9203"/>
    <n v="0"/>
    <n v="0"/>
    <d v="2018-05-05T00:00:00"/>
    <s v="2018"/>
    <d v="2026-02-11T00:00:00"/>
    <n v="7"/>
    <n v="3"/>
    <n v="67347"/>
    <n v="33673.5"/>
    <s v=" Not Achieved"/>
    <s v=" Excellent"/>
  </r>
  <r>
    <x v="1135"/>
    <x v="1135"/>
    <s v="EMP_1136"/>
    <x v="0"/>
    <s v="EMP_1136Finance"/>
    <x v="2"/>
    <x v="0"/>
    <n v="40538"/>
    <n v="4754"/>
    <n v="0"/>
    <n v="0"/>
    <s v="6/17/2018"/>
    <s v="6/17/2018"/>
    <d v="2026-02-11T00:00:00"/>
    <e v="#VALUE!"/>
    <n v="2"/>
    <n v="45292"/>
    <n v="22646"/>
    <s v=" Not Achieved"/>
    <s v="Good"/>
  </r>
  <r>
    <x v="1136"/>
    <x v="1136"/>
    <s v="EMP_1137"/>
    <x v="1"/>
    <s v="EMP_1137Sales"/>
    <x v="1"/>
    <x v="2"/>
    <n v="65107"/>
    <n v="5058"/>
    <n v="154425"/>
    <n v="157760"/>
    <d v="2018-04-02T00:00:00"/>
    <s v="2018"/>
    <d v="2026-02-11T00:00:00"/>
    <n v="7"/>
    <n v="4"/>
    <n v="70165"/>
    <n v="35082.5"/>
    <s v=" Not Achieved"/>
    <s v=" Excellent"/>
  </r>
  <r>
    <x v="1137"/>
    <x v="1137"/>
    <s v="EMP_1138"/>
    <x v="1"/>
    <s v="EMP_1138HR"/>
    <x v="0"/>
    <x v="0"/>
    <n v="59391"/>
    <n v="4081"/>
    <n v="0"/>
    <n v="0"/>
    <d v="2021-04-02T00:00:00"/>
    <s v="2021"/>
    <d v="2026-02-11T00:00:00"/>
    <n v="4"/>
    <n v="1"/>
    <n v="63472"/>
    <n v="31736"/>
    <s v=" Not Achieved"/>
    <s v=" Excellent"/>
  </r>
  <r>
    <x v="1138"/>
    <x v="1138"/>
    <s v="EMP_1139"/>
    <x v="0"/>
    <s v="EMP_1139Sales"/>
    <x v="1"/>
    <x v="2"/>
    <n v="51756"/>
    <n v="2226"/>
    <n v="134044"/>
    <n v="94209"/>
    <s v="10/21/2018"/>
    <s v="10/21/2018"/>
    <d v="2026-02-11T00:00:00"/>
    <e v="#VALUE!"/>
    <n v="3"/>
    <n v="53982"/>
    <n v="26991"/>
    <s v="Achieved"/>
    <s v=" Excellent"/>
  </r>
  <r>
    <x v="1139"/>
    <x v="1139"/>
    <s v="EMP_1140"/>
    <x v="0"/>
    <s v="EMP_1140Finance"/>
    <x v="2"/>
    <x v="3"/>
    <n v="47406"/>
    <n v="8034"/>
    <n v="0"/>
    <n v="0"/>
    <s v="3/28/2018"/>
    <s v="3/28/2018"/>
    <d v="2026-02-11T00:00:00"/>
    <e v="#VALUE!"/>
    <n v="1"/>
    <n v="55440"/>
    <n v="27720"/>
    <s v=" Not Achieved"/>
    <s v="Good"/>
  </r>
  <r>
    <x v="1140"/>
    <x v="1140"/>
    <s v="EMP_1141"/>
    <x v="1"/>
    <s v="EMP_1141Sales"/>
    <x v="1"/>
    <x v="4"/>
    <n v="21241"/>
    <n v="9186"/>
    <n v="269867"/>
    <n v="98845"/>
    <d v="2024-08-05T00:00:00"/>
    <s v="2024"/>
    <d v="2026-02-11T00:00:00"/>
    <n v="1"/>
    <n v="2"/>
    <n v="30427"/>
    <n v="15213.5"/>
    <s v="Achieved"/>
    <s v="poor"/>
  </r>
  <r>
    <x v="1141"/>
    <x v="1141"/>
    <s v="EMP_1142"/>
    <x v="0"/>
    <s v="EMP_1142Finance"/>
    <x v="2"/>
    <x v="2"/>
    <n v="25707"/>
    <n v="10389"/>
    <n v="0"/>
    <n v="0"/>
    <s v="3/24/2024"/>
    <s v="3/24/2024"/>
    <d v="2026-02-11T00:00:00"/>
    <e v="#VALUE!"/>
    <n v="5"/>
    <n v="36096"/>
    <n v="18048"/>
    <s v=" Not Achieved"/>
    <s v="poor"/>
  </r>
  <r>
    <x v="1142"/>
    <x v="1142"/>
    <s v="EMP_1143"/>
    <x v="1"/>
    <s v="EMP_1143HR"/>
    <x v="0"/>
    <x v="4"/>
    <n v="65935"/>
    <n v="2131"/>
    <n v="0"/>
    <n v="0"/>
    <s v="9/19/2022"/>
    <s v="9/19/2022"/>
    <d v="2026-02-11T00:00:00"/>
    <e v="#VALUE!"/>
    <n v="3"/>
    <n v="68066"/>
    <n v="34033"/>
    <s v=" Not Achieved"/>
    <s v=" Excellent"/>
  </r>
  <r>
    <x v="1143"/>
    <x v="1143"/>
    <s v="EMP_1144"/>
    <x v="1"/>
    <s v="EMP_1144Marketing"/>
    <x v="4"/>
    <x v="4"/>
    <n v="64083"/>
    <n v="4092"/>
    <n v="0"/>
    <n v="0"/>
    <s v="11/24/2020"/>
    <s v="11/24/2020"/>
    <d v="2026-02-11T00:00:00"/>
    <e v="#VALUE!"/>
    <n v="3"/>
    <n v="68175"/>
    <n v="34087.5"/>
    <s v=" Not Achieved"/>
    <s v=" Excellent"/>
  </r>
  <r>
    <x v="1144"/>
    <x v="1144"/>
    <s v="EMP_1145"/>
    <x v="1"/>
    <s v="EMP_1145IT"/>
    <x v="3"/>
    <x v="3"/>
    <n v="58899"/>
    <n v="2565"/>
    <n v="0"/>
    <n v="0"/>
    <s v="11/30/2023"/>
    <s v="11/30/2023"/>
    <d v="2026-02-11T00:00:00"/>
    <e v="#VALUE!"/>
    <n v="1"/>
    <n v="61464"/>
    <n v="30732"/>
    <s v=" Not Achieved"/>
    <s v=" Excellent"/>
  </r>
  <r>
    <x v="1145"/>
    <x v="1145"/>
    <s v="EMP_1146"/>
    <x v="0"/>
    <s v="EMP_1146Finance"/>
    <x v="2"/>
    <x v="2"/>
    <n v="39545"/>
    <n v="5333"/>
    <n v="0"/>
    <n v="0"/>
    <s v="11/13/2023"/>
    <s v="11/13/2023"/>
    <d v="2026-02-11T00:00:00"/>
    <e v="#VALUE!"/>
    <n v="2"/>
    <n v="44878"/>
    <n v="22439"/>
    <s v=" Not Achieved"/>
    <s v="Average"/>
  </r>
  <r>
    <x v="1146"/>
    <x v="1146"/>
    <s v="EMP_1147"/>
    <x v="1"/>
    <s v="EMP_1147Marketing"/>
    <x v="4"/>
    <x v="2"/>
    <n v="59749"/>
    <n v="10993"/>
    <n v="0"/>
    <n v="0"/>
    <s v="1/15/2020"/>
    <s v="1/15/2020"/>
    <d v="2026-02-11T00:00:00"/>
    <e v="#VALUE!"/>
    <n v="3"/>
    <n v="70742"/>
    <n v="35371"/>
    <s v=" Not Achieved"/>
    <s v=" Excellent"/>
  </r>
  <r>
    <x v="1147"/>
    <x v="1147"/>
    <s v="EMP_1148"/>
    <x v="0"/>
    <s v="EMP_1148HR"/>
    <x v="0"/>
    <x v="1"/>
    <n v="52319"/>
    <n v="3658"/>
    <n v="0"/>
    <n v="0"/>
    <s v="7/13/2018"/>
    <s v="7/13/2018"/>
    <d v="2026-02-11T00:00:00"/>
    <e v="#VALUE!"/>
    <n v="1"/>
    <n v="55977"/>
    <n v="27988.5"/>
    <s v=" Not Achieved"/>
    <s v=" Excellent"/>
  </r>
  <r>
    <x v="1148"/>
    <x v="1148"/>
    <s v="EMP_1149"/>
    <x v="0"/>
    <s v="EMP_1149Finance"/>
    <x v="2"/>
    <x v="2"/>
    <n v="39931"/>
    <n v="7696"/>
    <n v="0"/>
    <n v="0"/>
    <d v="2023-02-02T00:00:00"/>
    <s v="2023"/>
    <d v="2026-02-11T00:00:00"/>
    <n v="3"/>
    <n v="1"/>
    <n v="47627"/>
    <n v="23813.5"/>
    <s v=" Not Achieved"/>
    <s v="Average"/>
  </r>
  <r>
    <x v="1149"/>
    <x v="1149"/>
    <s v="EMP_1150"/>
    <x v="1"/>
    <s v="EMP_1150HR"/>
    <x v="0"/>
    <x v="4"/>
    <n v="30467"/>
    <n v="10274"/>
    <n v="0"/>
    <n v="0"/>
    <d v="2019-08-03T00:00:00"/>
    <s v="2019"/>
    <d v="2026-02-11T00:00:00"/>
    <n v="6"/>
    <n v="1"/>
    <n v="40741"/>
    <n v="20370.5"/>
    <s v=" Not Achieved"/>
    <s v="Average"/>
  </r>
  <r>
    <x v="1150"/>
    <x v="1150"/>
    <s v="EMP_1151"/>
    <x v="1"/>
    <s v="EMP_1151Marketing"/>
    <x v="4"/>
    <x v="1"/>
    <n v="43329"/>
    <n v="8181"/>
    <n v="0"/>
    <n v="0"/>
    <s v="2/21/2021"/>
    <s v="2/21/2021"/>
    <d v="2026-02-11T00:00:00"/>
    <e v="#VALUE!"/>
    <n v="5"/>
    <n v="51510"/>
    <n v="25755"/>
    <s v=" Not Achieved"/>
    <s v="Good"/>
  </r>
  <r>
    <x v="1151"/>
    <x v="1151"/>
    <s v="EMP_1152"/>
    <x v="1"/>
    <s v="EMP_1152Sales"/>
    <x v="1"/>
    <x v="3"/>
    <n v="23117"/>
    <n v="6044"/>
    <n v="279254"/>
    <n v="206881"/>
    <d v="2018-01-04T00:00:00"/>
    <s v="2018"/>
    <d v="2026-02-11T00:00:00"/>
    <n v="8"/>
    <n v="3"/>
    <n v="29161"/>
    <n v="14580.5"/>
    <s v="Achieved"/>
    <s v="poor"/>
  </r>
  <r>
    <x v="1152"/>
    <x v="1152"/>
    <s v="EMP_1153"/>
    <x v="1"/>
    <s v="EMP_1153Marketing"/>
    <x v="4"/>
    <x v="2"/>
    <n v="79537"/>
    <n v="6964"/>
    <n v="0"/>
    <n v="0"/>
    <d v="2020-05-04T00:00:00"/>
    <s v="2020"/>
    <d v="2026-02-11T00:00:00"/>
    <n v="5"/>
    <n v="1"/>
    <n v="86501"/>
    <n v="43250.5"/>
    <s v=" Not Achieved"/>
    <s v=" Excellent"/>
  </r>
  <r>
    <x v="1153"/>
    <x v="1153"/>
    <s v="EMP_1154"/>
    <x v="1"/>
    <s v="EMP_1154Finance"/>
    <x v="2"/>
    <x v="3"/>
    <n v="47054"/>
    <n v="6013"/>
    <n v="0"/>
    <n v="0"/>
    <d v="2023-09-05T00:00:00"/>
    <s v="2023"/>
    <d v="2026-02-11T00:00:00"/>
    <n v="2"/>
    <n v="2"/>
    <n v="53067"/>
    <n v="26533.5"/>
    <s v=" Not Achieved"/>
    <s v="Good"/>
  </r>
  <r>
    <x v="1154"/>
    <x v="1154"/>
    <s v="EMP_1155"/>
    <x v="1"/>
    <s v="EMP_1155IT"/>
    <x v="3"/>
    <x v="0"/>
    <n v="21280"/>
    <n v="7303"/>
    <n v="0"/>
    <n v="0"/>
    <s v="9/23/2024"/>
    <s v="9/23/2024"/>
    <d v="2026-02-11T00:00:00"/>
    <e v="#VALUE!"/>
    <n v="1"/>
    <n v="28583"/>
    <n v="14291.5"/>
    <s v=" Not Achieved"/>
    <s v="poor"/>
  </r>
  <r>
    <x v="1155"/>
    <x v="1155"/>
    <s v="EMP_1156"/>
    <x v="1"/>
    <s v="EMP_1156Finance"/>
    <x v="2"/>
    <x v="1"/>
    <n v="44095"/>
    <n v="9941"/>
    <n v="0"/>
    <n v="0"/>
    <d v="2023-07-01T00:00:00"/>
    <s v="2023"/>
    <d v="2026-02-11T00:00:00"/>
    <n v="2"/>
    <n v="1"/>
    <n v="54036"/>
    <n v="27018"/>
    <s v=" Not Achieved"/>
    <s v="Good"/>
  </r>
  <r>
    <x v="1156"/>
    <x v="1156"/>
    <s v="EMP_1157"/>
    <x v="1"/>
    <s v="EMP_1157IT"/>
    <x v="3"/>
    <x v="2"/>
    <n v="39046"/>
    <n v="13786"/>
    <n v="0"/>
    <n v="0"/>
    <s v="5/23/2022"/>
    <s v="5/23/2022"/>
    <d v="2026-02-11T00:00:00"/>
    <e v="#VALUE!"/>
    <n v="2"/>
    <n v="52832"/>
    <n v="26416"/>
    <s v=" Not Achieved"/>
    <s v="Average"/>
  </r>
  <r>
    <x v="1157"/>
    <x v="1157"/>
    <s v="EMP_1158"/>
    <x v="1"/>
    <s v="EMP_1158Marketing"/>
    <x v="4"/>
    <x v="2"/>
    <n v="43436"/>
    <n v="13564"/>
    <n v="0"/>
    <n v="0"/>
    <d v="2018-05-03T00:00:00"/>
    <s v="2018"/>
    <d v="2026-02-11T00:00:00"/>
    <n v="7"/>
    <n v="4"/>
    <n v="57000"/>
    <n v="28500"/>
    <s v=" Not Achieved"/>
    <s v="Good"/>
  </r>
  <r>
    <x v="1158"/>
    <x v="1158"/>
    <s v="EMP_1159"/>
    <x v="0"/>
    <s v="EMP_1159Sales"/>
    <x v="1"/>
    <x v="4"/>
    <n v="68568"/>
    <n v="7957"/>
    <n v="223768"/>
    <n v="170111"/>
    <s v="8/28/2021"/>
    <s v="8/28/2021"/>
    <d v="2026-02-11T00:00:00"/>
    <e v="#VALUE!"/>
    <n v="1"/>
    <n v="76525"/>
    <n v="38262.5"/>
    <s v="Achieved"/>
    <s v=" Excellent"/>
  </r>
  <r>
    <x v="1159"/>
    <x v="1159"/>
    <s v="EMP_1160"/>
    <x v="0"/>
    <s v="EMP_1160Sales"/>
    <x v="1"/>
    <x v="1"/>
    <n v="25819"/>
    <n v="10949"/>
    <n v="287415"/>
    <n v="165024"/>
    <s v="3/19/2024"/>
    <s v="3/19/2024"/>
    <d v="2026-02-11T00:00:00"/>
    <e v="#VALUE!"/>
    <n v="5"/>
    <n v="36768"/>
    <n v="18384"/>
    <s v="Achieved"/>
    <s v="poor"/>
  </r>
  <r>
    <x v="1160"/>
    <x v="1160"/>
    <s v="EMP_1161"/>
    <x v="1"/>
    <s v="EMP_1161HR"/>
    <x v="0"/>
    <x v="1"/>
    <n v="54656"/>
    <n v="4856"/>
    <n v="0"/>
    <n v="0"/>
    <d v="2024-11-01T00:00:00"/>
    <s v="2024"/>
    <d v="2026-02-11T00:00:00"/>
    <n v="1"/>
    <n v="4"/>
    <n v="59512"/>
    <n v="29756"/>
    <s v=" Not Achieved"/>
    <s v=" Excellent"/>
  </r>
  <r>
    <x v="1161"/>
    <x v="1161"/>
    <s v="EMP_1162"/>
    <x v="0"/>
    <s v="EMP_1162HR"/>
    <x v="0"/>
    <x v="0"/>
    <n v="65475"/>
    <n v="9982"/>
    <n v="0"/>
    <n v="0"/>
    <s v="10/28/2020"/>
    <s v="10/28/2020"/>
    <d v="2026-02-11T00:00:00"/>
    <e v="#VALUE!"/>
    <n v="3"/>
    <n v="75457"/>
    <n v="37728.5"/>
    <s v=" Not Achieved"/>
    <s v=" Excellent"/>
  </r>
  <r>
    <x v="1162"/>
    <x v="1162"/>
    <s v="EMP_1163"/>
    <x v="0"/>
    <s v="EMP_1163Sales"/>
    <x v="1"/>
    <x v="3"/>
    <n v="44479"/>
    <n v="3696"/>
    <n v="106119"/>
    <n v="186154"/>
    <s v="11/26/2020"/>
    <s v="11/26/2020"/>
    <d v="2026-02-11T00:00:00"/>
    <e v="#VALUE!"/>
    <n v="2"/>
    <n v="48175"/>
    <n v="24087.5"/>
    <s v=" Not Achieved"/>
    <s v="Good"/>
  </r>
  <r>
    <x v="1163"/>
    <x v="1163"/>
    <s v="EMP_1164"/>
    <x v="0"/>
    <s v="EMP_1164Finance"/>
    <x v="2"/>
    <x v="0"/>
    <n v="57869"/>
    <n v="12712"/>
    <n v="0"/>
    <n v="0"/>
    <s v="3/15/2018"/>
    <s v="3/15/2018"/>
    <d v="2026-02-11T00:00:00"/>
    <e v="#VALUE!"/>
    <n v="3"/>
    <n v="70581"/>
    <n v="35290.5"/>
    <s v=" Not Achieved"/>
    <s v=" Excellent"/>
  </r>
  <r>
    <x v="1164"/>
    <x v="1164"/>
    <s v="EMP_1165"/>
    <x v="1"/>
    <s v="EMP_1165Sales"/>
    <x v="1"/>
    <x v="3"/>
    <n v="29083"/>
    <n v="12290"/>
    <n v="159269"/>
    <n v="240657"/>
    <d v="2024-05-12T00:00:00"/>
    <s v="2024"/>
    <d v="2026-02-11T00:00:00"/>
    <n v="1"/>
    <n v="3"/>
    <n v="41373"/>
    <n v="20686.5"/>
    <s v=" Not Achieved"/>
    <s v="poor"/>
  </r>
  <r>
    <x v="1165"/>
    <x v="1165"/>
    <s v="EMP_1166"/>
    <x v="1"/>
    <s v="EMP_1166IT"/>
    <x v="3"/>
    <x v="0"/>
    <n v="69779"/>
    <n v="9631"/>
    <n v="0"/>
    <n v="0"/>
    <s v="8/14/2018"/>
    <s v="8/14/2018"/>
    <d v="2026-02-11T00:00:00"/>
    <e v="#VALUE!"/>
    <n v="5"/>
    <n v="79410"/>
    <n v="39705"/>
    <s v=" Not Achieved"/>
    <s v=" Excellent"/>
  </r>
  <r>
    <x v="1166"/>
    <x v="1166"/>
    <s v="EMP_1167"/>
    <x v="1"/>
    <s v="EMP_1167IT"/>
    <x v="3"/>
    <x v="4"/>
    <n v="33731"/>
    <n v="8560"/>
    <n v="0"/>
    <n v="0"/>
    <s v="12/23/2019"/>
    <s v="12/23/2019"/>
    <d v="2026-02-11T00:00:00"/>
    <e v="#VALUE!"/>
    <n v="2"/>
    <n v="42291"/>
    <n v="21145.5"/>
    <s v=" Not Achieved"/>
    <s v="Average"/>
  </r>
  <r>
    <x v="1167"/>
    <x v="1167"/>
    <s v="EMP_1168"/>
    <x v="0"/>
    <s v="EMP_1168Marketing"/>
    <x v="4"/>
    <x v="0"/>
    <n v="39539"/>
    <n v="3161"/>
    <n v="0"/>
    <n v="0"/>
    <s v="7/20/2020"/>
    <s v="7/20/2020"/>
    <d v="2026-02-11T00:00:00"/>
    <e v="#VALUE!"/>
    <n v="1"/>
    <n v="42700"/>
    <n v="21350"/>
    <s v=" Not Achieved"/>
    <s v="Average"/>
  </r>
  <r>
    <x v="1168"/>
    <x v="1168"/>
    <s v="EMP_1169"/>
    <x v="0"/>
    <s v="EMP_1169Marketing"/>
    <x v="4"/>
    <x v="2"/>
    <n v="66408"/>
    <n v="7021"/>
    <n v="0"/>
    <n v="0"/>
    <d v="2022-12-06T00:00:00"/>
    <s v="2022"/>
    <d v="2026-02-11T00:00:00"/>
    <n v="3"/>
    <n v="4"/>
    <n v="73429"/>
    <n v="36714.5"/>
    <s v=" Not Achieved"/>
    <s v=" Excellent"/>
  </r>
  <r>
    <x v="1169"/>
    <x v="1169"/>
    <s v="EMP_1170"/>
    <x v="1"/>
    <s v="EMP_1170IT"/>
    <x v="3"/>
    <x v="4"/>
    <n v="67282"/>
    <n v="7853"/>
    <n v="0"/>
    <n v="0"/>
    <s v="11/28/2018"/>
    <s v="11/28/2018"/>
    <d v="2026-02-11T00:00:00"/>
    <e v="#VALUE!"/>
    <n v="2"/>
    <n v="75135"/>
    <n v="37567.5"/>
    <s v=" Not Achieved"/>
    <s v=" Excellent"/>
  </r>
  <r>
    <x v="1170"/>
    <x v="1170"/>
    <s v="EMP_1171"/>
    <x v="1"/>
    <s v="EMP_1171IT"/>
    <x v="3"/>
    <x v="4"/>
    <n v="31177"/>
    <n v="4479"/>
    <n v="0"/>
    <n v="0"/>
    <s v="12/17/2024"/>
    <s v="12/17/2024"/>
    <d v="2026-02-11T00:00:00"/>
    <e v="#VALUE!"/>
    <n v="5"/>
    <n v="35656"/>
    <n v="17828"/>
    <s v=" Not Achieved"/>
    <s v="Average"/>
  </r>
  <r>
    <x v="1171"/>
    <x v="1171"/>
    <s v="EMP_1172"/>
    <x v="1"/>
    <s v="EMP_1172Marketing"/>
    <x v="4"/>
    <x v="1"/>
    <n v="38610"/>
    <n v="13868"/>
    <n v="0"/>
    <n v="0"/>
    <d v="2018-03-08T00:00:00"/>
    <s v="2018"/>
    <d v="2026-02-11T00:00:00"/>
    <n v="7"/>
    <n v="5"/>
    <n v="52478"/>
    <n v="26239"/>
    <s v=" Not Achieved"/>
    <s v="Average"/>
  </r>
  <r>
    <x v="1172"/>
    <x v="1172"/>
    <s v="EMP_1173"/>
    <x v="1"/>
    <s v="EMP_1173IT"/>
    <x v="3"/>
    <x v="4"/>
    <n v="66834"/>
    <n v="2806"/>
    <n v="0"/>
    <n v="0"/>
    <s v="7/25/2022"/>
    <s v="7/25/2022"/>
    <d v="2026-02-11T00:00:00"/>
    <e v="#VALUE!"/>
    <n v="5"/>
    <n v="69640"/>
    <n v="34820"/>
    <s v=" Not Achieved"/>
    <s v=" Excellent"/>
  </r>
  <r>
    <x v="1173"/>
    <x v="1173"/>
    <s v="EMP_1174"/>
    <x v="1"/>
    <s v="EMP_1174Marketing"/>
    <x v="4"/>
    <x v="3"/>
    <n v="64053"/>
    <n v="11085"/>
    <n v="0"/>
    <n v="0"/>
    <d v="2023-02-03T00:00:00"/>
    <s v="2023"/>
    <d v="2026-02-11T00:00:00"/>
    <n v="3"/>
    <n v="2"/>
    <n v="75138"/>
    <n v="37569"/>
    <s v=" Not Achieved"/>
    <s v=" Excellent"/>
  </r>
  <r>
    <x v="1174"/>
    <x v="1174"/>
    <s v="EMP_1175"/>
    <x v="0"/>
    <s v="EMP_1175IT"/>
    <x v="3"/>
    <x v="0"/>
    <n v="59983"/>
    <n v="14566"/>
    <n v="0"/>
    <n v="0"/>
    <d v="2023-04-09T00:00:00"/>
    <s v="2023"/>
    <d v="2026-02-11T00:00:00"/>
    <n v="2"/>
    <n v="5"/>
    <n v="74549"/>
    <n v="37274.5"/>
    <s v=" Not Achieved"/>
    <s v=" Excellent"/>
  </r>
  <r>
    <x v="1175"/>
    <x v="1175"/>
    <s v="EMP_1176"/>
    <x v="0"/>
    <s v="EMP_1176HR"/>
    <x v="0"/>
    <x v="3"/>
    <n v="21358"/>
    <n v="4613"/>
    <n v="0"/>
    <n v="0"/>
    <s v="7/18/2022"/>
    <s v="7/18/2022"/>
    <d v="2026-02-11T00:00:00"/>
    <e v="#VALUE!"/>
    <n v="3"/>
    <n v="25971"/>
    <n v="12985.5"/>
    <s v=" Not Achieved"/>
    <s v="poor"/>
  </r>
  <r>
    <x v="1176"/>
    <x v="1176"/>
    <s v="EMP_1177"/>
    <x v="1"/>
    <s v="EMP_1177HR"/>
    <x v="0"/>
    <x v="0"/>
    <n v="33885"/>
    <n v="10713"/>
    <n v="0"/>
    <n v="0"/>
    <d v="2022-10-06T00:00:00"/>
    <s v="2022"/>
    <d v="2026-02-11T00:00:00"/>
    <n v="3"/>
    <n v="4"/>
    <n v="44598"/>
    <n v="22299"/>
    <s v=" Not Achieved"/>
    <s v="Average"/>
  </r>
  <r>
    <x v="1177"/>
    <x v="1177"/>
    <s v="EMP_1178"/>
    <x v="1"/>
    <s v="EMP_1178Marketing"/>
    <x v="4"/>
    <x v="1"/>
    <n v="32171"/>
    <n v="9086"/>
    <n v="0"/>
    <n v="0"/>
    <d v="2023-02-02T00:00:00"/>
    <s v="2023"/>
    <d v="2026-02-11T00:00:00"/>
    <n v="3"/>
    <n v="1"/>
    <n v="41257"/>
    <n v="20628.5"/>
    <s v=" Not Achieved"/>
    <s v="Average"/>
  </r>
  <r>
    <x v="1178"/>
    <x v="1178"/>
    <s v="EMP_1179"/>
    <x v="1"/>
    <s v="EMP_1179HR"/>
    <x v="0"/>
    <x v="3"/>
    <n v="76663"/>
    <n v="3068"/>
    <n v="0"/>
    <n v="0"/>
    <d v="2024-07-12T00:00:00"/>
    <s v="2024"/>
    <d v="2026-02-11T00:00:00"/>
    <n v="1"/>
    <n v="3"/>
    <n v="79731"/>
    <n v="39865.5"/>
    <s v=" Not Achieved"/>
    <s v=" Excellent"/>
  </r>
  <r>
    <x v="1179"/>
    <x v="1179"/>
    <s v="EMP_1180"/>
    <x v="1"/>
    <s v="EMP_1180Sales"/>
    <x v="1"/>
    <x v="2"/>
    <n v="59804"/>
    <n v="14122"/>
    <n v="229282"/>
    <n v="111965"/>
    <s v="3/21/2021"/>
    <s v="3/21/2021"/>
    <d v="2026-02-11T00:00:00"/>
    <e v="#VALUE!"/>
    <n v="3"/>
    <n v="73926"/>
    <n v="36963"/>
    <s v="Achieved"/>
    <s v=" Excellent"/>
  </r>
  <r>
    <x v="1180"/>
    <x v="1180"/>
    <s v="EMP_1181"/>
    <x v="1"/>
    <s v="EMP_1181Finance"/>
    <x v="2"/>
    <x v="0"/>
    <n v="72560"/>
    <n v="8766"/>
    <n v="0"/>
    <n v="0"/>
    <s v="3/30/2019"/>
    <s v="3/30/2019"/>
    <d v="2026-02-11T00:00:00"/>
    <e v="#VALUE!"/>
    <n v="1"/>
    <n v="81326"/>
    <n v="40663"/>
    <s v=" Not Achieved"/>
    <s v=" Excellent"/>
  </r>
  <r>
    <x v="1181"/>
    <x v="1181"/>
    <s v="EMP_1182"/>
    <x v="1"/>
    <s v="EMP_1182HR"/>
    <x v="0"/>
    <x v="3"/>
    <n v="29712"/>
    <n v="11288"/>
    <n v="0"/>
    <n v="0"/>
    <s v="8/25/2021"/>
    <s v="8/25/2021"/>
    <d v="2026-02-11T00:00:00"/>
    <e v="#VALUE!"/>
    <n v="2"/>
    <n v="41000"/>
    <n v="20500"/>
    <s v=" Not Achieved"/>
    <s v="poor"/>
  </r>
  <r>
    <x v="1182"/>
    <x v="1182"/>
    <s v="EMP_1183"/>
    <x v="1"/>
    <s v="EMP_1183Sales"/>
    <x v="1"/>
    <x v="2"/>
    <n v="42078"/>
    <n v="2055"/>
    <n v="111670"/>
    <n v="191865"/>
    <s v="12/22/2018"/>
    <s v="12/22/2018"/>
    <d v="2026-02-11T00:00:00"/>
    <e v="#VALUE!"/>
    <n v="5"/>
    <n v="44133"/>
    <n v="22066.5"/>
    <s v=" Not Achieved"/>
    <s v="Good"/>
  </r>
  <r>
    <x v="1183"/>
    <x v="1183"/>
    <s v="EMP_1184"/>
    <x v="0"/>
    <s v="EMP_1184Marketing"/>
    <x v="4"/>
    <x v="1"/>
    <n v="77739"/>
    <n v="3058"/>
    <n v="0"/>
    <n v="0"/>
    <s v="11/14/2023"/>
    <s v="11/14/2023"/>
    <d v="2026-02-11T00:00:00"/>
    <e v="#VALUE!"/>
    <n v="2"/>
    <n v="80797"/>
    <n v="40398.5"/>
    <s v=" Not Achieved"/>
    <s v=" Excellent"/>
  </r>
  <r>
    <x v="1184"/>
    <x v="1184"/>
    <s v="EMP_1185"/>
    <x v="1"/>
    <s v="EMP_1185HR"/>
    <x v="0"/>
    <x v="4"/>
    <n v="53579"/>
    <n v="11046"/>
    <n v="0"/>
    <n v="0"/>
    <s v="4/24/2018"/>
    <s v="4/24/2018"/>
    <d v="2026-02-11T00:00:00"/>
    <e v="#VALUE!"/>
    <n v="1"/>
    <n v="64625"/>
    <n v="32312.5"/>
    <s v=" Not Achieved"/>
    <s v=" Excellent"/>
  </r>
  <r>
    <x v="1185"/>
    <x v="1185"/>
    <s v="EMP_1186"/>
    <x v="0"/>
    <s v="EMP_1186Finance"/>
    <x v="2"/>
    <x v="3"/>
    <n v="30627"/>
    <n v="2546"/>
    <n v="0"/>
    <n v="0"/>
    <d v="2024-04-08T00:00:00"/>
    <s v="2024"/>
    <d v="2026-02-11T00:00:00"/>
    <n v="1"/>
    <n v="4"/>
    <n v="33173"/>
    <n v="16586.5"/>
    <s v=" Not Achieved"/>
    <s v="Average"/>
  </r>
  <r>
    <x v="1186"/>
    <x v="1186"/>
    <s v="EMP_1187"/>
    <x v="0"/>
    <s v="EMP_1187Marketing"/>
    <x v="4"/>
    <x v="3"/>
    <n v="62976"/>
    <n v="14838"/>
    <n v="0"/>
    <n v="0"/>
    <s v="3/21/2020"/>
    <s v="3/21/2020"/>
    <d v="2026-02-11T00:00:00"/>
    <e v="#VALUE!"/>
    <n v="1"/>
    <n v="77814"/>
    <n v="38907"/>
    <s v=" Not Achieved"/>
    <s v=" Excellent"/>
  </r>
  <r>
    <x v="1187"/>
    <x v="1187"/>
    <s v="EMP_1188"/>
    <x v="0"/>
    <s v="EMP_1188HR"/>
    <x v="0"/>
    <x v="1"/>
    <n v="29346"/>
    <n v="9735"/>
    <n v="0"/>
    <n v="0"/>
    <s v="5/14/2023"/>
    <s v="5/14/2023"/>
    <d v="2026-02-11T00:00:00"/>
    <e v="#VALUE!"/>
    <n v="1"/>
    <n v="39081"/>
    <n v="19540.5"/>
    <s v=" Not Achieved"/>
    <s v="poor"/>
  </r>
  <r>
    <x v="1188"/>
    <x v="1188"/>
    <s v="EMP_1189"/>
    <x v="1"/>
    <s v="EMP_1189HR"/>
    <x v="0"/>
    <x v="1"/>
    <n v="36628"/>
    <n v="7167"/>
    <n v="0"/>
    <n v="0"/>
    <s v="8/28/2024"/>
    <s v="8/28/2024"/>
    <d v="2026-02-11T00:00:00"/>
    <e v="#VALUE!"/>
    <n v="2"/>
    <n v="43795"/>
    <n v="21897.5"/>
    <s v=" Not Achieved"/>
    <s v="Average"/>
  </r>
  <r>
    <x v="1189"/>
    <x v="1189"/>
    <s v="EMP_1190"/>
    <x v="0"/>
    <s v="EMP_1190HR"/>
    <x v="0"/>
    <x v="3"/>
    <n v="57117"/>
    <n v="4983"/>
    <n v="0"/>
    <n v="0"/>
    <s v="5/27/2024"/>
    <s v="5/27/2024"/>
    <d v="2026-02-11T00:00:00"/>
    <e v="#VALUE!"/>
    <n v="4"/>
    <n v="62100"/>
    <n v="31050"/>
    <s v=" Not Achieved"/>
    <s v=" Excellent"/>
  </r>
  <r>
    <x v="1190"/>
    <x v="1190"/>
    <s v="EMP_1191"/>
    <x v="1"/>
    <s v="EMP_1191IT"/>
    <x v="3"/>
    <x v="2"/>
    <n v="61765"/>
    <n v="4237"/>
    <n v="0"/>
    <n v="0"/>
    <s v="4/23/2021"/>
    <s v="4/23/2021"/>
    <d v="2026-02-11T00:00:00"/>
    <e v="#VALUE!"/>
    <n v="4"/>
    <n v="66002"/>
    <n v="33001"/>
    <s v=" Not Achieved"/>
    <s v=" Excellent"/>
  </r>
  <r>
    <x v="1191"/>
    <x v="1191"/>
    <s v="EMP_1192"/>
    <x v="1"/>
    <s v="EMP_1192HR"/>
    <x v="0"/>
    <x v="0"/>
    <n v="29110"/>
    <n v="2584"/>
    <n v="0"/>
    <n v="0"/>
    <s v="3/16/2020"/>
    <s v="3/16/2020"/>
    <d v="2026-02-11T00:00:00"/>
    <e v="#VALUE!"/>
    <n v="2"/>
    <n v="31694"/>
    <n v="15847"/>
    <s v=" Not Achieved"/>
    <s v="poor"/>
  </r>
  <r>
    <x v="1192"/>
    <x v="1192"/>
    <s v="EMP_1193"/>
    <x v="0"/>
    <s v="EMP_1193Finance"/>
    <x v="2"/>
    <x v="2"/>
    <n v="28458"/>
    <n v="3821"/>
    <n v="0"/>
    <n v="0"/>
    <s v="2/14/2019"/>
    <s v="2/14/2019"/>
    <d v="2026-02-11T00:00:00"/>
    <e v="#VALUE!"/>
    <n v="4"/>
    <n v="32279"/>
    <n v="16139.5"/>
    <s v=" Not Achieved"/>
    <s v="poor"/>
  </r>
  <r>
    <x v="1193"/>
    <x v="1193"/>
    <s v="EMP_1194"/>
    <x v="1"/>
    <s v="EMP_1194HR"/>
    <x v="0"/>
    <x v="3"/>
    <n v="54890"/>
    <n v="14523"/>
    <n v="0"/>
    <n v="0"/>
    <s v="12/14/2018"/>
    <s v="12/14/2018"/>
    <d v="2026-02-11T00:00:00"/>
    <e v="#VALUE!"/>
    <n v="5"/>
    <n v="69413"/>
    <n v="34706.5"/>
    <s v=" Not Achieved"/>
    <s v=" Excellent"/>
  </r>
  <r>
    <x v="1194"/>
    <x v="1194"/>
    <s v="EMP_1195"/>
    <x v="1"/>
    <s v="EMP_1195Sales"/>
    <x v="1"/>
    <x v="2"/>
    <n v="32178"/>
    <n v="3379"/>
    <n v="143097"/>
    <n v="130691"/>
    <s v="5/16/2020"/>
    <s v="5/16/2020"/>
    <d v="2026-02-11T00:00:00"/>
    <e v="#VALUE!"/>
    <n v="4"/>
    <n v="35557"/>
    <n v="17778.5"/>
    <s v="Achieved"/>
    <s v="Average"/>
  </r>
  <r>
    <x v="1195"/>
    <x v="1195"/>
    <s v="EMP_1196"/>
    <x v="1"/>
    <s v="EMP_1196IT"/>
    <x v="3"/>
    <x v="0"/>
    <n v="40613"/>
    <n v="5226"/>
    <n v="0"/>
    <n v="0"/>
    <s v="6/13/2023"/>
    <s v="6/13/2023"/>
    <d v="2026-02-11T00:00:00"/>
    <e v="#VALUE!"/>
    <n v="1"/>
    <n v="45839"/>
    <n v="22919.5"/>
    <s v=" Not Achieved"/>
    <s v="Good"/>
  </r>
  <r>
    <x v="1196"/>
    <x v="1196"/>
    <s v="EMP_1197"/>
    <x v="1"/>
    <s v="EMP_1197Finance"/>
    <x v="2"/>
    <x v="1"/>
    <n v="33150"/>
    <n v="6615"/>
    <n v="0"/>
    <n v="0"/>
    <s v="3/23/2021"/>
    <s v="3/23/2021"/>
    <d v="2026-02-11T00:00:00"/>
    <e v="#VALUE!"/>
    <n v="4"/>
    <n v="39765"/>
    <n v="19882.5"/>
    <s v=" Not Achieved"/>
    <s v="Average"/>
  </r>
  <r>
    <x v="1197"/>
    <x v="1197"/>
    <s v="EMP_1198"/>
    <x v="0"/>
    <s v="EMP_1198IT"/>
    <x v="3"/>
    <x v="3"/>
    <n v="21161"/>
    <n v="10768"/>
    <n v="0"/>
    <n v="0"/>
    <s v="4/27/2021"/>
    <s v="4/27/2021"/>
    <d v="2026-02-11T00:00:00"/>
    <e v="#VALUE!"/>
    <n v="1"/>
    <n v="31929"/>
    <n v="15964.5"/>
    <s v=" Not Achieved"/>
    <s v="poor"/>
  </r>
  <r>
    <x v="1198"/>
    <x v="1198"/>
    <s v="EMP_1199"/>
    <x v="1"/>
    <s v="EMP_1199Sales"/>
    <x v="1"/>
    <x v="4"/>
    <n v="62977"/>
    <n v="4759"/>
    <n v="97862"/>
    <n v="173392"/>
    <s v="4/20/2019"/>
    <s v="4/20/2019"/>
    <d v="2026-02-11T00:00:00"/>
    <e v="#VALUE!"/>
    <n v="1"/>
    <n v="67736"/>
    <n v="33868"/>
    <s v=" Not Achieved"/>
    <s v=" Excellent"/>
  </r>
  <r>
    <x v="1199"/>
    <x v="1199"/>
    <s v="EMP_1200"/>
    <x v="1"/>
    <s v="EMP_1200Marketing"/>
    <x v="4"/>
    <x v="1"/>
    <n v="36312"/>
    <n v="13552"/>
    <n v="0"/>
    <n v="0"/>
    <d v="2024-08-06T00:00:00"/>
    <s v="2024"/>
    <d v="2026-02-11T00:00:00"/>
    <n v="1"/>
    <n v="5"/>
    <n v="49864"/>
    <n v="24932"/>
    <s v=" Not Achieved"/>
    <s v="Average"/>
  </r>
  <r>
    <x v="1200"/>
    <x v="1200"/>
    <s v="EMP_1201"/>
    <x v="1"/>
    <s v="EMP_1201Finance"/>
    <x v="2"/>
    <x v="0"/>
    <n v="61898"/>
    <n v="6382"/>
    <n v="0"/>
    <n v="0"/>
    <s v="11/16/2023"/>
    <s v="11/16/2023"/>
    <d v="2026-02-11T00:00:00"/>
    <e v="#VALUE!"/>
    <n v="2"/>
    <n v="68280"/>
    <n v="34140"/>
    <s v=" Not Achieved"/>
    <s v=" Excellent"/>
  </r>
  <r>
    <x v="1201"/>
    <x v="1201"/>
    <s v="EMP_1202"/>
    <x v="0"/>
    <s v="EMP_1202Finance"/>
    <x v="2"/>
    <x v="1"/>
    <n v="61575"/>
    <n v="5259"/>
    <n v="0"/>
    <n v="0"/>
    <d v="2022-02-09T00:00:00"/>
    <s v="2022"/>
    <d v="2026-02-11T00:00:00"/>
    <n v="4"/>
    <n v="1"/>
    <n v="66834"/>
    <n v="33417"/>
    <s v=" Not Achieved"/>
    <s v=" Excellent"/>
  </r>
  <r>
    <x v="1202"/>
    <x v="1202"/>
    <s v="EMP_1203"/>
    <x v="0"/>
    <s v="EMP_1203Finance"/>
    <x v="2"/>
    <x v="4"/>
    <n v="45772"/>
    <n v="4295"/>
    <n v="0"/>
    <n v="0"/>
    <s v="9/13/2021"/>
    <s v="9/13/2021"/>
    <d v="2026-02-11T00:00:00"/>
    <e v="#VALUE!"/>
    <n v="4"/>
    <n v="50067"/>
    <n v="25033.5"/>
    <s v=" Not Achieved"/>
    <s v="Good"/>
  </r>
  <r>
    <x v="1203"/>
    <x v="1203"/>
    <s v="EMP_1204"/>
    <x v="1"/>
    <s v="EMP_1204Sales"/>
    <x v="1"/>
    <x v="2"/>
    <n v="34277"/>
    <n v="11743"/>
    <n v="296945"/>
    <n v="139048"/>
    <d v="2024-08-11T00:00:00"/>
    <s v="2024"/>
    <d v="2026-02-11T00:00:00"/>
    <n v="1"/>
    <n v="2"/>
    <n v="46020"/>
    <n v="23010"/>
    <s v="Achieved"/>
    <s v="Average"/>
  </r>
  <r>
    <x v="1204"/>
    <x v="1204"/>
    <s v="EMP_1205"/>
    <x v="1"/>
    <s v="EMP_1205HR"/>
    <x v="0"/>
    <x v="4"/>
    <n v="28123"/>
    <n v="5261"/>
    <n v="0"/>
    <n v="0"/>
    <d v="2024-04-09T00:00:00"/>
    <s v="2024"/>
    <d v="2026-02-11T00:00:00"/>
    <n v="1"/>
    <n v="1"/>
    <n v="33384"/>
    <n v="16692"/>
    <s v=" Not Achieved"/>
    <s v="poor"/>
  </r>
  <r>
    <x v="1205"/>
    <x v="1205"/>
    <s v="EMP_1206"/>
    <x v="0"/>
    <s v="EMP_1206Sales"/>
    <x v="1"/>
    <x v="1"/>
    <n v="68773"/>
    <n v="11194"/>
    <n v="78504"/>
    <n v="82471"/>
    <d v="2024-05-06T00:00:00"/>
    <s v="2024"/>
    <d v="2026-02-11T00:00:00"/>
    <n v="1"/>
    <n v="4"/>
    <n v="79967"/>
    <n v="39983.5"/>
    <s v=" Not Achieved"/>
    <s v=" Excellent"/>
  </r>
  <r>
    <x v="1206"/>
    <x v="1206"/>
    <s v="EMP_1207"/>
    <x v="1"/>
    <s v="EMP_1207Marketing"/>
    <x v="4"/>
    <x v="2"/>
    <n v="43828"/>
    <n v="12275"/>
    <n v="0"/>
    <n v="0"/>
    <d v="2023-05-06T00:00:00"/>
    <s v="2023"/>
    <d v="2026-02-11T00:00:00"/>
    <n v="2"/>
    <n v="1"/>
    <n v="56103"/>
    <n v="28051.5"/>
    <s v=" Not Achieved"/>
    <s v="Good"/>
  </r>
  <r>
    <x v="1207"/>
    <x v="1207"/>
    <s v="EMP_1208"/>
    <x v="1"/>
    <s v="EMP_1208Finance"/>
    <x v="2"/>
    <x v="2"/>
    <n v="74954"/>
    <n v="7680"/>
    <n v="0"/>
    <n v="0"/>
    <s v="1/14/2022"/>
    <s v="1/14/2022"/>
    <d v="2026-02-11T00:00:00"/>
    <e v="#VALUE!"/>
    <n v="5"/>
    <n v="82634"/>
    <n v="41317"/>
    <s v=" Not Achieved"/>
    <s v=" Excellent"/>
  </r>
  <r>
    <x v="1208"/>
    <x v="1208"/>
    <s v="EMP_1209"/>
    <x v="0"/>
    <s v="EMP_1209Finance"/>
    <x v="2"/>
    <x v="4"/>
    <n v="67576"/>
    <n v="3957"/>
    <n v="0"/>
    <n v="0"/>
    <s v="4/26/2019"/>
    <s v="4/26/2019"/>
    <d v="2026-02-11T00:00:00"/>
    <e v="#VALUE!"/>
    <n v="1"/>
    <n v="71533"/>
    <n v="35766.5"/>
    <s v=" Not Achieved"/>
    <s v=" Excellent"/>
  </r>
  <r>
    <x v="1209"/>
    <x v="1209"/>
    <s v="EMP_1210"/>
    <x v="1"/>
    <s v="EMP_1210HR"/>
    <x v="0"/>
    <x v="3"/>
    <n v="33438"/>
    <n v="13604"/>
    <n v="0"/>
    <n v="0"/>
    <s v="4/21/2019"/>
    <s v="4/21/2019"/>
    <d v="2026-02-11T00:00:00"/>
    <e v="#VALUE!"/>
    <n v="5"/>
    <n v="47042"/>
    <n v="23521"/>
    <s v=" Not Achieved"/>
    <s v="Average"/>
  </r>
  <r>
    <x v="1210"/>
    <x v="1210"/>
    <s v="EMP_1211"/>
    <x v="0"/>
    <s v="EMP_1211Finance"/>
    <x v="2"/>
    <x v="4"/>
    <n v="20313"/>
    <n v="11904"/>
    <n v="0"/>
    <n v="0"/>
    <s v="9/16/2022"/>
    <s v="9/16/2022"/>
    <d v="2026-02-11T00:00:00"/>
    <e v="#VALUE!"/>
    <n v="3"/>
    <n v="32217"/>
    <n v="16108.5"/>
    <s v=" Not Achieved"/>
    <s v="poor"/>
  </r>
  <r>
    <x v="1211"/>
    <x v="1211"/>
    <s v="EMP_1212"/>
    <x v="0"/>
    <s v="EMP_1212IT"/>
    <x v="3"/>
    <x v="0"/>
    <n v="60693"/>
    <n v="7234"/>
    <n v="0"/>
    <n v="0"/>
    <s v="7/31/2021"/>
    <s v="7/31/2021"/>
    <d v="2026-02-11T00:00:00"/>
    <e v="#VALUE!"/>
    <n v="5"/>
    <n v="67927"/>
    <n v="33963.5"/>
    <s v=" Not Achieved"/>
    <s v=" Excellent"/>
  </r>
  <r>
    <x v="1212"/>
    <x v="1212"/>
    <s v="EMP_1213"/>
    <x v="0"/>
    <s v="EMP_1213Finance"/>
    <x v="2"/>
    <x v="0"/>
    <n v="38993"/>
    <n v="3284"/>
    <n v="0"/>
    <n v="0"/>
    <s v="8/20/2018"/>
    <s v="8/20/2018"/>
    <d v="2026-02-11T00:00:00"/>
    <e v="#VALUE!"/>
    <n v="5"/>
    <n v="42277"/>
    <n v="21138.5"/>
    <s v=" Not Achieved"/>
    <s v="Average"/>
  </r>
  <r>
    <x v="1213"/>
    <x v="1213"/>
    <s v="EMP_1214"/>
    <x v="0"/>
    <s v="EMP_1214HR"/>
    <x v="0"/>
    <x v="4"/>
    <n v="64733"/>
    <n v="3542"/>
    <n v="0"/>
    <n v="0"/>
    <s v="6/26/2023"/>
    <s v="6/26/2023"/>
    <d v="2026-02-11T00:00:00"/>
    <e v="#VALUE!"/>
    <n v="3"/>
    <n v="68275"/>
    <n v="34137.5"/>
    <s v=" Not Achieved"/>
    <s v=" Excellent"/>
  </r>
  <r>
    <x v="1214"/>
    <x v="1214"/>
    <s v="EMP_1215"/>
    <x v="0"/>
    <s v="EMP_1215Finance"/>
    <x v="2"/>
    <x v="0"/>
    <n v="48358"/>
    <n v="3274"/>
    <n v="0"/>
    <n v="0"/>
    <s v="3/28/2021"/>
    <s v="3/28/2021"/>
    <d v="2026-02-11T00:00:00"/>
    <e v="#VALUE!"/>
    <n v="2"/>
    <n v="51632"/>
    <n v="25816"/>
    <s v=" Not Achieved"/>
    <s v="Good"/>
  </r>
  <r>
    <x v="1215"/>
    <x v="1215"/>
    <s v="EMP_1216"/>
    <x v="0"/>
    <s v="EMP_1216Finance"/>
    <x v="2"/>
    <x v="3"/>
    <n v="41778"/>
    <n v="7392"/>
    <n v="0"/>
    <n v="0"/>
    <d v="2020-12-03T00:00:00"/>
    <s v="2020"/>
    <d v="2026-02-11T00:00:00"/>
    <n v="5"/>
    <n v="1"/>
    <n v="49170"/>
    <n v="24585"/>
    <s v=" Not Achieved"/>
    <s v="Good"/>
  </r>
  <r>
    <x v="1216"/>
    <x v="1216"/>
    <s v="EMP_1217"/>
    <x v="0"/>
    <s v="EMP_1217HR"/>
    <x v="0"/>
    <x v="0"/>
    <n v="22538"/>
    <n v="3277"/>
    <n v="0"/>
    <n v="0"/>
    <s v="5/19/2018"/>
    <s v="5/19/2018"/>
    <d v="2026-02-11T00:00:00"/>
    <e v="#VALUE!"/>
    <n v="5"/>
    <n v="25815"/>
    <n v="12907.5"/>
    <s v=" Not Achieved"/>
    <s v="poor"/>
  </r>
  <r>
    <x v="1217"/>
    <x v="1217"/>
    <s v="EMP_1218"/>
    <x v="0"/>
    <s v="EMP_1218HR"/>
    <x v="0"/>
    <x v="2"/>
    <n v="78379"/>
    <n v="3445"/>
    <n v="0"/>
    <n v="0"/>
    <s v="9/23/2020"/>
    <s v="9/23/2020"/>
    <d v="2026-02-11T00:00:00"/>
    <e v="#VALUE!"/>
    <n v="2"/>
    <n v="81824"/>
    <n v="40912"/>
    <s v=" Not Achieved"/>
    <s v=" Excellent"/>
  </r>
  <r>
    <x v="1218"/>
    <x v="1218"/>
    <s v="EMP_1219"/>
    <x v="1"/>
    <s v="EMP_1219Sales"/>
    <x v="1"/>
    <x v="4"/>
    <n v="50370"/>
    <n v="10859"/>
    <n v="205518"/>
    <n v="246855"/>
    <s v="3/24/2024"/>
    <s v="3/24/2024"/>
    <d v="2026-02-11T00:00:00"/>
    <e v="#VALUE!"/>
    <n v="3"/>
    <n v="61229"/>
    <n v="30614.5"/>
    <s v=" Not Achieved"/>
    <s v=" Excellent"/>
  </r>
  <r>
    <x v="1219"/>
    <x v="1219"/>
    <s v="EMP_1220"/>
    <x v="1"/>
    <s v="EMP_1220Finance"/>
    <x v="2"/>
    <x v="4"/>
    <n v="58102"/>
    <n v="9562"/>
    <n v="0"/>
    <n v="0"/>
    <d v="2020-11-05T00:00:00"/>
    <s v="2020"/>
    <d v="2026-02-11T00:00:00"/>
    <n v="5"/>
    <n v="1"/>
    <n v="67664"/>
    <n v="33832"/>
    <s v=" Not Achieved"/>
    <s v=" Excellent"/>
  </r>
  <r>
    <x v="1220"/>
    <x v="1220"/>
    <s v="EMP_1221"/>
    <x v="0"/>
    <s v="EMP_1221Finance"/>
    <x v="2"/>
    <x v="3"/>
    <n v="42145"/>
    <n v="3346"/>
    <n v="0"/>
    <n v="0"/>
    <s v="8/21/2018"/>
    <s v="8/21/2018"/>
    <d v="2026-02-11T00:00:00"/>
    <e v="#VALUE!"/>
    <n v="1"/>
    <n v="45491"/>
    <n v="22745.5"/>
    <s v=" Not Achieved"/>
    <s v="Good"/>
  </r>
  <r>
    <x v="1221"/>
    <x v="1221"/>
    <s v="EMP_1222"/>
    <x v="0"/>
    <s v="EMP_1222IT"/>
    <x v="3"/>
    <x v="1"/>
    <n v="51524"/>
    <n v="11010"/>
    <n v="0"/>
    <n v="0"/>
    <d v="2018-11-08T00:00:00"/>
    <s v="2018"/>
    <d v="2026-02-11T00:00:00"/>
    <n v="7"/>
    <n v="1"/>
    <n v="62534"/>
    <n v="31267"/>
    <s v=" Not Achieved"/>
    <s v=" Excellent"/>
  </r>
  <r>
    <x v="1222"/>
    <x v="1222"/>
    <s v="EMP_1223"/>
    <x v="1"/>
    <s v="EMP_1223Sales"/>
    <x v="1"/>
    <x v="1"/>
    <n v="44631"/>
    <n v="13153"/>
    <n v="195013"/>
    <n v="152038"/>
    <s v="6/24/2022"/>
    <s v="6/24/2022"/>
    <d v="2026-02-11T00:00:00"/>
    <e v="#VALUE!"/>
    <n v="1"/>
    <n v="57784"/>
    <n v="28892"/>
    <s v="Achieved"/>
    <s v="Good"/>
  </r>
  <r>
    <x v="1223"/>
    <x v="1223"/>
    <s v="EMP_1224"/>
    <x v="1"/>
    <s v="EMP_1224HR"/>
    <x v="0"/>
    <x v="0"/>
    <n v="29442"/>
    <n v="2545"/>
    <n v="0"/>
    <n v="0"/>
    <d v="2024-04-09T00:00:00"/>
    <s v="2024"/>
    <d v="2026-02-11T00:00:00"/>
    <n v="1"/>
    <n v="4"/>
    <n v="31987"/>
    <n v="15993.5"/>
    <s v=" Not Achieved"/>
    <s v="poor"/>
  </r>
  <r>
    <x v="1224"/>
    <x v="1224"/>
    <s v="EMP_1225"/>
    <x v="1"/>
    <s v="EMP_1225Marketing"/>
    <x v="4"/>
    <x v="1"/>
    <n v="52036"/>
    <n v="10333"/>
    <n v="0"/>
    <n v="0"/>
    <s v="6/14/2020"/>
    <s v="6/14/2020"/>
    <d v="2026-02-11T00:00:00"/>
    <e v="#VALUE!"/>
    <n v="1"/>
    <n v="62369"/>
    <n v="31184.5"/>
    <s v=" Not Achieved"/>
    <s v=" Excellent"/>
  </r>
  <r>
    <x v="1225"/>
    <x v="1225"/>
    <s v="EMP_1226"/>
    <x v="1"/>
    <s v="EMP_1226IT"/>
    <x v="3"/>
    <x v="4"/>
    <n v="58878"/>
    <n v="6356"/>
    <n v="0"/>
    <n v="0"/>
    <d v="2018-11-04T00:00:00"/>
    <s v="2018"/>
    <d v="2026-02-11T00:00:00"/>
    <n v="7"/>
    <n v="2"/>
    <n v="65234"/>
    <n v="32617"/>
    <s v=" Not Achieved"/>
    <s v=" Excellent"/>
  </r>
  <r>
    <x v="1226"/>
    <x v="1226"/>
    <s v="EMP_1227"/>
    <x v="0"/>
    <s v="EMP_1227Finance"/>
    <x v="2"/>
    <x v="3"/>
    <n v="30243"/>
    <n v="11039"/>
    <n v="0"/>
    <n v="0"/>
    <s v="5/20/2021"/>
    <s v="5/20/2021"/>
    <d v="2026-02-11T00:00:00"/>
    <e v="#VALUE!"/>
    <n v="5"/>
    <n v="41282"/>
    <n v="20641"/>
    <s v=" Not Achieved"/>
    <s v="Average"/>
  </r>
  <r>
    <x v="1227"/>
    <x v="1227"/>
    <s v="EMP_1228"/>
    <x v="0"/>
    <s v="EMP_1228Finance"/>
    <x v="2"/>
    <x v="2"/>
    <n v="25569"/>
    <n v="7382"/>
    <n v="0"/>
    <n v="0"/>
    <s v="11/30/2018"/>
    <s v="11/30/2018"/>
    <d v="2026-02-11T00:00:00"/>
    <e v="#VALUE!"/>
    <n v="2"/>
    <n v="32951"/>
    <n v="16475.5"/>
    <s v=" Not Achieved"/>
    <s v="poor"/>
  </r>
  <r>
    <x v="1228"/>
    <x v="1228"/>
    <s v="EMP_1229"/>
    <x v="1"/>
    <s v="EMP_1229Finance"/>
    <x v="2"/>
    <x v="2"/>
    <n v="34330"/>
    <n v="7552"/>
    <n v="0"/>
    <n v="0"/>
    <d v="2020-06-04T00:00:00"/>
    <s v="2020"/>
    <d v="2026-02-11T00:00:00"/>
    <n v="5"/>
    <n v="3"/>
    <n v="41882"/>
    <n v="20941"/>
    <s v=" Not Achieved"/>
    <s v="Average"/>
  </r>
  <r>
    <x v="1229"/>
    <x v="1229"/>
    <s v="EMP_1230"/>
    <x v="1"/>
    <s v="EMP_1230Marketing"/>
    <x v="4"/>
    <x v="3"/>
    <n v="41086"/>
    <n v="7165"/>
    <n v="0"/>
    <n v="0"/>
    <d v="2024-04-12T00:00:00"/>
    <s v="2024"/>
    <d v="2026-02-11T00:00:00"/>
    <n v="1"/>
    <n v="2"/>
    <n v="48251"/>
    <n v="24125.5"/>
    <s v=" Not Achieved"/>
    <s v="Good"/>
  </r>
  <r>
    <x v="1230"/>
    <x v="1230"/>
    <s v="EMP_1231"/>
    <x v="1"/>
    <s v="EMP_1231Sales"/>
    <x v="1"/>
    <x v="0"/>
    <n v="46148"/>
    <n v="8143"/>
    <n v="189055"/>
    <n v="170120"/>
    <s v="12/22/2020"/>
    <s v="12/22/2020"/>
    <d v="2026-02-11T00:00:00"/>
    <e v="#VALUE!"/>
    <n v="2"/>
    <n v="54291"/>
    <n v="27145.5"/>
    <s v="Achieved"/>
    <s v="Good"/>
  </r>
  <r>
    <x v="1231"/>
    <x v="1231"/>
    <s v="EMP_1232"/>
    <x v="0"/>
    <s v="EMP_1232Marketing"/>
    <x v="4"/>
    <x v="3"/>
    <n v="62047"/>
    <n v="7059"/>
    <n v="0"/>
    <n v="0"/>
    <d v="2019-08-12T00:00:00"/>
    <s v="2019"/>
    <d v="2026-02-11T00:00:00"/>
    <n v="6"/>
    <n v="2"/>
    <n v="69106"/>
    <n v="34553"/>
    <s v=" Not Achieved"/>
    <s v=" Excellent"/>
  </r>
  <r>
    <x v="1232"/>
    <x v="1232"/>
    <s v="EMP_1233"/>
    <x v="0"/>
    <s v="EMP_1233Sales"/>
    <x v="1"/>
    <x v="2"/>
    <n v="28094"/>
    <n v="9082"/>
    <n v="101564"/>
    <n v="153224"/>
    <s v="5/18/2018"/>
    <s v="5/18/2018"/>
    <d v="2026-02-11T00:00:00"/>
    <e v="#VALUE!"/>
    <n v="1"/>
    <n v="37176"/>
    <n v="18588"/>
    <s v=" Not Achieved"/>
    <s v="poor"/>
  </r>
  <r>
    <x v="1233"/>
    <x v="1233"/>
    <s v="EMP_1234"/>
    <x v="0"/>
    <s v="EMP_1234Sales"/>
    <x v="1"/>
    <x v="1"/>
    <n v="34640"/>
    <n v="10589"/>
    <n v="117663"/>
    <n v="173376"/>
    <d v="2021-10-06T00:00:00"/>
    <s v="2021"/>
    <d v="2026-02-11T00:00:00"/>
    <n v="4"/>
    <n v="3"/>
    <n v="45229"/>
    <n v="22614.5"/>
    <s v=" Not Achieved"/>
    <s v="Average"/>
  </r>
  <r>
    <x v="1234"/>
    <x v="1234"/>
    <s v="EMP_1235"/>
    <x v="1"/>
    <s v="EMP_1235Marketing"/>
    <x v="4"/>
    <x v="4"/>
    <n v="56858"/>
    <n v="3132"/>
    <n v="0"/>
    <n v="0"/>
    <s v="11/30/2021"/>
    <s v="11/30/2021"/>
    <d v="2026-02-11T00:00:00"/>
    <e v="#VALUE!"/>
    <n v="4"/>
    <n v="59990"/>
    <n v="29995"/>
    <s v=" Not Achieved"/>
    <s v=" Excellent"/>
  </r>
  <r>
    <x v="1235"/>
    <x v="1235"/>
    <s v="EMP_1236"/>
    <x v="1"/>
    <s v="EMP_1236Finance"/>
    <x v="2"/>
    <x v="4"/>
    <n v="23456"/>
    <n v="4796"/>
    <n v="0"/>
    <n v="0"/>
    <d v="2022-04-10T00:00:00"/>
    <s v="2022"/>
    <d v="2026-02-11T00:00:00"/>
    <n v="3"/>
    <n v="3"/>
    <n v="28252"/>
    <n v="14126"/>
    <s v=" Not Achieved"/>
    <s v="poor"/>
  </r>
  <r>
    <x v="1236"/>
    <x v="1236"/>
    <s v="EMP_1237"/>
    <x v="0"/>
    <s v="EMP_1237Marketing"/>
    <x v="4"/>
    <x v="4"/>
    <n v="54806"/>
    <n v="9476"/>
    <n v="0"/>
    <n v="0"/>
    <s v="2/14/2019"/>
    <s v="2/14/2019"/>
    <d v="2026-02-11T00:00:00"/>
    <e v="#VALUE!"/>
    <n v="5"/>
    <n v="64282"/>
    <n v="32141"/>
    <s v=" Not Achieved"/>
    <s v=" Excellent"/>
  </r>
  <r>
    <x v="1237"/>
    <x v="1237"/>
    <s v="EMP_1238"/>
    <x v="0"/>
    <s v="EMP_1238Sales"/>
    <x v="1"/>
    <x v="1"/>
    <n v="20839"/>
    <n v="2196"/>
    <n v="199389"/>
    <n v="204608"/>
    <s v="5/22/2024"/>
    <s v="5/22/2024"/>
    <d v="2026-02-11T00:00:00"/>
    <e v="#VALUE!"/>
    <n v="5"/>
    <n v="23035"/>
    <n v="11517.5"/>
    <s v=" Not Achieved"/>
    <s v="poor"/>
  </r>
  <r>
    <x v="1238"/>
    <x v="1238"/>
    <s v="EMP_1239"/>
    <x v="1"/>
    <s v="EMP_1239Finance"/>
    <x v="2"/>
    <x v="0"/>
    <n v="47159"/>
    <n v="5932"/>
    <n v="0"/>
    <n v="0"/>
    <d v="2022-02-06T00:00:00"/>
    <s v="2022"/>
    <d v="2026-02-11T00:00:00"/>
    <n v="4"/>
    <n v="1"/>
    <n v="53091"/>
    <n v="26545.5"/>
    <s v=" Not Achieved"/>
    <s v="Good"/>
  </r>
  <r>
    <x v="1239"/>
    <x v="1239"/>
    <s v="EMP_1240"/>
    <x v="1"/>
    <s v="EMP_1240Marketing"/>
    <x v="4"/>
    <x v="3"/>
    <n v="75180"/>
    <n v="10925"/>
    <n v="0"/>
    <n v="0"/>
    <s v="9/29/2021"/>
    <s v="9/29/2021"/>
    <d v="2026-02-11T00:00:00"/>
    <e v="#VALUE!"/>
    <n v="2"/>
    <n v="86105"/>
    <n v="43052.5"/>
    <s v=" Not Achieved"/>
    <s v=" Excellent"/>
  </r>
  <r>
    <x v="1240"/>
    <x v="1240"/>
    <s v="EMP_1241"/>
    <x v="0"/>
    <s v="EMP_1241Finance"/>
    <x v="2"/>
    <x v="2"/>
    <n v="45556"/>
    <n v="8179"/>
    <n v="0"/>
    <n v="0"/>
    <d v="2022-02-05T00:00:00"/>
    <s v="2022"/>
    <d v="2026-02-11T00:00:00"/>
    <n v="4"/>
    <n v="3"/>
    <n v="53735"/>
    <n v="26867.5"/>
    <s v=" Not Achieved"/>
    <s v="Good"/>
  </r>
  <r>
    <x v="1241"/>
    <x v="1241"/>
    <s v="EMP_1242"/>
    <x v="0"/>
    <s v="EMP_1242IT"/>
    <x v="3"/>
    <x v="2"/>
    <n v="39392"/>
    <n v="2588"/>
    <n v="0"/>
    <n v="0"/>
    <s v="10/18/2019"/>
    <s v="10/18/2019"/>
    <d v="2026-02-11T00:00:00"/>
    <e v="#VALUE!"/>
    <n v="4"/>
    <n v="41980"/>
    <n v="20990"/>
    <s v=" Not Achieved"/>
    <s v="Average"/>
  </r>
  <r>
    <x v="1242"/>
    <x v="1242"/>
    <s v="EMP_1243"/>
    <x v="1"/>
    <s v="EMP_1243Marketing"/>
    <x v="4"/>
    <x v="4"/>
    <n v="43684"/>
    <n v="3087"/>
    <n v="0"/>
    <n v="0"/>
    <s v="6/28/2021"/>
    <s v="6/28/2021"/>
    <d v="2026-02-11T00:00:00"/>
    <e v="#VALUE!"/>
    <n v="5"/>
    <n v="46771"/>
    <n v="23385.5"/>
    <s v=" Not Achieved"/>
    <s v="Good"/>
  </r>
  <r>
    <x v="1243"/>
    <x v="1243"/>
    <s v="EMP_1244"/>
    <x v="0"/>
    <s v="EMP_1244HR"/>
    <x v="0"/>
    <x v="0"/>
    <n v="42702"/>
    <n v="8988"/>
    <n v="0"/>
    <n v="0"/>
    <s v="2/22/2020"/>
    <s v="2/22/2020"/>
    <d v="2026-02-11T00:00:00"/>
    <e v="#VALUE!"/>
    <n v="4"/>
    <n v="51690"/>
    <n v="25845"/>
    <s v=" Not Achieved"/>
    <s v="Good"/>
  </r>
  <r>
    <x v="1244"/>
    <x v="1244"/>
    <s v="EMP_1245"/>
    <x v="0"/>
    <s v="EMP_1245IT"/>
    <x v="3"/>
    <x v="2"/>
    <n v="44016"/>
    <n v="3586"/>
    <n v="0"/>
    <n v="0"/>
    <s v="8/25/2020"/>
    <s v="8/25/2020"/>
    <d v="2026-02-11T00:00:00"/>
    <e v="#VALUE!"/>
    <n v="3"/>
    <n v="47602"/>
    <n v="23801"/>
    <s v=" Not Achieved"/>
    <s v="Good"/>
  </r>
  <r>
    <x v="1245"/>
    <x v="1245"/>
    <s v="EMP_1246"/>
    <x v="0"/>
    <s v="EMP_1246Sales"/>
    <x v="1"/>
    <x v="4"/>
    <n v="71051"/>
    <n v="9594"/>
    <n v="99796"/>
    <n v="85371"/>
    <s v="6/21/2019"/>
    <s v="6/21/2019"/>
    <d v="2026-02-11T00:00:00"/>
    <e v="#VALUE!"/>
    <n v="5"/>
    <n v="80645"/>
    <n v="40322.5"/>
    <s v="Achieved"/>
    <s v=" Excellent"/>
  </r>
  <r>
    <x v="1246"/>
    <x v="1246"/>
    <s v="EMP_1247"/>
    <x v="1"/>
    <s v="EMP_1247Marketing"/>
    <x v="4"/>
    <x v="3"/>
    <n v="66747"/>
    <n v="5691"/>
    <n v="0"/>
    <n v="0"/>
    <d v="2024-08-11T00:00:00"/>
    <s v="2024"/>
    <d v="2026-02-11T00:00:00"/>
    <n v="1"/>
    <n v="3"/>
    <n v="72438"/>
    <n v="36219"/>
    <s v=" Not Achieved"/>
    <s v=" Excellent"/>
  </r>
  <r>
    <x v="1247"/>
    <x v="1247"/>
    <s v="EMP_1248"/>
    <x v="1"/>
    <s v="EMP_1248Sales"/>
    <x v="1"/>
    <x v="0"/>
    <n v="67395"/>
    <n v="8560"/>
    <n v="216082"/>
    <n v="85988"/>
    <s v="1/29/2022"/>
    <s v="1/29/2022"/>
    <d v="2026-02-11T00:00:00"/>
    <e v="#VALUE!"/>
    <n v="4"/>
    <n v="75955"/>
    <n v="37977.5"/>
    <s v="Achieved"/>
    <s v=" Excellent"/>
  </r>
  <r>
    <x v="1248"/>
    <x v="1248"/>
    <s v="EMP_1249"/>
    <x v="0"/>
    <s v="EMP_1249Sales"/>
    <x v="1"/>
    <x v="3"/>
    <n v="24403"/>
    <n v="4659"/>
    <n v="276501"/>
    <n v="140575"/>
    <d v="2024-03-03T00:00:00"/>
    <s v="2024"/>
    <d v="2026-02-11T00:00:00"/>
    <n v="1"/>
    <n v="4"/>
    <n v="29062"/>
    <n v="14531"/>
    <s v="Achieved"/>
    <s v="poor"/>
  </r>
  <r>
    <x v="1249"/>
    <x v="1249"/>
    <s v="EMP_1250"/>
    <x v="0"/>
    <s v="EMP_1250HR"/>
    <x v="0"/>
    <x v="0"/>
    <n v="78134"/>
    <n v="3806"/>
    <n v="0"/>
    <n v="0"/>
    <s v="5/28/2019"/>
    <s v="5/28/2019"/>
    <d v="2026-02-11T00:00:00"/>
    <e v="#VALUE!"/>
    <n v="5"/>
    <n v="81940"/>
    <n v="40970"/>
    <s v=" Not Achieved"/>
    <s v=" Excellent"/>
  </r>
  <r>
    <x v="1250"/>
    <x v="1250"/>
    <s v="EMP_1251"/>
    <x v="0"/>
    <s v="EMP_1251Marketing"/>
    <x v="4"/>
    <x v="1"/>
    <n v="37992"/>
    <n v="12473"/>
    <n v="0"/>
    <n v="0"/>
    <d v="2018-07-06T00:00:00"/>
    <s v="2018"/>
    <d v="2026-02-11T00:00:00"/>
    <n v="7"/>
    <n v="1"/>
    <n v="50465"/>
    <n v="25232.5"/>
    <s v=" Not Achieved"/>
    <s v="Average"/>
  </r>
  <r>
    <x v="1251"/>
    <x v="1251"/>
    <s v="EMP_1252"/>
    <x v="1"/>
    <s v="EMP_1252HR"/>
    <x v="0"/>
    <x v="1"/>
    <n v="30995"/>
    <n v="4781"/>
    <n v="0"/>
    <n v="0"/>
    <d v="2023-11-11T00:00:00"/>
    <s v="2023"/>
    <d v="2026-02-11T00:00:00"/>
    <n v="2"/>
    <n v="5"/>
    <n v="35776"/>
    <n v="17888"/>
    <s v=" Not Achieved"/>
    <s v="Average"/>
  </r>
  <r>
    <x v="1252"/>
    <x v="1252"/>
    <s v="EMP_1253"/>
    <x v="0"/>
    <s v="EMP_1253IT"/>
    <x v="3"/>
    <x v="0"/>
    <n v="37384"/>
    <n v="13192"/>
    <n v="0"/>
    <n v="0"/>
    <s v="4/26/2019"/>
    <s v="4/26/2019"/>
    <d v="2026-02-11T00:00:00"/>
    <e v="#VALUE!"/>
    <n v="5"/>
    <n v="50576"/>
    <n v="25288"/>
    <s v=" Not Achieved"/>
    <s v="Average"/>
  </r>
  <r>
    <x v="1253"/>
    <x v="1253"/>
    <s v="EMP_1254"/>
    <x v="0"/>
    <s v="EMP_1254HR"/>
    <x v="0"/>
    <x v="3"/>
    <n v="65192"/>
    <n v="2659"/>
    <n v="0"/>
    <n v="0"/>
    <d v="2020-06-12T00:00:00"/>
    <s v="2020"/>
    <d v="2026-02-11T00:00:00"/>
    <n v="5"/>
    <n v="4"/>
    <n v="67851"/>
    <n v="33925.5"/>
    <s v=" Not Achieved"/>
    <s v=" Excellent"/>
  </r>
  <r>
    <x v="1254"/>
    <x v="1254"/>
    <s v="EMP_1255"/>
    <x v="0"/>
    <s v="EMP_1255Sales"/>
    <x v="1"/>
    <x v="0"/>
    <n v="27380"/>
    <n v="12541"/>
    <n v="98950"/>
    <n v="85498"/>
    <d v="2022-10-03T00:00:00"/>
    <s v="2022"/>
    <d v="2026-02-11T00:00:00"/>
    <n v="3"/>
    <n v="2"/>
    <n v="39921"/>
    <n v="19960.5"/>
    <s v="Achieved"/>
    <s v="poor"/>
  </r>
  <r>
    <x v="1255"/>
    <x v="1255"/>
    <s v="EMP_1256"/>
    <x v="1"/>
    <s v="EMP_1256HR"/>
    <x v="0"/>
    <x v="1"/>
    <n v="27812"/>
    <n v="8314"/>
    <n v="0"/>
    <n v="0"/>
    <d v="2018-02-10T00:00:00"/>
    <s v="2018"/>
    <d v="2026-02-11T00:00:00"/>
    <n v="8"/>
    <n v="1"/>
    <n v="36126"/>
    <n v="18063"/>
    <s v=" Not Achieved"/>
    <s v="poor"/>
  </r>
  <r>
    <x v="1256"/>
    <x v="1256"/>
    <s v="EMP_1257"/>
    <x v="0"/>
    <s v="EMP_1257IT"/>
    <x v="3"/>
    <x v="4"/>
    <n v="63709"/>
    <n v="2323"/>
    <n v="0"/>
    <n v="0"/>
    <s v="6/27/2020"/>
    <s v="6/27/2020"/>
    <d v="2026-02-11T00:00:00"/>
    <e v="#VALUE!"/>
    <n v="2"/>
    <n v="66032"/>
    <n v="33016"/>
    <s v=" Not Achieved"/>
    <s v=" Excellent"/>
  </r>
  <r>
    <x v="1257"/>
    <x v="1257"/>
    <s v="EMP_1258"/>
    <x v="1"/>
    <s v="EMP_1258Finance"/>
    <x v="2"/>
    <x v="2"/>
    <n v="40539"/>
    <n v="11188"/>
    <n v="0"/>
    <n v="0"/>
    <s v="3/30/2022"/>
    <s v="3/30/2022"/>
    <d v="2026-02-11T00:00:00"/>
    <e v="#VALUE!"/>
    <n v="2"/>
    <n v="51727"/>
    <n v="25863.5"/>
    <s v=" Not Achieved"/>
    <s v="Good"/>
  </r>
  <r>
    <x v="1258"/>
    <x v="1258"/>
    <s v="EMP_1259"/>
    <x v="0"/>
    <s v="EMP_1259Sales"/>
    <x v="1"/>
    <x v="3"/>
    <n v="74411"/>
    <n v="2035"/>
    <n v="124465"/>
    <n v="83004"/>
    <d v="2020-06-11T00:00:00"/>
    <s v="2020"/>
    <d v="2026-02-11T00:00:00"/>
    <n v="5"/>
    <n v="3"/>
    <n v="76446"/>
    <n v="38223"/>
    <s v="Achieved"/>
    <s v=" Excellent"/>
  </r>
  <r>
    <x v="1259"/>
    <x v="1259"/>
    <s v="EMP_1260"/>
    <x v="0"/>
    <s v="EMP_1260Marketing"/>
    <x v="4"/>
    <x v="3"/>
    <n v="65095"/>
    <n v="5628"/>
    <n v="0"/>
    <n v="0"/>
    <d v="2021-01-07T00:00:00"/>
    <s v="2021"/>
    <d v="2026-02-11T00:00:00"/>
    <n v="5"/>
    <n v="4"/>
    <n v="70723"/>
    <n v="35361.5"/>
    <s v=" Not Achieved"/>
    <s v=" Excellent"/>
  </r>
  <r>
    <x v="1260"/>
    <x v="1260"/>
    <s v="EMP_1261"/>
    <x v="0"/>
    <s v="EMP_1261Sales"/>
    <x v="1"/>
    <x v="3"/>
    <n v="22807"/>
    <n v="14669"/>
    <n v="199224"/>
    <n v="111325"/>
    <d v="2023-12-03T00:00:00"/>
    <s v="2023"/>
    <d v="2026-02-11T00:00:00"/>
    <n v="2"/>
    <n v="2"/>
    <n v="37476"/>
    <n v="18738"/>
    <s v="Achieved"/>
    <s v="poor"/>
  </r>
  <r>
    <x v="1261"/>
    <x v="1261"/>
    <s v="EMP_1262"/>
    <x v="0"/>
    <s v="EMP_1262Finance"/>
    <x v="2"/>
    <x v="1"/>
    <n v="26350"/>
    <n v="11559"/>
    <n v="0"/>
    <n v="0"/>
    <s v="8/27/2024"/>
    <s v="8/27/2024"/>
    <d v="2026-02-11T00:00:00"/>
    <e v="#VALUE!"/>
    <n v="2"/>
    <n v="37909"/>
    <n v="18954.5"/>
    <s v=" Not Achieved"/>
    <s v="poor"/>
  </r>
  <r>
    <x v="1262"/>
    <x v="1262"/>
    <s v="EMP_1263"/>
    <x v="1"/>
    <s v="EMP_1263Sales"/>
    <x v="1"/>
    <x v="3"/>
    <n v="33849"/>
    <n v="4747"/>
    <n v="109509"/>
    <n v="195148"/>
    <s v="5/23/2018"/>
    <s v="5/23/2018"/>
    <d v="2026-02-11T00:00:00"/>
    <e v="#VALUE!"/>
    <n v="3"/>
    <n v="38596"/>
    <n v="19298"/>
    <s v=" Not Achieved"/>
    <s v="Average"/>
  </r>
  <r>
    <x v="1263"/>
    <x v="1263"/>
    <s v="EMP_1264"/>
    <x v="0"/>
    <s v="EMP_1264IT"/>
    <x v="3"/>
    <x v="4"/>
    <n v="58476"/>
    <n v="8759"/>
    <n v="0"/>
    <n v="0"/>
    <s v="9/23/2021"/>
    <s v="9/23/2021"/>
    <d v="2026-02-11T00:00:00"/>
    <e v="#VALUE!"/>
    <n v="2"/>
    <n v="67235"/>
    <n v="33617.5"/>
    <s v=" Not Achieved"/>
    <s v=" Excellent"/>
  </r>
  <r>
    <x v="1264"/>
    <x v="1264"/>
    <s v="EMP_1265"/>
    <x v="1"/>
    <s v="EMP_1265Finance"/>
    <x v="2"/>
    <x v="0"/>
    <n v="72226"/>
    <n v="6890"/>
    <n v="0"/>
    <n v="0"/>
    <s v="10/26/2022"/>
    <s v="10/26/2022"/>
    <d v="2026-02-11T00:00:00"/>
    <e v="#VALUE!"/>
    <n v="1"/>
    <n v="79116"/>
    <n v="39558"/>
    <s v=" Not Achieved"/>
    <s v=" Excellent"/>
  </r>
  <r>
    <x v="1265"/>
    <x v="1265"/>
    <s v="EMP_1266"/>
    <x v="1"/>
    <s v="EMP_1266HR"/>
    <x v="0"/>
    <x v="2"/>
    <n v="20898"/>
    <n v="4250"/>
    <n v="0"/>
    <n v="0"/>
    <s v="5/25/2022"/>
    <s v="5/25/2022"/>
    <d v="2026-02-11T00:00:00"/>
    <e v="#VALUE!"/>
    <n v="1"/>
    <n v="25148"/>
    <n v="12574"/>
    <s v=" Not Achieved"/>
    <s v="poor"/>
  </r>
  <r>
    <x v="1266"/>
    <x v="1266"/>
    <s v="EMP_1267"/>
    <x v="1"/>
    <s v="EMP_1267Marketing"/>
    <x v="4"/>
    <x v="0"/>
    <n v="78462"/>
    <n v="12695"/>
    <n v="0"/>
    <n v="0"/>
    <d v="2020-02-11T00:00:00"/>
    <s v="2020"/>
    <d v="2026-02-11T00:00:00"/>
    <n v="6"/>
    <n v="2"/>
    <n v="91157"/>
    <n v="45578.5"/>
    <s v=" Not Achieved"/>
    <s v=" Excellent"/>
  </r>
  <r>
    <x v="1267"/>
    <x v="1267"/>
    <s v="EMP_1268"/>
    <x v="0"/>
    <s v="EMP_1268Finance"/>
    <x v="2"/>
    <x v="4"/>
    <n v="79975"/>
    <n v="5842"/>
    <n v="0"/>
    <n v="0"/>
    <s v="2/25/2020"/>
    <s v="2/25/2020"/>
    <d v="2026-02-11T00:00:00"/>
    <e v="#VALUE!"/>
    <n v="4"/>
    <n v="85817"/>
    <n v="42908.5"/>
    <s v=" Not Achieved"/>
    <s v=" Excellent"/>
  </r>
  <r>
    <x v="1268"/>
    <x v="1268"/>
    <s v="EMP_1269"/>
    <x v="1"/>
    <s v="EMP_1269HR"/>
    <x v="0"/>
    <x v="4"/>
    <n v="27052"/>
    <n v="10402"/>
    <n v="0"/>
    <n v="0"/>
    <d v="2018-02-06T00:00:00"/>
    <s v="2018"/>
    <d v="2026-02-11T00:00:00"/>
    <n v="8"/>
    <n v="5"/>
    <n v="37454"/>
    <n v="18727"/>
    <s v=" Not Achieved"/>
    <s v="poor"/>
  </r>
  <r>
    <x v="1269"/>
    <x v="1269"/>
    <s v="EMP_1270"/>
    <x v="0"/>
    <s v="EMP_1270Sales"/>
    <x v="1"/>
    <x v="4"/>
    <n v="67002"/>
    <n v="12483"/>
    <n v="122588"/>
    <n v="94433"/>
    <d v="2019-12-12T00:00:00"/>
    <s v="2019"/>
    <d v="2026-02-11T00:00:00"/>
    <n v="6"/>
    <n v="2"/>
    <n v="79485"/>
    <n v="39742.5"/>
    <s v="Achieved"/>
    <s v=" Excellent"/>
  </r>
  <r>
    <x v="1270"/>
    <x v="1270"/>
    <s v="EMP_1271"/>
    <x v="0"/>
    <s v="EMP_1271IT"/>
    <x v="3"/>
    <x v="1"/>
    <n v="21754"/>
    <n v="11544"/>
    <n v="0"/>
    <n v="0"/>
    <d v="2023-06-07T00:00:00"/>
    <s v="2023"/>
    <d v="2026-02-11T00:00:00"/>
    <n v="2"/>
    <n v="2"/>
    <n v="33298"/>
    <n v="16649"/>
    <s v=" Not Achieved"/>
    <s v="poor"/>
  </r>
  <r>
    <x v="1271"/>
    <x v="1271"/>
    <s v="EMP_1272"/>
    <x v="1"/>
    <s v="EMP_1272Marketing"/>
    <x v="4"/>
    <x v="1"/>
    <n v="40573"/>
    <n v="12746"/>
    <n v="0"/>
    <n v="0"/>
    <s v="7/31/2024"/>
    <s v="7/31/2024"/>
    <d v="2026-02-11T00:00:00"/>
    <e v="#VALUE!"/>
    <n v="2"/>
    <n v="53319"/>
    <n v="26659.5"/>
    <s v=" Not Achieved"/>
    <s v="Good"/>
  </r>
  <r>
    <x v="1272"/>
    <x v="1272"/>
    <s v="EMP_1273"/>
    <x v="0"/>
    <s v="EMP_1273Finance"/>
    <x v="2"/>
    <x v="1"/>
    <n v="25874"/>
    <n v="6465"/>
    <n v="0"/>
    <n v="0"/>
    <d v="2022-10-04T00:00:00"/>
    <s v="2022"/>
    <d v="2026-02-11T00:00:00"/>
    <n v="3"/>
    <n v="2"/>
    <n v="32339"/>
    <n v="16169.5"/>
    <s v=" Not Achieved"/>
    <s v="poor"/>
  </r>
  <r>
    <x v="1273"/>
    <x v="1273"/>
    <s v="EMP_1274"/>
    <x v="0"/>
    <s v="EMP_1274IT"/>
    <x v="3"/>
    <x v="2"/>
    <n v="61645"/>
    <n v="8236"/>
    <n v="0"/>
    <n v="0"/>
    <s v="3/25/2021"/>
    <s v="3/25/2021"/>
    <d v="2026-02-11T00:00:00"/>
    <e v="#VALUE!"/>
    <n v="5"/>
    <n v="69881"/>
    <n v="34940.5"/>
    <s v=" Not Achieved"/>
    <s v=" Excellent"/>
  </r>
  <r>
    <x v="1274"/>
    <x v="1274"/>
    <s v="EMP_1275"/>
    <x v="1"/>
    <s v="EMP_1275Marketing"/>
    <x v="4"/>
    <x v="3"/>
    <n v="64735"/>
    <n v="14712"/>
    <n v="0"/>
    <n v="0"/>
    <s v="1/31/2019"/>
    <s v="1/31/2019"/>
    <d v="2026-02-11T00:00:00"/>
    <e v="#VALUE!"/>
    <n v="2"/>
    <n v="79447"/>
    <n v="39723.5"/>
    <s v=" Not Achieved"/>
    <s v=" Excellent"/>
  </r>
  <r>
    <x v="1275"/>
    <x v="1275"/>
    <s v="EMP_1276"/>
    <x v="0"/>
    <s v="EMP_1276Sales"/>
    <x v="1"/>
    <x v="0"/>
    <n v="63530"/>
    <n v="9667"/>
    <n v="163843"/>
    <n v="135506"/>
    <s v="12/23/2020"/>
    <s v="12/23/2020"/>
    <d v="2026-02-11T00:00:00"/>
    <e v="#VALUE!"/>
    <n v="1"/>
    <n v="73197"/>
    <n v="36598.5"/>
    <s v="Achieved"/>
    <s v=" Excellent"/>
  </r>
  <r>
    <x v="1276"/>
    <x v="1276"/>
    <s v="EMP_1277"/>
    <x v="1"/>
    <s v="EMP_1277IT"/>
    <x v="3"/>
    <x v="1"/>
    <n v="32488"/>
    <n v="14183"/>
    <n v="0"/>
    <n v="0"/>
    <d v="2023-07-05T00:00:00"/>
    <s v="2023"/>
    <d v="2026-02-11T00:00:00"/>
    <n v="2"/>
    <n v="1"/>
    <n v="46671"/>
    <n v="23335.5"/>
    <s v=" Not Achieved"/>
    <s v="Average"/>
  </r>
  <r>
    <x v="1277"/>
    <x v="1277"/>
    <s v="EMP_1278"/>
    <x v="0"/>
    <s v="EMP_1278Marketing"/>
    <x v="4"/>
    <x v="3"/>
    <n v="61404"/>
    <n v="10546"/>
    <n v="0"/>
    <n v="0"/>
    <s v="9/24/2023"/>
    <s v="9/24/2023"/>
    <d v="2026-02-11T00:00:00"/>
    <e v="#VALUE!"/>
    <n v="1"/>
    <n v="71950"/>
    <n v="35975"/>
    <s v=" Not Achieved"/>
    <s v=" Excellent"/>
  </r>
  <r>
    <x v="1278"/>
    <x v="1278"/>
    <s v="EMP_1279"/>
    <x v="0"/>
    <s v="EMP_1279Finance"/>
    <x v="2"/>
    <x v="1"/>
    <n v="73426"/>
    <n v="14229"/>
    <n v="0"/>
    <n v="0"/>
    <s v="2/13/2023"/>
    <s v="2/13/2023"/>
    <d v="2026-02-11T00:00:00"/>
    <e v="#VALUE!"/>
    <n v="3"/>
    <n v="87655"/>
    <n v="43827.5"/>
    <s v=" Not Achieved"/>
    <s v=" Excellent"/>
  </r>
  <r>
    <x v="1279"/>
    <x v="1279"/>
    <s v="EMP_1280"/>
    <x v="0"/>
    <s v="EMP_1280Sales"/>
    <x v="1"/>
    <x v="0"/>
    <n v="69298"/>
    <n v="9083"/>
    <n v="91824"/>
    <n v="231500"/>
    <d v="2022-05-03T00:00:00"/>
    <s v="2022"/>
    <d v="2026-02-11T00:00:00"/>
    <n v="3"/>
    <n v="3"/>
    <n v="78381"/>
    <n v="39190.5"/>
    <s v=" Not Achieved"/>
    <s v=" Excellent"/>
  </r>
  <r>
    <x v="1280"/>
    <x v="1280"/>
    <s v="EMP_1281"/>
    <x v="1"/>
    <s v="EMP_1281Marketing"/>
    <x v="4"/>
    <x v="0"/>
    <n v="20913"/>
    <n v="10924"/>
    <n v="0"/>
    <n v="0"/>
    <s v="7/30/2021"/>
    <s v="7/30/2021"/>
    <d v="2026-02-11T00:00:00"/>
    <e v="#VALUE!"/>
    <n v="2"/>
    <n v="31837"/>
    <n v="15918.5"/>
    <s v=" Not Achieved"/>
    <s v="poor"/>
  </r>
  <r>
    <x v="1281"/>
    <x v="1281"/>
    <s v="EMP_1282"/>
    <x v="1"/>
    <s v="EMP_1282Sales"/>
    <x v="1"/>
    <x v="3"/>
    <n v="75038"/>
    <n v="10214"/>
    <n v="176619"/>
    <n v="80293"/>
    <d v="2023-02-07T00:00:00"/>
    <s v="2023"/>
    <d v="2026-02-11T00:00:00"/>
    <n v="3"/>
    <n v="3"/>
    <n v="85252"/>
    <n v="42626"/>
    <s v="Achieved"/>
    <s v=" Excellent"/>
  </r>
  <r>
    <x v="1282"/>
    <x v="1282"/>
    <s v="EMP_1283"/>
    <x v="1"/>
    <s v="EMP_1283Sales"/>
    <x v="1"/>
    <x v="4"/>
    <n v="63258"/>
    <n v="13942"/>
    <n v="151372"/>
    <n v="195807"/>
    <s v="10/13/2019"/>
    <s v="10/13/2019"/>
    <d v="2026-02-11T00:00:00"/>
    <e v="#VALUE!"/>
    <n v="2"/>
    <n v="77200"/>
    <n v="38600"/>
    <s v=" Not Achieved"/>
    <s v=" Excellent"/>
  </r>
  <r>
    <x v="1283"/>
    <x v="1283"/>
    <s v="EMP_1284"/>
    <x v="0"/>
    <s v="EMP_1284Finance"/>
    <x v="2"/>
    <x v="4"/>
    <n v="68442"/>
    <n v="13230"/>
    <n v="0"/>
    <n v="0"/>
    <s v="2/20/2021"/>
    <s v="2/20/2021"/>
    <d v="2026-02-11T00:00:00"/>
    <e v="#VALUE!"/>
    <n v="1"/>
    <n v="81672"/>
    <n v="40836"/>
    <s v=" Not Achieved"/>
    <s v=" Excellent"/>
  </r>
  <r>
    <x v="1284"/>
    <x v="1284"/>
    <s v="EMP_1285"/>
    <x v="1"/>
    <s v="EMP_1285Marketing"/>
    <x v="4"/>
    <x v="1"/>
    <n v="66682"/>
    <n v="10672"/>
    <n v="0"/>
    <n v="0"/>
    <s v="8/30/2022"/>
    <s v="8/30/2022"/>
    <d v="2026-02-11T00:00:00"/>
    <e v="#VALUE!"/>
    <n v="1"/>
    <n v="77354"/>
    <n v="38677"/>
    <s v=" Not Achieved"/>
    <s v=" Excellent"/>
  </r>
  <r>
    <x v="1285"/>
    <x v="1285"/>
    <s v="EMP_1286"/>
    <x v="1"/>
    <s v="EMP_1286Sales"/>
    <x v="1"/>
    <x v="3"/>
    <n v="33023"/>
    <n v="8182"/>
    <n v="128278"/>
    <n v="107573"/>
    <s v="8/16/2023"/>
    <s v="8/16/2023"/>
    <d v="2026-02-11T00:00:00"/>
    <e v="#VALUE!"/>
    <n v="4"/>
    <n v="41205"/>
    <n v="20602.5"/>
    <s v="Achieved"/>
    <s v="Average"/>
  </r>
  <r>
    <x v="1286"/>
    <x v="1286"/>
    <s v="EMP_1287"/>
    <x v="0"/>
    <s v="EMP_1287Marketing"/>
    <x v="4"/>
    <x v="0"/>
    <n v="43707"/>
    <n v="3575"/>
    <n v="0"/>
    <n v="0"/>
    <d v="2020-06-12T00:00:00"/>
    <s v="2020"/>
    <d v="2026-02-11T00:00:00"/>
    <n v="5"/>
    <n v="5"/>
    <n v="47282"/>
    <n v="23641"/>
    <s v=" Not Achieved"/>
    <s v="Good"/>
  </r>
  <r>
    <x v="1287"/>
    <x v="1287"/>
    <s v="EMP_1288"/>
    <x v="0"/>
    <s v="EMP_1288Marketing"/>
    <x v="4"/>
    <x v="1"/>
    <n v="22024"/>
    <n v="8410"/>
    <n v="0"/>
    <n v="0"/>
    <s v="9/24/2020"/>
    <s v="9/24/2020"/>
    <d v="2026-02-11T00:00:00"/>
    <e v="#VALUE!"/>
    <n v="5"/>
    <n v="30434"/>
    <n v="15217"/>
    <s v=" Not Achieved"/>
    <s v="poor"/>
  </r>
  <r>
    <x v="1288"/>
    <x v="1288"/>
    <s v="EMP_1289"/>
    <x v="0"/>
    <s v="EMP_1289IT"/>
    <x v="3"/>
    <x v="0"/>
    <n v="59774"/>
    <n v="9846"/>
    <n v="0"/>
    <n v="0"/>
    <s v="8/19/2023"/>
    <s v="8/19/2023"/>
    <d v="2026-02-11T00:00:00"/>
    <e v="#VALUE!"/>
    <n v="5"/>
    <n v="69620"/>
    <n v="34810"/>
    <s v=" Not Achieved"/>
    <s v=" Excellent"/>
  </r>
  <r>
    <x v="1289"/>
    <x v="1289"/>
    <s v="EMP_1290"/>
    <x v="0"/>
    <s v="EMP_1290HR"/>
    <x v="0"/>
    <x v="4"/>
    <n v="33787"/>
    <n v="12882"/>
    <n v="0"/>
    <n v="0"/>
    <s v="10/13/2022"/>
    <s v="10/13/2022"/>
    <d v="2026-02-11T00:00:00"/>
    <e v="#VALUE!"/>
    <n v="2"/>
    <n v="46669"/>
    <n v="23334.5"/>
    <s v=" Not Achieved"/>
    <s v="Average"/>
  </r>
  <r>
    <x v="1290"/>
    <x v="1290"/>
    <s v="EMP_1291"/>
    <x v="1"/>
    <s v="EMP_1291Sales"/>
    <x v="1"/>
    <x v="0"/>
    <n v="62843"/>
    <n v="13450"/>
    <n v="272585"/>
    <n v="90780"/>
    <d v="2023-08-10T00:00:00"/>
    <s v="2023"/>
    <d v="2026-02-11T00:00:00"/>
    <n v="2"/>
    <n v="2"/>
    <n v="76293"/>
    <n v="38146.5"/>
    <s v="Achieved"/>
    <s v=" Excellent"/>
  </r>
  <r>
    <x v="1291"/>
    <x v="1291"/>
    <s v="EMP_1292"/>
    <x v="0"/>
    <s v="EMP_1292HR"/>
    <x v="0"/>
    <x v="4"/>
    <n v="71116"/>
    <n v="2589"/>
    <n v="0"/>
    <n v="0"/>
    <d v="2020-01-11T00:00:00"/>
    <s v="2020"/>
    <d v="2026-02-11T00:00:00"/>
    <n v="6"/>
    <n v="2"/>
    <n v="73705"/>
    <n v="36852.5"/>
    <s v=" Not Achieved"/>
    <s v=" Excellent"/>
  </r>
  <r>
    <x v="1292"/>
    <x v="1292"/>
    <s v="EMP_1293"/>
    <x v="1"/>
    <s v="EMP_1293Marketing"/>
    <x v="4"/>
    <x v="0"/>
    <n v="46856"/>
    <n v="6713"/>
    <n v="0"/>
    <n v="0"/>
    <s v="2/13/2022"/>
    <s v="2/13/2022"/>
    <d v="2026-02-11T00:00:00"/>
    <e v="#VALUE!"/>
    <n v="2"/>
    <n v="53569"/>
    <n v="26784.5"/>
    <s v=" Not Achieved"/>
    <s v="Good"/>
  </r>
  <r>
    <x v="1293"/>
    <x v="1293"/>
    <s v="EMP_1294"/>
    <x v="0"/>
    <s v="EMP_1294Marketing"/>
    <x v="4"/>
    <x v="3"/>
    <n v="51360"/>
    <n v="4234"/>
    <n v="0"/>
    <n v="0"/>
    <s v="1/28/2024"/>
    <s v="1/28/2024"/>
    <d v="2026-02-11T00:00:00"/>
    <e v="#VALUE!"/>
    <n v="2"/>
    <n v="55594"/>
    <n v="27797"/>
    <s v=" Not Achieved"/>
    <s v=" Excellent"/>
  </r>
  <r>
    <x v="1294"/>
    <x v="1294"/>
    <s v="EMP_1295"/>
    <x v="1"/>
    <s v="EMP_1295Sales"/>
    <x v="1"/>
    <x v="0"/>
    <n v="25529"/>
    <n v="8803"/>
    <n v="291640"/>
    <n v="155026"/>
    <d v="2018-12-04T00:00:00"/>
    <s v="2018"/>
    <d v="2026-02-11T00:00:00"/>
    <n v="7"/>
    <n v="1"/>
    <n v="34332"/>
    <n v="17166"/>
    <s v="Achieved"/>
    <s v="poor"/>
  </r>
  <r>
    <x v="1295"/>
    <x v="1295"/>
    <s v="EMP_1296"/>
    <x v="1"/>
    <s v="EMP_1296IT"/>
    <x v="3"/>
    <x v="4"/>
    <n v="67530"/>
    <n v="11093"/>
    <n v="0"/>
    <n v="0"/>
    <s v="5/20/2023"/>
    <s v="5/20/2023"/>
    <d v="2026-02-11T00:00:00"/>
    <e v="#VALUE!"/>
    <n v="1"/>
    <n v="78623"/>
    <n v="39311.5"/>
    <s v=" Not Achieved"/>
    <s v=" Excellent"/>
  </r>
  <r>
    <x v="1296"/>
    <x v="1296"/>
    <s v="EMP_1297"/>
    <x v="1"/>
    <s v="EMP_1297Sales"/>
    <x v="1"/>
    <x v="0"/>
    <n v="34975"/>
    <n v="3236"/>
    <n v="206815"/>
    <n v="82761"/>
    <s v="3/21/2022"/>
    <s v="3/21/2022"/>
    <d v="2026-02-11T00:00:00"/>
    <e v="#VALUE!"/>
    <n v="2"/>
    <n v="38211"/>
    <n v="19105.5"/>
    <s v="Achieved"/>
    <s v="Average"/>
  </r>
  <r>
    <x v="1297"/>
    <x v="1297"/>
    <s v="EMP_1298"/>
    <x v="0"/>
    <s v="EMP_1298Sales"/>
    <x v="1"/>
    <x v="2"/>
    <n v="73590"/>
    <n v="8513"/>
    <n v="275921"/>
    <n v="189852"/>
    <s v="7/26/2019"/>
    <s v="7/26/2019"/>
    <d v="2026-02-11T00:00:00"/>
    <e v="#VALUE!"/>
    <n v="4"/>
    <n v="82103"/>
    <n v="41051.5"/>
    <s v="Achieved"/>
    <s v=" Excellent"/>
  </r>
  <r>
    <x v="1298"/>
    <x v="1298"/>
    <s v="EMP_1299"/>
    <x v="1"/>
    <s v="EMP_1299Sales"/>
    <x v="1"/>
    <x v="4"/>
    <n v="63790"/>
    <n v="7847"/>
    <n v="253196"/>
    <n v="188887"/>
    <s v="3/17/2023"/>
    <s v="3/17/2023"/>
    <d v="2026-02-11T00:00:00"/>
    <e v="#VALUE!"/>
    <n v="1"/>
    <n v="71637"/>
    <n v="35818.5"/>
    <s v="Achieved"/>
    <s v=" Excellent"/>
  </r>
  <r>
    <x v="1299"/>
    <x v="1299"/>
    <s v="EMP_1300"/>
    <x v="0"/>
    <s v="EMP_1300Sales"/>
    <x v="1"/>
    <x v="0"/>
    <n v="57319"/>
    <n v="13346"/>
    <n v="274059"/>
    <n v="136377"/>
    <s v="6/16/2018"/>
    <s v="6/16/2018"/>
    <d v="2026-02-11T00:00:00"/>
    <e v="#VALUE!"/>
    <n v="1"/>
    <n v="70665"/>
    <n v="35332.5"/>
    <s v="Achieved"/>
    <s v=" Excellent"/>
  </r>
  <r>
    <x v="1300"/>
    <x v="1300"/>
    <s v="EMP_1301"/>
    <x v="1"/>
    <s v="EMP_1301Marketing"/>
    <x v="4"/>
    <x v="3"/>
    <n v="23554"/>
    <n v="14953"/>
    <n v="0"/>
    <n v="0"/>
    <s v="11/16/2023"/>
    <s v="11/16/2023"/>
    <d v="2026-02-11T00:00:00"/>
    <e v="#VALUE!"/>
    <n v="4"/>
    <n v="38507"/>
    <n v="19253.5"/>
    <s v=" Not Achieved"/>
    <s v="poor"/>
  </r>
  <r>
    <x v="1301"/>
    <x v="1301"/>
    <s v="EMP_1302"/>
    <x v="0"/>
    <s v="EMP_1302Finance"/>
    <x v="2"/>
    <x v="3"/>
    <n v="37609"/>
    <n v="8676"/>
    <n v="0"/>
    <n v="0"/>
    <d v="2021-11-11T00:00:00"/>
    <s v="2021"/>
    <d v="2026-02-11T00:00:00"/>
    <n v="4"/>
    <n v="2"/>
    <n v="46285"/>
    <n v="23142.5"/>
    <s v=" Not Achieved"/>
    <s v="Average"/>
  </r>
  <r>
    <x v="1302"/>
    <x v="1302"/>
    <s v="EMP_1303"/>
    <x v="1"/>
    <s v="EMP_1303Finance"/>
    <x v="2"/>
    <x v="3"/>
    <n v="52951"/>
    <n v="11213"/>
    <n v="0"/>
    <n v="0"/>
    <d v="2023-01-10T00:00:00"/>
    <s v="2023"/>
    <d v="2026-02-11T00:00:00"/>
    <n v="3"/>
    <n v="3"/>
    <n v="64164"/>
    <n v="32082"/>
    <s v=" Not Achieved"/>
    <s v=" Excellent"/>
  </r>
  <r>
    <x v="1303"/>
    <x v="1303"/>
    <s v="EMP_1304"/>
    <x v="0"/>
    <s v="EMP_1304Sales"/>
    <x v="1"/>
    <x v="0"/>
    <n v="73980"/>
    <n v="9290"/>
    <n v="164126"/>
    <n v="85789"/>
    <d v="2020-06-01T00:00:00"/>
    <s v="2020"/>
    <d v="2026-02-11T00:00:00"/>
    <n v="5"/>
    <n v="5"/>
    <n v="83270"/>
    <n v="41635"/>
    <s v="Achieved"/>
    <s v=" Excellent"/>
  </r>
  <r>
    <x v="1304"/>
    <x v="1304"/>
    <s v="EMP_1305"/>
    <x v="1"/>
    <s v="EMP_1305HR"/>
    <x v="0"/>
    <x v="3"/>
    <n v="44745"/>
    <n v="10323"/>
    <n v="0"/>
    <n v="0"/>
    <s v="3/13/2019"/>
    <s v="3/13/2019"/>
    <d v="2026-02-11T00:00:00"/>
    <e v="#VALUE!"/>
    <n v="1"/>
    <n v="55068"/>
    <n v="27534"/>
    <s v=" Not Achieved"/>
    <s v="Good"/>
  </r>
  <r>
    <x v="1305"/>
    <x v="1305"/>
    <s v="EMP_1306"/>
    <x v="1"/>
    <s v="EMP_1306HR"/>
    <x v="0"/>
    <x v="3"/>
    <n v="52692"/>
    <n v="11726"/>
    <n v="0"/>
    <n v="0"/>
    <d v="2021-06-08T00:00:00"/>
    <s v="2021"/>
    <d v="2026-02-11T00:00:00"/>
    <n v="4"/>
    <n v="1"/>
    <n v="64418"/>
    <n v="32209"/>
    <s v=" Not Achieved"/>
    <s v=" Excellent"/>
  </r>
  <r>
    <x v="1306"/>
    <x v="1306"/>
    <s v="EMP_1307"/>
    <x v="0"/>
    <s v="EMP_1307Finance"/>
    <x v="2"/>
    <x v="0"/>
    <n v="73514"/>
    <n v="4837"/>
    <n v="0"/>
    <n v="0"/>
    <d v="2018-11-04T00:00:00"/>
    <s v="2018"/>
    <d v="2026-02-11T00:00:00"/>
    <n v="7"/>
    <n v="4"/>
    <n v="78351"/>
    <n v="39175.5"/>
    <s v=" Not Achieved"/>
    <s v=" Excellent"/>
  </r>
  <r>
    <x v="1307"/>
    <x v="1307"/>
    <s v="EMP_1308"/>
    <x v="0"/>
    <s v="EMP_1308Finance"/>
    <x v="2"/>
    <x v="2"/>
    <n v="39414"/>
    <n v="12393"/>
    <n v="0"/>
    <n v="0"/>
    <d v="2019-12-08T00:00:00"/>
    <s v="2019"/>
    <d v="2026-02-11T00:00:00"/>
    <n v="6"/>
    <n v="4"/>
    <n v="51807"/>
    <n v="25903.5"/>
    <s v=" Not Achieved"/>
    <s v="Average"/>
  </r>
  <r>
    <x v="1308"/>
    <x v="1308"/>
    <s v="EMP_1309"/>
    <x v="1"/>
    <s v="EMP_1309Finance"/>
    <x v="2"/>
    <x v="4"/>
    <n v="45829"/>
    <n v="14742"/>
    <n v="0"/>
    <n v="0"/>
    <s v="8/30/2023"/>
    <s v="8/30/2023"/>
    <d v="2026-02-11T00:00:00"/>
    <e v="#VALUE!"/>
    <n v="2"/>
    <n v="60571"/>
    <n v="30285.5"/>
    <s v=" Not Achieved"/>
    <s v="Good"/>
  </r>
  <r>
    <x v="1309"/>
    <x v="1309"/>
    <s v="EMP_1310"/>
    <x v="0"/>
    <s v="EMP_1310HR"/>
    <x v="0"/>
    <x v="3"/>
    <n v="26631"/>
    <n v="6279"/>
    <n v="0"/>
    <n v="0"/>
    <s v="1/14/2024"/>
    <s v="1/14/2024"/>
    <d v="2026-02-11T00:00:00"/>
    <e v="#VALUE!"/>
    <n v="5"/>
    <n v="32910"/>
    <n v="16455"/>
    <s v=" Not Achieved"/>
    <s v="poor"/>
  </r>
  <r>
    <x v="1310"/>
    <x v="1310"/>
    <s v="EMP_1311"/>
    <x v="0"/>
    <s v="EMP_1311Sales"/>
    <x v="1"/>
    <x v="2"/>
    <n v="29716"/>
    <n v="10425"/>
    <n v="50385"/>
    <n v="234122"/>
    <s v="3/24/2019"/>
    <s v="3/24/2019"/>
    <d v="2026-02-11T00:00:00"/>
    <e v="#VALUE!"/>
    <n v="5"/>
    <n v="40141"/>
    <n v="20070.5"/>
    <s v=" Not Achieved"/>
    <s v="poor"/>
  </r>
  <r>
    <x v="1311"/>
    <x v="1311"/>
    <s v="EMP_1312"/>
    <x v="1"/>
    <s v="EMP_1312Marketing"/>
    <x v="4"/>
    <x v="0"/>
    <n v="62147"/>
    <n v="7171"/>
    <n v="0"/>
    <n v="0"/>
    <s v="3/23/2022"/>
    <s v="3/23/2022"/>
    <d v="2026-02-11T00:00:00"/>
    <e v="#VALUE!"/>
    <n v="4"/>
    <n v="69318"/>
    <n v="34659"/>
    <s v=" Not Achieved"/>
    <s v=" Excellent"/>
  </r>
  <r>
    <x v="1312"/>
    <x v="1312"/>
    <s v="EMP_1313"/>
    <x v="0"/>
    <s v="EMP_1313Sales"/>
    <x v="1"/>
    <x v="4"/>
    <n v="43110"/>
    <n v="13525"/>
    <n v="245122"/>
    <n v="82589"/>
    <d v="2021-07-10T00:00:00"/>
    <s v="2021"/>
    <d v="2026-02-11T00:00:00"/>
    <n v="4"/>
    <n v="1"/>
    <n v="56635"/>
    <n v="28317.5"/>
    <s v="Achieved"/>
    <s v="Good"/>
  </r>
  <r>
    <x v="1313"/>
    <x v="1313"/>
    <s v="EMP_1314"/>
    <x v="0"/>
    <s v="EMP_1314Marketing"/>
    <x v="4"/>
    <x v="4"/>
    <n v="35149"/>
    <n v="8397"/>
    <n v="0"/>
    <n v="0"/>
    <d v="2020-06-05T00:00:00"/>
    <s v="2020"/>
    <d v="2026-02-11T00:00:00"/>
    <n v="5"/>
    <n v="5"/>
    <n v="43546"/>
    <n v="21773"/>
    <s v=" Not Achieved"/>
    <s v="Average"/>
  </r>
  <r>
    <x v="1314"/>
    <x v="1314"/>
    <s v="EMP_1315"/>
    <x v="1"/>
    <s v="EMP_1315IT"/>
    <x v="3"/>
    <x v="3"/>
    <n v="24953"/>
    <n v="5220"/>
    <n v="0"/>
    <n v="0"/>
    <s v="5/27/2021"/>
    <s v="5/27/2021"/>
    <d v="2026-02-11T00:00:00"/>
    <e v="#VALUE!"/>
    <n v="1"/>
    <n v="30173"/>
    <n v="15086.5"/>
    <s v=" Not Achieved"/>
    <s v="poor"/>
  </r>
  <r>
    <x v="1315"/>
    <x v="1315"/>
    <s v="EMP_1316"/>
    <x v="0"/>
    <s v="EMP_1316HR"/>
    <x v="0"/>
    <x v="1"/>
    <n v="56115"/>
    <n v="12744"/>
    <n v="0"/>
    <n v="0"/>
    <s v="3/15/2020"/>
    <s v="3/15/2020"/>
    <d v="2026-02-11T00:00:00"/>
    <e v="#VALUE!"/>
    <n v="2"/>
    <n v="68859"/>
    <n v="34429.5"/>
    <s v=" Not Achieved"/>
    <s v=" Excellent"/>
  </r>
  <r>
    <x v="1316"/>
    <x v="1316"/>
    <s v="EMP_1317"/>
    <x v="0"/>
    <s v="EMP_1317HR"/>
    <x v="0"/>
    <x v="4"/>
    <n v="28857"/>
    <n v="7200"/>
    <n v="0"/>
    <n v="0"/>
    <d v="2023-10-07T00:00:00"/>
    <s v="2023"/>
    <d v="2026-02-11T00:00:00"/>
    <n v="2"/>
    <n v="5"/>
    <n v="36057"/>
    <n v="18028.5"/>
    <s v=" Not Achieved"/>
    <s v="poor"/>
  </r>
  <r>
    <x v="1317"/>
    <x v="1317"/>
    <s v="EMP_1318"/>
    <x v="0"/>
    <s v="EMP_1318Marketing"/>
    <x v="4"/>
    <x v="3"/>
    <n v="29546"/>
    <n v="12273"/>
    <n v="0"/>
    <n v="0"/>
    <s v="12/25/2021"/>
    <s v="12/25/2021"/>
    <d v="2026-02-11T00:00:00"/>
    <e v="#VALUE!"/>
    <n v="4"/>
    <n v="41819"/>
    <n v="20909.5"/>
    <s v=" Not Achieved"/>
    <s v="poor"/>
  </r>
  <r>
    <x v="1318"/>
    <x v="1318"/>
    <s v="EMP_1319"/>
    <x v="1"/>
    <s v="EMP_1319IT"/>
    <x v="3"/>
    <x v="1"/>
    <n v="63463"/>
    <n v="3540"/>
    <n v="0"/>
    <n v="0"/>
    <d v="2021-09-09T00:00:00"/>
    <s v="2021"/>
    <d v="2026-02-11T00:00:00"/>
    <n v="4"/>
    <n v="4"/>
    <n v="67003"/>
    <n v="33501.5"/>
    <s v=" Not Achieved"/>
    <s v=" Excellent"/>
  </r>
  <r>
    <x v="1319"/>
    <x v="1319"/>
    <s v="EMP_1320"/>
    <x v="1"/>
    <s v="EMP_1320Sales"/>
    <x v="1"/>
    <x v="3"/>
    <n v="53698"/>
    <n v="4786"/>
    <n v="236973"/>
    <n v="187964"/>
    <s v="5/30/2019"/>
    <s v="5/30/2019"/>
    <d v="2026-02-11T00:00:00"/>
    <e v="#VALUE!"/>
    <n v="3"/>
    <n v="58484"/>
    <n v="29242"/>
    <s v="Achieved"/>
    <s v=" Excellent"/>
  </r>
  <r>
    <x v="1320"/>
    <x v="1320"/>
    <s v="EMP_1321"/>
    <x v="0"/>
    <s v="EMP_1321Finance"/>
    <x v="2"/>
    <x v="0"/>
    <n v="57687"/>
    <n v="12865"/>
    <n v="0"/>
    <n v="0"/>
    <s v="5/17/2020"/>
    <s v="5/17/2020"/>
    <d v="2026-02-11T00:00:00"/>
    <e v="#VALUE!"/>
    <n v="4"/>
    <n v="70552"/>
    <n v="35276"/>
    <s v=" Not Achieved"/>
    <s v=" Excellent"/>
  </r>
  <r>
    <x v="1321"/>
    <x v="1321"/>
    <s v="EMP_1322"/>
    <x v="1"/>
    <s v="EMP_1322HR"/>
    <x v="0"/>
    <x v="3"/>
    <n v="28525"/>
    <n v="2332"/>
    <n v="0"/>
    <n v="0"/>
    <s v="1/27/2020"/>
    <s v="1/27/2020"/>
    <d v="2026-02-11T00:00:00"/>
    <e v="#VALUE!"/>
    <n v="3"/>
    <n v="30857"/>
    <n v="15428.5"/>
    <s v=" Not Achieved"/>
    <s v="poor"/>
  </r>
  <r>
    <x v="1322"/>
    <x v="1322"/>
    <s v="EMP_1323"/>
    <x v="1"/>
    <s v="EMP_1323HR"/>
    <x v="0"/>
    <x v="2"/>
    <n v="25214"/>
    <n v="2734"/>
    <n v="0"/>
    <n v="0"/>
    <d v="2023-04-11T00:00:00"/>
    <s v="2023"/>
    <d v="2026-02-11T00:00:00"/>
    <n v="2"/>
    <n v="1"/>
    <n v="27948"/>
    <n v="13974"/>
    <s v=" Not Achieved"/>
    <s v="poor"/>
  </r>
  <r>
    <x v="1323"/>
    <x v="1323"/>
    <s v="EMP_1324"/>
    <x v="1"/>
    <s v="EMP_1324IT"/>
    <x v="3"/>
    <x v="4"/>
    <n v="57240"/>
    <n v="4674"/>
    <n v="0"/>
    <n v="0"/>
    <d v="2022-08-12T00:00:00"/>
    <s v="2022"/>
    <d v="2026-02-11T00:00:00"/>
    <n v="3"/>
    <n v="5"/>
    <n v="61914"/>
    <n v="30957"/>
    <s v=" Not Achieved"/>
    <s v=" Excellent"/>
  </r>
  <r>
    <x v="1324"/>
    <x v="1324"/>
    <s v="EMP_1325"/>
    <x v="1"/>
    <s v="EMP_1325Sales"/>
    <x v="1"/>
    <x v="4"/>
    <n v="61046"/>
    <n v="4011"/>
    <n v="206442"/>
    <n v="119820"/>
    <s v="3/15/2020"/>
    <s v="3/15/2020"/>
    <d v="2026-02-11T00:00:00"/>
    <e v="#VALUE!"/>
    <n v="4"/>
    <n v="65057"/>
    <n v="32528.5"/>
    <s v="Achieved"/>
    <s v=" Excellent"/>
  </r>
  <r>
    <x v="1325"/>
    <x v="1325"/>
    <s v="EMP_1326"/>
    <x v="1"/>
    <s v="EMP_1326HR"/>
    <x v="0"/>
    <x v="3"/>
    <n v="53086"/>
    <n v="9877"/>
    <n v="0"/>
    <n v="0"/>
    <d v="2021-02-08T00:00:00"/>
    <s v="2021"/>
    <d v="2026-02-11T00:00:00"/>
    <n v="5"/>
    <n v="3"/>
    <n v="62963"/>
    <n v="31481.5"/>
    <s v=" Not Achieved"/>
    <s v=" Excellent"/>
  </r>
  <r>
    <x v="1326"/>
    <x v="1326"/>
    <s v="EMP_1327"/>
    <x v="1"/>
    <s v="EMP_1327HR"/>
    <x v="0"/>
    <x v="4"/>
    <n v="32958"/>
    <n v="5443"/>
    <n v="0"/>
    <n v="0"/>
    <d v="2020-08-03T00:00:00"/>
    <s v="2020"/>
    <d v="2026-02-11T00:00:00"/>
    <n v="5"/>
    <n v="1"/>
    <n v="38401"/>
    <n v="19200.5"/>
    <s v=" Not Achieved"/>
    <s v="Average"/>
  </r>
  <r>
    <x v="1327"/>
    <x v="1327"/>
    <s v="EMP_1328"/>
    <x v="0"/>
    <s v="EMP_1328Finance"/>
    <x v="2"/>
    <x v="3"/>
    <n v="34564"/>
    <n v="4099"/>
    <n v="0"/>
    <n v="0"/>
    <s v="7/18/2018"/>
    <s v="7/18/2018"/>
    <d v="2026-02-11T00:00:00"/>
    <e v="#VALUE!"/>
    <n v="1"/>
    <n v="38663"/>
    <n v="19331.5"/>
    <s v=" Not Achieved"/>
    <s v="Average"/>
  </r>
  <r>
    <x v="1328"/>
    <x v="1328"/>
    <s v="EMP_1329"/>
    <x v="1"/>
    <s v="EMP_1329Sales"/>
    <x v="1"/>
    <x v="3"/>
    <n v="25072"/>
    <n v="9939"/>
    <n v="232902"/>
    <n v="208135"/>
    <s v="10/15/2021"/>
    <s v="10/15/2021"/>
    <d v="2026-02-11T00:00:00"/>
    <e v="#VALUE!"/>
    <n v="3"/>
    <n v="35011"/>
    <n v="17505.5"/>
    <s v="Achieved"/>
    <s v="poor"/>
  </r>
  <r>
    <x v="1329"/>
    <x v="1329"/>
    <s v="EMP_1330"/>
    <x v="0"/>
    <s v="EMP_1330Finance"/>
    <x v="2"/>
    <x v="1"/>
    <n v="38771"/>
    <n v="4507"/>
    <n v="0"/>
    <n v="0"/>
    <s v="6/20/2018"/>
    <s v="6/20/2018"/>
    <d v="2026-02-11T00:00:00"/>
    <e v="#VALUE!"/>
    <n v="5"/>
    <n v="43278"/>
    <n v="21639"/>
    <s v=" Not Achieved"/>
    <s v="Average"/>
  </r>
  <r>
    <x v="1330"/>
    <x v="1330"/>
    <s v="EMP_1331"/>
    <x v="0"/>
    <s v="EMP_1331Finance"/>
    <x v="2"/>
    <x v="3"/>
    <n v="29664"/>
    <n v="12514"/>
    <n v="0"/>
    <n v="0"/>
    <s v="4/17/2020"/>
    <s v="4/17/2020"/>
    <d v="2026-02-11T00:00:00"/>
    <e v="#VALUE!"/>
    <n v="2"/>
    <n v="42178"/>
    <n v="21089"/>
    <s v=" Not Achieved"/>
    <s v="poor"/>
  </r>
  <r>
    <x v="1331"/>
    <x v="1331"/>
    <s v="EMP_1332"/>
    <x v="1"/>
    <s v="EMP_1332Marketing"/>
    <x v="4"/>
    <x v="4"/>
    <n v="45426"/>
    <n v="3908"/>
    <n v="0"/>
    <n v="0"/>
    <d v="2018-08-03T00:00:00"/>
    <s v="2018"/>
    <d v="2026-02-11T00:00:00"/>
    <n v="7"/>
    <n v="5"/>
    <n v="49334"/>
    <n v="24667"/>
    <s v=" Not Achieved"/>
    <s v="Good"/>
  </r>
  <r>
    <x v="1332"/>
    <x v="1332"/>
    <s v="EMP_1333"/>
    <x v="1"/>
    <s v="EMP_1333Marketing"/>
    <x v="4"/>
    <x v="3"/>
    <n v="50694"/>
    <n v="12120"/>
    <n v="0"/>
    <n v="0"/>
    <s v="5/24/2023"/>
    <s v="5/24/2023"/>
    <d v="2026-02-11T00:00:00"/>
    <e v="#VALUE!"/>
    <n v="3"/>
    <n v="62814"/>
    <n v="31407"/>
    <s v=" Not Achieved"/>
    <s v=" Excellent"/>
  </r>
  <r>
    <x v="1333"/>
    <x v="1333"/>
    <s v="EMP_1334"/>
    <x v="0"/>
    <s v="EMP_1334HR"/>
    <x v="0"/>
    <x v="3"/>
    <n v="58348"/>
    <n v="10623"/>
    <n v="0"/>
    <n v="0"/>
    <s v="10/16/2022"/>
    <s v="10/16/2022"/>
    <d v="2026-02-11T00:00:00"/>
    <e v="#VALUE!"/>
    <n v="1"/>
    <n v="68971"/>
    <n v="34485.5"/>
    <s v=" Not Achieved"/>
    <s v=" Excellent"/>
  </r>
  <r>
    <x v="1334"/>
    <x v="1334"/>
    <s v="EMP_1335"/>
    <x v="0"/>
    <s v="EMP_1335HR"/>
    <x v="0"/>
    <x v="4"/>
    <n v="53474"/>
    <n v="10693"/>
    <n v="0"/>
    <n v="0"/>
    <d v="2022-07-10T00:00:00"/>
    <s v="2022"/>
    <d v="2026-02-11T00:00:00"/>
    <n v="3"/>
    <n v="4"/>
    <n v="64167"/>
    <n v="32083.5"/>
    <s v=" Not Achieved"/>
    <s v=" Excellent"/>
  </r>
  <r>
    <x v="1335"/>
    <x v="1335"/>
    <s v="EMP_1336"/>
    <x v="1"/>
    <s v="EMP_1336Marketing"/>
    <x v="4"/>
    <x v="3"/>
    <n v="55447"/>
    <n v="4869"/>
    <n v="0"/>
    <n v="0"/>
    <s v="6/20/2018"/>
    <s v="6/20/2018"/>
    <d v="2026-02-11T00:00:00"/>
    <e v="#VALUE!"/>
    <n v="5"/>
    <n v="60316"/>
    <n v="30158"/>
    <s v=" Not Achieved"/>
    <s v=" Excellent"/>
  </r>
  <r>
    <x v="1336"/>
    <x v="1336"/>
    <s v="EMP_1337"/>
    <x v="1"/>
    <s v="EMP_1337Finance"/>
    <x v="2"/>
    <x v="3"/>
    <n v="60059"/>
    <n v="10353"/>
    <n v="0"/>
    <n v="0"/>
    <s v="11/25/2018"/>
    <s v="11/25/2018"/>
    <d v="2026-02-11T00:00:00"/>
    <e v="#VALUE!"/>
    <n v="4"/>
    <n v="70412"/>
    <n v="35206"/>
    <s v=" Not Achieved"/>
    <s v=" Excellent"/>
  </r>
  <r>
    <x v="1337"/>
    <x v="1337"/>
    <s v="EMP_1338"/>
    <x v="1"/>
    <s v="EMP_1338Finance"/>
    <x v="2"/>
    <x v="4"/>
    <n v="20437"/>
    <n v="13961"/>
    <n v="0"/>
    <n v="0"/>
    <d v="2021-08-11T00:00:00"/>
    <s v="2021"/>
    <d v="2026-02-11T00:00:00"/>
    <n v="4"/>
    <n v="5"/>
    <n v="34398"/>
    <n v="17199"/>
    <s v=" Not Achieved"/>
    <s v="poor"/>
  </r>
  <r>
    <x v="1338"/>
    <x v="1338"/>
    <s v="EMP_1339"/>
    <x v="0"/>
    <s v="EMP_1339HR"/>
    <x v="0"/>
    <x v="4"/>
    <n v="69391"/>
    <n v="9739"/>
    <n v="0"/>
    <n v="0"/>
    <s v="7/21/2020"/>
    <s v="7/21/2020"/>
    <d v="2026-02-11T00:00:00"/>
    <e v="#VALUE!"/>
    <n v="3"/>
    <n v="79130"/>
    <n v="39565"/>
    <s v=" Not Achieved"/>
    <s v=" Excellent"/>
  </r>
  <r>
    <x v="1339"/>
    <x v="1339"/>
    <s v="EMP_1340"/>
    <x v="0"/>
    <s v="EMP_1340HR"/>
    <x v="0"/>
    <x v="1"/>
    <n v="44661"/>
    <n v="6753"/>
    <n v="0"/>
    <n v="0"/>
    <d v="2024-11-10T00:00:00"/>
    <s v="2024"/>
    <d v="2026-02-11T00:00:00"/>
    <n v="1"/>
    <n v="4"/>
    <n v="51414"/>
    <n v="25707"/>
    <s v=" Not Achieved"/>
    <s v="Good"/>
  </r>
  <r>
    <x v="1340"/>
    <x v="1340"/>
    <s v="EMP_1341"/>
    <x v="1"/>
    <s v="EMP_1341Marketing"/>
    <x v="4"/>
    <x v="3"/>
    <n v="72644"/>
    <n v="3398"/>
    <n v="0"/>
    <n v="0"/>
    <s v="3/21/2019"/>
    <s v="3/21/2019"/>
    <d v="2026-02-11T00:00:00"/>
    <e v="#VALUE!"/>
    <n v="2"/>
    <n v="76042"/>
    <n v="38021"/>
    <s v=" Not Achieved"/>
    <s v=" Excellent"/>
  </r>
  <r>
    <x v="1341"/>
    <x v="1341"/>
    <s v="EMP_1342"/>
    <x v="1"/>
    <s v="EMP_1342IT"/>
    <x v="3"/>
    <x v="2"/>
    <n v="47052"/>
    <n v="14798"/>
    <n v="0"/>
    <n v="0"/>
    <d v="2023-11-08T00:00:00"/>
    <s v="2023"/>
    <d v="2026-02-11T00:00:00"/>
    <n v="2"/>
    <n v="4"/>
    <n v="61850"/>
    <n v="30925"/>
    <s v=" Not Achieved"/>
    <s v="Good"/>
  </r>
  <r>
    <x v="1342"/>
    <x v="1342"/>
    <s v="EMP_1343"/>
    <x v="0"/>
    <s v="EMP_1343IT"/>
    <x v="3"/>
    <x v="2"/>
    <n v="24282"/>
    <n v="2568"/>
    <n v="0"/>
    <n v="0"/>
    <d v="2019-05-05T00:00:00"/>
    <s v="2019"/>
    <d v="2026-02-11T00:00:00"/>
    <n v="6"/>
    <n v="5"/>
    <n v="26850"/>
    <n v="13425"/>
    <s v=" Not Achieved"/>
    <s v="poor"/>
  </r>
  <r>
    <x v="1343"/>
    <x v="1343"/>
    <s v="EMP_1344"/>
    <x v="1"/>
    <s v="EMP_1344Finance"/>
    <x v="2"/>
    <x v="0"/>
    <n v="54697"/>
    <n v="6499"/>
    <n v="0"/>
    <n v="0"/>
    <s v="10/18/2021"/>
    <s v="10/18/2021"/>
    <d v="2026-02-11T00:00:00"/>
    <e v="#VALUE!"/>
    <n v="1"/>
    <n v="61196"/>
    <n v="30598"/>
    <s v=" Not Achieved"/>
    <s v=" Excellent"/>
  </r>
  <r>
    <x v="1344"/>
    <x v="1344"/>
    <s v="EMP_1345"/>
    <x v="1"/>
    <s v="EMP_1345Marketing"/>
    <x v="4"/>
    <x v="3"/>
    <n v="41210"/>
    <n v="5949"/>
    <n v="0"/>
    <n v="0"/>
    <s v="1/26/2021"/>
    <s v="1/26/2021"/>
    <d v="2026-02-11T00:00:00"/>
    <e v="#VALUE!"/>
    <n v="5"/>
    <n v="47159"/>
    <n v="23579.5"/>
    <s v=" Not Achieved"/>
    <s v="Good"/>
  </r>
  <r>
    <x v="1345"/>
    <x v="1345"/>
    <s v="EMP_1346"/>
    <x v="1"/>
    <s v="EMP_1346HR"/>
    <x v="0"/>
    <x v="4"/>
    <n v="79955"/>
    <n v="4801"/>
    <n v="0"/>
    <n v="0"/>
    <s v="8/30/2021"/>
    <s v="8/30/2021"/>
    <d v="2026-02-11T00:00:00"/>
    <e v="#VALUE!"/>
    <n v="1"/>
    <n v="84756"/>
    <n v="42378"/>
    <s v=" Not Achieved"/>
    <s v=" Excellent"/>
  </r>
  <r>
    <x v="1346"/>
    <x v="1346"/>
    <s v="EMP_1347"/>
    <x v="0"/>
    <s v="EMP_1347Sales"/>
    <x v="1"/>
    <x v="1"/>
    <n v="57132"/>
    <n v="13975"/>
    <n v="61322"/>
    <n v="165019"/>
    <d v="2022-08-06T00:00:00"/>
    <s v="2022"/>
    <d v="2026-02-11T00:00:00"/>
    <n v="3"/>
    <n v="1"/>
    <n v="71107"/>
    <n v="35553.5"/>
    <s v=" Not Achieved"/>
    <s v=" Excellent"/>
  </r>
  <r>
    <x v="1347"/>
    <x v="1347"/>
    <s v="EMP_1348"/>
    <x v="1"/>
    <s v="EMP_1348HR"/>
    <x v="0"/>
    <x v="4"/>
    <n v="74728"/>
    <n v="3864"/>
    <n v="0"/>
    <n v="0"/>
    <s v="3/21/2023"/>
    <s v="3/21/2023"/>
    <d v="2026-02-11T00:00:00"/>
    <e v="#VALUE!"/>
    <n v="3"/>
    <n v="78592"/>
    <n v="39296"/>
    <s v=" Not Achieved"/>
    <s v=" Excellent"/>
  </r>
  <r>
    <x v="1348"/>
    <x v="1348"/>
    <s v="EMP_1349"/>
    <x v="0"/>
    <s v="EMP_1349Finance"/>
    <x v="2"/>
    <x v="1"/>
    <n v="64721"/>
    <n v="4032"/>
    <n v="0"/>
    <n v="0"/>
    <s v="8/31/2023"/>
    <s v="8/31/2023"/>
    <d v="2026-02-11T00:00:00"/>
    <e v="#VALUE!"/>
    <n v="1"/>
    <n v="68753"/>
    <n v="34376.5"/>
    <s v=" Not Achieved"/>
    <s v=" Excellent"/>
  </r>
  <r>
    <x v="1349"/>
    <x v="1349"/>
    <s v="EMP_1350"/>
    <x v="0"/>
    <s v="EMP_1350Finance"/>
    <x v="2"/>
    <x v="4"/>
    <n v="20878"/>
    <n v="5635"/>
    <n v="0"/>
    <n v="0"/>
    <d v="2023-10-07T00:00:00"/>
    <s v="2023"/>
    <d v="2026-02-11T00:00:00"/>
    <n v="2"/>
    <n v="3"/>
    <n v="26513"/>
    <n v="13256.5"/>
    <s v=" Not Achieved"/>
    <s v="poor"/>
  </r>
  <r>
    <x v="1350"/>
    <x v="1350"/>
    <s v="EMP_1351"/>
    <x v="1"/>
    <s v="EMP_1351Marketing"/>
    <x v="4"/>
    <x v="0"/>
    <n v="79478"/>
    <n v="5566"/>
    <n v="0"/>
    <n v="0"/>
    <s v="8/31/2019"/>
    <s v="8/31/2019"/>
    <d v="2026-02-11T00:00:00"/>
    <e v="#VALUE!"/>
    <n v="4"/>
    <n v="85044"/>
    <n v="42522"/>
    <s v=" Not Achieved"/>
    <s v=" Excellent"/>
  </r>
  <r>
    <x v="1351"/>
    <x v="1351"/>
    <s v="EMP_1352"/>
    <x v="0"/>
    <s v="EMP_1352Finance"/>
    <x v="2"/>
    <x v="0"/>
    <n v="74828"/>
    <n v="12676"/>
    <n v="0"/>
    <n v="0"/>
    <s v="12/16/2018"/>
    <s v="12/16/2018"/>
    <d v="2026-02-11T00:00:00"/>
    <e v="#VALUE!"/>
    <n v="1"/>
    <n v="87504"/>
    <n v="43752"/>
    <s v=" Not Achieved"/>
    <s v=" Excellent"/>
  </r>
  <r>
    <x v="1352"/>
    <x v="1352"/>
    <s v="EMP_1353"/>
    <x v="0"/>
    <s v="EMP_1353IT"/>
    <x v="3"/>
    <x v="3"/>
    <n v="50232"/>
    <n v="6696"/>
    <n v="0"/>
    <n v="0"/>
    <s v="4/22/2020"/>
    <s v="4/22/2020"/>
    <d v="2026-02-11T00:00:00"/>
    <e v="#VALUE!"/>
    <n v="5"/>
    <n v="56928"/>
    <n v="28464"/>
    <s v=" Not Achieved"/>
    <s v=" Excellent"/>
  </r>
  <r>
    <x v="1353"/>
    <x v="1353"/>
    <s v="EMP_1354"/>
    <x v="1"/>
    <s v="EMP_1354Marketing"/>
    <x v="4"/>
    <x v="2"/>
    <n v="67688"/>
    <n v="10452"/>
    <n v="0"/>
    <n v="0"/>
    <s v="1/26/2023"/>
    <s v="1/26/2023"/>
    <d v="2026-02-11T00:00:00"/>
    <e v="#VALUE!"/>
    <n v="3"/>
    <n v="78140"/>
    <n v="39070"/>
    <s v=" Not Achieved"/>
    <s v=" Excellent"/>
  </r>
  <r>
    <x v="1354"/>
    <x v="1354"/>
    <s v="EMP_1355"/>
    <x v="1"/>
    <s v="EMP_1355HR"/>
    <x v="0"/>
    <x v="0"/>
    <n v="75812"/>
    <n v="6190"/>
    <n v="0"/>
    <n v="0"/>
    <d v="2022-08-08T00:00:00"/>
    <s v="2022"/>
    <d v="2026-02-11T00:00:00"/>
    <n v="3"/>
    <n v="3"/>
    <n v="82002"/>
    <n v="41001"/>
    <s v=" Not Achieved"/>
    <s v=" Excellent"/>
  </r>
  <r>
    <x v="1355"/>
    <x v="1355"/>
    <s v="EMP_1356"/>
    <x v="0"/>
    <s v="EMP_1356Marketing"/>
    <x v="4"/>
    <x v="1"/>
    <n v="26453"/>
    <n v="10340"/>
    <n v="0"/>
    <n v="0"/>
    <s v="6/15/2023"/>
    <s v="6/15/2023"/>
    <d v="2026-02-11T00:00:00"/>
    <e v="#VALUE!"/>
    <n v="2"/>
    <n v="36793"/>
    <n v="18396.5"/>
    <s v=" Not Achieved"/>
    <s v="poor"/>
  </r>
  <r>
    <x v="1356"/>
    <x v="1356"/>
    <s v="EMP_1357"/>
    <x v="1"/>
    <s v="EMP_1357Marketing"/>
    <x v="4"/>
    <x v="2"/>
    <n v="58945"/>
    <n v="11042"/>
    <n v="0"/>
    <n v="0"/>
    <s v="3/23/2019"/>
    <s v="3/23/2019"/>
    <d v="2026-02-11T00:00:00"/>
    <e v="#VALUE!"/>
    <n v="3"/>
    <n v="69987"/>
    <n v="34993.5"/>
    <s v=" Not Achieved"/>
    <s v=" Excellent"/>
  </r>
  <r>
    <x v="1357"/>
    <x v="1357"/>
    <s v="EMP_1358"/>
    <x v="0"/>
    <s v="EMP_1358IT"/>
    <x v="3"/>
    <x v="2"/>
    <n v="31158"/>
    <n v="13586"/>
    <n v="0"/>
    <n v="0"/>
    <s v="7/25/2022"/>
    <s v="7/25/2022"/>
    <d v="2026-02-11T00:00:00"/>
    <e v="#VALUE!"/>
    <n v="2"/>
    <n v="44744"/>
    <n v="22372"/>
    <s v=" Not Achieved"/>
    <s v="Average"/>
  </r>
  <r>
    <x v="1358"/>
    <x v="1358"/>
    <s v="EMP_1359"/>
    <x v="1"/>
    <s v="EMP_1359IT"/>
    <x v="3"/>
    <x v="0"/>
    <n v="31288"/>
    <n v="4166"/>
    <n v="0"/>
    <n v="0"/>
    <d v="2024-08-08T00:00:00"/>
    <s v="2024"/>
    <d v="2026-02-11T00:00:00"/>
    <n v="1"/>
    <n v="2"/>
    <n v="35454"/>
    <n v="17727"/>
    <s v=" Not Achieved"/>
    <s v="Average"/>
  </r>
  <r>
    <x v="1359"/>
    <x v="1359"/>
    <s v="EMP_1360"/>
    <x v="0"/>
    <s v="EMP_1360Marketing"/>
    <x v="4"/>
    <x v="4"/>
    <n v="20182"/>
    <n v="6771"/>
    <n v="0"/>
    <n v="0"/>
    <s v="9/20/2018"/>
    <s v="9/20/2018"/>
    <d v="2026-02-11T00:00:00"/>
    <e v="#VALUE!"/>
    <n v="5"/>
    <n v="26953"/>
    <n v="13476.5"/>
    <s v=" Not Achieved"/>
    <s v="poor"/>
  </r>
  <r>
    <x v="1360"/>
    <x v="1360"/>
    <s v="EMP_1361"/>
    <x v="0"/>
    <s v="EMP_1361Sales"/>
    <x v="1"/>
    <x v="4"/>
    <n v="27975"/>
    <n v="8261"/>
    <n v="285533"/>
    <n v="89843"/>
    <d v="2022-09-10T00:00:00"/>
    <s v="2022"/>
    <d v="2026-02-11T00:00:00"/>
    <n v="3"/>
    <n v="1"/>
    <n v="36236"/>
    <n v="18118"/>
    <s v="Achieved"/>
    <s v="poor"/>
  </r>
  <r>
    <x v="1361"/>
    <x v="1361"/>
    <s v="EMP_1362"/>
    <x v="1"/>
    <s v="EMP_1362IT"/>
    <x v="3"/>
    <x v="3"/>
    <n v="45335"/>
    <n v="8561"/>
    <n v="0"/>
    <n v="0"/>
    <s v="12/21/2021"/>
    <s v="12/21/2021"/>
    <d v="2026-02-11T00:00:00"/>
    <e v="#VALUE!"/>
    <n v="2"/>
    <n v="53896"/>
    <n v="26948"/>
    <s v=" Not Achieved"/>
    <s v="Good"/>
  </r>
  <r>
    <x v="1362"/>
    <x v="1362"/>
    <s v="EMP_1363"/>
    <x v="0"/>
    <s v="EMP_1363HR"/>
    <x v="0"/>
    <x v="0"/>
    <n v="28508"/>
    <n v="14294"/>
    <n v="0"/>
    <n v="0"/>
    <s v="12/21/2022"/>
    <s v="12/21/2022"/>
    <d v="2026-02-11T00:00:00"/>
    <e v="#VALUE!"/>
    <n v="4"/>
    <n v="42802"/>
    <n v="21401"/>
    <s v=" Not Achieved"/>
    <s v="poor"/>
  </r>
  <r>
    <x v="1363"/>
    <x v="1363"/>
    <s v="EMP_1364"/>
    <x v="0"/>
    <s v="EMP_1364Sales"/>
    <x v="1"/>
    <x v="0"/>
    <n v="54149"/>
    <n v="12129"/>
    <n v="79689"/>
    <n v="221203"/>
    <d v="2020-11-10T00:00:00"/>
    <s v="2020"/>
    <d v="2026-02-11T00:00:00"/>
    <n v="5"/>
    <n v="2"/>
    <n v="66278"/>
    <n v="33139"/>
    <s v=" Not Achieved"/>
    <s v=" Excellent"/>
  </r>
  <r>
    <x v="1364"/>
    <x v="1364"/>
    <s v="EMP_1365"/>
    <x v="1"/>
    <s v="EMP_1365IT"/>
    <x v="3"/>
    <x v="0"/>
    <n v="61589"/>
    <n v="6188"/>
    <n v="0"/>
    <n v="0"/>
    <d v="2022-03-07T00:00:00"/>
    <s v="2022"/>
    <d v="2026-02-11T00:00:00"/>
    <n v="3"/>
    <n v="5"/>
    <n v="67777"/>
    <n v="33888.5"/>
    <s v=" Not Achieved"/>
    <s v=" Excellent"/>
  </r>
  <r>
    <x v="1365"/>
    <x v="1365"/>
    <s v="EMP_1366"/>
    <x v="1"/>
    <s v="EMP_1366Finance"/>
    <x v="2"/>
    <x v="4"/>
    <n v="74700"/>
    <n v="3186"/>
    <n v="0"/>
    <n v="0"/>
    <s v="1/23/2022"/>
    <s v="1/23/2022"/>
    <d v="2026-02-11T00:00:00"/>
    <e v="#VALUE!"/>
    <n v="5"/>
    <n v="77886"/>
    <n v="38943"/>
    <s v=" Not Achieved"/>
    <s v=" Excellent"/>
  </r>
  <r>
    <x v="1366"/>
    <x v="1366"/>
    <s v="EMP_1367"/>
    <x v="0"/>
    <s v="EMP_1367IT"/>
    <x v="3"/>
    <x v="4"/>
    <n v="22060"/>
    <n v="5608"/>
    <n v="0"/>
    <n v="0"/>
    <s v="10/29/2022"/>
    <s v="10/29/2022"/>
    <d v="2026-02-11T00:00:00"/>
    <e v="#VALUE!"/>
    <n v="5"/>
    <n v="27668"/>
    <n v="13834"/>
    <s v=" Not Achieved"/>
    <s v="poor"/>
  </r>
  <r>
    <x v="1367"/>
    <x v="1367"/>
    <s v="EMP_1368"/>
    <x v="1"/>
    <s v="EMP_1368Marketing"/>
    <x v="4"/>
    <x v="0"/>
    <n v="27161"/>
    <n v="11138"/>
    <n v="0"/>
    <n v="0"/>
    <d v="2020-05-02T00:00:00"/>
    <s v="2020"/>
    <d v="2026-02-11T00:00:00"/>
    <n v="5"/>
    <n v="3"/>
    <n v="38299"/>
    <n v="19149.5"/>
    <s v=" Not Achieved"/>
    <s v="poor"/>
  </r>
  <r>
    <x v="1368"/>
    <x v="1368"/>
    <s v="EMP_1369"/>
    <x v="1"/>
    <s v="EMP_1369Marketing"/>
    <x v="4"/>
    <x v="0"/>
    <n v="28780"/>
    <n v="9533"/>
    <n v="0"/>
    <n v="0"/>
    <s v="9/30/2019"/>
    <s v="9/30/2019"/>
    <d v="2026-02-11T00:00:00"/>
    <e v="#VALUE!"/>
    <n v="1"/>
    <n v="38313"/>
    <n v="19156.5"/>
    <s v=" Not Achieved"/>
    <s v="poor"/>
  </r>
  <r>
    <x v="1369"/>
    <x v="1369"/>
    <s v="EMP_1370"/>
    <x v="1"/>
    <s v="EMP_1370HR"/>
    <x v="0"/>
    <x v="4"/>
    <n v="48086"/>
    <n v="13291"/>
    <n v="0"/>
    <n v="0"/>
    <s v="11/19/2023"/>
    <s v="11/19/2023"/>
    <d v="2026-02-11T00:00:00"/>
    <e v="#VALUE!"/>
    <n v="2"/>
    <n v="61377"/>
    <n v="30688.5"/>
    <s v=" Not Achieved"/>
    <s v="Good"/>
  </r>
  <r>
    <x v="1370"/>
    <x v="1370"/>
    <s v="EMP_1371"/>
    <x v="0"/>
    <s v="EMP_1371HR"/>
    <x v="0"/>
    <x v="3"/>
    <n v="75764"/>
    <n v="13344"/>
    <n v="0"/>
    <n v="0"/>
    <s v="8/19/2019"/>
    <s v="8/19/2019"/>
    <d v="2026-02-11T00:00:00"/>
    <e v="#VALUE!"/>
    <n v="1"/>
    <n v="89108"/>
    <n v="44554"/>
    <s v=" Not Achieved"/>
    <s v=" Excellent"/>
  </r>
  <r>
    <x v="1371"/>
    <x v="1371"/>
    <s v="EMP_1372"/>
    <x v="0"/>
    <s v="EMP_1372HR"/>
    <x v="0"/>
    <x v="1"/>
    <n v="56680"/>
    <n v="9930"/>
    <n v="0"/>
    <n v="0"/>
    <s v="1/29/2019"/>
    <s v="1/29/2019"/>
    <d v="2026-02-11T00:00:00"/>
    <e v="#VALUE!"/>
    <n v="4"/>
    <n v="66610"/>
    <n v="33305"/>
    <s v=" Not Achieved"/>
    <s v=" Excellent"/>
  </r>
  <r>
    <x v="1372"/>
    <x v="1372"/>
    <s v="EMP_1373"/>
    <x v="1"/>
    <s v="EMP_1373Marketing"/>
    <x v="4"/>
    <x v="2"/>
    <n v="71584"/>
    <n v="14911"/>
    <n v="0"/>
    <n v="0"/>
    <d v="2020-12-04T00:00:00"/>
    <s v="2020"/>
    <d v="2026-02-11T00:00:00"/>
    <n v="5"/>
    <n v="3"/>
    <n v="86495"/>
    <n v="43247.5"/>
    <s v=" Not Achieved"/>
    <s v=" Excellent"/>
  </r>
  <r>
    <x v="1373"/>
    <x v="1373"/>
    <s v="EMP_1374"/>
    <x v="1"/>
    <s v="EMP_1374Finance"/>
    <x v="2"/>
    <x v="2"/>
    <n v="46876"/>
    <n v="9251"/>
    <n v="0"/>
    <n v="0"/>
    <d v="2022-01-04T00:00:00"/>
    <s v="2022"/>
    <d v="2026-02-11T00:00:00"/>
    <n v="4"/>
    <n v="3"/>
    <n v="56127"/>
    <n v="28063.5"/>
    <s v=" Not Achieved"/>
    <s v="Good"/>
  </r>
  <r>
    <x v="1374"/>
    <x v="1374"/>
    <s v="EMP_1375"/>
    <x v="0"/>
    <s v="EMP_1375HR"/>
    <x v="0"/>
    <x v="4"/>
    <n v="30855"/>
    <n v="8110"/>
    <n v="0"/>
    <n v="0"/>
    <d v="2024-11-05T00:00:00"/>
    <s v="2024"/>
    <d v="2026-02-11T00:00:00"/>
    <n v="1"/>
    <n v="2"/>
    <n v="38965"/>
    <n v="19482.5"/>
    <s v=" Not Achieved"/>
    <s v="Average"/>
  </r>
  <r>
    <x v="1375"/>
    <x v="1375"/>
    <s v="EMP_1376"/>
    <x v="1"/>
    <s v="EMP_1376IT"/>
    <x v="3"/>
    <x v="4"/>
    <n v="72234"/>
    <n v="13285"/>
    <n v="0"/>
    <n v="0"/>
    <s v="2/13/2021"/>
    <s v="2/13/2021"/>
    <d v="2026-02-11T00:00:00"/>
    <e v="#VALUE!"/>
    <n v="3"/>
    <n v="85519"/>
    <n v="42759.5"/>
    <s v=" Not Achieved"/>
    <s v=" Excellent"/>
  </r>
  <r>
    <x v="1376"/>
    <x v="1376"/>
    <s v="EMP_1377"/>
    <x v="1"/>
    <s v="EMP_1377Marketing"/>
    <x v="4"/>
    <x v="4"/>
    <n v="60204"/>
    <n v="3477"/>
    <n v="0"/>
    <n v="0"/>
    <d v="2022-07-06T00:00:00"/>
    <s v="2022"/>
    <d v="2026-02-11T00:00:00"/>
    <n v="3"/>
    <n v="5"/>
    <n v="63681"/>
    <n v="31840.5"/>
    <s v=" Not Achieved"/>
    <s v=" Excellent"/>
  </r>
  <r>
    <x v="1377"/>
    <x v="1377"/>
    <s v="EMP_1378"/>
    <x v="0"/>
    <s v="EMP_1378IT"/>
    <x v="3"/>
    <x v="0"/>
    <n v="27411"/>
    <n v="11078"/>
    <n v="0"/>
    <n v="0"/>
    <s v="12/22/2024"/>
    <s v="12/22/2024"/>
    <d v="2026-02-11T00:00:00"/>
    <e v="#VALUE!"/>
    <n v="2"/>
    <n v="38489"/>
    <n v="19244.5"/>
    <s v=" Not Achieved"/>
    <s v="poor"/>
  </r>
  <r>
    <x v="1378"/>
    <x v="1378"/>
    <s v="EMP_1379"/>
    <x v="1"/>
    <s v="EMP_1379IT"/>
    <x v="3"/>
    <x v="3"/>
    <n v="64229"/>
    <n v="6514"/>
    <n v="0"/>
    <n v="0"/>
    <s v="12/31/2019"/>
    <s v="12/31/2019"/>
    <d v="2026-02-11T00:00:00"/>
    <e v="#VALUE!"/>
    <n v="4"/>
    <n v="70743"/>
    <n v="35371.5"/>
    <s v=" Not Achieved"/>
    <s v=" Excellent"/>
  </r>
  <r>
    <x v="1379"/>
    <x v="1379"/>
    <s v="EMP_1380"/>
    <x v="1"/>
    <s v="EMP_1380HR"/>
    <x v="0"/>
    <x v="4"/>
    <n v="62144"/>
    <n v="6668"/>
    <n v="0"/>
    <n v="0"/>
    <s v="6/15/2023"/>
    <s v="6/15/2023"/>
    <d v="2026-02-11T00:00:00"/>
    <e v="#VALUE!"/>
    <n v="1"/>
    <n v="68812"/>
    <n v="34406"/>
    <s v=" Not Achieved"/>
    <s v=" Excellent"/>
  </r>
  <r>
    <x v="1380"/>
    <x v="1380"/>
    <s v="EMP_1381"/>
    <x v="0"/>
    <s v="EMP_1381Finance"/>
    <x v="2"/>
    <x v="4"/>
    <n v="40997"/>
    <n v="3525"/>
    <n v="0"/>
    <n v="0"/>
    <s v="7/14/2023"/>
    <s v="7/14/2023"/>
    <d v="2026-02-11T00:00:00"/>
    <e v="#VALUE!"/>
    <n v="5"/>
    <n v="44522"/>
    <n v="22261"/>
    <s v=" Not Achieved"/>
    <s v="Good"/>
  </r>
  <r>
    <x v="1381"/>
    <x v="1381"/>
    <s v="EMP_1382"/>
    <x v="1"/>
    <s v="EMP_1382Marketing"/>
    <x v="4"/>
    <x v="3"/>
    <n v="63651"/>
    <n v="7405"/>
    <n v="0"/>
    <n v="0"/>
    <s v="6/16/2018"/>
    <s v="6/16/2018"/>
    <d v="2026-02-11T00:00:00"/>
    <e v="#VALUE!"/>
    <n v="1"/>
    <n v="71056"/>
    <n v="35528"/>
    <s v=" Not Achieved"/>
    <s v=" Excellent"/>
  </r>
  <r>
    <x v="1382"/>
    <x v="1382"/>
    <s v="EMP_1383"/>
    <x v="1"/>
    <s v="EMP_1383Finance"/>
    <x v="2"/>
    <x v="0"/>
    <n v="71189"/>
    <n v="2991"/>
    <n v="0"/>
    <n v="0"/>
    <s v="11/22/2022"/>
    <s v="11/22/2022"/>
    <d v="2026-02-11T00:00:00"/>
    <e v="#VALUE!"/>
    <n v="4"/>
    <n v="74180"/>
    <n v="37090"/>
    <s v=" Not Achieved"/>
    <s v=" Excellent"/>
  </r>
  <r>
    <x v="1383"/>
    <x v="1383"/>
    <s v="EMP_1384"/>
    <x v="1"/>
    <s v="EMP_1384Finance"/>
    <x v="2"/>
    <x v="1"/>
    <n v="36564"/>
    <n v="13004"/>
    <n v="0"/>
    <n v="0"/>
    <d v="2021-10-04T00:00:00"/>
    <s v="2021"/>
    <d v="2026-02-11T00:00:00"/>
    <n v="4"/>
    <n v="2"/>
    <n v="49568"/>
    <n v="24784"/>
    <s v=" Not Achieved"/>
    <s v="Average"/>
  </r>
  <r>
    <x v="1384"/>
    <x v="1384"/>
    <s v="EMP_1385"/>
    <x v="1"/>
    <s v="EMP_1385Sales"/>
    <x v="1"/>
    <x v="3"/>
    <n v="51563"/>
    <n v="3227"/>
    <n v="76214"/>
    <n v="175333"/>
    <s v="7/24/2022"/>
    <s v="7/24/2022"/>
    <d v="2026-02-11T00:00:00"/>
    <e v="#VALUE!"/>
    <n v="5"/>
    <n v="54790"/>
    <n v="27395"/>
    <s v=" Not Achieved"/>
    <s v=" Excellent"/>
  </r>
  <r>
    <x v="1385"/>
    <x v="1385"/>
    <s v="EMP_1386"/>
    <x v="0"/>
    <s v="EMP_1386IT"/>
    <x v="3"/>
    <x v="1"/>
    <n v="32704"/>
    <n v="2815"/>
    <n v="0"/>
    <n v="0"/>
    <d v="2020-10-02T00:00:00"/>
    <s v="2020"/>
    <d v="2026-02-11T00:00:00"/>
    <n v="5"/>
    <n v="1"/>
    <n v="35519"/>
    <n v="17759.5"/>
    <s v=" Not Achieved"/>
    <s v="Average"/>
  </r>
  <r>
    <x v="1386"/>
    <x v="1386"/>
    <s v="EMP_1387"/>
    <x v="1"/>
    <s v="EMP_1387Marketing"/>
    <x v="4"/>
    <x v="0"/>
    <n v="41726"/>
    <n v="11891"/>
    <n v="0"/>
    <n v="0"/>
    <s v="2/16/2020"/>
    <s v="2/16/2020"/>
    <d v="2026-02-11T00:00:00"/>
    <e v="#VALUE!"/>
    <n v="1"/>
    <n v="53617"/>
    <n v="26808.5"/>
    <s v=" Not Achieved"/>
    <s v="Good"/>
  </r>
  <r>
    <x v="1387"/>
    <x v="1387"/>
    <s v="EMP_1388"/>
    <x v="1"/>
    <s v="EMP_1388Finance"/>
    <x v="2"/>
    <x v="2"/>
    <n v="50553"/>
    <n v="6674"/>
    <n v="0"/>
    <n v="0"/>
    <d v="2019-02-01T00:00:00"/>
    <s v="2019"/>
    <d v="2026-02-11T00:00:00"/>
    <n v="7"/>
    <n v="2"/>
    <n v="57227"/>
    <n v="28613.5"/>
    <s v=" Not Achieved"/>
    <s v=" Excellent"/>
  </r>
  <r>
    <x v="1388"/>
    <x v="1388"/>
    <s v="EMP_1389"/>
    <x v="0"/>
    <s v="EMP_1389Marketing"/>
    <x v="4"/>
    <x v="0"/>
    <n v="56563"/>
    <n v="12197"/>
    <n v="0"/>
    <n v="0"/>
    <s v="2/25/2021"/>
    <s v="2/25/2021"/>
    <d v="2026-02-11T00:00:00"/>
    <e v="#VALUE!"/>
    <n v="3"/>
    <n v="68760"/>
    <n v="34380"/>
    <s v=" Not Achieved"/>
    <s v=" Excellent"/>
  </r>
  <r>
    <x v="1389"/>
    <x v="1389"/>
    <s v="EMP_1390"/>
    <x v="1"/>
    <s v="EMP_1390Sales"/>
    <x v="1"/>
    <x v="0"/>
    <n v="57522"/>
    <n v="7509"/>
    <n v="53254"/>
    <n v="234826"/>
    <d v="2024-04-09T00:00:00"/>
    <s v="2024"/>
    <d v="2026-02-11T00:00:00"/>
    <n v="1"/>
    <n v="4"/>
    <n v="65031"/>
    <n v="32515.5"/>
    <s v=" Not Achieved"/>
    <s v=" Excellent"/>
  </r>
  <r>
    <x v="1390"/>
    <x v="1390"/>
    <s v="EMP_1391"/>
    <x v="0"/>
    <s v="EMP_1391IT"/>
    <x v="3"/>
    <x v="0"/>
    <n v="63961"/>
    <n v="8830"/>
    <n v="0"/>
    <n v="0"/>
    <d v="2019-12-02T00:00:00"/>
    <s v="2019"/>
    <d v="2026-02-11T00:00:00"/>
    <n v="6"/>
    <n v="1"/>
    <n v="72791"/>
    <n v="36395.5"/>
    <s v=" Not Achieved"/>
    <s v=" Excellent"/>
  </r>
  <r>
    <x v="1391"/>
    <x v="1391"/>
    <s v="EMP_1392"/>
    <x v="0"/>
    <s v="EMP_1392IT"/>
    <x v="3"/>
    <x v="4"/>
    <n v="39188"/>
    <n v="9196"/>
    <n v="0"/>
    <n v="0"/>
    <d v="2020-08-04T00:00:00"/>
    <s v="2020"/>
    <d v="2026-02-11T00:00:00"/>
    <n v="5"/>
    <n v="1"/>
    <n v="48384"/>
    <n v="24192"/>
    <s v=" Not Achieved"/>
    <s v="Average"/>
  </r>
  <r>
    <x v="1392"/>
    <x v="1392"/>
    <s v="EMP_1393"/>
    <x v="1"/>
    <s v="EMP_1393Sales"/>
    <x v="1"/>
    <x v="4"/>
    <n v="22521"/>
    <n v="10357"/>
    <n v="97319"/>
    <n v="205763"/>
    <d v="2024-10-06T00:00:00"/>
    <s v="2024"/>
    <d v="2026-02-11T00:00:00"/>
    <n v="1"/>
    <n v="2"/>
    <n v="32878"/>
    <n v="16439"/>
    <s v=" Not Achieved"/>
    <s v="poor"/>
  </r>
  <r>
    <x v="1393"/>
    <x v="1393"/>
    <s v="EMP_1394"/>
    <x v="1"/>
    <s v="EMP_1394Sales"/>
    <x v="1"/>
    <x v="4"/>
    <n v="64925"/>
    <n v="14740"/>
    <n v="274231"/>
    <n v="149286"/>
    <d v="2022-03-07T00:00:00"/>
    <s v="2022"/>
    <d v="2026-02-11T00:00:00"/>
    <n v="3"/>
    <n v="5"/>
    <n v="79665"/>
    <n v="39832.5"/>
    <s v="Achieved"/>
    <s v=" Excellent"/>
  </r>
  <r>
    <x v="1394"/>
    <x v="1394"/>
    <s v="EMP_1395"/>
    <x v="1"/>
    <s v="EMP_1395Marketing"/>
    <x v="4"/>
    <x v="4"/>
    <n v="73138"/>
    <n v="2005"/>
    <n v="0"/>
    <n v="0"/>
    <s v="6/22/2020"/>
    <s v="6/22/2020"/>
    <d v="2026-02-11T00:00:00"/>
    <e v="#VALUE!"/>
    <n v="5"/>
    <n v="75143"/>
    <n v="37571.5"/>
    <s v=" Not Achieved"/>
    <s v=" Excellent"/>
  </r>
  <r>
    <x v="1395"/>
    <x v="1395"/>
    <s v="EMP_1396"/>
    <x v="0"/>
    <s v="EMP_1396Finance"/>
    <x v="2"/>
    <x v="1"/>
    <n v="43584"/>
    <n v="6827"/>
    <n v="0"/>
    <n v="0"/>
    <d v="2021-06-10T00:00:00"/>
    <s v="2021"/>
    <d v="2026-02-11T00:00:00"/>
    <n v="4"/>
    <n v="1"/>
    <n v="50411"/>
    <n v="25205.5"/>
    <s v=" Not Achieved"/>
    <s v="Good"/>
  </r>
  <r>
    <x v="1396"/>
    <x v="1396"/>
    <s v="EMP_1397"/>
    <x v="0"/>
    <s v="EMP_1397IT"/>
    <x v="3"/>
    <x v="0"/>
    <n v="22531"/>
    <n v="8090"/>
    <n v="0"/>
    <n v="0"/>
    <s v="12/18/2019"/>
    <s v="12/18/2019"/>
    <d v="2026-02-11T00:00:00"/>
    <e v="#VALUE!"/>
    <n v="4"/>
    <n v="30621"/>
    <n v="15310.5"/>
    <s v=" Not Achieved"/>
    <s v="poor"/>
  </r>
  <r>
    <x v="1397"/>
    <x v="1397"/>
    <s v="EMP_1398"/>
    <x v="1"/>
    <s v="EMP_1398IT"/>
    <x v="3"/>
    <x v="3"/>
    <n v="29009"/>
    <n v="7490"/>
    <n v="0"/>
    <n v="0"/>
    <s v="11/25/2022"/>
    <s v="11/25/2022"/>
    <d v="2026-02-11T00:00:00"/>
    <e v="#VALUE!"/>
    <n v="4"/>
    <n v="36499"/>
    <n v="18249.5"/>
    <s v=" Not Achieved"/>
    <s v="poor"/>
  </r>
  <r>
    <x v="1398"/>
    <x v="1398"/>
    <s v="EMP_1399"/>
    <x v="1"/>
    <s v="EMP_1399HR"/>
    <x v="0"/>
    <x v="3"/>
    <n v="40617"/>
    <n v="12979"/>
    <n v="0"/>
    <n v="0"/>
    <s v="3/16/2020"/>
    <s v="3/16/2020"/>
    <d v="2026-02-11T00:00:00"/>
    <e v="#VALUE!"/>
    <n v="3"/>
    <n v="53596"/>
    <n v="26798"/>
    <s v=" Not Achieved"/>
    <s v="Good"/>
  </r>
  <r>
    <x v="1399"/>
    <x v="1399"/>
    <s v="EMP_1400"/>
    <x v="0"/>
    <s v="EMP_1400Sales"/>
    <x v="1"/>
    <x v="1"/>
    <n v="31420"/>
    <n v="14992"/>
    <n v="294178"/>
    <n v="134981"/>
    <d v="2022-07-05T00:00:00"/>
    <s v="2022"/>
    <d v="2026-02-11T00:00:00"/>
    <n v="3"/>
    <n v="1"/>
    <n v="46412"/>
    <n v="23206"/>
    <s v="Achieved"/>
    <s v="Average"/>
  </r>
  <r>
    <x v="1400"/>
    <x v="1400"/>
    <s v="EMP_1401"/>
    <x v="1"/>
    <s v="EMP_1401IT"/>
    <x v="3"/>
    <x v="4"/>
    <n v="33709"/>
    <n v="2420"/>
    <n v="0"/>
    <n v="0"/>
    <s v="4/28/2024"/>
    <s v="4/28/2024"/>
    <d v="2026-02-11T00:00:00"/>
    <e v="#VALUE!"/>
    <n v="4"/>
    <n v="36129"/>
    <n v="18064.5"/>
    <s v=" Not Achieved"/>
    <s v="Average"/>
  </r>
  <r>
    <x v="1401"/>
    <x v="1401"/>
    <s v="EMP_1402"/>
    <x v="0"/>
    <s v="EMP_1402Sales"/>
    <x v="1"/>
    <x v="2"/>
    <n v="42861"/>
    <n v="2611"/>
    <n v="85044"/>
    <n v="146538"/>
    <s v="9/19/2021"/>
    <s v="9/19/2021"/>
    <d v="2026-02-11T00:00:00"/>
    <e v="#VALUE!"/>
    <n v="3"/>
    <n v="45472"/>
    <n v="22736"/>
    <s v=" Not Achieved"/>
    <s v="Good"/>
  </r>
  <r>
    <x v="1402"/>
    <x v="1402"/>
    <s v="EMP_1403"/>
    <x v="0"/>
    <s v="EMP_1403IT"/>
    <x v="3"/>
    <x v="2"/>
    <n v="31513"/>
    <n v="10558"/>
    <n v="0"/>
    <n v="0"/>
    <s v="8/15/2022"/>
    <s v="8/15/2022"/>
    <d v="2026-02-11T00:00:00"/>
    <e v="#VALUE!"/>
    <n v="5"/>
    <n v="42071"/>
    <n v="21035.5"/>
    <s v=" Not Achieved"/>
    <s v="Average"/>
  </r>
  <r>
    <x v="1403"/>
    <x v="1403"/>
    <s v="EMP_1404"/>
    <x v="0"/>
    <s v="EMP_1404HR"/>
    <x v="0"/>
    <x v="4"/>
    <n v="25097"/>
    <n v="9530"/>
    <n v="0"/>
    <n v="0"/>
    <s v="2/19/2021"/>
    <s v="2/19/2021"/>
    <d v="2026-02-11T00:00:00"/>
    <e v="#VALUE!"/>
    <n v="5"/>
    <n v="34627"/>
    <n v="17313.5"/>
    <s v=" Not Achieved"/>
    <s v="poor"/>
  </r>
  <r>
    <x v="1404"/>
    <x v="1404"/>
    <s v="EMP_1405"/>
    <x v="0"/>
    <s v="EMP_1405Marketing"/>
    <x v="4"/>
    <x v="4"/>
    <n v="23268"/>
    <n v="5747"/>
    <n v="0"/>
    <n v="0"/>
    <d v="2021-11-02T00:00:00"/>
    <s v="2021"/>
    <d v="2026-02-11T00:00:00"/>
    <n v="4"/>
    <n v="3"/>
    <n v="29015"/>
    <n v="14507.5"/>
    <s v=" Not Achieved"/>
    <s v="poor"/>
  </r>
  <r>
    <x v="1405"/>
    <x v="1405"/>
    <s v="EMP_1406"/>
    <x v="1"/>
    <s v="EMP_1406HR"/>
    <x v="0"/>
    <x v="3"/>
    <n v="58896"/>
    <n v="8326"/>
    <n v="0"/>
    <n v="0"/>
    <s v="4/28/2020"/>
    <s v="4/28/2020"/>
    <d v="2026-02-11T00:00:00"/>
    <e v="#VALUE!"/>
    <n v="1"/>
    <n v="67222"/>
    <n v="33611"/>
    <s v=" Not Achieved"/>
    <s v=" Excellent"/>
  </r>
  <r>
    <x v="1406"/>
    <x v="1406"/>
    <s v="EMP_1407"/>
    <x v="0"/>
    <s v="EMP_1407HR"/>
    <x v="0"/>
    <x v="1"/>
    <n v="23087"/>
    <n v="13297"/>
    <n v="0"/>
    <n v="0"/>
    <s v="1/31/2018"/>
    <s v="1/31/2018"/>
    <d v="2026-02-11T00:00:00"/>
    <e v="#VALUE!"/>
    <n v="4"/>
    <n v="36384"/>
    <n v="18192"/>
    <s v=" Not Achieved"/>
    <s v="poor"/>
  </r>
  <r>
    <x v="1407"/>
    <x v="1407"/>
    <s v="EMP_1408"/>
    <x v="0"/>
    <s v="EMP_1408IT"/>
    <x v="3"/>
    <x v="4"/>
    <n v="63168"/>
    <n v="10189"/>
    <n v="0"/>
    <n v="0"/>
    <d v="2022-05-04T00:00:00"/>
    <s v="2022"/>
    <d v="2026-02-11T00:00:00"/>
    <n v="3"/>
    <n v="4"/>
    <n v="73357"/>
    <n v="36678.5"/>
    <s v=" Not Achieved"/>
    <s v=" Excellent"/>
  </r>
  <r>
    <x v="1408"/>
    <x v="1408"/>
    <s v="EMP_1409"/>
    <x v="1"/>
    <s v="EMP_1409IT"/>
    <x v="3"/>
    <x v="0"/>
    <n v="26843"/>
    <n v="10722"/>
    <n v="0"/>
    <n v="0"/>
    <d v="2023-12-10T00:00:00"/>
    <s v="2023"/>
    <d v="2026-02-11T00:00:00"/>
    <n v="2"/>
    <n v="1"/>
    <n v="37565"/>
    <n v="18782.5"/>
    <s v=" Not Achieved"/>
    <s v="poor"/>
  </r>
  <r>
    <x v="1409"/>
    <x v="1409"/>
    <s v="EMP_1410"/>
    <x v="0"/>
    <s v="EMP_1410Finance"/>
    <x v="2"/>
    <x v="3"/>
    <n v="70996"/>
    <n v="7291"/>
    <n v="0"/>
    <n v="0"/>
    <s v="12/20/2023"/>
    <s v="12/20/2023"/>
    <d v="2026-02-11T00:00:00"/>
    <e v="#VALUE!"/>
    <n v="5"/>
    <n v="78287"/>
    <n v="39143.5"/>
    <s v=" Not Achieved"/>
    <s v=" Excellent"/>
  </r>
  <r>
    <x v="1410"/>
    <x v="1410"/>
    <s v="EMP_1411"/>
    <x v="0"/>
    <s v="EMP_1411HR"/>
    <x v="0"/>
    <x v="0"/>
    <n v="20208"/>
    <n v="3181"/>
    <n v="0"/>
    <n v="0"/>
    <d v="2021-04-07T00:00:00"/>
    <s v="2021"/>
    <d v="2026-02-11T00:00:00"/>
    <n v="4"/>
    <n v="3"/>
    <n v="23389"/>
    <n v="11694.5"/>
    <s v=" Not Achieved"/>
    <s v="poor"/>
  </r>
  <r>
    <x v="1411"/>
    <x v="1411"/>
    <s v="EMP_1412"/>
    <x v="0"/>
    <s v="EMP_1412HR"/>
    <x v="0"/>
    <x v="0"/>
    <n v="69129"/>
    <n v="13607"/>
    <n v="0"/>
    <n v="0"/>
    <d v="2019-01-01T00:00:00"/>
    <s v="2019"/>
    <d v="2026-02-11T00:00:00"/>
    <n v="7"/>
    <n v="1"/>
    <n v="82736"/>
    <n v="41368"/>
    <s v=" Not Achieved"/>
    <s v=" Excellent"/>
  </r>
  <r>
    <x v="1412"/>
    <x v="1412"/>
    <s v="EMP_1413"/>
    <x v="0"/>
    <s v="EMP_1413HR"/>
    <x v="0"/>
    <x v="2"/>
    <n v="64382"/>
    <n v="10909"/>
    <n v="0"/>
    <n v="0"/>
    <d v="2018-07-06T00:00:00"/>
    <s v="2018"/>
    <d v="2026-02-11T00:00:00"/>
    <n v="7"/>
    <n v="4"/>
    <n v="75291"/>
    <n v="37645.5"/>
    <s v=" Not Achieved"/>
    <s v=" Excellent"/>
  </r>
  <r>
    <x v="1413"/>
    <x v="1413"/>
    <s v="EMP_1414"/>
    <x v="1"/>
    <s v="EMP_1414HR"/>
    <x v="0"/>
    <x v="1"/>
    <n v="75561"/>
    <n v="11636"/>
    <n v="0"/>
    <n v="0"/>
    <s v="1/20/2021"/>
    <s v="1/20/2021"/>
    <d v="2026-02-11T00:00:00"/>
    <e v="#VALUE!"/>
    <n v="4"/>
    <n v="87197"/>
    <n v="43598.5"/>
    <s v=" Not Achieved"/>
    <s v=" Excellent"/>
  </r>
  <r>
    <x v="1414"/>
    <x v="1414"/>
    <s v="EMP_1415"/>
    <x v="1"/>
    <s v="EMP_1415IT"/>
    <x v="3"/>
    <x v="1"/>
    <n v="23477"/>
    <n v="11726"/>
    <n v="0"/>
    <n v="0"/>
    <s v="10/22/2020"/>
    <s v="10/22/2020"/>
    <d v="2026-02-11T00:00:00"/>
    <e v="#VALUE!"/>
    <n v="2"/>
    <n v="35203"/>
    <n v="17601.5"/>
    <s v=" Not Achieved"/>
    <s v="poor"/>
  </r>
  <r>
    <x v="1415"/>
    <x v="1415"/>
    <s v="EMP_1416"/>
    <x v="0"/>
    <s v="EMP_1416Finance"/>
    <x v="2"/>
    <x v="3"/>
    <n v="21778"/>
    <n v="7466"/>
    <n v="0"/>
    <n v="0"/>
    <s v="3/19/2024"/>
    <s v="3/19/2024"/>
    <d v="2026-02-11T00:00:00"/>
    <e v="#VALUE!"/>
    <n v="3"/>
    <n v="29244"/>
    <n v="14622"/>
    <s v=" Not Achieved"/>
    <s v="poor"/>
  </r>
  <r>
    <x v="1416"/>
    <x v="1416"/>
    <s v="EMP_1417"/>
    <x v="0"/>
    <s v="EMP_1417IT"/>
    <x v="3"/>
    <x v="3"/>
    <n v="58801"/>
    <n v="14613"/>
    <n v="0"/>
    <n v="0"/>
    <s v="4/19/2024"/>
    <s v="4/19/2024"/>
    <d v="2026-02-11T00:00:00"/>
    <e v="#VALUE!"/>
    <n v="1"/>
    <n v="73414"/>
    <n v="36707"/>
    <s v=" Not Achieved"/>
    <s v=" Excellent"/>
  </r>
  <r>
    <x v="1417"/>
    <x v="1417"/>
    <s v="EMP_1418"/>
    <x v="1"/>
    <s v="EMP_1418IT"/>
    <x v="3"/>
    <x v="4"/>
    <n v="32762"/>
    <n v="5197"/>
    <n v="0"/>
    <n v="0"/>
    <d v="2024-05-11T00:00:00"/>
    <s v="2024"/>
    <d v="2026-02-11T00:00:00"/>
    <n v="1"/>
    <n v="5"/>
    <n v="37959"/>
    <n v="18979.5"/>
    <s v=" Not Achieved"/>
    <s v="Average"/>
  </r>
  <r>
    <x v="1418"/>
    <x v="1418"/>
    <s v="EMP_1419"/>
    <x v="1"/>
    <s v="EMP_1419Marketing"/>
    <x v="4"/>
    <x v="3"/>
    <n v="67003"/>
    <n v="14545"/>
    <n v="0"/>
    <n v="0"/>
    <s v="7/21/2019"/>
    <s v="7/21/2019"/>
    <d v="2026-02-11T00:00:00"/>
    <e v="#VALUE!"/>
    <n v="1"/>
    <n v="81548"/>
    <n v="40774"/>
    <s v=" Not Achieved"/>
    <s v=" Excellent"/>
  </r>
  <r>
    <x v="1419"/>
    <x v="1419"/>
    <s v="EMP_1420"/>
    <x v="1"/>
    <s v="EMP_1420HR"/>
    <x v="0"/>
    <x v="0"/>
    <n v="74526"/>
    <n v="7003"/>
    <n v="0"/>
    <n v="0"/>
    <d v="2020-02-06T00:00:00"/>
    <s v="2020"/>
    <d v="2026-02-11T00:00:00"/>
    <n v="6"/>
    <n v="2"/>
    <n v="81529"/>
    <n v="40764.5"/>
    <s v=" Not Achieved"/>
    <s v=" Excellent"/>
  </r>
  <r>
    <x v="1420"/>
    <x v="1420"/>
    <s v="EMP_1421"/>
    <x v="1"/>
    <s v="EMP_1421Marketing"/>
    <x v="4"/>
    <x v="2"/>
    <n v="62011"/>
    <n v="13756"/>
    <n v="0"/>
    <n v="0"/>
    <d v="2022-04-04T00:00:00"/>
    <s v="2022"/>
    <d v="2026-02-11T00:00:00"/>
    <n v="3"/>
    <n v="5"/>
    <n v="75767"/>
    <n v="37883.5"/>
    <s v=" Not Achieved"/>
    <s v=" Excellent"/>
  </r>
  <r>
    <x v="1421"/>
    <x v="1421"/>
    <s v="EMP_1422"/>
    <x v="0"/>
    <s v="EMP_1422HR"/>
    <x v="0"/>
    <x v="0"/>
    <n v="77951"/>
    <n v="7175"/>
    <n v="0"/>
    <n v="0"/>
    <d v="2018-01-08T00:00:00"/>
    <s v="2018"/>
    <d v="2026-02-11T00:00:00"/>
    <n v="8"/>
    <n v="3"/>
    <n v="85126"/>
    <n v="42563"/>
    <s v=" Not Achieved"/>
    <s v=" Excellent"/>
  </r>
  <r>
    <x v="1422"/>
    <x v="1422"/>
    <s v="EMP_1423"/>
    <x v="1"/>
    <s v="EMP_1423HR"/>
    <x v="0"/>
    <x v="4"/>
    <n v="32586"/>
    <n v="5129"/>
    <n v="0"/>
    <n v="0"/>
    <d v="2021-09-02T00:00:00"/>
    <s v="2021"/>
    <d v="2026-02-11T00:00:00"/>
    <n v="4"/>
    <n v="2"/>
    <n v="37715"/>
    <n v="18857.5"/>
    <s v=" Not Achieved"/>
    <s v="Average"/>
  </r>
  <r>
    <x v="1423"/>
    <x v="1423"/>
    <s v="EMP_1424"/>
    <x v="1"/>
    <s v="EMP_1424HR"/>
    <x v="0"/>
    <x v="4"/>
    <n v="41058"/>
    <n v="11122"/>
    <n v="0"/>
    <n v="0"/>
    <s v="10/18/2024"/>
    <s v="10/18/2024"/>
    <d v="2026-02-11T00:00:00"/>
    <e v="#VALUE!"/>
    <n v="2"/>
    <n v="52180"/>
    <n v="26090"/>
    <s v=" Not Achieved"/>
    <s v="Good"/>
  </r>
  <r>
    <x v="1424"/>
    <x v="1424"/>
    <s v="EMP_1425"/>
    <x v="0"/>
    <s v="EMP_1425HR"/>
    <x v="0"/>
    <x v="4"/>
    <n v="35278"/>
    <n v="14474"/>
    <n v="0"/>
    <n v="0"/>
    <s v="12/20/2019"/>
    <s v="12/20/2019"/>
    <d v="2026-02-11T00:00:00"/>
    <e v="#VALUE!"/>
    <n v="2"/>
    <n v="49752"/>
    <n v="24876"/>
    <s v=" Not Achieved"/>
    <s v="Average"/>
  </r>
  <r>
    <x v="1425"/>
    <x v="1425"/>
    <s v="EMP_1426"/>
    <x v="1"/>
    <s v="EMP_1426Finance"/>
    <x v="2"/>
    <x v="0"/>
    <n v="69758"/>
    <n v="11380"/>
    <n v="0"/>
    <n v="0"/>
    <s v="12/26/2019"/>
    <s v="12/26/2019"/>
    <d v="2026-02-11T00:00:00"/>
    <e v="#VALUE!"/>
    <n v="2"/>
    <n v="81138"/>
    <n v="40569"/>
    <s v=" Not Achieved"/>
    <s v=" Excellent"/>
  </r>
  <r>
    <x v="1426"/>
    <x v="1426"/>
    <s v="EMP_1427"/>
    <x v="0"/>
    <s v="EMP_1427HR"/>
    <x v="0"/>
    <x v="3"/>
    <n v="58820"/>
    <n v="13793"/>
    <n v="0"/>
    <n v="0"/>
    <s v="12/29/2023"/>
    <s v="12/29/2023"/>
    <d v="2026-02-11T00:00:00"/>
    <e v="#VALUE!"/>
    <n v="5"/>
    <n v="72613"/>
    <n v="36306.5"/>
    <s v=" Not Achieved"/>
    <s v=" Excellent"/>
  </r>
  <r>
    <x v="1427"/>
    <x v="1427"/>
    <s v="EMP_1428"/>
    <x v="0"/>
    <s v="EMP_1428Finance"/>
    <x v="2"/>
    <x v="1"/>
    <n v="29651"/>
    <n v="14405"/>
    <n v="0"/>
    <n v="0"/>
    <d v="2022-02-07T00:00:00"/>
    <s v="2022"/>
    <d v="2026-02-11T00:00:00"/>
    <n v="4"/>
    <n v="5"/>
    <n v="44056"/>
    <n v="22028"/>
    <s v=" Not Achieved"/>
    <s v="poor"/>
  </r>
  <r>
    <x v="1428"/>
    <x v="1428"/>
    <s v="EMP_1429"/>
    <x v="0"/>
    <s v="EMP_1429Marketing"/>
    <x v="4"/>
    <x v="1"/>
    <n v="28251"/>
    <n v="8620"/>
    <n v="0"/>
    <n v="0"/>
    <s v="3/15/2021"/>
    <s v="3/15/2021"/>
    <d v="2026-02-11T00:00:00"/>
    <e v="#VALUE!"/>
    <n v="1"/>
    <n v="36871"/>
    <n v="18435.5"/>
    <s v=" Not Achieved"/>
    <s v="poor"/>
  </r>
  <r>
    <x v="1429"/>
    <x v="1429"/>
    <s v="EMP_1430"/>
    <x v="1"/>
    <s v="EMP_1430HR"/>
    <x v="0"/>
    <x v="4"/>
    <n v="64692"/>
    <n v="5854"/>
    <n v="0"/>
    <n v="0"/>
    <d v="2024-04-12T00:00:00"/>
    <s v="2024"/>
    <d v="2026-02-11T00:00:00"/>
    <n v="1"/>
    <n v="1"/>
    <n v="70546"/>
    <n v="35273"/>
    <s v=" Not Achieved"/>
    <s v=" Excellent"/>
  </r>
  <r>
    <x v="1430"/>
    <x v="1430"/>
    <s v="EMP_1431"/>
    <x v="0"/>
    <s v="EMP_1431Marketing"/>
    <x v="4"/>
    <x v="4"/>
    <n v="79782"/>
    <n v="7093"/>
    <n v="0"/>
    <n v="0"/>
    <s v="4/16/2024"/>
    <s v="4/16/2024"/>
    <d v="2026-02-11T00:00:00"/>
    <e v="#VALUE!"/>
    <n v="1"/>
    <n v="86875"/>
    <n v="43437.5"/>
    <s v=" Not Achieved"/>
    <s v=" Excellent"/>
  </r>
  <r>
    <x v="1431"/>
    <x v="1431"/>
    <s v="EMP_1432"/>
    <x v="0"/>
    <s v="EMP_1432Finance"/>
    <x v="2"/>
    <x v="1"/>
    <n v="56014"/>
    <n v="7144"/>
    <n v="0"/>
    <n v="0"/>
    <s v="2/19/2021"/>
    <s v="2/19/2021"/>
    <d v="2026-02-11T00:00:00"/>
    <e v="#VALUE!"/>
    <n v="2"/>
    <n v="63158"/>
    <n v="31579"/>
    <s v=" Not Achieved"/>
    <s v=" Excellent"/>
  </r>
  <r>
    <x v="1432"/>
    <x v="1432"/>
    <s v="EMP_1433"/>
    <x v="0"/>
    <s v="EMP_1433Sales"/>
    <x v="1"/>
    <x v="4"/>
    <n v="53106"/>
    <n v="3996"/>
    <n v="246369"/>
    <n v="123883"/>
    <s v="4/16/2018"/>
    <s v="4/16/2018"/>
    <d v="2026-02-11T00:00:00"/>
    <e v="#VALUE!"/>
    <n v="5"/>
    <n v="57102"/>
    <n v="28551"/>
    <s v="Achieved"/>
    <s v=" Excellent"/>
  </r>
  <r>
    <x v="1433"/>
    <x v="1433"/>
    <s v="EMP_1434"/>
    <x v="0"/>
    <s v="EMP_1434Sales"/>
    <x v="1"/>
    <x v="3"/>
    <n v="41347"/>
    <n v="5726"/>
    <n v="61284"/>
    <n v="119600"/>
    <s v="7/19/2018"/>
    <s v="7/19/2018"/>
    <d v="2026-02-11T00:00:00"/>
    <e v="#VALUE!"/>
    <n v="4"/>
    <n v="47073"/>
    <n v="23536.5"/>
    <s v=" Not Achieved"/>
    <s v="Good"/>
  </r>
  <r>
    <x v="1434"/>
    <x v="1434"/>
    <s v="EMP_1435"/>
    <x v="1"/>
    <s v="EMP_1435Marketing"/>
    <x v="4"/>
    <x v="2"/>
    <n v="29410"/>
    <n v="8209"/>
    <n v="0"/>
    <n v="0"/>
    <d v="2018-06-07T00:00:00"/>
    <s v="2018"/>
    <d v="2026-02-11T00:00:00"/>
    <n v="7"/>
    <n v="1"/>
    <n v="37619"/>
    <n v="18809.5"/>
    <s v=" Not Achieved"/>
    <s v="poor"/>
  </r>
  <r>
    <x v="1435"/>
    <x v="1435"/>
    <s v="EMP_1436"/>
    <x v="0"/>
    <s v="EMP_1436HR"/>
    <x v="0"/>
    <x v="3"/>
    <n v="58109"/>
    <n v="5560"/>
    <n v="0"/>
    <n v="0"/>
    <d v="2022-11-03T00:00:00"/>
    <s v="2022"/>
    <d v="2026-02-11T00:00:00"/>
    <n v="3"/>
    <n v="2"/>
    <n v="63669"/>
    <n v="31834.5"/>
    <s v=" Not Achieved"/>
    <s v=" Excellent"/>
  </r>
  <r>
    <x v="1436"/>
    <x v="1436"/>
    <s v="EMP_1437"/>
    <x v="1"/>
    <s v="EMP_1437HR"/>
    <x v="0"/>
    <x v="4"/>
    <n v="60843"/>
    <n v="7700"/>
    <n v="0"/>
    <n v="0"/>
    <s v="11/17/2023"/>
    <s v="11/17/2023"/>
    <d v="2026-02-11T00:00:00"/>
    <e v="#VALUE!"/>
    <n v="1"/>
    <n v="68543"/>
    <n v="34271.5"/>
    <s v=" Not Achieved"/>
    <s v=" Excellent"/>
  </r>
  <r>
    <x v="1437"/>
    <x v="1437"/>
    <s v="EMP_1438"/>
    <x v="1"/>
    <s v="EMP_1438HR"/>
    <x v="0"/>
    <x v="0"/>
    <n v="63934"/>
    <n v="4386"/>
    <n v="0"/>
    <n v="0"/>
    <d v="2019-03-07T00:00:00"/>
    <s v="2019"/>
    <d v="2026-02-11T00:00:00"/>
    <n v="6"/>
    <n v="1"/>
    <n v="68320"/>
    <n v="34160"/>
    <s v=" Not Achieved"/>
    <s v=" Excellent"/>
  </r>
  <r>
    <x v="1438"/>
    <x v="1438"/>
    <s v="EMP_1439"/>
    <x v="1"/>
    <s v="EMP_1439HR"/>
    <x v="0"/>
    <x v="1"/>
    <n v="44502"/>
    <n v="13529"/>
    <n v="0"/>
    <n v="0"/>
    <d v="2024-08-11T00:00:00"/>
    <s v="2024"/>
    <d v="2026-02-11T00:00:00"/>
    <n v="1"/>
    <n v="4"/>
    <n v="58031"/>
    <n v="29015.5"/>
    <s v=" Not Achieved"/>
    <s v="Good"/>
  </r>
  <r>
    <x v="1439"/>
    <x v="1439"/>
    <s v="EMP_1440"/>
    <x v="1"/>
    <s v="EMP_1440Finance"/>
    <x v="2"/>
    <x v="1"/>
    <n v="59802"/>
    <n v="11299"/>
    <n v="0"/>
    <n v="0"/>
    <s v="9/29/2024"/>
    <s v="9/29/2024"/>
    <d v="2026-02-11T00:00:00"/>
    <e v="#VALUE!"/>
    <n v="1"/>
    <n v="71101"/>
    <n v="35550.5"/>
    <s v=" Not Achieved"/>
    <s v=" Excellent"/>
  </r>
  <r>
    <x v="1440"/>
    <x v="1440"/>
    <s v="EMP_1441"/>
    <x v="0"/>
    <s v="EMP_1441IT"/>
    <x v="3"/>
    <x v="1"/>
    <n v="76529"/>
    <n v="12877"/>
    <n v="0"/>
    <n v="0"/>
    <s v="11/29/2022"/>
    <s v="11/29/2022"/>
    <d v="2026-02-11T00:00:00"/>
    <e v="#VALUE!"/>
    <n v="3"/>
    <n v="89406"/>
    <n v="44703"/>
    <s v=" Not Achieved"/>
    <s v=" Excellent"/>
  </r>
  <r>
    <x v="1441"/>
    <x v="1441"/>
    <s v="EMP_1442"/>
    <x v="1"/>
    <s v="EMP_1442HR"/>
    <x v="0"/>
    <x v="0"/>
    <n v="41179"/>
    <n v="10425"/>
    <n v="0"/>
    <n v="0"/>
    <s v="2/27/2021"/>
    <s v="2/27/2021"/>
    <d v="2026-02-11T00:00:00"/>
    <e v="#VALUE!"/>
    <n v="3"/>
    <n v="51604"/>
    <n v="25802"/>
    <s v=" Not Achieved"/>
    <s v="Good"/>
  </r>
  <r>
    <x v="1442"/>
    <x v="1442"/>
    <s v="EMP_1443"/>
    <x v="1"/>
    <s v="EMP_1443Finance"/>
    <x v="2"/>
    <x v="1"/>
    <n v="77620"/>
    <n v="12240"/>
    <n v="0"/>
    <n v="0"/>
    <s v="10/17/2021"/>
    <s v="10/17/2021"/>
    <d v="2026-02-11T00:00:00"/>
    <e v="#VALUE!"/>
    <n v="2"/>
    <n v="89860"/>
    <n v="44930"/>
    <s v=" Not Achieved"/>
    <s v=" Excellent"/>
  </r>
  <r>
    <x v="1443"/>
    <x v="1443"/>
    <s v="EMP_1444"/>
    <x v="0"/>
    <s v="EMP_1444IT"/>
    <x v="3"/>
    <x v="3"/>
    <n v="48965"/>
    <n v="9353"/>
    <n v="0"/>
    <n v="0"/>
    <d v="2019-02-01T00:00:00"/>
    <s v="2019"/>
    <d v="2026-02-11T00:00:00"/>
    <n v="7"/>
    <n v="5"/>
    <n v="58318"/>
    <n v="29159"/>
    <s v=" Not Achieved"/>
    <s v="Good"/>
  </r>
  <r>
    <x v="1444"/>
    <x v="1444"/>
    <s v="EMP_1445"/>
    <x v="0"/>
    <s v="EMP_1445Sales"/>
    <x v="1"/>
    <x v="3"/>
    <n v="66160"/>
    <n v="14676"/>
    <n v="120821"/>
    <n v="236745"/>
    <d v="2019-12-07T00:00:00"/>
    <s v="2019"/>
    <d v="2026-02-11T00:00:00"/>
    <n v="6"/>
    <n v="3"/>
    <n v="80836"/>
    <n v="40418"/>
    <s v=" Not Achieved"/>
    <s v=" Excellent"/>
  </r>
  <r>
    <x v="1445"/>
    <x v="1445"/>
    <s v="EMP_1446"/>
    <x v="1"/>
    <s v="EMP_1446Marketing"/>
    <x v="4"/>
    <x v="0"/>
    <n v="67770"/>
    <n v="8071"/>
    <n v="0"/>
    <n v="0"/>
    <s v="12/14/2024"/>
    <s v="12/14/2024"/>
    <d v="2026-02-11T00:00:00"/>
    <e v="#VALUE!"/>
    <n v="5"/>
    <n v="75841"/>
    <n v="37920.5"/>
    <s v=" Not Achieved"/>
    <s v=" Excellent"/>
  </r>
  <r>
    <x v="1446"/>
    <x v="1446"/>
    <s v="EMP_1447"/>
    <x v="0"/>
    <s v="EMP_1447HR"/>
    <x v="0"/>
    <x v="2"/>
    <n v="43902"/>
    <n v="5768"/>
    <n v="0"/>
    <n v="0"/>
    <d v="2021-09-08T00:00:00"/>
    <s v="2021"/>
    <d v="2026-02-11T00:00:00"/>
    <n v="4"/>
    <n v="4"/>
    <n v="49670"/>
    <n v="24835"/>
    <s v=" Not Achieved"/>
    <s v="Good"/>
  </r>
  <r>
    <x v="1447"/>
    <x v="1447"/>
    <s v="EMP_1448"/>
    <x v="1"/>
    <s v="EMP_1448Sales"/>
    <x v="1"/>
    <x v="2"/>
    <n v="70648"/>
    <n v="14825"/>
    <n v="112884"/>
    <n v="159043"/>
    <d v="2019-06-02T00:00:00"/>
    <s v="2019"/>
    <d v="2026-02-11T00:00:00"/>
    <n v="6"/>
    <n v="1"/>
    <n v="85473"/>
    <n v="42736.5"/>
    <s v=" Not Achieved"/>
    <s v=" Excellent"/>
  </r>
  <r>
    <x v="1448"/>
    <x v="1448"/>
    <s v="EMP_1449"/>
    <x v="0"/>
    <s v="EMP_1449Marketing"/>
    <x v="4"/>
    <x v="4"/>
    <n v="55038"/>
    <n v="13698"/>
    <n v="0"/>
    <n v="0"/>
    <d v="2022-09-09T00:00:00"/>
    <s v="2022"/>
    <d v="2026-02-11T00:00:00"/>
    <n v="3"/>
    <n v="3"/>
    <n v="68736"/>
    <n v="34368"/>
    <s v=" Not Achieved"/>
    <s v=" Excellent"/>
  </r>
  <r>
    <x v="1449"/>
    <x v="1449"/>
    <s v="EMP_1450"/>
    <x v="0"/>
    <s v="EMP_1450HR"/>
    <x v="0"/>
    <x v="0"/>
    <n v="67603"/>
    <n v="13921"/>
    <n v="0"/>
    <n v="0"/>
    <s v="1/26/2022"/>
    <s v="1/26/2022"/>
    <d v="2026-02-11T00:00:00"/>
    <e v="#VALUE!"/>
    <n v="1"/>
    <n v="81524"/>
    <n v="40762"/>
    <s v=" Not Achieved"/>
    <s v=" Excellent"/>
  </r>
  <r>
    <x v="1450"/>
    <x v="1450"/>
    <s v="EMP_1451"/>
    <x v="1"/>
    <s v="EMP_1451HR"/>
    <x v="0"/>
    <x v="4"/>
    <n v="48703"/>
    <n v="8672"/>
    <n v="0"/>
    <n v="0"/>
    <s v="7/28/2018"/>
    <s v="7/28/2018"/>
    <d v="2026-02-11T00:00:00"/>
    <e v="#VALUE!"/>
    <n v="1"/>
    <n v="57375"/>
    <n v="28687.5"/>
    <s v=" Not Achieved"/>
    <s v="Good"/>
  </r>
  <r>
    <x v="1451"/>
    <x v="1451"/>
    <s v="EMP_1452"/>
    <x v="0"/>
    <s v="EMP_1452Finance"/>
    <x v="2"/>
    <x v="3"/>
    <n v="43586"/>
    <n v="11684"/>
    <n v="0"/>
    <n v="0"/>
    <s v="2/22/2019"/>
    <s v="2/22/2019"/>
    <d v="2026-02-11T00:00:00"/>
    <e v="#VALUE!"/>
    <n v="2"/>
    <n v="55270"/>
    <n v="27635"/>
    <s v=" Not Achieved"/>
    <s v="Good"/>
  </r>
  <r>
    <x v="1452"/>
    <x v="1452"/>
    <s v="EMP_1453"/>
    <x v="1"/>
    <s v="EMP_1453HR"/>
    <x v="0"/>
    <x v="0"/>
    <n v="78287"/>
    <n v="10613"/>
    <n v="0"/>
    <n v="0"/>
    <s v="6/16/2024"/>
    <s v="6/16/2024"/>
    <d v="2026-02-11T00:00:00"/>
    <e v="#VALUE!"/>
    <n v="5"/>
    <n v="88900"/>
    <n v="44450"/>
    <s v=" Not Achieved"/>
    <s v=" Excellent"/>
  </r>
  <r>
    <x v="1453"/>
    <x v="1453"/>
    <s v="EMP_1454"/>
    <x v="0"/>
    <s v="EMP_1454Finance"/>
    <x v="2"/>
    <x v="1"/>
    <n v="61203"/>
    <n v="5316"/>
    <n v="0"/>
    <n v="0"/>
    <s v="10/15/2021"/>
    <s v="10/15/2021"/>
    <d v="2026-02-11T00:00:00"/>
    <e v="#VALUE!"/>
    <n v="3"/>
    <n v="66519"/>
    <n v="33259.5"/>
    <s v=" Not Achieved"/>
    <s v=" Excellent"/>
  </r>
  <r>
    <x v="1454"/>
    <x v="1454"/>
    <s v="EMP_1455"/>
    <x v="1"/>
    <s v="EMP_1455Finance"/>
    <x v="2"/>
    <x v="4"/>
    <n v="45113"/>
    <n v="5963"/>
    <n v="0"/>
    <n v="0"/>
    <d v="2018-11-12T00:00:00"/>
    <s v="2018"/>
    <d v="2026-02-11T00:00:00"/>
    <n v="7"/>
    <n v="2"/>
    <n v="51076"/>
    <n v="25538"/>
    <s v=" Not Achieved"/>
    <s v="Good"/>
  </r>
  <r>
    <x v="1455"/>
    <x v="1455"/>
    <s v="EMP_1456"/>
    <x v="0"/>
    <s v="EMP_1456Finance"/>
    <x v="2"/>
    <x v="1"/>
    <n v="77858"/>
    <n v="11468"/>
    <n v="0"/>
    <n v="0"/>
    <d v="2023-01-05T00:00:00"/>
    <s v="2023"/>
    <d v="2026-02-11T00:00:00"/>
    <n v="3"/>
    <n v="5"/>
    <n v="89326"/>
    <n v="44663"/>
    <s v=" Not Achieved"/>
    <s v=" Excellent"/>
  </r>
  <r>
    <x v="1456"/>
    <x v="1456"/>
    <s v="EMP_1457"/>
    <x v="1"/>
    <s v="EMP_1457HR"/>
    <x v="0"/>
    <x v="3"/>
    <n v="77065"/>
    <n v="10038"/>
    <n v="0"/>
    <n v="0"/>
    <s v="4/21/2023"/>
    <s v="4/21/2023"/>
    <d v="2026-02-11T00:00:00"/>
    <e v="#VALUE!"/>
    <n v="1"/>
    <n v="87103"/>
    <n v="43551.5"/>
    <s v=" Not Achieved"/>
    <s v=" Excellent"/>
  </r>
  <r>
    <x v="1457"/>
    <x v="1457"/>
    <s v="EMP_1458"/>
    <x v="1"/>
    <s v="EMP_1458Sales"/>
    <x v="1"/>
    <x v="2"/>
    <n v="28538"/>
    <n v="8536"/>
    <n v="69790"/>
    <n v="192847"/>
    <s v="12/14/2022"/>
    <s v="12/14/2022"/>
    <d v="2026-02-11T00:00:00"/>
    <e v="#VALUE!"/>
    <n v="3"/>
    <n v="37074"/>
    <n v="18537"/>
    <s v=" Not Achieved"/>
    <s v="poor"/>
  </r>
  <r>
    <x v="1458"/>
    <x v="1458"/>
    <s v="EMP_1459"/>
    <x v="0"/>
    <s v="EMP_1459Finance"/>
    <x v="2"/>
    <x v="3"/>
    <n v="41421"/>
    <n v="3843"/>
    <n v="0"/>
    <n v="0"/>
    <s v="11/16/2018"/>
    <s v="11/16/2018"/>
    <d v="2026-02-11T00:00:00"/>
    <e v="#VALUE!"/>
    <n v="2"/>
    <n v="45264"/>
    <n v="22632"/>
    <s v=" Not Achieved"/>
    <s v="Good"/>
  </r>
  <r>
    <x v="1459"/>
    <x v="1459"/>
    <s v="EMP_1460"/>
    <x v="0"/>
    <s v="EMP_1460Sales"/>
    <x v="1"/>
    <x v="4"/>
    <n v="35210"/>
    <n v="13700"/>
    <n v="171383"/>
    <n v="241268"/>
    <s v="8/31/2023"/>
    <s v="8/31/2023"/>
    <d v="2026-02-11T00:00:00"/>
    <e v="#VALUE!"/>
    <n v="3"/>
    <n v="48910"/>
    <n v="24455"/>
    <s v=" Not Achieved"/>
    <s v="Average"/>
  </r>
  <r>
    <x v="1460"/>
    <x v="1460"/>
    <s v="EMP_1461"/>
    <x v="0"/>
    <s v="EMP_1461HR"/>
    <x v="0"/>
    <x v="1"/>
    <n v="46363"/>
    <n v="2545"/>
    <n v="0"/>
    <n v="0"/>
    <s v="7/25/2018"/>
    <s v="7/25/2018"/>
    <d v="2026-02-11T00:00:00"/>
    <e v="#VALUE!"/>
    <n v="1"/>
    <n v="48908"/>
    <n v="24454"/>
    <s v=" Not Achieved"/>
    <s v="Good"/>
  </r>
  <r>
    <x v="1461"/>
    <x v="1461"/>
    <s v="EMP_1462"/>
    <x v="1"/>
    <s v="EMP_1462IT"/>
    <x v="3"/>
    <x v="1"/>
    <n v="33408"/>
    <n v="14914"/>
    <n v="0"/>
    <n v="0"/>
    <s v="8/31/2024"/>
    <s v="8/31/2024"/>
    <d v="2026-02-11T00:00:00"/>
    <e v="#VALUE!"/>
    <n v="2"/>
    <n v="48322"/>
    <n v="24161"/>
    <s v=" Not Achieved"/>
    <s v="Average"/>
  </r>
  <r>
    <x v="1462"/>
    <x v="1462"/>
    <s v="EMP_1463"/>
    <x v="0"/>
    <s v="EMP_1463HR"/>
    <x v="0"/>
    <x v="0"/>
    <n v="78154"/>
    <n v="8043"/>
    <n v="0"/>
    <n v="0"/>
    <s v="11/21/2024"/>
    <s v="11/21/2024"/>
    <d v="2026-02-11T00:00:00"/>
    <e v="#VALUE!"/>
    <n v="2"/>
    <n v="86197"/>
    <n v="43098.5"/>
    <s v=" Not Achieved"/>
    <s v=" Excellent"/>
  </r>
  <r>
    <x v="1463"/>
    <x v="1463"/>
    <s v="EMP_1464"/>
    <x v="1"/>
    <s v="EMP_1464Marketing"/>
    <x v="4"/>
    <x v="1"/>
    <n v="66284"/>
    <n v="7372"/>
    <n v="0"/>
    <n v="0"/>
    <s v="2/21/2022"/>
    <s v="2/21/2022"/>
    <d v="2026-02-11T00:00:00"/>
    <e v="#VALUE!"/>
    <n v="3"/>
    <n v="73656"/>
    <n v="36828"/>
    <s v=" Not Achieved"/>
    <s v=" Excellent"/>
  </r>
  <r>
    <x v="1464"/>
    <x v="1464"/>
    <s v="EMP_1465"/>
    <x v="1"/>
    <s v="EMP_1465IT"/>
    <x v="3"/>
    <x v="0"/>
    <n v="37413"/>
    <n v="2182"/>
    <n v="0"/>
    <n v="0"/>
    <d v="2018-11-03T00:00:00"/>
    <s v="2018"/>
    <d v="2026-02-11T00:00:00"/>
    <n v="7"/>
    <n v="5"/>
    <n v="39595"/>
    <n v="19797.5"/>
    <s v=" Not Achieved"/>
    <s v="Average"/>
  </r>
  <r>
    <x v="1465"/>
    <x v="1465"/>
    <s v="EMP_1466"/>
    <x v="1"/>
    <s v="EMP_1466Sales"/>
    <x v="1"/>
    <x v="3"/>
    <n v="52448"/>
    <n v="7524"/>
    <n v="285612"/>
    <n v="132671"/>
    <s v="5/27/2021"/>
    <s v="5/27/2021"/>
    <d v="2026-02-11T00:00:00"/>
    <e v="#VALUE!"/>
    <n v="5"/>
    <n v="59972"/>
    <n v="29986"/>
    <s v="Achieved"/>
    <s v=" Excellent"/>
  </r>
  <r>
    <x v="1466"/>
    <x v="1466"/>
    <s v="EMP_1467"/>
    <x v="1"/>
    <s v="EMP_1467Finance"/>
    <x v="2"/>
    <x v="3"/>
    <n v="74623"/>
    <n v="3748"/>
    <n v="0"/>
    <n v="0"/>
    <d v="2018-12-02T00:00:00"/>
    <s v="2018"/>
    <d v="2026-02-11T00:00:00"/>
    <n v="7"/>
    <n v="5"/>
    <n v="78371"/>
    <n v="39185.5"/>
    <s v=" Not Achieved"/>
    <s v=" Excellent"/>
  </r>
  <r>
    <x v="1467"/>
    <x v="1467"/>
    <s v="EMP_1468"/>
    <x v="0"/>
    <s v="EMP_1468Sales"/>
    <x v="1"/>
    <x v="4"/>
    <n v="52138"/>
    <n v="11046"/>
    <n v="225036"/>
    <n v="214343"/>
    <d v="2023-10-05T00:00:00"/>
    <s v="2023"/>
    <d v="2026-02-11T00:00:00"/>
    <n v="2"/>
    <n v="5"/>
    <n v="63184"/>
    <n v="31592"/>
    <s v="Achieved"/>
    <s v=" Excellent"/>
  </r>
  <r>
    <x v="1468"/>
    <x v="1468"/>
    <s v="EMP_1469"/>
    <x v="0"/>
    <s v="EMP_1469IT"/>
    <x v="3"/>
    <x v="1"/>
    <n v="71154"/>
    <n v="10676"/>
    <n v="0"/>
    <n v="0"/>
    <d v="2021-03-01T00:00:00"/>
    <s v="2021"/>
    <d v="2026-02-11T00:00:00"/>
    <n v="4"/>
    <n v="2"/>
    <n v="81830"/>
    <n v="40915"/>
    <s v=" Not Achieved"/>
    <s v=" Excellent"/>
  </r>
  <r>
    <x v="1469"/>
    <x v="1469"/>
    <s v="EMP_1470"/>
    <x v="0"/>
    <s v="EMP_1470Marketing"/>
    <x v="4"/>
    <x v="1"/>
    <n v="52923"/>
    <n v="11361"/>
    <n v="0"/>
    <n v="0"/>
    <d v="2023-06-01T00:00:00"/>
    <s v="2023"/>
    <d v="2026-02-11T00:00:00"/>
    <n v="2"/>
    <n v="2"/>
    <n v="64284"/>
    <n v="32142"/>
    <s v=" Not Achieved"/>
    <s v=" Excellent"/>
  </r>
  <r>
    <x v="1470"/>
    <x v="1470"/>
    <s v="EMP_1471"/>
    <x v="1"/>
    <s v="EMP_1471Finance"/>
    <x v="2"/>
    <x v="0"/>
    <n v="63007"/>
    <n v="10680"/>
    <n v="0"/>
    <n v="0"/>
    <s v="8/31/2018"/>
    <s v="8/31/2018"/>
    <d v="2026-02-11T00:00:00"/>
    <e v="#VALUE!"/>
    <n v="2"/>
    <n v="73687"/>
    <n v="36843.5"/>
    <s v=" Not Achieved"/>
    <s v=" Excellent"/>
  </r>
  <r>
    <x v="1471"/>
    <x v="1471"/>
    <s v="EMP_1472"/>
    <x v="1"/>
    <s v="EMP_1472Marketing"/>
    <x v="4"/>
    <x v="3"/>
    <n v="66692"/>
    <n v="6513"/>
    <n v="0"/>
    <n v="0"/>
    <s v="11/26/2019"/>
    <s v="11/26/2019"/>
    <d v="2026-02-11T00:00:00"/>
    <e v="#VALUE!"/>
    <n v="5"/>
    <n v="73205"/>
    <n v="36602.5"/>
    <s v=" Not Achieved"/>
    <s v=" Excellent"/>
  </r>
  <r>
    <x v="1472"/>
    <x v="1472"/>
    <s v="EMP_1473"/>
    <x v="0"/>
    <s v="EMP_1473Finance"/>
    <x v="2"/>
    <x v="0"/>
    <n v="76570"/>
    <n v="6637"/>
    <n v="0"/>
    <n v="0"/>
    <s v="11/16/2021"/>
    <s v="11/16/2021"/>
    <d v="2026-02-11T00:00:00"/>
    <e v="#VALUE!"/>
    <n v="4"/>
    <n v="83207"/>
    <n v="41603.5"/>
    <s v=" Not Achieved"/>
    <s v=" Excellent"/>
  </r>
  <r>
    <x v="1473"/>
    <x v="1473"/>
    <s v="EMP_1474"/>
    <x v="0"/>
    <s v="EMP_1474IT"/>
    <x v="3"/>
    <x v="1"/>
    <n v="79737"/>
    <n v="4462"/>
    <n v="0"/>
    <n v="0"/>
    <s v="3/15/2024"/>
    <s v="3/15/2024"/>
    <d v="2026-02-11T00:00:00"/>
    <e v="#VALUE!"/>
    <n v="1"/>
    <n v="84199"/>
    <n v="42099.5"/>
    <s v=" Not Achieved"/>
    <s v=" Excellent"/>
  </r>
  <r>
    <x v="1474"/>
    <x v="1474"/>
    <s v="EMP_1475"/>
    <x v="0"/>
    <s v="EMP_1475Marketing"/>
    <x v="4"/>
    <x v="4"/>
    <n v="51082"/>
    <n v="14126"/>
    <n v="0"/>
    <n v="0"/>
    <d v="2022-09-06T00:00:00"/>
    <s v="2022"/>
    <d v="2026-02-11T00:00:00"/>
    <n v="3"/>
    <n v="3"/>
    <n v="65208"/>
    <n v="32604"/>
    <s v=" Not Achieved"/>
    <s v=" Excellent"/>
  </r>
  <r>
    <x v="1475"/>
    <x v="1475"/>
    <s v="EMP_1476"/>
    <x v="0"/>
    <s v="EMP_1476Marketing"/>
    <x v="4"/>
    <x v="4"/>
    <n v="73123"/>
    <n v="10880"/>
    <n v="0"/>
    <n v="0"/>
    <d v="2018-06-07T00:00:00"/>
    <s v="2018"/>
    <d v="2026-02-11T00:00:00"/>
    <n v="7"/>
    <n v="2"/>
    <n v="84003"/>
    <n v="42001.5"/>
    <s v=" Not Achieved"/>
    <s v=" Excellent"/>
  </r>
  <r>
    <x v="1476"/>
    <x v="1476"/>
    <s v="EMP_1477"/>
    <x v="0"/>
    <s v="EMP_1477Marketing"/>
    <x v="4"/>
    <x v="2"/>
    <n v="73525"/>
    <n v="2303"/>
    <n v="0"/>
    <n v="0"/>
    <s v="7/25/2018"/>
    <s v="7/25/2018"/>
    <d v="2026-02-11T00:00:00"/>
    <e v="#VALUE!"/>
    <n v="3"/>
    <n v="75828"/>
    <n v="37914"/>
    <s v=" Not Achieved"/>
    <s v=" Excellent"/>
  </r>
  <r>
    <x v="1477"/>
    <x v="1477"/>
    <s v="EMP_1478"/>
    <x v="0"/>
    <s v="EMP_1478HR"/>
    <x v="0"/>
    <x v="4"/>
    <n v="79740"/>
    <n v="8542"/>
    <n v="0"/>
    <n v="0"/>
    <s v="7/29/2018"/>
    <s v="7/29/2018"/>
    <d v="2026-02-11T00:00:00"/>
    <e v="#VALUE!"/>
    <n v="3"/>
    <n v="88282"/>
    <n v="44141"/>
    <s v=" Not Achieved"/>
    <s v=" Excellent"/>
  </r>
  <r>
    <x v="1478"/>
    <x v="1478"/>
    <s v="EMP_1479"/>
    <x v="0"/>
    <s v="EMP_1479Sales"/>
    <x v="1"/>
    <x v="1"/>
    <n v="57151"/>
    <n v="11691"/>
    <n v="156897"/>
    <n v="198259"/>
    <s v="9/13/2020"/>
    <s v="9/13/2020"/>
    <d v="2026-02-11T00:00:00"/>
    <e v="#VALUE!"/>
    <n v="3"/>
    <n v="68842"/>
    <n v="34421"/>
    <s v=" Not Achieved"/>
    <s v=" Excellent"/>
  </r>
  <r>
    <x v="1479"/>
    <x v="1479"/>
    <s v="EMP_1480"/>
    <x v="1"/>
    <s v="EMP_1480IT"/>
    <x v="3"/>
    <x v="4"/>
    <n v="59561"/>
    <n v="12113"/>
    <n v="0"/>
    <n v="0"/>
    <s v="5/30/2022"/>
    <s v="5/30/2022"/>
    <d v="2026-02-11T00:00:00"/>
    <e v="#VALUE!"/>
    <n v="4"/>
    <n v="71674"/>
    <n v="35837"/>
    <s v=" Not Achieved"/>
    <s v=" Excellent"/>
  </r>
  <r>
    <x v="1480"/>
    <x v="1480"/>
    <s v="EMP_1481"/>
    <x v="0"/>
    <s v="EMP_1481Sales"/>
    <x v="1"/>
    <x v="1"/>
    <n v="26378"/>
    <n v="5718"/>
    <n v="278453"/>
    <n v="140028"/>
    <s v="7/15/2023"/>
    <s v="7/15/2023"/>
    <d v="2026-02-11T00:00:00"/>
    <e v="#VALUE!"/>
    <n v="5"/>
    <n v="32096"/>
    <n v="16048"/>
    <s v="Achieved"/>
    <s v="poor"/>
  </r>
  <r>
    <x v="1481"/>
    <x v="1481"/>
    <s v="EMP_1482"/>
    <x v="1"/>
    <s v="EMP_1482IT"/>
    <x v="3"/>
    <x v="4"/>
    <n v="64018"/>
    <n v="11963"/>
    <n v="0"/>
    <n v="0"/>
    <s v="11/15/2020"/>
    <s v="11/15/2020"/>
    <d v="2026-02-11T00:00:00"/>
    <e v="#VALUE!"/>
    <n v="4"/>
    <n v="75981"/>
    <n v="37990.5"/>
    <s v=" Not Achieved"/>
    <s v=" Excellent"/>
  </r>
  <r>
    <x v="1482"/>
    <x v="1482"/>
    <s v="EMP_1483"/>
    <x v="0"/>
    <s v="EMP_1483Finance"/>
    <x v="2"/>
    <x v="3"/>
    <n v="51333"/>
    <n v="12656"/>
    <n v="0"/>
    <n v="0"/>
    <s v="6/15/2022"/>
    <s v="6/15/2022"/>
    <d v="2026-02-11T00:00:00"/>
    <e v="#VALUE!"/>
    <n v="4"/>
    <n v="63989"/>
    <n v="31994.5"/>
    <s v=" Not Achieved"/>
    <s v=" Excellent"/>
  </r>
  <r>
    <x v="1483"/>
    <x v="1483"/>
    <s v="EMP_1484"/>
    <x v="0"/>
    <s v="EMP_1484Sales"/>
    <x v="1"/>
    <x v="0"/>
    <n v="36754"/>
    <n v="10270"/>
    <n v="128022"/>
    <n v="154632"/>
    <d v="2019-10-03T00:00:00"/>
    <s v="2019"/>
    <d v="2026-02-11T00:00:00"/>
    <n v="6"/>
    <n v="5"/>
    <n v="47024"/>
    <n v="23512"/>
    <s v=" Not Achieved"/>
    <s v="Average"/>
  </r>
  <r>
    <x v="1484"/>
    <x v="1484"/>
    <s v="EMP_1485"/>
    <x v="1"/>
    <s v="EMP_1485IT"/>
    <x v="3"/>
    <x v="1"/>
    <n v="68200"/>
    <n v="13106"/>
    <n v="0"/>
    <n v="0"/>
    <s v="6/28/2020"/>
    <s v="6/28/2020"/>
    <d v="2026-02-11T00:00:00"/>
    <e v="#VALUE!"/>
    <n v="4"/>
    <n v="81306"/>
    <n v="40653"/>
    <s v=" Not Achieved"/>
    <s v=" Excellent"/>
  </r>
  <r>
    <x v="1485"/>
    <x v="1485"/>
    <s v="EMP_1486"/>
    <x v="1"/>
    <s v="EMP_1486Sales"/>
    <x v="1"/>
    <x v="1"/>
    <n v="32409"/>
    <n v="4735"/>
    <n v="137572"/>
    <n v="230121"/>
    <d v="2021-12-03T00:00:00"/>
    <s v="2021"/>
    <d v="2026-02-11T00:00:00"/>
    <n v="4"/>
    <n v="2"/>
    <n v="37144"/>
    <n v="18572"/>
    <s v=" Not Achieved"/>
    <s v="Average"/>
  </r>
  <r>
    <x v="1486"/>
    <x v="1486"/>
    <s v="EMP_1487"/>
    <x v="0"/>
    <s v="EMP_1487HR"/>
    <x v="0"/>
    <x v="1"/>
    <n v="68386"/>
    <n v="8017"/>
    <n v="0"/>
    <n v="0"/>
    <d v="2019-06-09T00:00:00"/>
    <s v="2019"/>
    <d v="2026-02-11T00:00:00"/>
    <n v="6"/>
    <n v="5"/>
    <n v="76403"/>
    <n v="38201.5"/>
    <s v=" Not Achieved"/>
    <s v=" Excellent"/>
  </r>
  <r>
    <x v="1487"/>
    <x v="1487"/>
    <s v="EMP_1488"/>
    <x v="0"/>
    <s v="EMP_1488IT"/>
    <x v="3"/>
    <x v="0"/>
    <n v="32689"/>
    <n v="13865"/>
    <n v="0"/>
    <n v="0"/>
    <d v="2022-12-05T00:00:00"/>
    <s v="2022"/>
    <d v="2026-02-11T00:00:00"/>
    <n v="3"/>
    <n v="2"/>
    <n v="46554"/>
    <n v="23277"/>
    <s v=" Not Achieved"/>
    <s v="Average"/>
  </r>
  <r>
    <x v="1488"/>
    <x v="1488"/>
    <s v="EMP_1489"/>
    <x v="1"/>
    <s v="EMP_1489IT"/>
    <x v="3"/>
    <x v="3"/>
    <n v="40322"/>
    <n v="8895"/>
    <n v="0"/>
    <n v="0"/>
    <d v="2024-10-09T00:00:00"/>
    <s v="2024"/>
    <d v="2026-02-11T00:00:00"/>
    <n v="1"/>
    <n v="2"/>
    <n v="49217"/>
    <n v="24608.5"/>
    <s v=" Not Achieved"/>
    <s v="Good"/>
  </r>
  <r>
    <x v="1489"/>
    <x v="1489"/>
    <s v="EMP_1490"/>
    <x v="1"/>
    <s v="EMP_1490Sales"/>
    <x v="1"/>
    <x v="2"/>
    <n v="56434"/>
    <n v="4217"/>
    <n v="99605"/>
    <n v="228756"/>
    <s v="5/19/2023"/>
    <s v="5/19/2023"/>
    <d v="2026-02-11T00:00:00"/>
    <e v="#VALUE!"/>
    <n v="4"/>
    <n v="60651"/>
    <n v="30325.5"/>
    <s v=" Not Achieved"/>
    <s v=" Excellent"/>
  </r>
  <r>
    <x v="1490"/>
    <x v="1490"/>
    <s v="EMP_1491"/>
    <x v="1"/>
    <s v="EMP_1491Finance"/>
    <x v="2"/>
    <x v="1"/>
    <n v="31600"/>
    <n v="10332"/>
    <n v="0"/>
    <n v="0"/>
    <d v="2024-09-09T00:00:00"/>
    <s v="2024"/>
    <d v="2026-02-11T00:00:00"/>
    <n v="1"/>
    <n v="4"/>
    <n v="41932"/>
    <n v="20966"/>
    <s v=" Not Achieved"/>
    <s v="Average"/>
  </r>
  <r>
    <x v="1491"/>
    <x v="1491"/>
    <s v="EMP_1492"/>
    <x v="1"/>
    <s v="EMP_1492IT"/>
    <x v="3"/>
    <x v="3"/>
    <n v="27348"/>
    <n v="10840"/>
    <n v="0"/>
    <n v="0"/>
    <s v="1/25/2024"/>
    <s v="1/25/2024"/>
    <d v="2026-02-11T00:00:00"/>
    <e v="#VALUE!"/>
    <n v="1"/>
    <n v="38188"/>
    <n v="19094"/>
    <s v=" Not Achieved"/>
    <s v="poor"/>
  </r>
  <r>
    <x v="1492"/>
    <x v="1492"/>
    <s v="EMP_1493"/>
    <x v="1"/>
    <s v="EMP_1493HR"/>
    <x v="0"/>
    <x v="0"/>
    <n v="32622"/>
    <n v="11393"/>
    <n v="0"/>
    <n v="0"/>
    <d v="2019-12-01T00:00:00"/>
    <s v="2019"/>
    <d v="2026-02-11T00:00:00"/>
    <n v="6"/>
    <n v="3"/>
    <n v="44015"/>
    <n v="22007.5"/>
    <s v=" Not Achieved"/>
    <s v="Average"/>
  </r>
  <r>
    <x v="1493"/>
    <x v="1493"/>
    <s v="EMP_1494"/>
    <x v="1"/>
    <s v="EMP_1494Sales"/>
    <x v="1"/>
    <x v="0"/>
    <n v="23342"/>
    <n v="8317"/>
    <n v="187660"/>
    <n v="125406"/>
    <s v="6/19/2018"/>
    <s v="6/19/2018"/>
    <d v="2026-02-11T00:00:00"/>
    <e v="#VALUE!"/>
    <n v="2"/>
    <n v="31659"/>
    <n v="15829.5"/>
    <s v="Achieved"/>
    <s v="poor"/>
  </r>
  <r>
    <x v="1494"/>
    <x v="1494"/>
    <s v="EMP_1495"/>
    <x v="0"/>
    <s v="EMP_1495Finance"/>
    <x v="2"/>
    <x v="4"/>
    <n v="25653"/>
    <n v="6367"/>
    <n v="0"/>
    <n v="0"/>
    <s v="3/31/2018"/>
    <s v="3/31/2018"/>
    <d v="2026-02-11T00:00:00"/>
    <e v="#VALUE!"/>
    <n v="5"/>
    <n v="32020"/>
    <n v="16010"/>
    <s v=" Not Achieved"/>
    <s v="poor"/>
  </r>
  <r>
    <x v="1495"/>
    <x v="1495"/>
    <s v="EMP_1496"/>
    <x v="1"/>
    <s v="EMP_1496HR"/>
    <x v="0"/>
    <x v="1"/>
    <n v="48650"/>
    <n v="14545"/>
    <n v="0"/>
    <n v="0"/>
    <s v="6/30/2021"/>
    <s v="6/30/2021"/>
    <d v="2026-02-11T00:00:00"/>
    <e v="#VALUE!"/>
    <n v="2"/>
    <n v="63195"/>
    <n v="31597.5"/>
    <s v=" Not Achieved"/>
    <s v="Good"/>
  </r>
  <r>
    <x v="1496"/>
    <x v="1496"/>
    <s v="EMP_1497"/>
    <x v="0"/>
    <s v="EMP_1497Sales"/>
    <x v="1"/>
    <x v="3"/>
    <n v="61014"/>
    <n v="5711"/>
    <n v="154587"/>
    <n v="245596"/>
    <d v="2018-02-08T00:00:00"/>
    <s v="2018"/>
    <d v="2026-02-11T00:00:00"/>
    <n v="8"/>
    <n v="4"/>
    <n v="66725"/>
    <n v="33362.5"/>
    <s v=" Not Achieved"/>
    <s v=" Excellent"/>
  </r>
  <r>
    <x v="1497"/>
    <x v="1497"/>
    <s v="EMP_1498"/>
    <x v="0"/>
    <s v="EMP_1498Finance"/>
    <x v="2"/>
    <x v="0"/>
    <n v="61277"/>
    <n v="6601"/>
    <n v="0"/>
    <n v="0"/>
    <s v="4/21/2022"/>
    <s v="4/21/2022"/>
    <d v="2026-02-11T00:00:00"/>
    <e v="#VALUE!"/>
    <n v="3"/>
    <n v="67878"/>
    <n v="33939"/>
    <s v=" Not Achieved"/>
    <s v=" Excellent"/>
  </r>
  <r>
    <x v="1498"/>
    <x v="1498"/>
    <s v="EMP_1499"/>
    <x v="0"/>
    <s v="EMP_1499HR"/>
    <x v="0"/>
    <x v="3"/>
    <n v="76805"/>
    <n v="14144"/>
    <n v="0"/>
    <n v="0"/>
    <d v="2019-02-09T00:00:00"/>
    <s v="2019"/>
    <d v="2026-02-11T00:00:00"/>
    <n v="7"/>
    <n v="5"/>
    <n v="90949"/>
    <n v="45474.5"/>
    <s v=" Not Achieved"/>
    <s v=" Excellent"/>
  </r>
  <r>
    <x v="1499"/>
    <x v="1499"/>
    <s v="EMP_1500"/>
    <x v="0"/>
    <s v="EMP_1500Finance"/>
    <x v="2"/>
    <x v="2"/>
    <n v="35815"/>
    <n v="3529"/>
    <n v="0"/>
    <n v="0"/>
    <d v="2022-06-11T00:00:00"/>
    <s v="2022"/>
    <d v="2026-02-11T00:00:00"/>
    <n v="3"/>
    <n v="2"/>
    <n v="39344"/>
    <n v="19672"/>
    <s v=" Not Achieved"/>
    <s v="Average"/>
  </r>
  <r>
    <x v="1500"/>
    <x v="1500"/>
    <s v="EMP_1501"/>
    <x v="1"/>
    <s v="EMP_1501IT"/>
    <x v="3"/>
    <x v="2"/>
    <n v="32389"/>
    <n v="7173"/>
    <n v="0"/>
    <n v="0"/>
    <d v="2021-11-12T00:00:00"/>
    <s v="2021"/>
    <d v="2026-02-11T00:00:00"/>
    <n v="4"/>
    <n v="3"/>
    <n v="39562"/>
    <n v="19781"/>
    <s v=" Not Achieved"/>
    <s v="Average"/>
  </r>
  <r>
    <x v="1501"/>
    <x v="1501"/>
    <s v="EMP_1502"/>
    <x v="0"/>
    <s v="EMP_1502Marketing"/>
    <x v="4"/>
    <x v="0"/>
    <n v="24419"/>
    <n v="2274"/>
    <n v="0"/>
    <n v="0"/>
    <s v="7/19/2020"/>
    <s v="7/19/2020"/>
    <d v="2026-02-11T00:00:00"/>
    <e v="#VALUE!"/>
    <n v="2"/>
    <n v="26693"/>
    <n v="13346.5"/>
    <s v=" Not Achieved"/>
    <s v="poor"/>
  </r>
  <r>
    <x v="1502"/>
    <x v="1502"/>
    <s v="EMP_1503"/>
    <x v="1"/>
    <s v="EMP_1503IT"/>
    <x v="3"/>
    <x v="4"/>
    <n v="56005"/>
    <n v="2389"/>
    <n v="0"/>
    <n v="0"/>
    <s v="5/15/2019"/>
    <s v="5/15/2019"/>
    <d v="2026-02-11T00:00:00"/>
    <e v="#VALUE!"/>
    <n v="5"/>
    <n v="58394"/>
    <n v="29197"/>
    <s v=" Not Achieved"/>
    <s v=" Excellent"/>
  </r>
  <r>
    <x v="1503"/>
    <x v="1503"/>
    <s v="EMP_1504"/>
    <x v="1"/>
    <s v="EMP_1504Sales"/>
    <x v="1"/>
    <x v="4"/>
    <n v="57268"/>
    <n v="7750"/>
    <n v="254789"/>
    <n v="105237"/>
    <d v="2021-09-04T00:00:00"/>
    <s v="2021"/>
    <d v="2026-02-11T00:00:00"/>
    <n v="4"/>
    <n v="2"/>
    <n v="65018"/>
    <n v="32509"/>
    <s v="Achieved"/>
    <s v=" Excellent"/>
  </r>
  <r>
    <x v="1504"/>
    <x v="1504"/>
    <s v="EMP_1505"/>
    <x v="0"/>
    <s v="EMP_1505Sales"/>
    <x v="1"/>
    <x v="4"/>
    <n v="28142"/>
    <n v="7070"/>
    <n v="96282"/>
    <n v="96381"/>
    <s v="10/28/2018"/>
    <s v="10/28/2018"/>
    <d v="2026-02-11T00:00:00"/>
    <e v="#VALUE!"/>
    <n v="2"/>
    <n v="35212"/>
    <n v="17606"/>
    <s v=" Not Achieved"/>
    <s v="poor"/>
  </r>
  <r>
    <x v="1505"/>
    <x v="1505"/>
    <s v="EMP_1506"/>
    <x v="1"/>
    <s v="EMP_1506HR"/>
    <x v="0"/>
    <x v="2"/>
    <n v="61859"/>
    <n v="11698"/>
    <n v="0"/>
    <n v="0"/>
    <d v="2022-10-11T00:00:00"/>
    <s v="2022"/>
    <d v="2026-02-11T00:00:00"/>
    <n v="3"/>
    <n v="1"/>
    <n v="73557"/>
    <n v="36778.5"/>
    <s v=" Not Achieved"/>
    <s v=" Excellent"/>
  </r>
  <r>
    <x v="1506"/>
    <x v="1506"/>
    <s v="EMP_1507"/>
    <x v="1"/>
    <s v="EMP_1507HR"/>
    <x v="0"/>
    <x v="2"/>
    <n v="44413"/>
    <n v="8443"/>
    <n v="0"/>
    <n v="0"/>
    <d v="2022-02-09T00:00:00"/>
    <s v="2022"/>
    <d v="2026-02-11T00:00:00"/>
    <n v="4"/>
    <n v="1"/>
    <n v="52856"/>
    <n v="26428"/>
    <s v=" Not Achieved"/>
    <s v="Good"/>
  </r>
  <r>
    <x v="1507"/>
    <x v="1507"/>
    <s v="EMP_1508"/>
    <x v="1"/>
    <s v="EMP_1508IT"/>
    <x v="3"/>
    <x v="4"/>
    <n v="23218"/>
    <n v="7197"/>
    <n v="0"/>
    <n v="0"/>
    <s v="6/21/2024"/>
    <s v="6/21/2024"/>
    <d v="2026-02-11T00:00:00"/>
    <e v="#VALUE!"/>
    <n v="4"/>
    <n v="30415"/>
    <n v="15207.5"/>
    <s v=" Not Achieved"/>
    <s v="poor"/>
  </r>
  <r>
    <x v="1508"/>
    <x v="1508"/>
    <s v="EMP_1509"/>
    <x v="0"/>
    <s v="EMP_1509IT"/>
    <x v="3"/>
    <x v="2"/>
    <n v="43495"/>
    <n v="9487"/>
    <n v="0"/>
    <n v="0"/>
    <d v="2022-12-07T00:00:00"/>
    <s v="2022"/>
    <d v="2026-02-11T00:00:00"/>
    <n v="3"/>
    <n v="5"/>
    <n v="52982"/>
    <n v="26491"/>
    <s v=" Not Achieved"/>
    <s v="Good"/>
  </r>
  <r>
    <x v="1509"/>
    <x v="1509"/>
    <s v="EMP_1510"/>
    <x v="0"/>
    <s v="EMP_1510IT"/>
    <x v="3"/>
    <x v="2"/>
    <n v="35448"/>
    <n v="13264"/>
    <n v="0"/>
    <n v="0"/>
    <d v="2024-06-02T00:00:00"/>
    <s v="2024"/>
    <d v="2026-02-11T00:00:00"/>
    <n v="1"/>
    <n v="1"/>
    <n v="48712"/>
    <n v="24356"/>
    <s v=" Not Achieved"/>
    <s v="Average"/>
  </r>
  <r>
    <x v="1510"/>
    <x v="1510"/>
    <s v="EMP_1511"/>
    <x v="1"/>
    <s v="EMP_1511Finance"/>
    <x v="2"/>
    <x v="2"/>
    <n v="67713"/>
    <n v="2167"/>
    <n v="0"/>
    <n v="0"/>
    <d v="2021-10-11T00:00:00"/>
    <s v="2021"/>
    <d v="2026-02-11T00:00:00"/>
    <n v="4"/>
    <n v="5"/>
    <n v="69880"/>
    <n v="34940"/>
    <s v=" Not Achieved"/>
    <s v=" Excellent"/>
  </r>
  <r>
    <x v="1511"/>
    <x v="1511"/>
    <s v="EMP_1512"/>
    <x v="1"/>
    <s v="EMP_1512Sales"/>
    <x v="1"/>
    <x v="2"/>
    <n v="49703"/>
    <n v="8857"/>
    <n v="248603"/>
    <n v="136520"/>
    <d v="2021-02-09T00:00:00"/>
    <s v="2021"/>
    <d v="2026-02-11T00:00:00"/>
    <n v="5"/>
    <n v="1"/>
    <n v="58560"/>
    <n v="29280"/>
    <s v="Achieved"/>
    <s v="Good"/>
  </r>
  <r>
    <x v="1512"/>
    <x v="1512"/>
    <s v="EMP_1513"/>
    <x v="1"/>
    <s v="EMP_1513HR"/>
    <x v="0"/>
    <x v="0"/>
    <n v="23227"/>
    <n v="7941"/>
    <n v="0"/>
    <n v="0"/>
    <d v="2022-02-10T00:00:00"/>
    <s v="2022"/>
    <d v="2026-02-11T00:00:00"/>
    <n v="4"/>
    <n v="5"/>
    <n v="31168"/>
    <n v="15584"/>
    <s v=" Not Achieved"/>
    <s v="poor"/>
  </r>
  <r>
    <x v="1513"/>
    <x v="1513"/>
    <s v="EMP_1514"/>
    <x v="1"/>
    <s v="EMP_1514Sales"/>
    <x v="1"/>
    <x v="1"/>
    <n v="78731"/>
    <n v="5435"/>
    <n v="104020"/>
    <n v="97167"/>
    <s v="12/15/2023"/>
    <s v="12/15/2023"/>
    <d v="2026-02-11T00:00:00"/>
    <e v="#VALUE!"/>
    <n v="1"/>
    <n v="84166"/>
    <n v="42083"/>
    <s v="Achieved"/>
    <s v=" Excellent"/>
  </r>
  <r>
    <x v="1514"/>
    <x v="1514"/>
    <s v="EMP_1515"/>
    <x v="1"/>
    <s v="EMP_1515Marketing"/>
    <x v="4"/>
    <x v="2"/>
    <n v="63811"/>
    <n v="3214"/>
    <n v="0"/>
    <n v="0"/>
    <s v="1/19/2018"/>
    <s v="1/19/2018"/>
    <d v="2026-02-11T00:00:00"/>
    <e v="#VALUE!"/>
    <n v="5"/>
    <n v="67025"/>
    <n v="33512.5"/>
    <s v=" Not Achieved"/>
    <s v=" Excellent"/>
  </r>
  <r>
    <x v="1515"/>
    <x v="1515"/>
    <s v="EMP_1516"/>
    <x v="0"/>
    <s v="EMP_1516Marketing"/>
    <x v="4"/>
    <x v="2"/>
    <n v="74334"/>
    <n v="4099"/>
    <n v="0"/>
    <n v="0"/>
    <s v="5/24/2024"/>
    <s v="5/24/2024"/>
    <d v="2026-02-11T00:00:00"/>
    <e v="#VALUE!"/>
    <n v="1"/>
    <n v="78433"/>
    <n v="39216.5"/>
    <s v=" Not Achieved"/>
    <s v=" Excellent"/>
  </r>
  <r>
    <x v="1516"/>
    <x v="1516"/>
    <s v="EMP_1517"/>
    <x v="1"/>
    <s v="EMP_1517Sales"/>
    <x v="1"/>
    <x v="2"/>
    <n v="38075"/>
    <n v="2629"/>
    <n v="70853"/>
    <n v="248261"/>
    <s v="7/29/2023"/>
    <s v="7/29/2023"/>
    <d v="2026-02-11T00:00:00"/>
    <e v="#VALUE!"/>
    <n v="3"/>
    <n v="40704"/>
    <n v="20352"/>
    <s v=" Not Achieved"/>
    <s v="Average"/>
  </r>
  <r>
    <x v="1517"/>
    <x v="1517"/>
    <s v="EMP_1518"/>
    <x v="0"/>
    <s v="EMP_1518HR"/>
    <x v="0"/>
    <x v="3"/>
    <n v="54802"/>
    <n v="3592"/>
    <n v="0"/>
    <n v="0"/>
    <d v="2019-08-12T00:00:00"/>
    <s v="2019"/>
    <d v="2026-02-11T00:00:00"/>
    <n v="6"/>
    <n v="4"/>
    <n v="58394"/>
    <n v="29197"/>
    <s v=" Not Achieved"/>
    <s v=" Excellent"/>
  </r>
  <r>
    <x v="1518"/>
    <x v="1518"/>
    <s v="EMP_1519"/>
    <x v="1"/>
    <s v="EMP_1519IT"/>
    <x v="3"/>
    <x v="3"/>
    <n v="20951"/>
    <n v="3612"/>
    <n v="0"/>
    <n v="0"/>
    <d v="2022-01-01T00:00:00"/>
    <s v="2022"/>
    <d v="2026-02-11T00:00:00"/>
    <n v="4"/>
    <n v="1"/>
    <n v="24563"/>
    <n v="12281.5"/>
    <s v=" Not Achieved"/>
    <s v="poor"/>
  </r>
  <r>
    <x v="1519"/>
    <x v="1519"/>
    <s v="EMP_1520"/>
    <x v="0"/>
    <s v="EMP_1520Marketing"/>
    <x v="4"/>
    <x v="3"/>
    <n v="63304"/>
    <n v="2127"/>
    <n v="0"/>
    <n v="0"/>
    <s v="11/24/2023"/>
    <s v="11/24/2023"/>
    <d v="2026-02-11T00:00:00"/>
    <e v="#VALUE!"/>
    <n v="5"/>
    <n v="65431"/>
    <n v="32715.5"/>
    <s v=" Not Achieved"/>
    <s v=" Excellent"/>
  </r>
  <r>
    <x v="1520"/>
    <x v="1520"/>
    <s v="EMP_1521"/>
    <x v="0"/>
    <s v="EMP_1521Finance"/>
    <x v="2"/>
    <x v="1"/>
    <n v="45558"/>
    <n v="3524"/>
    <n v="0"/>
    <n v="0"/>
    <s v="12/25/2023"/>
    <s v="12/25/2023"/>
    <d v="2026-02-11T00:00:00"/>
    <e v="#VALUE!"/>
    <n v="4"/>
    <n v="49082"/>
    <n v="24541"/>
    <s v=" Not Achieved"/>
    <s v="Good"/>
  </r>
  <r>
    <x v="1521"/>
    <x v="1521"/>
    <s v="EMP_1522"/>
    <x v="1"/>
    <s v="EMP_1522IT"/>
    <x v="3"/>
    <x v="2"/>
    <n v="69239"/>
    <n v="2818"/>
    <n v="0"/>
    <n v="0"/>
    <s v="9/27/2020"/>
    <s v="9/27/2020"/>
    <d v="2026-02-11T00:00:00"/>
    <e v="#VALUE!"/>
    <n v="4"/>
    <n v="72057"/>
    <n v="36028.5"/>
    <s v=" Not Achieved"/>
    <s v=" Excellent"/>
  </r>
  <r>
    <x v="1522"/>
    <x v="1522"/>
    <s v="EMP_1523"/>
    <x v="1"/>
    <s v="EMP_1523Finance"/>
    <x v="2"/>
    <x v="0"/>
    <n v="28156"/>
    <n v="9346"/>
    <n v="0"/>
    <n v="0"/>
    <s v="5/31/2019"/>
    <s v="5/31/2019"/>
    <d v="2026-02-11T00:00:00"/>
    <e v="#VALUE!"/>
    <n v="2"/>
    <n v="37502"/>
    <n v="18751"/>
    <s v=" Not Achieved"/>
    <s v="poor"/>
  </r>
  <r>
    <x v="1523"/>
    <x v="1523"/>
    <s v="EMP_1524"/>
    <x v="1"/>
    <s v="EMP_1524IT"/>
    <x v="3"/>
    <x v="2"/>
    <n v="77213"/>
    <n v="8132"/>
    <n v="0"/>
    <n v="0"/>
    <s v="7/27/2024"/>
    <s v="7/27/2024"/>
    <d v="2026-02-11T00:00:00"/>
    <e v="#VALUE!"/>
    <n v="4"/>
    <n v="85345"/>
    <n v="42672.5"/>
    <s v=" Not Achieved"/>
    <s v=" Excellent"/>
  </r>
  <r>
    <x v="1524"/>
    <x v="1524"/>
    <s v="EMP_1525"/>
    <x v="0"/>
    <s v="EMP_1525HR"/>
    <x v="0"/>
    <x v="4"/>
    <n v="72672"/>
    <n v="4424"/>
    <n v="0"/>
    <n v="0"/>
    <d v="2019-07-07T00:00:00"/>
    <s v="2019"/>
    <d v="2026-02-11T00:00:00"/>
    <n v="6"/>
    <n v="1"/>
    <n v="77096"/>
    <n v="38548"/>
    <s v=" Not Achieved"/>
    <s v=" Excellent"/>
  </r>
  <r>
    <x v="1525"/>
    <x v="1525"/>
    <s v="EMP_1526"/>
    <x v="0"/>
    <s v="EMP_1526Finance"/>
    <x v="2"/>
    <x v="1"/>
    <n v="57672"/>
    <n v="11126"/>
    <n v="0"/>
    <n v="0"/>
    <d v="2020-09-07T00:00:00"/>
    <s v="2020"/>
    <d v="2026-02-11T00:00:00"/>
    <n v="5"/>
    <n v="5"/>
    <n v="68798"/>
    <n v="34399"/>
    <s v=" Not Achieved"/>
    <s v=" Excellent"/>
  </r>
  <r>
    <x v="1526"/>
    <x v="1526"/>
    <s v="EMP_1527"/>
    <x v="1"/>
    <s v="EMP_1527Finance"/>
    <x v="2"/>
    <x v="3"/>
    <n v="58700"/>
    <n v="3386"/>
    <n v="0"/>
    <n v="0"/>
    <s v="5/31/2020"/>
    <s v="5/31/2020"/>
    <d v="2026-02-11T00:00:00"/>
    <e v="#VALUE!"/>
    <n v="2"/>
    <n v="62086"/>
    <n v="31043"/>
    <s v=" Not Achieved"/>
    <s v=" Excellent"/>
  </r>
  <r>
    <x v="1527"/>
    <x v="1527"/>
    <s v="EMP_1528"/>
    <x v="0"/>
    <s v="EMP_1528Finance"/>
    <x v="2"/>
    <x v="3"/>
    <n v="32589"/>
    <n v="7065"/>
    <n v="0"/>
    <n v="0"/>
    <d v="2023-09-06T00:00:00"/>
    <s v="2023"/>
    <d v="2026-02-11T00:00:00"/>
    <n v="2"/>
    <n v="1"/>
    <n v="39654"/>
    <n v="19827"/>
    <s v=" Not Achieved"/>
    <s v="Average"/>
  </r>
  <r>
    <x v="1528"/>
    <x v="1528"/>
    <s v="EMP_1529"/>
    <x v="1"/>
    <s v="EMP_1529HR"/>
    <x v="0"/>
    <x v="0"/>
    <n v="44610"/>
    <n v="14852"/>
    <n v="0"/>
    <n v="0"/>
    <s v="8/31/2022"/>
    <s v="8/31/2022"/>
    <d v="2026-02-11T00:00:00"/>
    <e v="#VALUE!"/>
    <n v="5"/>
    <n v="59462"/>
    <n v="29731"/>
    <s v=" Not Achieved"/>
    <s v="Good"/>
  </r>
  <r>
    <x v="1529"/>
    <x v="1529"/>
    <s v="EMP_1530"/>
    <x v="0"/>
    <s v="EMP_1530Sales"/>
    <x v="1"/>
    <x v="0"/>
    <n v="25400"/>
    <n v="4157"/>
    <n v="144273"/>
    <n v="99600"/>
    <s v="12/21/2021"/>
    <s v="12/21/2021"/>
    <d v="2026-02-11T00:00:00"/>
    <e v="#VALUE!"/>
    <n v="1"/>
    <n v="29557"/>
    <n v="14778.5"/>
    <s v="Achieved"/>
    <s v="poor"/>
  </r>
  <r>
    <x v="1530"/>
    <x v="1530"/>
    <s v="EMP_1531"/>
    <x v="0"/>
    <s v="EMP_1531Marketing"/>
    <x v="4"/>
    <x v="3"/>
    <n v="50489"/>
    <n v="13320"/>
    <n v="0"/>
    <n v="0"/>
    <s v="3/15/2018"/>
    <s v="3/15/2018"/>
    <d v="2026-02-11T00:00:00"/>
    <e v="#VALUE!"/>
    <n v="3"/>
    <n v="63809"/>
    <n v="31904.5"/>
    <s v=" Not Achieved"/>
    <s v=" Excellent"/>
  </r>
  <r>
    <x v="1531"/>
    <x v="1531"/>
    <s v="EMP_1532"/>
    <x v="1"/>
    <s v="EMP_1532IT"/>
    <x v="3"/>
    <x v="4"/>
    <n v="59732"/>
    <n v="4475"/>
    <n v="0"/>
    <n v="0"/>
    <d v="2021-05-10T00:00:00"/>
    <s v="2021"/>
    <d v="2026-02-11T00:00:00"/>
    <n v="4"/>
    <n v="5"/>
    <n v="64207"/>
    <n v="32103.5"/>
    <s v=" Not Achieved"/>
    <s v=" Excellent"/>
  </r>
  <r>
    <x v="1532"/>
    <x v="1532"/>
    <s v="EMP_1533"/>
    <x v="0"/>
    <s v="EMP_1533IT"/>
    <x v="3"/>
    <x v="0"/>
    <n v="51236"/>
    <n v="7741"/>
    <n v="0"/>
    <n v="0"/>
    <s v="1/19/2024"/>
    <s v="1/19/2024"/>
    <d v="2026-02-11T00:00:00"/>
    <e v="#VALUE!"/>
    <n v="3"/>
    <n v="58977"/>
    <n v="29488.5"/>
    <s v=" Not Achieved"/>
    <s v=" Excellent"/>
  </r>
  <r>
    <x v="1533"/>
    <x v="1533"/>
    <s v="EMP_1534"/>
    <x v="0"/>
    <s v="EMP_1534Finance"/>
    <x v="2"/>
    <x v="1"/>
    <n v="22067"/>
    <n v="9283"/>
    <n v="0"/>
    <n v="0"/>
    <s v="4/26/2022"/>
    <s v="4/26/2022"/>
    <d v="2026-02-11T00:00:00"/>
    <e v="#VALUE!"/>
    <n v="5"/>
    <n v="31350"/>
    <n v="15675"/>
    <s v=" Not Achieved"/>
    <s v="poor"/>
  </r>
  <r>
    <x v="1534"/>
    <x v="1534"/>
    <s v="EMP_1535"/>
    <x v="0"/>
    <s v="EMP_1535Sales"/>
    <x v="1"/>
    <x v="1"/>
    <n v="23010"/>
    <n v="13241"/>
    <n v="83940"/>
    <n v="146498"/>
    <s v="11/29/2019"/>
    <s v="11/29/2019"/>
    <d v="2026-02-11T00:00:00"/>
    <e v="#VALUE!"/>
    <n v="3"/>
    <n v="36251"/>
    <n v="18125.5"/>
    <s v=" Not Achieved"/>
    <s v="poor"/>
  </r>
  <r>
    <x v="1535"/>
    <x v="1535"/>
    <s v="EMP_1536"/>
    <x v="1"/>
    <s v="EMP_1536Marketing"/>
    <x v="4"/>
    <x v="1"/>
    <n v="49304"/>
    <n v="6873"/>
    <n v="0"/>
    <n v="0"/>
    <d v="2024-02-12T00:00:00"/>
    <s v="2024"/>
    <d v="2026-02-11T00:00:00"/>
    <n v="1"/>
    <n v="5"/>
    <n v="56177"/>
    <n v="28088.5"/>
    <s v=" Not Achieved"/>
    <s v="Good"/>
  </r>
  <r>
    <x v="1536"/>
    <x v="1536"/>
    <s v="EMP_1537"/>
    <x v="0"/>
    <s v="EMP_1537IT"/>
    <x v="3"/>
    <x v="0"/>
    <n v="57046"/>
    <n v="2426"/>
    <n v="0"/>
    <n v="0"/>
    <s v="8/15/2024"/>
    <s v="8/15/2024"/>
    <d v="2026-02-11T00:00:00"/>
    <e v="#VALUE!"/>
    <n v="2"/>
    <n v="59472"/>
    <n v="29736"/>
    <s v=" Not Achieved"/>
    <s v=" Excellent"/>
  </r>
  <r>
    <x v="1537"/>
    <x v="1537"/>
    <s v="EMP_1538"/>
    <x v="1"/>
    <s v="EMP_1538IT"/>
    <x v="3"/>
    <x v="3"/>
    <n v="57048"/>
    <n v="10963"/>
    <n v="0"/>
    <n v="0"/>
    <d v="2023-05-02T00:00:00"/>
    <s v="2023"/>
    <d v="2026-02-11T00:00:00"/>
    <n v="2"/>
    <n v="4"/>
    <n v="68011"/>
    <n v="34005.5"/>
    <s v=" Not Achieved"/>
    <s v=" Excellent"/>
  </r>
  <r>
    <x v="1538"/>
    <x v="1538"/>
    <s v="EMP_1539"/>
    <x v="1"/>
    <s v="EMP_1539HR"/>
    <x v="0"/>
    <x v="3"/>
    <n v="71222"/>
    <n v="4294"/>
    <n v="0"/>
    <n v="0"/>
    <s v="3/18/2018"/>
    <s v="3/18/2018"/>
    <d v="2026-02-11T00:00:00"/>
    <e v="#VALUE!"/>
    <n v="4"/>
    <n v="75516"/>
    <n v="37758"/>
    <s v=" Not Achieved"/>
    <s v=" Excellent"/>
  </r>
  <r>
    <x v="1539"/>
    <x v="1539"/>
    <s v="EMP_1540"/>
    <x v="0"/>
    <s v="EMP_1540Finance"/>
    <x v="2"/>
    <x v="2"/>
    <n v="64738"/>
    <n v="10886"/>
    <n v="0"/>
    <n v="0"/>
    <d v="2023-04-01T00:00:00"/>
    <s v="2023"/>
    <d v="2026-02-11T00:00:00"/>
    <n v="2"/>
    <n v="4"/>
    <n v="75624"/>
    <n v="37812"/>
    <s v=" Not Achieved"/>
    <s v=" Excellent"/>
  </r>
  <r>
    <x v="1540"/>
    <x v="1540"/>
    <s v="EMP_1541"/>
    <x v="0"/>
    <s v="EMP_1541Finance"/>
    <x v="2"/>
    <x v="0"/>
    <n v="73748"/>
    <n v="4443"/>
    <n v="0"/>
    <n v="0"/>
    <d v="2023-03-10T00:00:00"/>
    <s v="2023"/>
    <d v="2026-02-11T00:00:00"/>
    <n v="2"/>
    <n v="1"/>
    <n v="78191"/>
    <n v="39095.5"/>
    <s v=" Not Achieved"/>
    <s v=" Excellent"/>
  </r>
  <r>
    <x v="1541"/>
    <x v="1541"/>
    <s v="EMP_1542"/>
    <x v="1"/>
    <s v="EMP_1542Marketing"/>
    <x v="4"/>
    <x v="4"/>
    <n v="31337"/>
    <n v="11240"/>
    <n v="0"/>
    <n v="0"/>
    <s v="9/18/2020"/>
    <s v="9/18/2020"/>
    <d v="2026-02-11T00:00:00"/>
    <e v="#VALUE!"/>
    <n v="5"/>
    <n v="42577"/>
    <n v="21288.5"/>
    <s v=" Not Achieved"/>
    <s v="Average"/>
  </r>
  <r>
    <x v="1542"/>
    <x v="1542"/>
    <s v="EMP_1543"/>
    <x v="1"/>
    <s v="EMP_1543Finance"/>
    <x v="2"/>
    <x v="2"/>
    <n v="61270"/>
    <n v="14607"/>
    <n v="0"/>
    <n v="0"/>
    <s v="1/27/2023"/>
    <s v="1/27/2023"/>
    <d v="2026-02-11T00:00:00"/>
    <e v="#VALUE!"/>
    <n v="5"/>
    <n v="75877"/>
    <n v="37938.5"/>
    <s v=" Not Achieved"/>
    <s v=" Excellent"/>
  </r>
  <r>
    <x v="1543"/>
    <x v="1543"/>
    <s v="EMP_1544"/>
    <x v="1"/>
    <s v="EMP_1544Finance"/>
    <x v="2"/>
    <x v="3"/>
    <n v="20126"/>
    <n v="12609"/>
    <n v="0"/>
    <n v="0"/>
    <s v="4/28/2023"/>
    <s v="4/28/2023"/>
    <d v="2026-02-11T00:00:00"/>
    <e v="#VALUE!"/>
    <n v="5"/>
    <n v="32735"/>
    <n v="16367.5"/>
    <s v=" Not Achieved"/>
    <s v="poor"/>
  </r>
  <r>
    <x v="1544"/>
    <x v="1544"/>
    <s v="EMP_1545"/>
    <x v="1"/>
    <s v="EMP_1545HR"/>
    <x v="0"/>
    <x v="4"/>
    <n v="28842"/>
    <n v="12153"/>
    <n v="0"/>
    <n v="0"/>
    <d v="2024-09-11T00:00:00"/>
    <s v="2024"/>
    <d v="2026-02-11T00:00:00"/>
    <n v="1"/>
    <n v="3"/>
    <n v="40995"/>
    <n v="20497.5"/>
    <s v=" Not Achieved"/>
    <s v="poor"/>
  </r>
  <r>
    <x v="1545"/>
    <x v="1545"/>
    <s v="EMP_1546"/>
    <x v="0"/>
    <s v="EMP_1546Marketing"/>
    <x v="4"/>
    <x v="2"/>
    <n v="79984"/>
    <n v="3079"/>
    <n v="0"/>
    <n v="0"/>
    <s v="5/26/2018"/>
    <s v="5/26/2018"/>
    <d v="2026-02-11T00:00:00"/>
    <e v="#VALUE!"/>
    <n v="1"/>
    <n v="83063"/>
    <n v="41531.5"/>
    <s v=" Not Achieved"/>
    <s v=" Excellent"/>
  </r>
  <r>
    <x v="1546"/>
    <x v="1546"/>
    <s v="EMP_1547"/>
    <x v="0"/>
    <s v="EMP_1547Finance"/>
    <x v="2"/>
    <x v="0"/>
    <n v="27306"/>
    <n v="7822"/>
    <n v="0"/>
    <n v="0"/>
    <s v="4/17/2023"/>
    <s v="4/17/2023"/>
    <d v="2026-02-11T00:00:00"/>
    <e v="#VALUE!"/>
    <n v="4"/>
    <n v="35128"/>
    <n v="17564"/>
    <s v=" Not Achieved"/>
    <s v="poor"/>
  </r>
  <r>
    <x v="1547"/>
    <x v="1547"/>
    <s v="EMP_1548"/>
    <x v="0"/>
    <s v="EMP_1548IT"/>
    <x v="3"/>
    <x v="3"/>
    <n v="23626"/>
    <n v="2462"/>
    <n v="0"/>
    <n v="0"/>
    <s v="1/23/2022"/>
    <s v="1/23/2022"/>
    <d v="2026-02-11T00:00:00"/>
    <e v="#VALUE!"/>
    <n v="4"/>
    <n v="26088"/>
    <n v="13044"/>
    <s v=" Not Achieved"/>
    <s v="poor"/>
  </r>
  <r>
    <x v="1548"/>
    <x v="1548"/>
    <s v="EMP_1549"/>
    <x v="0"/>
    <s v="EMP_1549Marketing"/>
    <x v="4"/>
    <x v="2"/>
    <n v="72992"/>
    <n v="8272"/>
    <n v="0"/>
    <n v="0"/>
    <s v="5/16/2021"/>
    <s v="5/16/2021"/>
    <d v="2026-02-11T00:00:00"/>
    <e v="#VALUE!"/>
    <n v="3"/>
    <n v="81264"/>
    <n v="40632"/>
    <s v=" Not Achieved"/>
    <s v=" Excellent"/>
  </r>
  <r>
    <x v="1549"/>
    <x v="1549"/>
    <s v="EMP_1550"/>
    <x v="0"/>
    <s v="EMP_1550Sales"/>
    <x v="1"/>
    <x v="1"/>
    <n v="67232"/>
    <n v="2031"/>
    <n v="147892"/>
    <n v="143146"/>
    <s v="8/26/2019"/>
    <s v="8/26/2019"/>
    <d v="2026-02-11T00:00:00"/>
    <e v="#VALUE!"/>
    <n v="3"/>
    <n v="69263"/>
    <n v="34631.5"/>
    <s v="Achieved"/>
    <s v=" Excellent"/>
  </r>
  <r>
    <x v="1550"/>
    <x v="1550"/>
    <s v="EMP_1551"/>
    <x v="1"/>
    <s v="EMP_1551IT"/>
    <x v="3"/>
    <x v="3"/>
    <n v="22015"/>
    <n v="2494"/>
    <n v="0"/>
    <n v="0"/>
    <s v="10/31/2018"/>
    <s v="10/31/2018"/>
    <d v="2026-02-11T00:00:00"/>
    <e v="#VALUE!"/>
    <n v="3"/>
    <n v="24509"/>
    <n v="12254.5"/>
    <s v=" Not Achieved"/>
    <s v="poor"/>
  </r>
  <r>
    <x v="1551"/>
    <x v="1551"/>
    <s v="EMP_1552"/>
    <x v="1"/>
    <s v="EMP_1552HR"/>
    <x v="0"/>
    <x v="1"/>
    <n v="22292"/>
    <n v="10202"/>
    <n v="0"/>
    <n v="0"/>
    <s v="1/13/2018"/>
    <s v="1/13/2018"/>
    <d v="2026-02-11T00:00:00"/>
    <e v="#VALUE!"/>
    <n v="3"/>
    <n v="32494"/>
    <n v="16247"/>
    <s v=" Not Achieved"/>
    <s v="poor"/>
  </r>
  <r>
    <x v="1552"/>
    <x v="1552"/>
    <s v="EMP_1553"/>
    <x v="0"/>
    <s v="EMP_1553Sales"/>
    <x v="1"/>
    <x v="2"/>
    <n v="69567"/>
    <n v="7597"/>
    <n v="183879"/>
    <n v="140639"/>
    <s v="3/20/2022"/>
    <s v="3/20/2022"/>
    <d v="2026-02-11T00:00:00"/>
    <e v="#VALUE!"/>
    <n v="3"/>
    <n v="77164"/>
    <n v="38582"/>
    <s v="Achieved"/>
    <s v=" Excellent"/>
  </r>
  <r>
    <x v="1553"/>
    <x v="1553"/>
    <s v="EMP_1554"/>
    <x v="0"/>
    <s v="EMP_1554Marketing"/>
    <x v="4"/>
    <x v="2"/>
    <n v="63522"/>
    <n v="7479"/>
    <n v="0"/>
    <n v="0"/>
    <d v="2019-02-02T00:00:00"/>
    <s v="2019"/>
    <d v="2026-02-11T00:00:00"/>
    <n v="7"/>
    <n v="2"/>
    <n v="71001"/>
    <n v="35500.5"/>
    <s v=" Not Achieved"/>
    <s v=" Excellent"/>
  </r>
  <r>
    <x v="1554"/>
    <x v="1554"/>
    <s v="EMP_1555"/>
    <x v="0"/>
    <s v="EMP_1555Sales"/>
    <x v="1"/>
    <x v="2"/>
    <n v="34783"/>
    <n v="10297"/>
    <n v="149238"/>
    <n v="237944"/>
    <s v="4/23/2018"/>
    <s v="4/23/2018"/>
    <d v="2026-02-11T00:00:00"/>
    <e v="#VALUE!"/>
    <n v="1"/>
    <n v="45080"/>
    <n v="22540"/>
    <s v=" Not Achieved"/>
    <s v="Average"/>
  </r>
  <r>
    <x v="1555"/>
    <x v="1555"/>
    <s v="EMP_1556"/>
    <x v="1"/>
    <s v="EMP_1556HR"/>
    <x v="0"/>
    <x v="3"/>
    <n v="46111"/>
    <n v="14886"/>
    <n v="0"/>
    <n v="0"/>
    <s v="6/15/2018"/>
    <s v="6/15/2018"/>
    <d v="2026-02-11T00:00:00"/>
    <e v="#VALUE!"/>
    <n v="4"/>
    <n v="60997"/>
    <n v="30498.5"/>
    <s v=" Not Achieved"/>
    <s v="Good"/>
  </r>
  <r>
    <x v="1556"/>
    <x v="1556"/>
    <s v="EMP_1557"/>
    <x v="1"/>
    <s v="EMP_1557HR"/>
    <x v="0"/>
    <x v="2"/>
    <n v="73599"/>
    <n v="12936"/>
    <n v="0"/>
    <n v="0"/>
    <s v="11/16/2024"/>
    <s v="11/16/2024"/>
    <d v="2026-02-11T00:00:00"/>
    <e v="#VALUE!"/>
    <n v="2"/>
    <n v="86535"/>
    <n v="43267.5"/>
    <s v=" Not Achieved"/>
    <s v=" Excellent"/>
  </r>
  <r>
    <x v="1557"/>
    <x v="1557"/>
    <s v="EMP_1558"/>
    <x v="1"/>
    <s v="EMP_1558Finance"/>
    <x v="2"/>
    <x v="4"/>
    <n v="54016"/>
    <n v="4376"/>
    <n v="0"/>
    <n v="0"/>
    <s v="7/27/2019"/>
    <s v="7/27/2019"/>
    <d v="2026-02-11T00:00:00"/>
    <e v="#VALUE!"/>
    <n v="4"/>
    <n v="58392"/>
    <n v="29196"/>
    <s v=" Not Achieved"/>
    <s v=" Excellent"/>
  </r>
  <r>
    <x v="1558"/>
    <x v="1558"/>
    <s v="EMP_1559"/>
    <x v="1"/>
    <s v="EMP_1559Sales"/>
    <x v="1"/>
    <x v="3"/>
    <n v="49034"/>
    <n v="3940"/>
    <n v="76300"/>
    <n v="194366"/>
    <s v="11/17/2023"/>
    <s v="11/17/2023"/>
    <d v="2026-02-11T00:00:00"/>
    <e v="#VALUE!"/>
    <n v="2"/>
    <n v="52974"/>
    <n v="26487"/>
    <s v=" Not Achieved"/>
    <s v="Good"/>
  </r>
  <r>
    <x v="1559"/>
    <x v="1559"/>
    <s v="EMP_1560"/>
    <x v="0"/>
    <s v="EMP_1560Finance"/>
    <x v="2"/>
    <x v="2"/>
    <n v="61937"/>
    <n v="5970"/>
    <n v="0"/>
    <n v="0"/>
    <s v="11/20/2021"/>
    <s v="11/20/2021"/>
    <d v="2026-02-11T00:00:00"/>
    <e v="#VALUE!"/>
    <n v="4"/>
    <n v="67907"/>
    <n v="33953.5"/>
    <s v=" Not Achieved"/>
    <s v=" Excellent"/>
  </r>
  <r>
    <x v="1560"/>
    <x v="1560"/>
    <s v="EMP_1561"/>
    <x v="0"/>
    <s v="EMP_1561Finance"/>
    <x v="2"/>
    <x v="0"/>
    <n v="60592"/>
    <n v="11959"/>
    <n v="0"/>
    <n v="0"/>
    <d v="2022-03-08T00:00:00"/>
    <s v="2022"/>
    <d v="2026-02-11T00:00:00"/>
    <n v="3"/>
    <n v="1"/>
    <n v="72551"/>
    <n v="36275.5"/>
    <s v=" Not Achieved"/>
    <s v=" Excellent"/>
  </r>
  <r>
    <x v="1561"/>
    <x v="1561"/>
    <s v="EMP_1562"/>
    <x v="0"/>
    <s v="EMP_1562Marketing"/>
    <x v="4"/>
    <x v="3"/>
    <n v="76157"/>
    <n v="5059"/>
    <n v="0"/>
    <n v="0"/>
    <d v="2021-02-05T00:00:00"/>
    <s v="2021"/>
    <d v="2026-02-11T00:00:00"/>
    <n v="5"/>
    <n v="1"/>
    <n v="81216"/>
    <n v="40608"/>
    <s v=" Not Achieved"/>
    <s v=" Excellent"/>
  </r>
  <r>
    <x v="1562"/>
    <x v="1562"/>
    <s v="EMP_1563"/>
    <x v="0"/>
    <s v="EMP_1563Marketing"/>
    <x v="4"/>
    <x v="3"/>
    <n v="53216"/>
    <n v="2638"/>
    <n v="0"/>
    <n v="0"/>
    <d v="2018-01-02T00:00:00"/>
    <s v="2018"/>
    <d v="2026-02-11T00:00:00"/>
    <n v="8"/>
    <n v="1"/>
    <n v="55854"/>
    <n v="27927"/>
    <s v=" Not Achieved"/>
    <s v=" Excellent"/>
  </r>
  <r>
    <x v="1563"/>
    <x v="1563"/>
    <s v="EMP_1564"/>
    <x v="0"/>
    <s v="EMP_1564Finance"/>
    <x v="2"/>
    <x v="3"/>
    <n v="45749"/>
    <n v="10193"/>
    <n v="0"/>
    <n v="0"/>
    <s v="4/28/2019"/>
    <s v="4/28/2019"/>
    <d v="2026-02-11T00:00:00"/>
    <e v="#VALUE!"/>
    <n v="5"/>
    <n v="55942"/>
    <n v="27971"/>
    <s v=" Not Achieved"/>
    <s v="Good"/>
  </r>
  <r>
    <x v="1564"/>
    <x v="1564"/>
    <s v="EMP_1565"/>
    <x v="0"/>
    <s v="EMP_1565Marketing"/>
    <x v="4"/>
    <x v="0"/>
    <n v="22714"/>
    <n v="8622"/>
    <n v="0"/>
    <n v="0"/>
    <s v="4/30/2022"/>
    <s v="4/30/2022"/>
    <d v="2026-02-11T00:00:00"/>
    <e v="#VALUE!"/>
    <n v="1"/>
    <n v="31336"/>
    <n v="15668"/>
    <s v=" Not Achieved"/>
    <s v="poor"/>
  </r>
  <r>
    <x v="1565"/>
    <x v="1565"/>
    <s v="EMP_1566"/>
    <x v="0"/>
    <s v="EMP_1566HR"/>
    <x v="0"/>
    <x v="2"/>
    <n v="53668"/>
    <n v="14327"/>
    <n v="0"/>
    <n v="0"/>
    <s v="2/28/2021"/>
    <s v="2/28/2021"/>
    <d v="2026-02-11T00:00:00"/>
    <e v="#VALUE!"/>
    <n v="5"/>
    <n v="67995"/>
    <n v="33997.5"/>
    <s v=" Not Achieved"/>
    <s v=" Excellent"/>
  </r>
  <r>
    <x v="1566"/>
    <x v="1566"/>
    <s v="EMP_1567"/>
    <x v="0"/>
    <s v="EMP_1567Marketing"/>
    <x v="4"/>
    <x v="0"/>
    <n v="35419"/>
    <n v="12708"/>
    <n v="0"/>
    <n v="0"/>
    <d v="2019-01-10T00:00:00"/>
    <s v="2019"/>
    <d v="2026-02-11T00:00:00"/>
    <n v="7"/>
    <n v="5"/>
    <n v="48127"/>
    <n v="24063.5"/>
    <s v=" Not Achieved"/>
    <s v="Average"/>
  </r>
  <r>
    <x v="1567"/>
    <x v="1567"/>
    <s v="EMP_1568"/>
    <x v="1"/>
    <s v="EMP_1568Marketing"/>
    <x v="4"/>
    <x v="4"/>
    <n v="68619"/>
    <n v="7455"/>
    <n v="0"/>
    <n v="0"/>
    <d v="2022-10-01T00:00:00"/>
    <s v="2022"/>
    <d v="2026-02-11T00:00:00"/>
    <n v="3"/>
    <n v="2"/>
    <n v="76074"/>
    <n v="38037"/>
    <s v=" Not Achieved"/>
    <s v=" Excellent"/>
  </r>
  <r>
    <x v="1568"/>
    <x v="1568"/>
    <s v="EMP_1569"/>
    <x v="1"/>
    <s v="EMP_1569Marketing"/>
    <x v="4"/>
    <x v="4"/>
    <n v="71214"/>
    <n v="4585"/>
    <n v="0"/>
    <n v="0"/>
    <s v="2/16/2019"/>
    <s v="2/16/2019"/>
    <d v="2026-02-11T00:00:00"/>
    <e v="#VALUE!"/>
    <n v="5"/>
    <n v="75799"/>
    <n v="37899.5"/>
    <s v=" Not Achieved"/>
    <s v=" Excellent"/>
  </r>
  <r>
    <x v="1569"/>
    <x v="1569"/>
    <s v="EMP_1570"/>
    <x v="0"/>
    <s v="EMP_1570Finance"/>
    <x v="2"/>
    <x v="1"/>
    <n v="32752"/>
    <n v="10471"/>
    <n v="0"/>
    <n v="0"/>
    <d v="2022-01-10T00:00:00"/>
    <s v="2022"/>
    <d v="2026-02-11T00:00:00"/>
    <n v="4"/>
    <n v="3"/>
    <n v="43223"/>
    <n v="21611.5"/>
    <s v=" Not Achieved"/>
    <s v="Average"/>
  </r>
  <r>
    <x v="1570"/>
    <x v="1570"/>
    <s v="EMP_1571"/>
    <x v="0"/>
    <s v="EMP_1571HR"/>
    <x v="0"/>
    <x v="1"/>
    <n v="47307"/>
    <n v="4433"/>
    <n v="0"/>
    <n v="0"/>
    <s v="4/25/2024"/>
    <s v="4/25/2024"/>
    <d v="2026-02-11T00:00:00"/>
    <e v="#VALUE!"/>
    <n v="1"/>
    <n v="51740"/>
    <n v="25870"/>
    <s v=" Not Achieved"/>
    <s v="Good"/>
  </r>
  <r>
    <x v="1571"/>
    <x v="1571"/>
    <s v="EMP_1572"/>
    <x v="1"/>
    <s v="EMP_1572HR"/>
    <x v="0"/>
    <x v="2"/>
    <n v="66623"/>
    <n v="8704"/>
    <n v="0"/>
    <n v="0"/>
    <s v="11/19/2020"/>
    <s v="11/19/2020"/>
    <d v="2026-02-11T00:00:00"/>
    <e v="#VALUE!"/>
    <n v="5"/>
    <n v="75327"/>
    <n v="37663.5"/>
    <s v=" Not Achieved"/>
    <s v=" Excellent"/>
  </r>
  <r>
    <x v="1572"/>
    <x v="1572"/>
    <s v="EMP_1573"/>
    <x v="1"/>
    <s v="EMP_1573IT"/>
    <x v="3"/>
    <x v="0"/>
    <n v="31345"/>
    <n v="11768"/>
    <n v="0"/>
    <n v="0"/>
    <s v="6/13/2024"/>
    <s v="6/13/2024"/>
    <d v="2026-02-11T00:00:00"/>
    <e v="#VALUE!"/>
    <n v="2"/>
    <n v="43113"/>
    <n v="21556.5"/>
    <s v=" Not Achieved"/>
    <s v="Average"/>
  </r>
  <r>
    <x v="1573"/>
    <x v="1573"/>
    <s v="EMP_1574"/>
    <x v="0"/>
    <s v="EMP_1574Marketing"/>
    <x v="4"/>
    <x v="1"/>
    <n v="65692"/>
    <n v="12463"/>
    <n v="0"/>
    <n v="0"/>
    <s v="11/18/2024"/>
    <s v="11/18/2024"/>
    <d v="2026-02-11T00:00:00"/>
    <e v="#VALUE!"/>
    <n v="2"/>
    <n v="78155"/>
    <n v="39077.5"/>
    <s v=" Not Achieved"/>
    <s v=" Excellent"/>
  </r>
  <r>
    <x v="1574"/>
    <x v="1574"/>
    <s v="EMP_1575"/>
    <x v="0"/>
    <s v="EMP_1575Marketing"/>
    <x v="4"/>
    <x v="1"/>
    <n v="68178"/>
    <n v="12638"/>
    <n v="0"/>
    <n v="0"/>
    <s v="10/25/2020"/>
    <s v="10/25/2020"/>
    <d v="2026-02-11T00:00:00"/>
    <e v="#VALUE!"/>
    <n v="2"/>
    <n v="80816"/>
    <n v="40408"/>
    <s v=" Not Achieved"/>
    <s v=" Excellent"/>
  </r>
  <r>
    <x v="1575"/>
    <x v="1575"/>
    <s v="EMP_1576"/>
    <x v="0"/>
    <s v="EMP_1576HR"/>
    <x v="0"/>
    <x v="0"/>
    <n v="64867"/>
    <n v="6817"/>
    <n v="0"/>
    <n v="0"/>
    <s v="7/13/2023"/>
    <s v="7/13/2023"/>
    <d v="2026-02-11T00:00:00"/>
    <e v="#VALUE!"/>
    <n v="3"/>
    <n v="71684"/>
    <n v="35842"/>
    <s v=" Not Achieved"/>
    <s v=" Excellent"/>
  </r>
  <r>
    <x v="1576"/>
    <x v="1576"/>
    <s v="EMP_1577"/>
    <x v="0"/>
    <s v="EMP_1577Sales"/>
    <x v="1"/>
    <x v="3"/>
    <n v="79950"/>
    <n v="10823"/>
    <n v="103220"/>
    <n v="216592"/>
    <d v="2018-12-10T00:00:00"/>
    <s v="2018"/>
    <d v="2026-02-11T00:00:00"/>
    <n v="7"/>
    <n v="4"/>
    <n v="90773"/>
    <n v="45386.5"/>
    <s v=" Not Achieved"/>
    <s v=" Excellent"/>
  </r>
  <r>
    <x v="1577"/>
    <x v="1577"/>
    <s v="EMP_1578"/>
    <x v="1"/>
    <s v="EMP_1578Finance"/>
    <x v="2"/>
    <x v="4"/>
    <n v="76296"/>
    <n v="2191"/>
    <n v="0"/>
    <n v="0"/>
    <d v="2023-09-04T00:00:00"/>
    <s v="2023"/>
    <d v="2026-02-11T00:00:00"/>
    <n v="2"/>
    <n v="1"/>
    <n v="78487"/>
    <n v="39243.5"/>
    <s v=" Not Achieved"/>
    <s v=" Excellent"/>
  </r>
  <r>
    <x v="1578"/>
    <x v="1578"/>
    <s v="EMP_1579"/>
    <x v="0"/>
    <s v="EMP_1579HR"/>
    <x v="0"/>
    <x v="1"/>
    <n v="25947"/>
    <n v="3982"/>
    <n v="0"/>
    <n v="0"/>
    <d v="2021-10-09T00:00:00"/>
    <s v="2021"/>
    <d v="2026-02-11T00:00:00"/>
    <n v="4"/>
    <n v="1"/>
    <n v="29929"/>
    <n v="14964.5"/>
    <s v=" Not Achieved"/>
    <s v="poor"/>
  </r>
  <r>
    <x v="1579"/>
    <x v="1579"/>
    <s v="EMP_1580"/>
    <x v="1"/>
    <s v="EMP_1580Marketing"/>
    <x v="4"/>
    <x v="1"/>
    <n v="73950"/>
    <n v="13776"/>
    <n v="0"/>
    <n v="0"/>
    <d v="2022-12-10T00:00:00"/>
    <s v="2022"/>
    <d v="2026-02-11T00:00:00"/>
    <n v="3"/>
    <n v="1"/>
    <n v="87726"/>
    <n v="43863"/>
    <s v=" Not Achieved"/>
    <s v=" Excellent"/>
  </r>
  <r>
    <x v="1580"/>
    <x v="1580"/>
    <s v="EMP_1581"/>
    <x v="0"/>
    <s v="EMP_1581Marketing"/>
    <x v="4"/>
    <x v="0"/>
    <n v="67927"/>
    <n v="12540"/>
    <n v="0"/>
    <n v="0"/>
    <s v="10/25/2020"/>
    <s v="10/25/2020"/>
    <d v="2026-02-11T00:00:00"/>
    <e v="#VALUE!"/>
    <n v="5"/>
    <n v="80467"/>
    <n v="40233.5"/>
    <s v=" Not Achieved"/>
    <s v=" Excellent"/>
  </r>
  <r>
    <x v="1581"/>
    <x v="1581"/>
    <s v="EMP_1582"/>
    <x v="0"/>
    <s v="EMP_1582HR"/>
    <x v="0"/>
    <x v="2"/>
    <n v="47014"/>
    <n v="2748"/>
    <n v="0"/>
    <n v="0"/>
    <s v="2/23/2018"/>
    <s v="2/23/2018"/>
    <d v="2026-02-11T00:00:00"/>
    <e v="#VALUE!"/>
    <n v="4"/>
    <n v="49762"/>
    <n v="24881"/>
    <s v=" Not Achieved"/>
    <s v="Good"/>
  </r>
  <r>
    <x v="1582"/>
    <x v="1582"/>
    <s v="EMP_1583"/>
    <x v="1"/>
    <s v="EMP_1583HR"/>
    <x v="0"/>
    <x v="0"/>
    <n v="22029"/>
    <n v="6452"/>
    <n v="0"/>
    <n v="0"/>
    <s v="5/16/2024"/>
    <s v="5/16/2024"/>
    <d v="2026-02-11T00:00:00"/>
    <e v="#VALUE!"/>
    <n v="4"/>
    <n v="28481"/>
    <n v="14240.5"/>
    <s v=" Not Achieved"/>
    <s v="poor"/>
  </r>
  <r>
    <x v="1583"/>
    <x v="1583"/>
    <s v="EMP_1584"/>
    <x v="1"/>
    <s v="EMP_1584Marketing"/>
    <x v="4"/>
    <x v="2"/>
    <n v="30273"/>
    <n v="8848"/>
    <n v="0"/>
    <n v="0"/>
    <s v="7/20/2020"/>
    <s v="7/20/2020"/>
    <d v="2026-02-11T00:00:00"/>
    <e v="#VALUE!"/>
    <n v="5"/>
    <n v="39121"/>
    <n v="19560.5"/>
    <s v=" Not Achieved"/>
    <s v="Average"/>
  </r>
  <r>
    <x v="1584"/>
    <x v="1584"/>
    <s v="EMP_1585"/>
    <x v="1"/>
    <s v="EMP_1585Marketing"/>
    <x v="4"/>
    <x v="3"/>
    <n v="36891"/>
    <n v="2781"/>
    <n v="0"/>
    <n v="0"/>
    <s v="11/22/2020"/>
    <s v="11/22/2020"/>
    <d v="2026-02-11T00:00:00"/>
    <e v="#VALUE!"/>
    <n v="2"/>
    <n v="39672"/>
    <n v="19836"/>
    <s v=" Not Achieved"/>
    <s v="Average"/>
  </r>
  <r>
    <x v="1585"/>
    <x v="1585"/>
    <s v="EMP_1586"/>
    <x v="1"/>
    <s v="EMP_1586Marketing"/>
    <x v="4"/>
    <x v="1"/>
    <n v="33126"/>
    <n v="4799"/>
    <n v="0"/>
    <n v="0"/>
    <s v="8/18/2021"/>
    <s v="8/18/2021"/>
    <d v="2026-02-11T00:00:00"/>
    <e v="#VALUE!"/>
    <n v="3"/>
    <n v="37925"/>
    <n v="18962.5"/>
    <s v=" Not Achieved"/>
    <s v="Average"/>
  </r>
  <r>
    <x v="1586"/>
    <x v="1586"/>
    <s v="EMP_1587"/>
    <x v="1"/>
    <s v="EMP_1587Sales"/>
    <x v="1"/>
    <x v="1"/>
    <n v="63774"/>
    <n v="13742"/>
    <n v="86160"/>
    <n v="224273"/>
    <d v="2021-08-12T00:00:00"/>
    <s v="2021"/>
    <d v="2026-02-11T00:00:00"/>
    <n v="4"/>
    <n v="3"/>
    <n v="77516"/>
    <n v="38758"/>
    <s v=" Not Achieved"/>
    <s v=" Excellent"/>
  </r>
  <r>
    <x v="1587"/>
    <x v="1587"/>
    <s v="EMP_1588"/>
    <x v="1"/>
    <s v="EMP_1588Sales"/>
    <x v="1"/>
    <x v="4"/>
    <n v="67577"/>
    <n v="13664"/>
    <n v="199631"/>
    <n v="175729"/>
    <s v="12/26/2018"/>
    <s v="12/26/2018"/>
    <d v="2026-02-11T00:00:00"/>
    <e v="#VALUE!"/>
    <n v="2"/>
    <n v="81241"/>
    <n v="40620.5"/>
    <s v="Achieved"/>
    <s v=" Excellent"/>
  </r>
  <r>
    <x v="1588"/>
    <x v="1588"/>
    <s v="EMP_1589"/>
    <x v="0"/>
    <s v="EMP_1589Sales"/>
    <x v="1"/>
    <x v="0"/>
    <n v="50452"/>
    <n v="14795"/>
    <n v="113051"/>
    <n v="96950"/>
    <d v="2018-05-04T00:00:00"/>
    <s v="2018"/>
    <d v="2026-02-11T00:00:00"/>
    <n v="7"/>
    <n v="5"/>
    <n v="65247"/>
    <n v="32623.5"/>
    <s v="Achieved"/>
    <s v=" Excellent"/>
  </r>
  <r>
    <x v="1589"/>
    <x v="1589"/>
    <s v="EMP_1590"/>
    <x v="1"/>
    <s v="EMP_1590Sales"/>
    <x v="1"/>
    <x v="4"/>
    <n v="64284"/>
    <n v="9620"/>
    <n v="247418"/>
    <n v="190761"/>
    <d v="2018-04-08T00:00:00"/>
    <s v="2018"/>
    <d v="2026-02-11T00:00:00"/>
    <n v="7"/>
    <n v="4"/>
    <n v="73904"/>
    <n v="36952"/>
    <s v="Achieved"/>
    <s v=" Excellent"/>
  </r>
  <r>
    <x v="1590"/>
    <x v="1590"/>
    <s v="EMP_1591"/>
    <x v="0"/>
    <s v="EMP_1591Marketing"/>
    <x v="4"/>
    <x v="4"/>
    <n v="70607"/>
    <n v="4312"/>
    <n v="0"/>
    <n v="0"/>
    <s v="12/23/2019"/>
    <s v="12/23/2019"/>
    <d v="2026-02-11T00:00:00"/>
    <e v="#VALUE!"/>
    <n v="3"/>
    <n v="74919"/>
    <n v="37459.5"/>
    <s v=" Not Achieved"/>
    <s v=" Excellent"/>
  </r>
  <r>
    <x v="1591"/>
    <x v="1591"/>
    <s v="EMP_1592"/>
    <x v="0"/>
    <s v="EMP_1592Marketing"/>
    <x v="4"/>
    <x v="3"/>
    <n v="39920"/>
    <n v="14180"/>
    <n v="0"/>
    <n v="0"/>
    <s v="10/31/2021"/>
    <s v="10/31/2021"/>
    <d v="2026-02-11T00:00:00"/>
    <e v="#VALUE!"/>
    <n v="5"/>
    <n v="54100"/>
    <n v="27050"/>
    <s v=" Not Achieved"/>
    <s v="Average"/>
  </r>
  <r>
    <x v="1592"/>
    <x v="1592"/>
    <s v="EMP_1593"/>
    <x v="0"/>
    <s v="EMP_1593IT"/>
    <x v="3"/>
    <x v="2"/>
    <n v="70605"/>
    <n v="5703"/>
    <n v="0"/>
    <n v="0"/>
    <s v="6/23/2018"/>
    <s v="6/23/2018"/>
    <d v="2026-02-11T00:00:00"/>
    <e v="#VALUE!"/>
    <n v="4"/>
    <n v="76308"/>
    <n v="38154"/>
    <s v=" Not Achieved"/>
    <s v=" Excellent"/>
  </r>
  <r>
    <x v="1593"/>
    <x v="1593"/>
    <s v="EMP_1594"/>
    <x v="0"/>
    <s v="EMP_1594Marketing"/>
    <x v="4"/>
    <x v="3"/>
    <n v="42866"/>
    <n v="4383"/>
    <n v="0"/>
    <n v="0"/>
    <d v="2024-02-02T00:00:00"/>
    <s v="2024"/>
    <d v="2026-02-11T00:00:00"/>
    <n v="2"/>
    <n v="2"/>
    <n v="47249"/>
    <n v="23624.5"/>
    <s v=" Not Achieved"/>
    <s v="Good"/>
  </r>
  <r>
    <x v="1594"/>
    <x v="1594"/>
    <s v="EMP_1595"/>
    <x v="0"/>
    <s v="EMP_1595IT"/>
    <x v="3"/>
    <x v="2"/>
    <n v="58305"/>
    <n v="3491"/>
    <n v="0"/>
    <n v="0"/>
    <s v="10/13/2024"/>
    <s v="10/13/2024"/>
    <d v="2026-02-11T00:00:00"/>
    <e v="#VALUE!"/>
    <n v="1"/>
    <n v="61796"/>
    <n v="30898"/>
    <s v=" Not Achieved"/>
    <s v=" Excellent"/>
  </r>
  <r>
    <x v="1595"/>
    <x v="1595"/>
    <s v="EMP_1596"/>
    <x v="0"/>
    <s v="EMP_1596Marketing"/>
    <x v="4"/>
    <x v="0"/>
    <n v="79005"/>
    <n v="5009"/>
    <n v="0"/>
    <n v="0"/>
    <s v="8/25/2023"/>
    <s v="8/25/2023"/>
    <d v="2026-02-11T00:00:00"/>
    <e v="#VALUE!"/>
    <n v="3"/>
    <n v="84014"/>
    <n v="42007"/>
    <s v=" Not Achieved"/>
    <s v=" Excellent"/>
  </r>
  <r>
    <x v="1596"/>
    <x v="1596"/>
    <s v="EMP_1597"/>
    <x v="0"/>
    <s v="EMP_1597IT"/>
    <x v="3"/>
    <x v="1"/>
    <n v="48846"/>
    <n v="14739"/>
    <n v="0"/>
    <n v="0"/>
    <s v="8/23/2019"/>
    <s v="8/23/2019"/>
    <d v="2026-02-11T00:00:00"/>
    <e v="#VALUE!"/>
    <n v="2"/>
    <n v="63585"/>
    <n v="31792.5"/>
    <s v=" Not Achieved"/>
    <s v="Good"/>
  </r>
  <r>
    <x v="1597"/>
    <x v="1597"/>
    <s v="EMP_1598"/>
    <x v="1"/>
    <s v="EMP_1598Finance"/>
    <x v="2"/>
    <x v="3"/>
    <n v="53807"/>
    <n v="10122"/>
    <n v="0"/>
    <n v="0"/>
    <d v="2022-01-03T00:00:00"/>
    <s v="2022"/>
    <d v="2026-02-11T00:00:00"/>
    <n v="4"/>
    <n v="1"/>
    <n v="63929"/>
    <n v="31964.5"/>
    <s v=" Not Achieved"/>
    <s v=" Excellent"/>
  </r>
  <r>
    <x v="1598"/>
    <x v="1598"/>
    <s v="EMP_1599"/>
    <x v="1"/>
    <s v="EMP_1599Marketing"/>
    <x v="4"/>
    <x v="2"/>
    <n v="29345"/>
    <n v="6861"/>
    <n v="0"/>
    <n v="0"/>
    <d v="2024-09-11T00:00:00"/>
    <s v="2024"/>
    <d v="2026-02-11T00:00:00"/>
    <n v="1"/>
    <n v="3"/>
    <n v="36206"/>
    <n v="18103"/>
    <s v=" Not Achieved"/>
    <s v="poor"/>
  </r>
  <r>
    <x v="1599"/>
    <x v="1599"/>
    <s v="EMP_1600"/>
    <x v="1"/>
    <s v="EMP_1600Finance"/>
    <x v="2"/>
    <x v="4"/>
    <n v="72853"/>
    <n v="5485"/>
    <n v="0"/>
    <n v="0"/>
    <s v="12/29/2019"/>
    <s v="12/29/2019"/>
    <d v="2026-02-11T00:00:00"/>
    <e v="#VALUE!"/>
    <n v="4"/>
    <n v="78338"/>
    <n v="39169"/>
    <s v=" Not Achieved"/>
    <s v=" Excellent"/>
  </r>
  <r>
    <x v="1600"/>
    <x v="1600"/>
    <s v="EMP_1601"/>
    <x v="1"/>
    <s v="EMP_1601HR"/>
    <x v="0"/>
    <x v="4"/>
    <n v="37449"/>
    <n v="6063"/>
    <n v="0"/>
    <n v="0"/>
    <s v="10/27/2024"/>
    <s v="10/27/2024"/>
    <d v="2026-02-11T00:00:00"/>
    <e v="#VALUE!"/>
    <n v="5"/>
    <n v="43512"/>
    <n v="21756"/>
    <s v=" Not Achieved"/>
    <s v="Average"/>
  </r>
  <r>
    <x v="1601"/>
    <x v="1601"/>
    <s v="EMP_1602"/>
    <x v="0"/>
    <s v="EMP_1602Marketing"/>
    <x v="4"/>
    <x v="1"/>
    <n v="69596"/>
    <n v="5100"/>
    <n v="0"/>
    <n v="0"/>
    <s v="7/30/2022"/>
    <s v="7/30/2022"/>
    <d v="2026-02-11T00:00:00"/>
    <e v="#VALUE!"/>
    <n v="4"/>
    <n v="74696"/>
    <n v="37348"/>
    <s v=" Not Achieved"/>
    <s v=" Excellent"/>
  </r>
  <r>
    <x v="1602"/>
    <x v="1602"/>
    <s v="EMP_1603"/>
    <x v="0"/>
    <s v="EMP_1603Marketing"/>
    <x v="4"/>
    <x v="0"/>
    <n v="43934"/>
    <n v="3833"/>
    <n v="0"/>
    <n v="0"/>
    <d v="2019-04-01T00:00:00"/>
    <s v="2019"/>
    <d v="2026-02-11T00:00:00"/>
    <n v="6"/>
    <n v="2"/>
    <n v="47767"/>
    <n v="23883.5"/>
    <s v=" Not Achieved"/>
    <s v="Good"/>
  </r>
  <r>
    <x v="1603"/>
    <x v="1603"/>
    <s v="EMP_1604"/>
    <x v="0"/>
    <s v="EMP_1604Marketing"/>
    <x v="4"/>
    <x v="0"/>
    <n v="36093"/>
    <n v="8567"/>
    <n v="0"/>
    <n v="0"/>
    <s v="10/30/2021"/>
    <s v="10/30/2021"/>
    <d v="2026-02-11T00:00:00"/>
    <e v="#VALUE!"/>
    <n v="4"/>
    <n v="44660"/>
    <n v="22330"/>
    <s v=" Not Achieved"/>
    <s v="Average"/>
  </r>
  <r>
    <x v="1604"/>
    <x v="1604"/>
    <s v="EMP_1605"/>
    <x v="0"/>
    <s v="EMP_1605Sales"/>
    <x v="1"/>
    <x v="4"/>
    <n v="35478"/>
    <n v="9010"/>
    <n v="93519"/>
    <n v="93849"/>
    <s v="8/20/2024"/>
    <s v="8/20/2024"/>
    <d v="2026-02-11T00:00:00"/>
    <e v="#VALUE!"/>
    <n v="1"/>
    <n v="44488"/>
    <n v="22244"/>
    <s v=" Not Achieved"/>
    <s v="Average"/>
  </r>
  <r>
    <x v="1605"/>
    <x v="1605"/>
    <s v="EMP_1606"/>
    <x v="0"/>
    <s v="EMP_1606Sales"/>
    <x v="1"/>
    <x v="3"/>
    <n v="61221"/>
    <n v="6988"/>
    <n v="86522"/>
    <n v="241299"/>
    <s v="3/26/2022"/>
    <s v="3/26/2022"/>
    <d v="2026-02-11T00:00:00"/>
    <e v="#VALUE!"/>
    <n v="4"/>
    <n v="68209"/>
    <n v="34104.5"/>
    <s v=" Not Achieved"/>
    <s v=" Excellent"/>
  </r>
  <r>
    <x v="1606"/>
    <x v="1606"/>
    <s v="EMP_1607"/>
    <x v="0"/>
    <s v="EMP_1607Sales"/>
    <x v="1"/>
    <x v="3"/>
    <n v="29626"/>
    <n v="5317"/>
    <n v="176851"/>
    <n v="228138"/>
    <d v="2022-06-03T00:00:00"/>
    <s v="2022"/>
    <d v="2026-02-11T00:00:00"/>
    <n v="3"/>
    <n v="1"/>
    <n v="34943"/>
    <n v="17471.5"/>
    <s v=" Not Achieved"/>
    <s v="poor"/>
  </r>
  <r>
    <x v="1607"/>
    <x v="1607"/>
    <s v="EMP_1608"/>
    <x v="1"/>
    <s v="EMP_1608Marketing"/>
    <x v="4"/>
    <x v="1"/>
    <n v="31265"/>
    <n v="13659"/>
    <n v="0"/>
    <n v="0"/>
    <s v="3/23/2019"/>
    <s v="3/23/2019"/>
    <d v="2026-02-11T00:00:00"/>
    <e v="#VALUE!"/>
    <n v="3"/>
    <n v="44924"/>
    <n v="22462"/>
    <s v=" Not Achieved"/>
    <s v="Average"/>
  </r>
  <r>
    <x v="1608"/>
    <x v="1608"/>
    <s v="EMP_1609"/>
    <x v="1"/>
    <s v="EMP_1609Marketing"/>
    <x v="4"/>
    <x v="0"/>
    <n v="44621"/>
    <n v="6224"/>
    <n v="0"/>
    <n v="0"/>
    <d v="2018-08-07T00:00:00"/>
    <s v="2018"/>
    <d v="2026-02-11T00:00:00"/>
    <n v="7"/>
    <n v="4"/>
    <n v="50845"/>
    <n v="25422.5"/>
    <s v=" Not Achieved"/>
    <s v="Good"/>
  </r>
  <r>
    <x v="1609"/>
    <x v="1609"/>
    <s v="EMP_1610"/>
    <x v="0"/>
    <s v="EMP_1610Sales"/>
    <x v="1"/>
    <x v="3"/>
    <n v="35488"/>
    <n v="9679"/>
    <n v="137130"/>
    <n v="150784"/>
    <d v="2022-08-08T00:00:00"/>
    <s v="2022"/>
    <d v="2026-02-11T00:00:00"/>
    <n v="3"/>
    <n v="1"/>
    <n v="45167"/>
    <n v="22583.5"/>
    <s v=" Not Achieved"/>
    <s v="Average"/>
  </r>
  <r>
    <x v="1610"/>
    <x v="1610"/>
    <s v="EMP_1611"/>
    <x v="0"/>
    <s v="EMP_1611Marketing"/>
    <x v="4"/>
    <x v="3"/>
    <n v="42805"/>
    <n v="14284"/>
    <n v="0"/>
    <n v="0"/>
    <s v="9/25/2020"/>
    <s v="9/25/2020"/>
    <d v="2026-02-11T00:00:00"/>
    <e v="#VALUE!"/>
    <n v="3"/>
    <n v="57089"/>
    <n v="28544.5"/>
    <s v=" Not Achieved"/>
    <s v="Good"/>
  </r>
  <r>
    <x v="1611"/>
    <x v="1611"/>
    <s v="EMP_1612"/>
    <x v="1"/>
    <s v="EMP_1612Marketing"/>
    <x v="4"/>
    <x v="0"/>
    <n v="58359"/>
    <n v="2399"/>
    <n v="0"/>
    <n v="0"/>
    <s v="9/28/2021"/>
    <s v="9/28/2021"/>
    <d v="2026-02-11T00:00:00"/>
    <e v="#VALUE!"/>
    <n v="5"/>
    <n v="60758"/>
    <n v="30379"/>
    <s v=" Not Achieved"/>
    <s v=" Excellent"/>
  </r>
  <r>
    <x v="1612"/>
    <x v="1612"/>
    <s v="EMP_1613"/>
    <x v="1"/>
    <s v="EMP_1613Finance"/>
    <x v="2"/>
    <x v="1"/>
    <n v="25256"/>
    <n v="10931"/>
    <n v="0"/>
    <n v="0"/>
    <d v="2020-07-02T00:00:00"/>
    <s v="2020"/>
    <d v="2026-02-11T00:00:00"/>
    <n v="5"/>
    <n v="2"/>
    <n v="36187"/>
    <n v="18093.5"/>
    <s v=" Not Achieved"/>
    <s v="poor"/>
  </r>
  <r>
    <x v="1613"/>
    <x v="1613"/>
    <s v="EMP_1614"/>
    <x v="0"/>
    <s v="EMP_1614IT"/>
    <x v="3"/>
    <x v="4"/>
    <n v="60975"/>
    <n v="6342"/>
    <n v="0"/>
    <n v="0"/>
    <s v="11/24/2024"/>
    <s v="11/24/2024"/>
    <d v="2026-02-11T00:00:00"/>
    <e v="#VALUE!"/>
    <n v="4"/>
    <n v="67317"/>
    <n v="33658.5"/>
    <s v=" Not Achieved"/>
    <s v=" Excellent"/>
  </r>
  <r>
    <x v="1614"/>
    <x v="1614"/>
    <s v="EMP_1615"/>
    <x v="0"/>
    <s v="EMP_1615HR"/>
    <x v="0"/>
    <x v="4"/>
    <n v="55469"/>
    <n v="8694"/>
    <n v="0"/>
    <n v="0"/>
    <d v="2020-03-05T00:00:00"/>
    <s v="2020"/>
    <d v="2026-02-11T00:00:00"/>
    <n v="5"/>
    <n v="4"/>
    <n v="64163"/>
    <n v="32081.5"/>
    <s v=" Not Achieved"/>
    <s v=" Excellent"/>
  </r>
  <r>
    <x v="1615"/>
    <x v="1615"/>
    <s v="EMP_1616"/>
    <x v="1"/>
    <s v="EMP_1616IT"/>
    <x v="3"/>
    <x v="1"/>
    <n v="72646"/>
    <n v="4074"/>
    <n v="0"/>
    <n v="0"/>
    <d v="2020-06-10T00:00:00"/>
    <s v="2020"/>
    <d v="2026-02-11T00:00:00"/>
    <n v="5"/>
    <n v="2"/>
    <n v="76720"/>
    <n v="38360"/>
    <s v=" Not Achieved"/>
    <s v=" Excellent"/>
  </r>
  <r>
    <x v="1616"/>
    <x v="1616"/>
    <s v="EMP_1617"/>
    <x v="1"/>
    <s v="EMP_1617Marketing"/>
    <x v="4"/>
    <x v="0"/>
    <n v="23336"/>
    <n v="5166"/>
    <n v="0"/>
    <n v="0"/>
    <d v="2024-09-09T00:00:00"/>
    <s v="2024"/>
    <d v="2026-02-11T00:00:00"/>
    <n v="1"/>
    <n v="1"/>
    <n v="28502"/>
    <n v="14251"/>
    <s v=" Not Achieved"/>
    <s v="poor"/>
  </r>
  <r>
    <x v="1617"/>
    <x v="1617"/>
    <s v="EMP_1618"/>
    <x v="1"/>
    <s v="EMP_1618Sales"/>
    <x v="1"/>
    <x v="1"/>
    <n v="75055"/>
    <n v="14223"/>
    <n v="97435"/>
    <n v="199324"/>
    <s v="6/19/2020"/>
    <s v="6/19/2020"/>
    <d v="2026-02-11T00:00:00"/>
    <e v="#VALUE!"/>
    <n v="5"/>
    <n v="89278"/>
    <n v="44639"/>
    <s v=" Not Achieved"/>
    <s v=" Excellent"/>
  </r>
  <r>
    <x v="1618"/>
    <x v="1618"/>
    <s v="EMP_1619"/>
    <x v="1"/>
    <s v="EMP_1619Finance"/>
    <x v="2"/>
    <x v="4"/>
    <n v="68974"/>
    <n v="8940"/>
    <n v="0"/>
    <n v="0"/>
    <s v="6/26/2021"/>
    <s v="6/26/2021"/>
    <d v="2026-02-11T00:00:00"/>
    <e v="#VALUE!"/>
    <n v="3"/>
    <n v="77914"/>
    <n v="38957"/>
    <s v=" Not Achieved"/>
    <s v=" Excellent"/>
  </r>
  <r>
    <x v="1619"/>
    <x v="1619"/>
    <s v="EMP_1620"/>
    <x v="1"/>
    <s v="EMP_1620Finance"/>
    <x v="2"/>
    <x v="1"/>
    <n v="67796"/>
    <n v="12326"/>
    <n v="0"/>
    <n v="0"/>
    <s v="6/14/2021"/>
    <s v="6/14/2021"/>
    <d v="2026-02-11T00:00:00"/>
    <e v="#VALUE!"/>
    <n v="5"/>
    <n v="80122"/>
    <n v="40061"/>
    <s v=" Not Achieved"/>
    <s v=" Excellent"/>
  </r>
  <r>
    <x v="1620"/>
    <x v="1620"/>
    <s v="EMP_1621"/>
    <x v="0"/>
    <s v="EMP_1621Sales"/>
    <x v="1"/>
    <x v="3"/>
    <n v="22585"/>
    <n v="9704"/>
    <n v="145377"/>
    <n v="118326"/>
    <s v="8/30/2020"/>
    <s v="8/30/2020"/>
    <d v="2026-02-11T00:00:00"/>
    <e v="#VALUE!"/>
    <n v="4"/>
    <n v="32289"/>
    <n v="16144.5"/>
    <s v="Achieved"/>
    <s v="poor"/>
  </r>
  <r>
    <x v="1621"/>
    <x v="1621"/>
    <s v="EMP_1622"/>
    <x v="1"/>
    <s v="EMP_1622HR"/>
    <x v="0"/>
    <x v="1"/>
    <n v="21645"/>
    <n v="4058"/>
    <n v="0"/>
    <n v="0"/>
    <d v="2020-07-08T00:00:00"/>
    <s v="2020"/>
    <d v="2026-02-11T00:00:00"/>
    <n v="5"/>
    <n v="2"/>
    <n v="25703"/>
    <n v="12851.5"/>
    <s v=" Not Achieved"/>
    <s v="poor"/>
  </r>
  <r>
    <x v="1622"/>
    <x v="1622"/>
    <s v="EMP_1623"/>
    <x v="1"/>
    <s v="EMP_1623Marketing"/>
    <x v="4"/>
    <x v="0"/>
    <n v="20125"/>
    <n v="13885"/>
    <n v="0"/>
    <n v="0"/>
    <s v="1/19/2021"/>
    <s v="1/19/2021"/>
    <d v="2026-02-11T00:00:00"/>
    <e v="#VALUE!"/>
    <n v="4"/>
    <n v="34010"/>
    <n v="17005"/>
    <s v=" Not Achieved"/>
    <s v="poor"/>
  </r>
  <r>
    <x v="1623"/>
    <x v="1623"/>
    <s v="EMP_1624"/>
    <x v="0"/>
    <s v="EMP_1624Finance"/>
    <x v="2"/>
    <x v="3"/>
    <n v="37596"/>
    <n v="4584"/>
    <n v="0"/>
    <n v="0"/>
    <s v="6/23/2022"/>
    <s v="6/23/2022"/>
    <d v="2026-02-11T00:00:00"/>
    <e v="#VALUE!"/>
    <n v="4"/>
    <n v="42180"/>
    <n v="21090"/>
    <s v=" Not Achieved"/>
    <s v="Average"/>
  </r>
  <r>
    <x v="1624"/>
    <x v="1624"/>
    <s v="EMP_1625"/>
    <x v="1"/>
    <s v="EMP_1625Sales"/>
    <x v="1"/>
    <x v="1"/>
    <n v="78632"/>
    <n v="13549"/>
    <n v="129946"/>
    <n v="236670"/>
    <d v="2019-09-03T00:00:00"/>
    <s v="2019"/>
    <d v="2026-02-11T00:00:00"/>
    <n v="6"/>
    <n v="2"/>
    <n v="92181"/>
    <n v="46090.5"/>
    <s v=" Not Achieved"/>
    <s v=" Excellent"/>
  </r>
  <r>
    <x v="1625"/>
    <x v="1625"/>
    <s v="EMP_1626"/>
    <x v="0"/>
    <s v="EMP_1626Finance"/>
    <x v="2"/>
    <x v="2"/>
    <n v="34546"/>
    <n v="3496"/>
    <n v="0"/>
    <n v="0"/>
    <d v="2018-05-08T00:00:00"/>
    <s v="2018"/>
    <d v="2026-02-11T00:00:00"/>
    <n v="7"/>
    <n v="2"/>
    <n v="38042"/>
    <n v="19021"/>
    <s v=" Not Achieved"/>
    <s v="Average"/>
  </r>
  <r>
    <x v="1626"/>
    <x v="1626"/>
    <s v="EMP_1627"/>
    <x v="1"/>
    <s v="EMP_1627Sales"/>
    <x v="1"/>
    <x v="1"/>
    <n v="55082"/>
    <n v="14832"/>
    <n v="188928"/>
    <n v="206629"/>
    <s v="5/19/2023"/>
    <s v="5/19/2023"/>
    <d v="2026-02-11T00:00:00"/>
    <e v="#VALUE!"/>
    <n v="4"/>
    <n v="69914"/>
    <n v="34957"/>
    <s v=" Not Achieved"/>
    <s v=" Excellent"/>
  </r>
  <r>
    <x v="1627"/>
    <x v="1627"/>
    <s v="EMP_1628"/>
    <x v="1"/>
    <s v="EMP_1628IT"/>
    <x v="3"/>
    <x v="4"/>
    <n v="60199"/>
    <n v="10239"/>
    <n v="0"/>
    <n v="0"/>
    <s v="6/29/2019"/>
    <s v="6/29/2019"/>
    <d v="2026-02-11T00:00:00"/>
    <e v="#VALUE!"/>
    <n v="3"/>
    <n v="70438"/>
    <n v="35219"/>
    <s v=" Not Achieved"/>
    <s v=" Excellent"/>
  </r>
  <r>
    <x v="1628"/>
    <x v="1628"/>
    <s v="EMP_1629"/>
    <x v="1"/>
    <s v="EMP_1629IT"/>
    <x v="3"/>
    <x v="4"/>
    <n v="45749"/>
    <n v="6872"/>
    <n v="0"/>
    <n v="0"/>
    <s v="6/22/2020"/>
    <s v="6/22/2020"/>
    <d v="2026-02-11T00:00:00"/>
    <e v="#VALUE!"/>
    <n v="4"/>
    <n v="52621"/>
    <n v="26310.5"/>
    <s v=" Not Achieved"/>
    <s v="Good"/>
  </r>
  <r>
    <x v="1629"/>
    <x v="1629"/>
    <s v="EMP_1630"/>
    <x v="0"/>
    <s v="EMP_1630Marketing"/>
    <x v="4"/>
    <x v="1"/>
    <n v="49984"/>
    <n v="3383"/>
    <n v="0"/>
    <n v="0"/>
    <s v="1/14/2018"/>
    <s v="1/14/2018"/>
    <d v="2026-02-11T00:00:00"/>
    <e v="#VALUE!"/>
    <n v="4"/>
    <n v="53367"/>
    <n v="26683.5"/>
    <s v=" Not Achieved"/>
    <s v="Good"/>
  </r>
  <r>
    <x v="1630"/>
    <x v="1630"/>
    <s v="EMP_1631"/>
    <x v="0"/>
    <s v="EMP_1631IT"/>
    <x v="3"/>
    <x v="2"/>
    <n v="79782"/>
    <n v="3351"/>
    <n v="0"/>
    <n v="0"/>
    <s v="5/16/2021"/>
    <s v="5/16/2021"/>
    <d v="2026-02-11T00:00:00"/>
    <e v="#VALUE!"/>
    <n v="4"/>
    <n v="83133"/>
    <n v="41566.5"/>
    <s v=" Not Achieved"/>
    <s v=" Excellent"/>
  </r>
  <r>
    <x v="1631"/>
    <x v="1631"/>
    <s v="EMP_1632"/>
    <x v="0"/>
    <s v="EMP_1632HR"/>
    <x v="0"/>
    <x v="2"/>
    <n v="30460"/>
    <n v="14476"/>
    <n v="0"/>
    <n v="0"/>
    <s v="7/14/2024"/>
    <s v="7/14/2024"/>
    <d v="2026-02-11T00:00:00"/>
    <e v="#VALUE!"/>
    <n v="3"/>
    <n v="44936"/>
    <n v="22468"/>
    <s v=" Not Achieved"/>
    <s v="Average"/>
  </r>
  <r>
    <x v="1632"/>
    <x v="1632"/>
    <s v="EMP_1633"/>
    <x v="0"/>
    <s v="EMP_1633IT"/>
    <x v="3"/>
    <x v="0"/>
    <n v="55247"/>
    <n v="8399"/>
    <n v="0"/>
    <n v="0"/>
    <d v="2019-12-01T00:00:00"/>
    <s v="2019"/>
    <d v="2026-02-11T00:00:00"/>
    <n v="6"/>
    <n v="2"/>
    <n v="63646"/>
    <n v="31823"/>
    <s v=" Not Achieved"/>
    <s v=" Excellent"/>
  </r>
  <r>
    <x v="1633"/>
    <x v="1633"/>
    <s v="EMP_1634"/>
    <x v="0"/>
    <s v="EMP_1634Sales"/>
    <x v="1"/>
    <x v="0"/>
    <n v="25243"/>
    <n v="3755"/>
    <n v="89415"/>
    <n v="113160"/>
    <s v="1/27/2018"/>
    <s v="1/27/2018"/>
    <d v="2026-02-11T00:00:00"/>
    <e v="#VALUE!"/>
    <n v="2"/>
    <n v="28998"/>
    <n v="14499"/>
    <s v=" Not Achieved"/>
    <s v="poor"/>
  </r>
  <r>
    <x v="1634"/>
    <x v="1634"/>
    <s v="EMP_1635"/>
    <x v="0"/>
    <s v="EMP_1635HR"/>
    <x v="0"/>
    <x v="4"/>
    <n v="62175"/>
    <n v="9345"/>
    <n v="0"/>
    <n v="0"/>
    <d v="2024-05-04T00:00:00"/>
    <s v="2024"/>
    <d v="2026-02-11T00:00:00"/>
    <n v="1"/>
    <n v="3"/>
    <n v="71520"/>
    <n v="35760"/>
    <s v=" Not Achieved"/>
    <s v=" Excellent"/>
  </r>
  <r>
    <x v="1635"/>
    <x v="1635"/>
    <s v="EMP_1636"/>
    <x v="0"/>
    <s v="EMP_1636HR"/>
    <x v="0"/>
    <x v="1"/>
    <n v="67039"/>
    <n v="10056"/>
    <n v="0"/>
    <n v="0"/>
    <s v="9/15/2018"/>
    <s v="9/15/2018"/>
    <d v="2026-02-11T00:00:00"/>
    <e v="#VALUE!"/>
    <n v="2"/>
    <n v="77095"/>
    <n v="38547.5"/>
    <s v=" Not Achieved"/>
    <s v=" Excellent"/>
  </r>
  <r>
    <x v="1636"/>
    <x v="1636"/>
    <s v="EMP_1637"/>
    <x v="0"/>
    <s v="EMP_1637IT"/>
    <x v="3"/>
    <x v="1"/>
    <n v="44512"/>
    <n v="7354"/>
    <n v="0"/>
    <n v="0"/>
    <d v="2018-05-11T00:00:00"/>
    <s v="2018"/>
    <d v="2026-02-11T00:00:00"/>
    <n v="7"/>
    <n v="1"/>
    <n v="51866"/>
    <n v="25933"/>
    <s v=" Not Achieved"/>
    <s v="Good"/>
  </r>
  <r>
    <x v="1637"/>
    <x v="1637"/>
    <s v="EMP_1638"/>
    <x v="1"/>
    <s v="EMP_1638HR"/>
    <x v="0"/>
    <x v="2"/>
    <n v="24399"/>
    <n v="8697"/>
    <n v="0"/>
    <n v="0"/>
    <d v="2019-10-11T00:00:00"/>
    <s v="2019"/>
    <d v="2026-02-11T00:00:00"/>
    <n v="6"/>
    <n v="2"/>
    <n v="33096"/>
    <n v="16548"/>
    <s v=" Not Achieved"/>
    <s v="poor"/>
  </r>
  <r>
    <x v="1638"/>
    <x v="1638"/>
    <s v="EMP_1639"/>
    <x v="1"/>
    <s v="EMP_1639IT"/>
    <x v="3"/>
    <x v="4"/>
    <n v="70349"/>
    <n v="5346"/>
    <n v="0"/>
    <n v="0"/>
    <d v="2021-11-02T00:00:00"/>
    <s v="2021"/>
    <d v="2026-02-11T00:00:00"/>
    <n v="4"/>
    <n v="1"/>
    <n v="75695"/>
    <n v="37847.5"/>
    <s v=" Not Achieved"/>
    <s v=" Excellent"/>
  </r>
  <r>
    <x v="1639"/>
    <x v="1639"/>
    <s v="EMP_1640"/>
    <x v="1"/>
    <s v="EMP_1640IT"/>
    <x v="3"/>
    <x v="3"/>
    <n v="43891"/>
    <n v="7380"/>
    <n v="0"/>
    <n v="0"/>
    <s v="10/14/2019"/>
    <s v="10/14/2019"/>
    <d v="2026-02-11T00:00:00"/>
    <e v="#VALUE!"/>
    <n v="1"/>
    <n v="51271"/>
    <n v="25635.5"/>
    <s v=" Not Achieved"/>
    <s v="Good"/>
  </r>
  <r>
    <x v="1640"/>
    <x v="1640"/>
    <s v="EMP_1641"/>
    <x v="1"/>
    <s v="EMP_1641HR"/>
    <x v="0"/>
    <x v="1"/>
    <n v="42457"/>
    <n v="12322"/>
    <n v="0"/>
    <n v="0"/>
    <d v="2018-02-03T00:00:00"/>
    <s v="2018"/>
    <d v="2026-02-11T00:00:00"/>
    <n v="8"/>
    <n v="1"/>
    <n v="54779"/>
    <n v="27389.5"/>
    <s v=" Not Achieved"/>
    <s v="Good"/>
  </r>
  <r>
    <x v="1641"/>
    <x v="1641"/>
    <s v="EMP_1642"/>
    <x v="1"/>
    <s v="EMP_1642Marketing"/>
    <x v="4"/>
    <x v="4"/>
    <n v="22756"/>
    <n v="13459"/>
    <n v="0"/>
    <n v="0"/>
    <s v="9/14/2018"/>
    <s v="9/14/2018"/>
    <d v="2026-02-11T00:00:00"/>
    <e v="#VALUE!"/>
    <n v="4"/>
    <n v="36215"/>
    <n v="18107.5"/>
    <s v=" Not Achieved"/>
    <s v="poor"/>
  </r>
  <r>
    <x v="1642"/>
    <x v="1642"/>
    <s v="EMP_1643"/>
    <x v="1"/>
    <s v="EMP_1643HR"/>
    <x v="0"/>
    <x v="3"/>
    <n v="59337"/>
    <n v="8480"/>
    <n v="0"/>
    <n v="0"/>
    <s v="6/27/2024"/>
    <s v="6/27/2024"/>
    <d v="2026-02-11T00:00:00"/>
    <e v="#VALUE!"/>
    <n v="4"/>
    <n v="67817"/>
    <n v="33908.5"/>
    <s v=" Not Achieved"/>
    <s v=" Excellent"/>
  </r>
  <r>
    <x v="1643"/>
    <x v="1643"/>
    <s v="EMP_1644"/>
    <x v="1"/>
    <s v="EMP_1644Finance"/>
    <x v="2"/>
    <x v="0"/>
    <n v="33301"/>
    <n v="2559"/>
    <n v="0"/>
    <n v="0"/>
    <d v="2021-06-06T00:00:00"/>
    <s v="2021"/>
    <d v="2026-02-11T00:00:00"/>
    <n v="4"/>
    <n v="1"/>
    <n v="35860"/>
    <n v="17930"/>
    <s v=" Not Achieved"/>
    <s v="Average"/>
  </r>
  <r>
    <x v="1644"/>
    <x v="1644"/>
    <s v="EMP_1645"/>
    <x v="0"/>
    <s v="EMP_1645Sales"/>
    <x v="1"/>
    <x v="2"/>
    <n v="56176"/>
    <n v="12705"/>
    <n v="184609"/>
    <n v="145667"/>
    <s v="7/17/2018"/>
    <s v="7/17/2018"/>
    <d v="2026-02-11T00:00:00"/>
    <e v="#VALUE!"/>
    <n v="2"/>
    <n v="68881"/>
    <n v="34440.5"/>
    <s v="Achieved"/>
    <s v=" Excellent"/>
  </r>
  <r>
    <x v="1645"/>
    <x v="1645"/>
    <s v="EMP_1646"/>
    <x v="0"/>
    <s v="EMP_1646IT"/>
    <x v="3"/>
    <x v="4"/>
    <n v="24350"/>
    <n v="7090"/>
    <n v="0"/>
    <n v="0"/>
    <s v="7/31/2018"/>
    <s v="7/31/2018"/>
    <d v="2026-02-11T00:00:00"/>
    <e v="#VALUE!"/>
    <n v="1"/>
    <n v="31440"/>
    <n v="15720"/>
    <s v=" Not Achieved"/>
    <s v="poor"/>
  </r>
  <r>
    <x v="1646"/>
    <x v="1646"/>
    <s v="EMP_1647"/>
    <x v="0"/>
    <s v="EMP_1647Sales"/>
    <x v="1"/>
    <x v="1"/>
    <n v="56511"/>
    <n v="11703"/>
    <n v="242758"/>
    <n v="126304"/>
    <d v="2021-10-03T00:00:00"/>
    <s v="2021"/>
    <d v="2026-02-11T00:00:00"/>
    <n v="4"/>
    <n v="4"/>
    <n v="68214"/>
    <n v="34107"/>
    <s v="Achieved"/>
    <s v=" Excellent"/>
  </r>
  <r>
    <x v="1647"/>
    <x v="1647"/>
    <s v="EMP_1648"/>
    <x v="1"/>
    <s v="EMP_1648IT"/>
    <x v="3"/>
    <x v="1"/>
    <n v="43583"/>
    <n v="11011"/>
    <n v="0"/>
    <n v="0"/>
    <d v="2021-01-04T00:00:00"/>
    <s v="2021"/>
    <d v="2026-02-11T00:00:00"/>
    <n v="5"/>
    <n v="1"/>
    <n v="54594"/>
    <n v="27297"/>
    <s v=" Not Achieved"/>
    <s v="Good"/>
  </r>
  <r>
    <x v="1648"/>
    <x v="1648"/>
    <s v="EMP_1649"/>
    <x v="1"/>
    <s v="EMP_1649HR"/>
    <x v="0"/>
    <x v="4"/>
    <n v="36056"/>
    <n v="7304"/>
    <n v="0"/>
    <n v="0"/>
    <s v="9/16/2020"/>
    <s v="9/16/2020"/>
    <d v="2026-02-11T00:00:00"/>
    <e v="#VALUE!"/>
    <n v="3"/>
    <n v="43360"/>
    <n v="21680"/>
    <s v=" Not Achieved"/>
    <s v="Average"/>
  </r>
  <r>
    <x v="1649"/>
    <x v="1649"/>
    <s v="EMP_1650"/>
    <x v="1"/>
    <s v="EMP_1650HR"/>
    <x v="0"/>
    <x v="1"/>
    <n v="68235"/>
    <n v="5485"/>
    <n v="0"/>
    <n v="0"/>
    <s v="1/30/2024"/>
    <s v="1/30/2024"/>
    <d v="2026-02-11T00:00:00"/>
    <e v="#VALUE!"/>
    <n v="4"/>
    <n v="73720"/>
    <n v="36860"/>
    <s v=" Not Achieved"/>
    <s v=" Excellent"/>
  </r>
  <r>
    <x v="1650"/>
    <x v="1650"/>
    <s v="EMP_1651"/>
    <x v="0"/>
    <s v="EMP_1651Marketing"/>
    <x v="4"/>
    <x v="1"/>
    <n v="56382"/>
    <n v="3370"/>
    <n v="0"/>
    <n v="0"/>
    <s v="2/27/2018"/>
    <s v="2/27/2018"/>
    <d v="2026-02-11T00:00:00"/>
    <e v="#VALUE!"/>
    <n v="2"/>
    <n v="59752"/>
    <n v="29876"/>
    <s v=" Not Achieved"/>
    <s v=" Excellent"/>
  </r>
  <r>
    <x v="1651"/>
    <x v="1651"/>
    <s v="EMP_1652"/>
    <x v="0"/>
    <s v="EMP_1652Sales"/>
    <x v="1"/>
    <x v="1"/>
    <n v="69197"/>
    <n v="14863"/>
    <n v="183823"/>
    <n v="238458"/>
    <d v="2022-08-07T00:00:00"/>
    <s v="2022"/>
    <d v="2026-02-11T00:00:00"/>
    <n v="3"/>
    <n v="5"/>
    <n v="84060"/>
    <n v="42030"/>
    <s v=" Not Achieved"/>
    <s v=" Excellent"/>
  </r>
  <r>
    <x v="1652"/>
    <x v="1652"/>
    <s v="EMP_1653"/>
    <x v="0"/>
    <s v="EMP_1653Finance"/>
    <x v="2"/>
    <x v="2"/>
    <n v="69342"/>
    <n v="7690"/>
    <n v="0"/>
    <n v="0"/>
    <d v="2019-09-11T00:00:00"/>
    <s v="2019"/>
    <d v="2026-02-11T00:00:00"/>
    <n v="6"/>
    <n v="1"/>
    <n v="77032"/>
    <n v="38516"/>
    <s v=" Not Achieved"/>
    <s v=" Excellent"/>
  </r>
  <r>
    <x v="1653"/>
    <x v="1653"/>
    <s v="EMP_1654"/>
    <x v="0"/>
    <s v="EMP_1654HR"/>
    <x v="0"/>
    <x v="0"/>
    <n v="29537"/>
    <n v="10051"/>
    <n v="0"/>
    <n v="0"/>
    <d v="2020-03-04T00:00:00"/>
    <s v="2020"/>
    <d v="2026-02-11T00:00:00"/>
    <n v="5"/>
    <n v="2"/>
    <n v="39588"/>
    <n v="19794"/>
    <s v=" Not Achieved"/>
    <s v="poor"/>
  </r>
  <r>
    <x v="1654"/>
    <x v="1654"/>
    <s v="EMP_1655"/>
    <x v="0"/>
    <s v="EMP_1655Marketing"/>
    <x v="4"/>
    <x v="2"/>
    <n v="78802"/>
    <n v="3250"/>
    <n v="0"/>
    <n v="0"/>
    <s v="7/19/2023"/>
    <s v="7/19/2023"/>
    <d v="2026-02-11T00:00:00"/>
    <e v="#VALUE!"/>
    <n v="3"/>
    <n v="82052"/>
    <n v="41026"/>
    <s v=" Not Achieved"/>
    <s v=" Excellent"/>
  </r>
  <r>
    <x v="1655"/>
    <x v="1655"/>
    <s v="EMP_1656"/>
    <x v="1"/>
    <s v="EMP_1656HR"/>
    <x v="0"/>
    <x v="1"/>
    <n v="21600"/>
    <n v="8874"/>
    <n v="0"/>
    <n v="0"/>
    <d v="2018-12-04T00:00:00"/>
    <s v="2018"/>
    <d v="2026-02-11T00:00:00"/>
    <n v="7"/>
    <n v="3"/>
    <n v="30474"/>
    <n v="15237"/>
    <s v=" Not Achieved"/>
    <s v="poor"/>
  </r>
  <r>
    <x v="1656"/>
    <x v="1656"/>
    <s v="EMP_1657"/>
    <x v="1"/>
    <s v="EMP_1657HR"/>
    <x v="0"/>
    <x v="4"/>
    <n v="75497"/>
    <n v="12881"/>
    <n v="0"/>
    <n v="0"/>
    <s v="3/20/2021"/>
    <s v="3/20/2021"/>
    <d v="2026-02-11T00:00:00"/>
    <e v="#VALUE!"/>
    <n v="1"/>
    <n v="88378"/>
    <n v="44189"/>
    <s v=" Not Achieved"/>
    <s v=" Excellent"/>
  </r>
  <r>
    <x v="1657"/>
    <x v="1657"/>
    <s v="EMP_1658"/>
    <x v="0"/>
    <s v="EMP_1658Marketing"/>
    <x v="4"/>
    <x v="0"/>
    <n v="24098"/>
    <n v="10233"/>
    <n v="0"/>
    <n v="0"/>
    <d v="2019-12-06T00:00:00"/>
    <s v="2019"/>
    <d v="2026-02-11T00:00:00"/>
    <n v="6"/>
    <n v="2"/>
    <n v="34331"/>
    <n v="17165.5"/>
    <s v=" Not Achieved"/>
    <s v="poor"/>
  </r>
  <r>
    <x v="1658"/>
    <x v="1658"/>
    <s v="EMP_1659"/>
    <x v="1"/>
    <s v="EMP_1659IT"/>
    <x v="3"/>
    <x v="1"/>
    <n v="39986"/>
    <n v="10421"/>
    <n v="0"/>
    <n v="0"/>
    <s v="4/24/2022"/>
    <s v="4/24/2022"/>
    <d v="2026-02-11T00:00:00"/>
    <e v="#VALUE!"/>
    <n v="4"/>
    <n v="50407"/>
    <n v="25203.5"/>
    <s v=" Not Achieved"/>
    <s v="Average"/>
  </r>
  <r>
    <x v="1659"/>
    <x v="1659"/>
    <s v="EMP_1660"/>
    <x v="0"/>
    <s v="EMP_1660HR"/>
    <x v="0"/>
    <x v="1"/>
    <n v="79907"/>
    <n v="14066"/>
    <n v="0"/>
    <n v="0"/>
    <s v="8/24/2019"/>
    <s v="8/24/2019"/>
    <d v="2026-02-11T00:00:00"/>
    <e v="#VALUE!"/>
    <n v="4"/>
    <n v="93973"/>
    <n v="46986.5"/>
    <s v=" Not Achieved"/>
    <s v=" Excellent"/>
  </r>
  <r>
    <x v="1660"/>
    <x v="1660"/>
    <s v="EMP_1661"/>
    <x v="1"/>
    <s v="EMP_1661Sales"/>
    <x v="1"/>
    <x v="4"/>
    <n v="40741"/>
    <n v="10202"/>
    <n v="117050"/>
    <n v="205801"/>
    <s v="10/30/2022"/>
    <s v="10/30/2022"/>
    <d v="2026-02-11T00:00:00"/>
    <e v="#VALUE!"/>
    <n v="5"/>
    <n v="50943"/>
    <n v="25471.5"/>
    <s v=" Not Achieved"/>
    <s v="Good"/>
  </r>
  <r>
    <x v="1661"/>
    <x v="1661"/>
    <s v="EMP_1662"/>
    <x v="1"/>
    <s v="EMP_1662HR"/>
    <x v="0"/>
    <x v="3"/>
    <n v="35568"/>
    <n v="13226"/>
    <n v="0"/>
    <n v="0"/>
    <s v="1/28/2020"/>
    <s v="1/28/2020"/>
    <d v="2026-02-11T00:00:00"/>
    <e v="#VALUE!"/>
    <n v="4"/>
    <n v="48794"/>
    <n v="24397"/>
    <s v=" Not Achieved"/>
    <s v="Average"/>
  </r>
  <r>
    <x v="1662"/>
    <x v="1662"/>
    <s v="EMP_1663"/>
    <x v="1"/>
    <s v="EMP_1663Marketing"/>
    <x v="4"/>
    <x v="2"/>
    <n v="76073"/>
    <n v="9594"/>
    <n v="0"/>
    <n v="0"/>
    <d v="2019-02-12T00:00:00"/>
    <s v="2019"/>
    <d v="2026-02-11T00:00:00"/>
    <n v="6"/>
    <n v="1"/>
    <n v="85667"/>
    <n v="42833.5"/>
    <s v=" Not Achieved"/>
    <s v=" Excellent"/>
  </r>
  <r>
    <x v="1663"/>
    <x v="1663"/>
    <s v="EMP_1664"/>
    <x v="1"/>
    <s v="EMP_1664Marketing"/>
    <x v="4"/>
    <x v="1"/>
    <n v="44409"/>
    <n v="2533"/>
    <n v="0"/>
    <n v="0"/>
    <d v="2024-07-02T00:00:00"/>
    <s v="2024"/>
    <d v="2026-02-11T00:00:00"/>
    <n v="1"/>
    <n v="5"/>
    <n v="46942"/>
    <n v="23471"/>
    <s v=" Not Achieved"/>
    <s v="Good"/>
  </r>
  <r>
    <x v="1664"/>
    <x v="1664"/>
    <s v="EMP_1665"/>
    <x v="1"/>
    <s v="EMP_1665Sales"/>
    <x v="1"/>
    <x v="1"/>
    <n v="76257"/>
    <n v="5367"/>
    <n v="255301"/>
    <n v="177241"/>
    <s v="1/20/2018"/>
    <s v="1/20/2018"/>
    <d v="2026-02-11T00:00:00"/>
    <e v="#VALUE!"/>
    <n v="4"/>
    <n v="81624"/>
    <n v="40812"/>
    <s v="Achieved"/>
    <s v=" Excellent"/>
  </r>
  <r>
    <x v="1665"/>
    <x v="1665"/>
    <s v="EMP_1666"/>
    <x v="1"/>
    <s v="EMP_1666Marketing"/>
    <x v="4"/>
    <x v="1"/>
    <n v="36550"/>
    <n v="3878"/>
    <n v="0"/>
    <n v="0"/>
    <s v="8/23/2021"/>
    <s v="8/23/2021"/>
    <d v="2026-02-11T00:00:00"/>
    <e v="#VALUE!"/>
    <n v="3"/>
    <n v="40428"/>
    <n v="20214"/>
    <s v=" Not Achieved"/>
    <s v="Average"/>
  </r>
  <r>
    <x v="1666"/>
    <x v="1666"/>
    <s v="EMP_1667"/>
    <x v="0"/>
    <s v="EMP_1667HR"/>
    <x v="0"/>
    <x v="0"/>
    <n v="72007"/>
    <n v="3893"/>
    <n v="0"/>
    <n v="0"/>
    <s v="9/16/2024"/>
    <s v="9/16/2024"/>
    <d v="2026-02-11T00:00:00"/>
    <e v="#VALUE!"/>
    <n v="3"/>
    <n v="75900"/>
    <n v="37950"/>
    <s v=" Not Achieved"/>
    <s v=" Excellent"/>
  </r>
  <r>
    <x v="1667"/>
    <x v="1667"/>
    <s v="EMP_1668"/>
    <x v="0"/>
    <s v="EMP_1668Finance"/>
    <x v="2"/>
    <x v="1"/>
    <n v="73040"/>
    <n v="2665"/>
    <n v="0"/>
    <n v="0"/>
    <s v="5/17/2021"/>
    <s v="5/17/2021"/>
    <d v="2026-02-11T00:00:00"/>
    <e v="#VALUE!"/>
    <n v="3"/>
    <n v="75705"/>
    <n v="37852.5"/>
    <s v=" Not Achieved"/>
    <s v=" Excellent"/>
  </r>
  <r>
    <x v="1668"/>
    <x v="1668"/>
    <s v="EMP_1669"/>
    <x v="1"/>
    <s v="EMP_1669IT"/>
    <x v="3"/>
    <x v="0"/>
    <n v="51271"/>
    <n v="14641"/>
    <n v="0"/>
    <n v="0"/>
    <s v="3/22/2020"/>
    <s v="3/22/2020"/>
    <d v="2026-02-11T00:00:00"/>
    <e v="#VALUE!"/>
    <n v="2"/>
    <n v="65912"/>
    <n v="32956"/>
    <s v=" Not Achieved"/>
    <s v=" Excellent"/>
  </r>
  <r>
    <x v="1669"/>
    <x v="1669"/>
    <s v="EMP_1670"/>
    <x v="0"/>
    <s v="EMP_1670IT"/>
    <x v="3"/>
    <x v="0"/>
    <n v="24271"/>
    <n v="6594"/>
    <n v="0"/>
    <n v="0"/>
    <s v="8/13/2021"/>
    <s v="8/13/2021"/>
    <d v="2026-02-11T00:00:00"/>
    <e v="#VALUE!"/>
    <n v="2"/>
    <n v="30865"/>
    <n v="15432.5"/>
    <s v=" Not Achieved"/>
    <s v="poor"/>
  </r>
  <r>
    <x v="1670"/>
    <x v="1670"/>
    <s v="EMP_1671"/>
    <x v="0"/>
    <s v="EMP_1671Finance"/>
    <x v="2"/>
    <x v="3"/>
    <n v="39773"/>
    <n v="13501"/>
    <n v="0"/>
    <n v="0"/>
    <s v="10/15/2022"/>
    <s v="10/15/2022"/>
    <d v="2026-02-11T00:00:00"/>
    <e v="#VALUE!"/>
    <n v="4"/>
    <n v="53274"/>
    <n v="26637"/>
    <s v=" Not Achieved"/>
    <s v="Average"/>
  </r>
  <r>
    <x v="1671"/>
    <x v="1671"/>
    <s v="EMP_1672"/>
    <x v="0"/>
    <s v="EMP_1672Marketing"/>
    <x v="4"/>
    <x v="0"/>
    <n v="59024"/>
    <n v="7776"/>
    <n v="0"/>
    <n v="0"/>
    <s v="6/24/2019"/>
    <s v="6/24/2019"/>
    <d v="2026-02-11T00:00:00"/>
    <e v="#VALUE!"/>
    <n v="3"/>
    <n v="66800"/>
    <n v="33400"/>
    <s v=" Not Achieved"/>
    <s v=" Excellent"/>
  </r>
  <r>
    <x v="1672"/>
    <x v="1672"/>
    <s v="EMP_1673"/>
    <x v="1"/>
    <s v="EMP_1673Marketing"/>
    <x v="4"/>
    <x v="0"/>
    <n v="42606"/>
    <n v="8553"/>
    <n v="0"/>
    <n v="0"/>
    <s v="1/22/2019"/>
    <s v="1/22/2019"/>
    <d v="2026-02-11T00:00:00"/>
    <e v="#VALUE!"/>
    <n v="2"/>
    <n v="51159"/>
    <n v="25579.5"/>
    <s v=" Not Achieved"/>
    <s v="Good"/>
  </r>
  <r>
    <x v="1673"/>
    <x v="1673"/>
    <s v="EMP_1674"/>
    <x v="1"/>
    <s v="EMP_1674Sales"/>
    <x v="1"/>
    <x v="4"/>
    <n v="23297"/>
    <n v="12592"/>
    <n v="142357"/>
    <n v="197652"/>
    <s v="5/19/2024"/>
    <s v="5/19/2024"/>
    <d v="2026-02-11T00:00:00"/>
    <e v="#VALUE!"/>
    <n v="3"/>
    <n v="35889"/>
    <n v="17944.5"/>
    <s v=" Not Achieved"/>
    <s v="poor"/>
  </r>
  <r>
    <x v="1674"/>
    <x v="1674"/>
    <s v="EMP_1675"/>
    <x v="0"/>
    <s v="EMP_1675IT"/>
    <x v="3"/>
    <x v="1"/>
    <n v="54885"/>
    <n v="3391"/>
    <n v="0"/>
    <n v="0"/>
    <d v="2020-10-01T00:00:00"/>
    <s v="2020"/>
    <d v="2026-02-11T00:00:00"/>
    <n v="5"/>
    <n v="3"/>
    <n v="58276"/>
    <n v="29138"/>
    <s v=" Not Achieved"/>
    <s v=" Excellent"/>
  </r>
  <r>
    <x v="1675"/>
    <x v="1675"/>
    <s v="EMP_1676"/>
    <x v="0"/>
    <s v="EMP_1676Sales"/>
    <x v="1"/>
    <x v="1"/>
    <n v="51525"/>
    <n v="13505"/>
    <n v="276652"/>
    <n v="189295"/>
    <d v="2021-07-02T00:00:00"/>
    <s v="2021"/>
    <d v="2026-02-11T00:00:00"/>
    <n v="4"/>
    <n v="1"/>
    <n v="65030"/>
    <n v="32515"/>
    <s v="Achieved"/>
    <s v=" Excellent"/>
  </r>
  <r>
    <x v="1676"/>
    <x v="1676"/>
    <s v="EMP_1677"/>
    <x v="1"/>
    <s v="EMP_1677HR"/>
    <x v="0"/>
    <x v="3"/>
    <n v="27850"/>
    <n v="6788"/>
    <n v="0"/>
    <n v="0"/>
    <s v="4/22/2021"/>
    <s v="4/22/2021"/>
    <d v="2026-02-11T00:00:00"/>
    <e v="#VALUE!"/>
    <n v="2"/>
    <n v="34638"/>
    <n v="17319"/>
    <s v=" Not Achieved"/>
    <s v="poor"/>
  </r>
  <r>
    <x v="1677"/>
    <x v="1677"/>
    <s v="EMP_1678"/>
    <x v="1"/>
    <s v="EMP_1678IT"/>
    <x v="3"/>
    <x v="0"/>
    <n v="49189"/>
    <n v="8920"/>
    <n v="0"/>
    <n v="0"/>
    <s v="11/22/2018"/>
    <s v="11/22/2018"/>
    <d v="2026-02-11T00:00:00"/>
    <e v="#VALUE!"/>
    <n v="1"/>
    <n v="58109"/>
    <n v="29054.5"/>
    <s v=" Not Achieved"/>
    <s v="Good"/>
  </r>
  <r>
    <x v="1678"/>
    <x v="1678"/>
    <s v="EMP_1679"/>
    <x v="1"/>
    <s v="EMP_1679IT"/>
    <x v="3"/>
    <x v="1"/>
    <n v="25891"/>
    <n v="11218"/>
    <n v="0"/>
    <n v="0"/>
    <s v="12/20/2023"/>
    <s v="12/20/2023"/>
    <d v="2026-02-11T00:00:00"/>
    <e v="#VALUE!"/>
    <n v="3"/>
    <n v="37109"/>
    <n v="18554.5"/>
    <s v=" Not Achieved"/>
    <s v="poor"/>
  </r>
  <r>
    <x v="1679"/>
    <x v="1679"/>
    <s v="EMP_1680"/>
    <x v="1"/>
    <s v="EMP_1680Marketing"/>
    <x v="4"/>
    <x v="1"/>
    <n v="42669"/>
    <n v="4886"/>
    <n v="0"/>
    <n v="0"/>
    <s v="1/20/2022"/>
    <s v="1/20/2022"/>
    <d v="2026-02-11T00:00:00"/>
    <e v="#VALUE!"/>
    <n v="1"/>
    <n v="47555"/>
    <n v="23777.5"/>
    <s v=" Not Achieved"/>
    <s v="Good"/>
  </r>
  <r>
    <x v="1680"/>
    <x v="1680"/>
    <s v="EMP_1681"/>
    <x v="1"/>
    <s v="EMP_1681IT"/>
    <x v="3"/>
    <x v="4"/>
    <n v="65446"/>
    <n v="13502"/>
    <n v="0"/>
    <n v="0"/>
    <s v="1/19/2020"/>
    <s v="1/19/2020"/>
    <d v="2026-02-11T00:00:00"/>
    <e v="#VALUE!"/>
    <n v="3"/>
    <n v="78948"/>
    <n v="39474"/>
    <s v=" Not Achieved"/>
    <s v=" Excellent"/>
  </r>
  <r>
    <x v="1681"/>
    <x v="1681"/>
    <s v="EMP_1682"/>
    <x v="0"/>
    <s v="EMP_1682Finance"/>
    <x v="2"/>
    <x v="2"/>
    <n v="20840"/>
    <n v="11480"/>
    <n v="0"/>
    <n v="0"/>
    <s v="2/20/2023"/>
    <s v="2/20/2023"/>
    <d v="2026-02-11T00:00:00"/>
    <e v="#VALUE!"/>
    <n v="1"/>
    <n v="32320"/>
    <n v="16160"/>
    <s v=" Not Achieved"/>
    <s v="poor"/>
  </r>
  <r>
    <x v="1682"/>
    <x v="1682"/>
    <s v="EMP_1683"/>
    <x v="1"/>
    <s v="EMP_1683Finance"/>
    <x v="2"/>
    <x v="4"/>
    <n v="39703"/>
    <n v="4983"/>
    <n v="0"/>
    <n v="0"/>
    <d v="2019-01-04T00:00:00"/>
    <s v="2019"/>
    <d v="2026-02-11T00:00:00"/>
    <n v="7"/>
    <n v="2"/>
    <n v="44686"/>
    <n v="22343"/>
    <s v=" Not Achieved"/>
    <s v="Average"/>
  </r>
  <r>
    <x v="1683"/>
    <x v="1683"/>
    <s v="EMP_1684"/>
    <x v="0"/>
    <s v="EMP_1684Marketing"/>
    <x v="4"/>
    <x v="0"/>
    <n v="45752"/>
    <n v="14158"/>
    <n v="0"/>
    <n v="0"/>
    <d v="2020-05-07T00:00:00"/>
    <s v="2020"/>
    <d v="2026-02-11T00:00:00"/>
    <n v="5"/>
    <n v="3"/>
    <n v="59910"/>
    <n v="29955"/>
    <s v=" Not Achieved"/>
    <s v="Good"/>
  </r>
  <r>
    <x v="1684"/>
    <x v="1684"/>
    <s v="EMP_1685"/>
    <x v="1"/>
    <s v="EMP_1685IT"/>
    <x v="3"/>
    <x v="0"/>
    <n v="44861"/>
    <n v="13159"/>
    <n v="0"/>
    <n v="0"/>
    <s v="10/20/2018"/>
    <s v="10/20/2018"/>
    <d v="2026-02-11T00:00:00"/>
    <e v="#VALUE!"/>
    <n v="5"/>
    <n v="58020"/>
    <n v="29010"/>
    <s v=" Not Achieved"/>
    <s v="Good"/>
  </r>
  <r>
    <x v="1685"/>
    <x v="1685"/>
    <s v="EMP_1686"/>
    <x v="1"/>
    <s v="EMP_1686Finance"/>
    <x v="2"/>
    <x v="3"/>
    <n v="42043"/>
    <n v="7526"/>
    <n v="0"/>
    <n v="0"/>
    <d v="2022-06-05T00:00:00"/>
    <s v="2022"/>
    <d v="2026-02-11T00:00:00"/>
    <n v="3"/>
    <n v="3"/>
    <n v="49569"/>
    <n v="24784.5"/>
    <s v=" Not Achieved"/>
    <s v="Good"/>
  </r>
  <r>
    <x v="1686"/>
    <x v="1686"/>
    <s v="EMP_1687"/>
    <x v="1"/>
    <s v="EMP_1687HR"/>
    <x v="0"/>
    <x v="2"/>
    <n v="77447"/>
    <n v="12145"/>
    <n v="0"/>
    <n v="0"/>
    <d v="2024-05-05T00:00:00"/>
    <s v="2024"/>
    <d v="2026-02-11T00:00:00"/>
    <n v="1"/>
    <n v="2"/>
    <n v="89592"/>
    <n v="44796"/>
    <s v=" Not Achieved"/>
    <s v=" Excellent"/>
  </r>
  <r>
    <x v="1687"/>
    <x v="1687"/>
    <s v="EMP_1688"/>
    <x v="0"/>
    <s v="EMP_1688Finance"/>
    <x v="2"/>
    <x v="4"/>
    <n v="25045"/>
    <n v="13624"/>
    <n v="0"/>
    <n v="0"/>
    <s v="3/16/2018"/>
    <s v="3/16/2018"/>
    <d v="2026-02-11T00:00:00"/>
    <e v="#VALUE!"/>
    <n v="3"/>
    <n v="38669"/>
    <n v="19334.5"/>
    <s v=" Not Achieved"/>
    <s v="poor"/>
  </r>
  <r>
    <x v="1688"/>
    <x v="1688"/>
    <s v="EMP_1689"/>
    <x v="0"/>
    <s v="EMP_1689Sales"/>
    <x v="1"/>
    <x v="3"/>
    <n v="25246"/>
    <n v="11551"/>
    <n v="145922"/>
    <n v="183441"/>
    <s v="2/14/2019"/>
    <s v="2/14/2019"/>
    <d v="2026-02-11T00:00:00"/>
    <e v="#VALUE!"/>
    <n v="5"/>
    <n v="36797"/>
    <n v="18398.5"/>
    <s v=" Not Achieved"/>
    <s v="poor"/>
  </r>
  <r>
    <x v="1689"/>
    <x v="1689"/>
    <s v="EMP_1690"/>
    <x v="0"/>
    <s v="EMP_1690Finance"/>
    <x v="2"/>
    <x v="3"/>
    <n v="25526"/>
    <n v="5116"/>
    <n v="0"/>
    <n v="0"/>
    <d v="2022-02-02T00:00:00"/>
    <s v="2022"/>
    <d v="2026-02-11T00:00:00"/>
    <n v="4"/>
    <n v="1"/>
    <n v="30642"/>
    <n v="15321"/>
    <s v=" Not Achieved"/>
    <s v="poor"/>
  </r>
  <r>
    <x v="1690"/>
    <x v="1690"/>
    <s v="EMP_1691"/>
    <x v="0"/>
    <s v="EMP_1691Finance"/>
    <x v="2"/>
    <x v="4"/>
    <n v="36925"/>
    <n v="6176"/>
    <n v="0"/>
    <n v="0"/>
    <s v="2/17/2024"/>
    <s v="2/17/2024"/>
    <d v="2026-02-11T00:00:00"/>
    <e v="#VALUE!"/>
    <n v="2"/>
    <n v="43101"/>
    <n v="21550.5"/>
    <s v=" Not Achieved"/>
    <s v="Average"/>
  </r>
  <r>
    <x v="1691"/>
    <x v="1691"/>
    <s v="EMP_1692"/>
    <x v="1"/>
    <s v="EMP_1692IT"/>
    <x v="3"/>
    <x v="1"/>
    <n v="47274"/>
    <n v="2892"/>
    <n v="0"/>
    <n v="0"/>
    <d v="2018-10-05T00:00:00"/>
    <s v="2018"/>
    <d v="2026-02-11T00:00:00"/>
    <n v="7"/>
    <n v="1"/>
    <n v="50166"/>
    <n v="25083"/>
    <s v=" Not Achieved"/>
    <s v="Good"/>
  </r>
  <r>
    <x v="1692"/>
    <x v="1692"/>
    <s v="EMP_1693"/>
    <x v="1"/>
    <s v="EMP_1693Sales"/>
    <x v="1"/>
    <x v="2"/>
    <n v="50465"/>
    <n v="4019"/>
    <n v="159533"/>
    <n v="145899"/>
    <s v="1/28/2019"/>
    <s v="1/28/2019"/>
    <d v="2026-02-11T00:00:00"/>
    <e v="#VALUE!"/>
    <n v="1"/>
    <n v="54484"/>
    <n v="27242"/>
    <s v="Achieved"/>
    <s v=" Excellent"/>
  </r>
  <r>
    <x v="1693"/>
    <x v="1693"/>
    <s v="EMP_1694"/>
    <x v="0"/>
    <s v="EMP_1694IT"/>
    <x v="3"/>
    <x v="3"/>
    <n v="23496"/>
    <n v="10336"/>
    <n v="0"/>
    <n v="0"/>
    <d v="2018-10-06T00:00:00"/>
    <s v="2018"/>
    <d v="2026-02-11T00:00:00"/>
    <n v="7"/>
    <n v="4"/>
    <n v="33832"/>
    <n v="16916"/>
    <s v=" Not Achieved"/>
    <s v="poor"/>
  </r>
  <r>
    <x v="1694"/>
    <x v="1694"/>
    <s v="EMP_1695"/>
    <x v="0"/>
    <s v="EMP_1695Marketing"/>
    <x v="4"/>
    <x v="0"/>
    <n v="22132"/>
    <n v="14923"/>
    <n v="0"/>
    <n v="0"/>
    <s v="1/26/2022"/>
    <s v="1/26/2022"/>
    <d v="2026-02-11T00:00:00"/>
    <e v="#VALUE!"/>
    <n v="5"/>
    <n v="37055"/>
    <n v="18527.5"/>
    <s v=" Not Achieved"/>
    <s v="poor"/>
  </r>
  <r>
    <x v="1695"/>
    <x v="1695"/>
    <s v="EMP_1696"/>
    <x v="0"/>
    <s v="EMP_1696HR"/>
    <x v="0"/>
    <x v="4"/>
    <n v="23952"/>
    <n v="7256"/>
    <n v="0"/>
    <n v="0"/>
    <s v="7/31/2022"/>
    <s v="7/31/2022"/>
    <d v="2026-02-11T00:00:00"/>
    <e v="#VALUE!"/>
    <n v="2"/>
    <n v="31208"/>
    <n v="15604"/>
    <s v=" Not Achieved"/>
    <s v="poor"/>
  </r>
  <r>
    <x v="1696"/>
    <x v="1696"/>
    <s v="EMP_1697"/>
    <x v="1"/>
    <s v="EMP_1697Marketing"/>
    <x v="4"/>
    <x v="1"/>
    <n v="37274"/>
    <n v="5487"/>
    <n v="0"/>
    <n v="0"/>
    <s v="7/15/2022"/>
    <s v="7/15/2022"/>
    <d v="2026-02-11T00:00:00"/>
    <e v="#VALUE!"/>
    <n v="4"/>
    <n v="42761"/>
    <n v="21380.5"/>
    <s v=" Not Achieved"/>
    <s v="Average"/>
  </r>
  <r>
    <x v="1697"/>
    <x v="1697"/>
    <s v="EMP_1698"/>
    <x v="0"/>
    <s v="EMP_1698IT"/>
    <x v="3"/>
    <x v="1"/>
    <n v="74472"/>
    <n v="3305"/>
    <n v="0"/>
    <n v="0"/>
    <d v="2021-11-11T00:00:00"/>
    <s v="2021"/>
    <d v="2026-02-11T00:00:00"/>
    <n v="4"/>
    <n v="3"/>
    <n v="77777"/>
    <n v="38888.5"/>
    <s v=" Not Achieved"/>
    <s v=" Excellent"/>
  </r>
  <r>
    <x v="1698"/>
    <x v="1698"/>
    <s v="EMP_1699"/>
    <x v="1"/>
    <s v="EMP_1699IT"/>
    <x v="3"/>
    <x v="0"/>
    <n v="57187"/>
    <n v="10837"/>
    <n v="0"/>
    <n v="0"/>
    <s v="6/27/2018"/>
    <s v="6/27/2018"/>
    <d v="2026-02-11T00:00:00"/>
    <e v="#VALUE!"/>
    <n v="3"/>
    <n v="68024"/>
    <n v="34012"/>
    <s v=" Not Achieved"/>
    <s v=" Excellent"/>
  </r>
  <r>
    <x v="1699"/>
    <x v="1699"/>
    <s v="EMP_1700"/>
    <x v="0"/>
    <s v="EMP_1700Sales"/>
    <x v="1"/>
    <x v="4"/>
    <n v="43766"/>
    <n v="11421"/>
    <n v="148927"/>
    <n v="232153"/>
    <s v="2/22/2024"/>
    <s v="2/22/2024"/>
    <d v="2026-02-11T00:00:00"/>
    <e v="#VALUE!"/>
    <n v="5"/>
    <n v="55187"/>
    <n v="27593.5"/>
    <s v=" Not Achieved"/>
    <s v="Good"/>
  </r>
  <r>
    <x v="1700"/>
    <x v="1700"/>
    <s v="EMP_1701"/>
    <x v="0"/>
    <s v="EMP_1701HR"/>
    <x v="0"/>
    <x v="1"/>
    <n v="65229"/>
    <n v="5650"/>
    <n v="0"/>
    <n v="0"/>
    <d v="2022-12-11T00:00:00"/>
    <s v="2022"/>
    <d v="2026-02-11T00:00:00"/>
    <n v="3"/>
    <n v="1"/>
    <n v="70879"/>
    <n v="35439.5"/>
    <s v=" Not Achieved"/>
    <s v=" Excellent"/>
  </r>
  <r>
    <x v="1701"/>
    <x v="1701"/>
    <s v="EMP_1702"/>
    <x v="0"/>
    <s v="EMP_1702HR"/>
    <x v="0"/>
    <x v="3"/>
    <n v="28231"/>
    <n v="12803"/>
    <n v="0"/>
    <n v="0"/>
    <s v="6/14/2019"/>
    <s v="6/14/2019"/>
    <d v="2026-02-11T00:00:00"/>
    <e v="#VALUE!"/>
    <n v="4"/>
    <n v="41034"/>
    <n v="20517"/>
    <s v=" Not Achieved"/>
    <s v="poor"/>
  </r>
  <r>
    <x v="1702"/>
    <x v="1702"/>
    <s v="EMP_1703"/>
    <x v="0"/>
    <s v="EMP_1703Sales"/>
    <x v="1"/>
    <x v="0"/>
    <n v="52314"/>
    <n v="13974"/>
    <n v="155915"/>
    <n v="121513"/>
    <d v="2022-07-03T00:00:00"/>
    <s v="2022"/>
    <d v="2026-02-11T00:00:00"/>
    <n v="3"/>
    <n v="1"/>
    <n v="66288"/>
    <n v="33144"/>
    <s v="Achieved"/>
    <s v=" Excellent"/>
  </r>
  <r>
    <x v="1703"/>
    <x v="1703"/>
    <s v="EMP_1704"/>
    <x v="1"/>
    <s v="EMP_1704Finance"/>
    <x v="2"/>
    <x v="0"/>
    <n v="24785"/>
    <n v="6458"/>
    <n v="0"/>
    <n v="0"/>
    <s v="7/27/2018"/>
    <s v="7/27/2018"/>
    <d v="2026-02-11T00:00:00"/>
    <e v="#VALUE!"/>
    <n v="2"/>
    <n v="31243"/>
    <n v="15621.5"/>
    <s v=" Not Achieved"/>
    <s v="poor"/>
  </r>
  <r>
    <x v="1704"/>
    <x v="1704"/>
    <s v="EMP_1705"/>
    <x v="1"/>
    <s v="EMP_1705Marketing"/>
    <x v="4"/>
    <x v="4"/>
    <n v="76200"/>
    <n v="3042"/>
    <n v="0"/>
    <n v="0"/>
    <s v="8/20/2022"/>
    <s v="8/20/2022"/>
    <d v="2026-02-11T00:00:00"/>
    <e v="#VALUE!"/>
    <n v="1"/>
    <n v="79242"/>
    <n v="39621"/>
    <s v=" Not Achieved"/>
    <s v=" Excellent"/>
  </r>
  <r>
    <x v="1705"/>
    <x v="1705"/>
    <s v="EMP_1706"/>
    <x v="1"/>
    <s v="EMP_1706Finance"/>
    <x v="2"/>
    <x v="1"/>
    <n v="67825"/>
    <n v="4359"/>
    <n v="0"/>
    <n v="0"/>
    <s v="6/27/2024"/>
    <s v="6/27/2024"/>
    <d v="2026-02-11T00:00:00"/>
    <e v="#VALUE!"/>
    <n v="1"/>
    <n v="72184"/>
    <n v="36092"/>
    <s v=" Not Achieved"/>
    <s v=" Excellent"/>
  </r>
  <r>
    <x v="1706"/>
    <x v="1706"/>
    <s v="EMP_1707"/>
    <x v="0"/>
    <s v="EMP_1707Sales"/>
    <x v="1"/>
    <x v="2"/>
    <n v="65139"/>
    <n v="12440"/>
    <n v="163636"/>
    <n v="241708"/>
    <s v="6/14/2020"/>
    <s v="6/14/2020"/>
    <d v="2026-02-11T00:00:00"/>
    <e v="#VALUE!"/>
    <n v="1"/>
    <n v="77579"/>
    <n v="38789.5"/>
    <s v=" Not Achieved"/>
    <s v=" Excellent"/>
  </r>
  <r>
    <x v="1707"/>
    <x v="1707"/>
    <s v="EMP_1708"/>
    <x v="0"/>
    <s v="EMP_1708Finance"/>
    <x v="2"/>
    <x v="2"/>
    <n v="46320"/>
    <n v="6924"/>
    <n v="0"/>
    <n v="0"/>
    <s v="6/19/2020"/>
    <s v="6/19/2020"/>
    <d v="2026-02-11T00:00:00"/>
    <e v="#VALUE!"/>
    <n v="4"/>
    <n v="53244"/>
    <n v="26622"/>
    <s v=" Not Achieved"/>
    <s v="Good"/>
  </r>
  <r>
    <x v="1708"/>
    <x v="1708"/>
    <s v="EMP_1709"/>
    <x v="0"/>
    <s v="EMP_1709Finance"/>
    <x v="2"/>
    <x v="2"/>
    <n v="58081"/>
    <n v="10013"/>
    <n v="0"/>
    <n v="0"/>
    <s v="6/15/2020"/>
    <s v="6/15/2020"/>
    <d v="2026-02-11T00:00:00"/>
    <e v="#VALUE!"/>
    <n v="5"/>
    <n v="68094"/>
    <n v="34047"/>
    <s v=" Not Achieved"/>
    <s v=" Excellent"/>
  </r>
  <r>
    <x v="1709"/>
    <x v="1709"/>
    <s v="EMP_1710"/>
    <x v="0"/>
    <s v="EMP_1710Marketing"/>
    <x v="4"/>
    <x v="2"/>
    <n v="54285"/>
    <n v="3036"/>
    <n v="0"/>
    <n v="0"/>
    <s v="9/15/2020"/>
    <s v="9/15/2020"/>
    <d v="2026-02-11T00:00:00"/>
    <e v="#VALUE!"/>
    <n v="2"/>
    <n v="57321"/>
    <n v="28660.5"/>
    <s v=" Not Achieved"/>
    <s v=" Excellent"/>
  </r>
  <r>
    <x v="1710"/>
    <x v="1710"/>
    <s v="EMP_1711"/>
    <x v="0"/>
    <s v="EMP_1711Marketing"/>
    <x v="4"/>
    <x v="1"/>
    <n v="38279"/>
    <n v="13716"/>
    <n v="0"/>
    <n v="0"/>
    <s v="6/18/2020"/>
    <s v="6/18/2020"/>
    <d v="2026-02-11T00:00:00"/>
    <e v="#VALUE!"/>
    <n v="2"/>
    <n v="51995"/>
    <n v="25997.5"/>
    <s v=" Not Achieved"/>
    <s v="Average"/>
  </r>
  <r>
    <x v="1711"/>
    <x v="1711"/>
    <s v="EMP_1712"/>
    <x v="0"/>
    <s v="EMP_1712HR"/>
    <x v="0"/>
    <x v="1"/>
    <n v="20305"/>
    <n v="12504"/>
    <n v="0"/>
    <n v="0"/>
    <d v="2019-09-04T00:00:00"/>
    <s v="2019"/>
    <d v="2026-02-11T00:00:00"/>
    <n v="6"/>
    <n v="1"/>
    <n v="32809"/>
    <n v="16404.5"/>
    <s v=" Not Achieved"/>
    <s v="poor"/>
  </r>
  <r>
    <x v="1712"/>
    <x v="1712"/>
    <s v="EMP_1713"/>
    <x v="0"/>
    <s v="EMP_1713Marketing"/>
    <x v="4"/>
    <x v="4"/>
    <n v="30489"/>
    <n v="12668"/>
    <n v="0"/>
    <n v="0"/>
    <s v="10/17/2024"/>
    <s v="10/17/2024"/>
    <d v="2026-02-11T00:00:00"/>
    <e v="#VALUE!"/>
    <n v="1"/>
    <n v="43157"/>
    <n v="21578.5"/>
    <s v=" Not Achieved"/>
    <s v="Average"/>
  </r>
  <r>
    <x v="1713"/>
    <x v="1713"/>
    <s v="EMP_1714"/>
    <x v="1"/>
    <s v="EMP_1714HR"/>
    <x v="0"/>
    <x v="0"/>
    <n v="40617"/>
    <n v="8731"/>
    <n v="0"/>
    <n v="0"/>
    <s v="5/15/2021"/>
    <s v="5/15/2021"/>
    <d v="2026-02-11T00:00:00"/>
    <e v="#VALUE!"/>
    <n v="3"/>
    <n v="49348"/>
    <n v="24674"/>
    <s v=" Not Achieved"/>
    <s v="Good"/>
  </r>
  <r>
    <x v="1714"/>
    <x v="1714"/>
    <s v="EMP_1715"/>
    <x v="1"/>
    <s v="EMP_1715HR"/>
    <x v="0"/>
    <x v="0"/>
    <n v="48638"/>
    <n v="2049"/>
    <n v="0"/>
    <n v="0"/>
    <s v="4/17/2018"/>
    <s v="4/17/2018"/>
    <d v="2026-02-11T00:00:00"/>
    <e v="#VALUE!"/>
    <n v="2"/>
    <n v="50687"/>
    <n v="25343.5"/>
    <s v=" Not Achieved"/>
    <s v="Good"/>
  </r>
  <r>
    <x v="1715"/>
    <x v="1715"/>
    <s v="EMP_1716"/>
    <x v="1"/>
    <s v="EMP_1716HR"/>
    <x v="0"/>
    <x v="0"/>
    <n v="79718"/>
    <n v="6657"/>
    <n v="0"/>
    <n v="0"/>
    <s v="8/14/2018"/>
    <s v="8/14/2018"/>
    <d v="2026-02-11T00:00:00"/>
    <e v="#VALUE!"/>
    <n v="2"/>
    <n v="86375"/>
    <n v="43187.5"/>
    <s v=" Not Achieved"/>
    <s v=" Excellent"/>
  </r>
  <r>
    <x v="1716"/>
    <x v="1716"/>
    <s v="EMP_1717"/>
    <x v="0"/>
    <s v="EMP_1717HR"/>
    <x v="0"/>
    <x v="4"/>
    <n v="71497"/>
    <n v="12424"/>
    <n v="0"/>
    <n v="0"/>
    <s v="1/16/2020"/>
    <s v="1/16/2020"/>
    <d v="2026-02-11T00:00:00"/>
    <e v="#VALUE!"/>
    <n v="4"/>
    <n v="83921"/>
    <n v="41960.5"/>
    <s v=" Not Achieved"/>
    <s v=" Excellent"/>
  </r>
  <r>
    <x v="1717"/>
    <x v="1717"/>
    <s v="EMP_1718"/>
    <x v="1"/>
    <s v="EMP_1718IT"/>
    <x v="3"/>
    <x v="3"/>
    <n v="53017"/>
    <n v="9794"/>
    <n v="0"/>
    <n v="0"/>
    <s v="5/24/2019"/>
    <s v="5/24/2019"/>
    <d v="2026-02-11T00:00:00"/>
    <e v="#VALUE!"/>
    <n v="4"/>
    <n v="62811"/>
    <n v="31405.5"/>
    <s v=" Not Achieved"/>
    <s v=" Excellent"/>
  </r>
  <r>
    <x v="1718"/>
    <x v="1718"/>
    <s v="EMP_1719"/>
    <x v="1"/>
    <s v="EMP_1719HR"/>
    <x v="0"/>
    <x v="3"/>
    <n v="72951"/>
    <n v="13654"/>
    <n v="0"/>
    <n v="0"/>
    <s v="6/19/2019"/>
    <s v="6/19/2019"/>
    <d v="2026-02-11T00:00:00"/>
    <e v="#VALUE!"/>
    <n v="1"/>
    <n v="86605"/>
    <n v="43302.5"/>
    <s v=" Not Achieved"/>
    <s v=" Excellent"/>
  </r>
  <r>
    <x v="1719"/>
    <x v="1719"/>
    <s v="EMP_1720"/>
    <x v="0"/>
    <s v="EMP_1720Marketing"/>
    <x v="4"/>
    <x v="1"/>
    <n v="78382"/>
    <n v="12787"/>
    <n v="0"/>
    <n v="0"/>
    <d v="2020-08-05T00:00:00"/>
    <s v="2020"/>
    <d v="2026-02-11T00:00:00"/>
    <n v="5"/>
    <n v="2"/>
    <n v="91169"/>
    <n v="45584.5"/>
    <s v=" Not Achieved"/>
    <s v=" Excellent"/>
  </r>
  <r>
    <x v="1720"/>
    <x v="1720"/>
    <s v="EMP_1721"/>
    <x v="0"/>
    <s v="EMP_1721Marketing"/>
    <x v="4"/>
    <x v="4"/>
    <n v="20529"/>
    <n v="13664"/>
    <n v="0"/>
    <n v="0"/>
    <d v="2024-03-08T00:00:00"/>
    <s v="2024"/>
    <d v="2026-02-11T00:00:00"/>
    <n v="1"/>
    <n v="5"/>
    <n v="34193"/>
    <n v="17096.5"/>
    <s v=" Not Achieved"/>
    <s v="poor"/>
  </r>
  <r>
    <x v="1721"/>
    <x v="1721"/>
    <s v="EMP_1722"/>
    <x v="0"/>
    <s v="EMP_1722IT"/>
    <x v="3"/>
    <x v="0"/>
    <n v="61125"/>
    <n v="3372"/>
    <n v="0"/>
    <n v="0"/>
    <s v="11/22/2024"/>
    <s v="11/22/2024"/>
    <d v="2026-02-11T00:00:00"/>
    <e v="#VALUE!"/>
    <n v="5"/>
    <n v="64497"/>
    <n v="32248.5"/>
    <s v=" Not Achieved"/>
    <s v=" Excellent"/>
  </r>
  <r>
    <x v="1722"/>
    <x v="1722"/>
    <s v="EMP_1723"/>
    <x v="0"/>
    <s v="EMP_1723Sales"/>
    <x v="1"/>
    <x v="2"/>
    <n v="46984"/>
    <n v="10706"/>
    <n v="244919"/>
    <n v="238886"/>
    <s v="5/23/2018"/>
    <s v="5/23/2018"/>
    <d v="2026-02-11T00:00:00"/>
    <e v="#VALUE!"/>
    <n v="2"/>
    <n v="57690"/>
    <n v="28845"/>
    <s v="Achieved"/>
    <s v="Good"/>
  </r>
  <r>
    <x v="1723"/>
    <x v="1723"/>
    <s v="EMP_1724"/>
    <x v="0"/>
    <s v="EMP_1724Sales"/>
    <x v="1"/>
    <x v="3"/>
    <n v="63998"/>
    <n v="11596"/>
    <n v="128109"/>
    <n v="238133"/>
    <s v="5/22/2018"/>
    <s v="5/22/2018"/>
    <d v="2026-02-11T00:00:00"/>
    <e v="#VALUE!"/>
    <n v="3"/>
    <n v="75594"/>
    <n v="37797"/>
    <s v=" Not Achieved"/>
    <s v=" Excellent"/>
  </r>
  <r>
    <x v="1724"/>
    <x v="1724"/>
    <s v="EMP_1725"/>
    <x v="0"/>
    <s v="EMP_1725Finance"/>
    <x v="2"/>
    <x v="3"/>
    <n v="28874"/>
    <n v="4644"/>
    <n v="0"/>
    <n v="0"/>
    <s v="9/15/2020"/>
    <s v="9/15/2020"/>
    <d v="2026-02-11T00:00:00"/>
    <e v="#VALUE!"/>
    <n v="3"/>
    <n v="33518"/>
    <n v="16759"/>
    <s v=" Not Achieved"/>
    <s v="poor"/>
  </r>
  <r>
    <x v="1725"/>
    <x v="1725"/>
    <s v="EMP_1726"/>
    <x v="1"/>
    <s v="EMP_1726IT"/>
    <x v="3"/>
    <x v="2"/>
    <n v="31147"/>
    <n v="4367"/>
    <n v="0"/>
    <n v="0"/>
    <d v="2020-10-01T00:00:00"/>
    <s v="2020"/>
    <d v="2026-02-11T00:00:00"/>
    <n v="5"/>
    <n v="5"/>
    <n v="35514"/>
    <n v="17757"/>
    <s v=" Not Achieved"/>
    <s v="Average"/>
  </r>
  <r>
    <x v="1726"/>
    <x v="1726"/>
    <s v="EMP_1727"/>
    <x v="1"/>
    <s v="EMP_1727Marketing"/>
    <x v="4"/>
    <x v="1"/>
    <n v="56736"/>
    <n v="11059"/>
    <n v="0"/>
    <n v="0"/>
    <s v="8/23/2019"/>
    <s v="8/23/2019"/>
    <d v="2026-02-11T00:00:00"/>
    <e v="#VALUE!"/>
    <n v="4"/>
    <n v="67795"/>
    <n v="33897.5"/>
    <s v=" Not Achieved"/>
    <s v=" Excellent"/>
  </r>
  <r>
    <x v="1727"/>
    <x v="1727"/>
    <s v="EMP_1728"/>
    <x v="1"/>
    <s v="EMP_1728IT"/>
    <x v="3"/>
    <x v="4"/>
    <n v="32827"/>
    <n v="12042"/>
    <n v="0"/>
    <n v="0"/>
    <d v="2018-05-07T00:00:00"/>
    <s v="2018"/>
    <d v="2026-02-11T00:00:00"/>
    <n v="7"/>
    <n v="2"/>
    <n v="44869"/>
    <n v="22434.5"/>
    <s v=" Not Achieved"/>
    <s v="Average"/>
  </r>
  <r>
    <x v="1728"/>
    <x v="1728"/>
    <s v="EMP_1729"/>
    <x v="0"/>
    <s v="EMP_1729Finance"/>
    <x v="2"/>
    <x v="1"/>
    <n v="25438"/>
    <n v="13308"/>
    <n v="0"/>
    <n v="0"/>
    <d v="2022-06-12T00:00:00"/>
    <s v="2022"/>
    <d v="2026-02-11T00:00:00"/>
    <n v="3"/>
    <n v="4"/>
    <n v="38746"/>
    <n v="19373"/>
    <s v=" Not Achieved"/>
    <s v="poor"/>
  </r>
  <r>
    <x v="1729"/>
    <x v="1729"/>
    <s v="EMP_1730"/>
    <x v="0"/>
    <s v="EMP_1730Sales"/>
    <x v="1"/>
    <x v="1"/>
    <n v="66213"/>
    <n v="4555"/>
    <n v="162122"/>
    <n v="133005"/>
    <d v="2024-04-01T00:00:00"/>
    <s v="2024"/>
    <d v="2026-02-11T00:00:00"/>
    <n v="1"/>
    <n v="1"/>
    <n v="70768"/>
    <n v="35384"/>
    <s v="Achieved"/>
    <s v=" Excellent"/>
  </r>
  <r>
    <x v="1730"/>
    <x v="1730"/>
    <s v="EMP_1731"/>
    <x v="1"/>
    <s v="EMP_1731Finance"/>
    <x v="2"/>
    <x v="2"/>
    <n v="50325"/>
    <n v="12675"/>
    <n v="0"/>
    <n v="0"/>
    <s v="1/25/2020"/>
    <s v="1/25/2020"/>
    <d v="2026-02-11T00:00:00"/>
    <e v="#VALUE!"/>
    <n v="4"/>
    <n v="63000"/>
    <n v="31500"/>
    <s v=" Not Achieved"/>
    <s v=" Excellent"/>
  </r>
  <r>
    <x v="1731"/>
    <x v="1731"/>
    <s v="EMP_1732"/>
    <x v="1"/>
    <s v="EMP_1732Finance"/>
    <x v="2"/>
    <x v="4"/>
    <n v="41805"/>
    <n v="8193"/>
    <n v="0"/>
    <n v="0"/>
    <d v="2024-07-10T00:00:00"/>
    <s v="2024"/>
    <d v="2026-02-11T00:00:00"/>
    <n v="1"/>
    <n v="3"/>
    <n v="49998"/>
    <n v="24999"/>
    <s v=" Not Achieved"/>
    <s v="Good"/>
  </r>
  <r>
    <x v="1732"/>
    <x v="1732"/>
    <s v="EMP_1733"/>
    <x v="0"/>
    <s v="EMP_1733Marketing"/>
    <x v="4"/>
    <x v="2"/>
    <n v="79279"/>
    <n v="6129"/>
    <n v="0"/>
    <n v="0"/>
    <d v="2021-10-07T00:00:00"/>
    <s v="2021"/>
    <d v="2026-02-11T00:00:00"/>
    <n v="4"/>
    <n v="2"/>
    <n v="85408"/>
    <n v="42704"/>
    <s v=" Not Achieved"/>
    <s v=" Excellent"/>
  </r>
  <r>
    <x v="1733"/>
    <x v="1733"/>
    <s v="EMP_1734"/>
    <x v="1"/>
    <s v="EMP_1734Marketing"/>
    <x v="4"/>
    <x v="1"/>
    <n v="67098"/>
    <n v="2331"/>
    <n v="0"/>
    <n v="0"/>
    <s v="12/21/2020"/>
    <s v="12/21/2020"/>
    <d v="2026-02-11T00:00:00"/>
    <e v="#VALUE!"/>
    <n v="4"/>
    <n v="69429"/>
    <n v="34714.5"/>
    <s v=" Not Achieved"/>
    <s v=" Excellent"/>
  </r>
  <r>
    <x v="1734"/>
    <x v="1734"/>
    <s v="EMP_1735"/>
    <x v="1"/>
    <s v="EMP_1735Sales"/>
    <x v="1"/>
    <x v="2"/>
    <n v="52070"/>
    <n v="12136"/>
    <n v="279026"/>
    <n v="101660"/>
    <d v="2021-09-06T00:00:00"/>
    <s v="2021"/>
    <d v="2026-02-11T00:00:00"/>
    <n v="4"/>
    <n v="2"/>
    <n v="64206"/>
    <n v="32103"/>
    <s v="Achieved"/>
    <s v=" Excellent"/>
  </r>
  <r>
    <x v="1735"/>
    <x v="1735"/>
    <s v="EMP_1736"/>
    <x v="1"/>
    <s v="EMP_1736Finance"/>
    <x v="2"/>
    <x v="4"/>
    <n v="61523"/>
    <n v="10098"/>
    <n v="0"/>
    <n v="0"/>
    <d v="2023-08-10T00:00:00"/>
    <s v="2023"/>
    <d v="2026-02-11T00:00:00"/>
    <n v="2"/>
    <n v="2"/>
    <n v="71621"/>
    <n v="35810.5"/>
    <s v=" Not Achieved"/>
    <s v=" Excellent"/>
  </r>
  <r>
    <x v="1736"/>
    <x v="1736"/>
    <s v="EMP_1737"/>
    <x v="0"/>
    <s v="EMP_1737HR"/>
    <x v="0"/>
    <x v="2"/>
    <n v="49370"/>
    <n v="11470"/>
    <n v="0"/>
    <n v="0"/>
    <s v="8/28/2020"/>
    <s v="8/28/2020"/>
    <d v="2026-02-11T00:00:00"/>
    <e v="#VALUE!"/>
    <n v="1"/>
    <n v="60840"/>
    <n v="30420"/>
    <s v=" Not Achieved"/>
    <s v="Good"/>
  </r>
  <r>
    <x v="1737"/>
    <x v="1737"/>
    <s v="EMP_1738"/>
    <x v="1"/>
    <s v="EMP_1738HR"/>
    <x v="0"/>
    <x v="2"/>
    <n v="64130"/>
    <n v="9499"/>
    <n v="0"/>
    <n v="0"/>
    <d v="2024-11-11T00:00:00"/>
    <s v="2024"/>
    <d v="2026-02-11T00:00:00"/>
    <n v="1"/>
    <n v="5"/>
    <n v="73629"/>
    <n v="36814.5"/>
    <s v=" Not Achieved"/>
    <s v=" Excellent"/>
  </r>
  <r>
    <x v="1738"/>
    <x v="1738"/>
    <s v="EMP_1739"/>
    <x v="0"/>
    <s v="EMP_1739Sales"/>
    <x v="1"/>
    <x v="0"/>
    <n v="34009"/>
    <n v="6884"/>
    <n v="120432"/>
    <n v="237946"/>
    <s v="10/31/2019"/>
    <s v="10/31/2019"/>
    <d v="2026-02-11T00:00:00"/>
    <e v="#VALUE!"/>
    <n v="3"/>
    <n v="40893"/>
    <n v="20446.5"/>
    <s v=" Not Achieved"/>
    <s v="Average"/>
  </r>
  <r>
    <x v="1739"/>
    <x v="1739"/>
    <s v="EMP_1740"/>
    <x v="1"/>
    <s v="EMP_1740Sales"/>
    <x v="1"/>
    <x v="1"/>
    <n v="51008"/>
    <n v="10277"/>
    <n v="50305"/>
    <n v="136438"/>
    <d v="2021-12-07T00:00:00"/>
    <s v="2021"/>
    <d v="2026-02-11T00:00:00"/>
    <n v="4"/>
    <n v="1"/>
    <n v="61285"/>
    <n v="30642.5"/>
    <s v=" Not Achieved"/>
    <s v=" Excellent"/>
  </r>
  <r>
    <x v="1740"/>
    <x v="1740"/>
    <s v="EMP_1741"/>
    <x v="0"/>
    <s v="EMP_1741IT"/>
    <x v="3"/>
    <x v="1"/>
    <n v="74593"/>
    <n v="12205"/>
    <n v="0"/>
    <n v="0"/>
    <d v="2018-10-06T00:00:00"/>
    <s v="2018"/>
    <d v="2026-02-11T00:00:00"/>
    <n v="7"/>
    <n v="3"/>
    <n v="86798"/>
    <n v="43399"/>
    <s v=" Not Achieved"/>
    <s v=" Excellent"/>
  </r>
  <r>
    <x v="1741"/>
    <x v="1741"/>
    <s v="EMP_1742"/>
    <x v="0"/>
    <s v="EMP_1742Sales"/>
    <x v="1"/>
    <x v="2"/>
    <n v="77481"/>
    <n v="3925"/>
    <n v="200478"/>
    <n v="222132"/>
    <s v="11/20/2018"/>
    <s v="11/20/2018"/>
    <d v="2026-02-11T00:00:00"/>
    <e v="#VALUE!"/>
    <n v="2"/>
    <n v="81406"/>
    <n v="40703"/>
    <s v=" Not Achieved"/>
    <s v=" Excellent"/>
  </r>
  <r>
    <x v="1742"/>
    <x v="1742"/>
    <s v="EMP_1743"/>
    <x v="1"/>
    <s v="EMP_1743Marketing"/>
    <x v="4"/>
    <x v="0"/>
    <n v="41811"/>
    <n v="11285"/>
    <n v="0"/>
    <n v="0"/>
    <d v="2024-09-10T00:00:00"/>
    <s v="2024"/>
    <d v="2026-02-11T00:00:00"/>
    <n v="1"/>
    <n v="5"/>
    <n v="53096"/>
    <n v="26548"/>
    <s v=" Not Achieved"/>
    <s v="Good"/>
  </r>
  <r>
    <x v="1743"/>
    <x v="1743"/>
    <s v="EMP_1744"/>
    <x v="0"/>
    <s v="EMP_1744Marketing"/>
    <x v="4"/>
    <x v="0"/>
    <n v="41910"/>
    <n v="10774"/>
    <n v="0"/>
    <n v="0"/>
    <s v="12/30/2020"/>
    <s v="12/30/2020"/>
    <d v="2026-02-11T00:00:00"/>
    <e v="#VALUE!"/>
    <n v="2"/>
    <n v="52684"/>
    <n v="26342"/>
    <s v=" Not Achieved"/>
    <s v="Good"/>
  </r>
  <r>
    <x v="1744"/>
    <x v="1744"/>
    <s v="EMP_1745"/>
    <x v="1"/>
    <s v="EMP_1745IT"/>
    <x v="3"/>
    <x v="2"/>
    <n v="21609"/>
    <n v="2386"/>
    <n v="0"/>
    <n v="0"/>
    <s v="2/19/2024"/>
    <s v="2/19/2024"/>
    <d v="2026-02-11T00:00:00"/>
    <e v="#VALUE!"/>
    <n v="4"/>
    <n v="23995"/>
    <n v="11997.5"/>
    <s v=" Not Achieved"/>
    <s v="poor"/>
  </r>
  <r>
    <x v="1745"/>
    <x v="1745"/>
    <s v="EMP_1746"/>
    <x v="1"/>
    <s v="EMP_1746Sales"/>
    <x v="1"/>
    <x v="0"/>
    <n v="55017"/>
    <n v="9630"/>
    <n v="285421"/>
    <n v="151473"/>
    <s v="6/15/2024"/>
    <s v="6/15/2024"/>
    <d v="2026-02-11T00:00:00"/>
    <e v="#VALUE!"/>
    <n v="3"/>
    <n v="64647"/>
    <n v="32323.5"/>
    <s v="Achieved"/>
    <s v=" Excellent"/>
  </r>
  <r>
    <x v="1746"/>
    <x v="1746"/>
    <s v="EMP_1747"/>
    <x v="1"/>
    <s v="EMP_1747Finance"/>
    <x v="2"/>
    <x v="1"/>
    <n v="33995"/>
    <n v="6758"/>
    <n v="0"/>
    <n v="0"/>
    <d v="2019-05-06T00:00:00"/>
    <s v="2019"/>
    <d v="2026-02-11T00:00:00"/>
    <n v="6"/>
    <n v="3"/>
    <n v="40753"/>
    <n v="20376.5"/>
    <s v=" Not Achieved"/>
    <s v="Average"/>
  </r>
  <r>
    <x v="1747"/>
    <x v="1747"/>
    <s v="EMP_1748"/>
    <x v="0"/>
    <s v="EMP_1748Sales"/>
    <x v="1"/>
    <x v="3"/>
    <n v="33642"/>
    <n v="3600"/>
    <n v="228443"/>
    <n v="95002"/>
    <d v="2019-04-12T00:00:00"/>
    <s v="2019"/>
    <d v="2026-02-11T00:00:00"/>
    <n v="6"/>
    <n v="2"/>
    <n v="37242"/>
    <n v="18621"/>
    <s v="Achieved"/>
    <s v="Average"/>
  </r>
  <r>
    <x v="1748"/>
    <x v="1748"/>
    <s v="EMP_1749"/>
    <x v="0"/>
    <s v="EMP_1749IT"/>
    <x v="3"/>
    <x v="1"/>
    <n v="23717"/>
    <n v="7458"/>
    <n v="0"/>
    <n v="0"/>
    <d v="2020-03-04T00:00:00"/>
    <s v="2020"/>
    <d v="2026-02-11T00:00:00"/>
    <n v="5"/>
    <n v="4"/>
    <n v="31175"/>
    <n v="15587.5"/>
    <s v=" Not Achieved"/>
    <s v="poor"/>
  </r>
  <r>
    <x v="1749"/>
    <x v="1749"/>
    <s v="EMP_1750"/>
    <x v="1"/>
    <s v="EMP_1750Finance"/>
    <x v="2"/>
    <x v="0"/>
    <n v="28515"/>
    <n v="6513"/>
    <n v="0"/>
    <n v="0"/>
    <d v="2022-07-11T00:00:00"/>
    <s v="2022"/>
    <d v="2026-02-11T00:00:00"/>
    <n v="3"/>
    <n v="2"/>
    <n v="35028"/>
    <n v="17514"/>
    <s v=" Not Achieved"/>
    <s v="poor"/>
  </r>
  <r>
    <x v="1750"/>
    <x v="1750"/>
    <s v="EMP_1751"/>
    <x v="1"/>
    <s v="EMP_1751Sales"/>
    <x v="1"/>
    <x v="2"/>
    <n v="48143"/>
    <n v="13786"/>
    <n v="238598"/>
    <n v="104998"/>
    <s v="2/25/2022"/>
    <s v="2/25/2022"/>
    <d v="2026-02-11T00:00:00"/>
    <e v="#VALUE!"/>
    <n v="3"/>
    <n v="61929"/>
    <n v="30964.5"/>
    <s v="Achieved"/>
    <s v="Good"/>
  </r>
  <r>
    <x v="1751"/>
    <x v="1751"/>
    <s v="EMP_1752"/>
    <x v="1"/>
    <s v="EMP_1752Marketing"/>
    <x v="4"/>
    <x v="3"/>
    <n v="48507"/>
    <n v="6142"/>
    <n v="0"/>
    <n v="0"/>
    <s v="1/31/2018"/>
    <s v="1/31/2018"/>
    <d v="2026-02-11T00:00:00"/>
    <e v="#VALUE!"/>
    <n v="2"/>
    <n v="54649"/>
    <n v="27324.5"/>
    <s v=" Not Achieved"/>
    <s v="Good"/>
  </r>
  <r>
    <x v="1752"/>
    <x v="1752"/>
    <s v="EMP_1753"/>
    <x v="1"/>
    <s v="EMP_1753IT"/>
    <x v="3"/>
    <x v="3"/>
    <n v="69055"/>
    <n v="14562"/>
    <n v="0"/>
    <n v="0"/>
    <s v="7/16/2024"/>
    <s v="7/16/2024"/>
    <d v="2026-02-11T00:00:00"/>
    <e v="#VALUE!"/>
    <n v="2"/>
    <n v="83617"/>
    <n v="41808.5"/>
    <s v=" Not Achieved"/>
    <s v=" Excellent"/>
  </r>
  <r>
    <x v="1753"/>
    <x v="1753"/>
    <s v="EMP_1754"/>
    <x v="1"/>
    <s v="EMP_1754Marketing"/>
    <x v="4"/>
    <x v="0"/>
    <n v="69596"/>
    <n v="14803"/>
    <n v="0"/>
    <n v="0"/>
    <d v="2022-01-12T00:00:00"/>
    <s v="2022"/>
    <d v="2026-02-11T00:00:00"/>
    <n v="4"/>
    <n v="3"/>
    <n v="84399"/>
    <n v="42199.5"/>
    <s v=" Not Achieved"/>
    <s v=" Excellent"/>
  </r>
  <r>
    <x v="1754"/>
    <x v="1754"/>
    <s v="EMP_1755"/>
    <x v="1"/>
    <s v="EMP_1755Sales"/>
    <x v="1"/>
    <x v="0"/>
    <n v="63630"/>
    <n v="6866"/>
    <n v="142425"/>
    <n v="210886"/>
    <d v="2021-05-08T00:00:00"/>
    <s v="2021"/>
    <d v="2026-02-11T00:00:00"/>
    <n v="4"/>
    <n v="1"/>
    <n v="70496"/>
    <n v="35248"/>
    <s v=" Not Achieved"/>
    <s v=" Excellent"/>
  </r>
  <r>
    <x v="1755"/>
    <x v="1755"/>
    <s v="EMP_1756"/>
    <x v="1"/>
    <s v="EMP_1756Marketing"/>
    <x v="4"/>
    <x v="2"/>
    <n v="25020"/>
    <n v="4341"/>
    <n v="0"/>
    <n v="0"/>
    <d v="2019-01-12T00:00:00"/>
    <s v="2019"/>
    <d v="2026-02-11T00:00:00"/>
    <n v="7"/>
    <n v="5"/>
    <n v="29361"/>
    <n v="14680.5"/>
    <s v=" Not Achieved"/>
    <s v="poor"/>
  </r>
  <r>
    <x v="1756"/>
    <x v="1756"/>
    <s v="EMP_1757"/>
    <x v="0"/>
    <s v="EMP_1757Sales"/>
    <x v="1"/>
    <x v="4"/>
    <n v="37637"/>
    <n v="14119"/>
    <n v="55402"/>
    <n v="174704"/>
    <d v="2021-06-05T00:00:00"/>
    <s v="2021"/>
    <d v="2026-02-11T00:00:00"/>
    <n v="4"/>
    <n v="2"/>
    <n v="51756"/>
    <n v="25878"/>
    <s v=" Not Achieved"/>
    <s v="Average"/>
  </r>
  <r>
    <x v="1757"/>
    <x v="1757"/>
    <s v="EMP_1758"/>
    <x v="0"/>
    <s v="EMP_1758Marketing"/>
    <x v="4"/>
    <x v="3"/>
    <n v="69858"/>
    <n v="2622"/>
    <n v="0"/>
    <n v="0"/>
    <s v="8/28/2020"/>
    <s v="8/28/2020"/>
    <d v="2026-02-11T00:00:00"/>
    <e v="#VALUE!"/>
    <n v="2"/>
    <n v="72480"/>
    <n v="36240"/>
    <s v=" Not Achieved"/>
    <s v=" Excellent"/>
  </r>
  <r>
    <x v="1758"/>
    <x v="1758"/>
    <s v="EMP_1759"/>
    <x v="1"/>
    <s v="EMP_1759Finance"/>
    <x v="2"/>
    <x v="2"/>
    <n v="60909"/>
    <n v="13384"/>
    <n v="0"/>
    <n v="0"/>
    <s v="1/21/2022"/>
    <s v="1/21/2022"/>
    <d v="2026-02-11T00:00:00"/>
    <e v="#VALUE!"/>
    <n v="2"/>
    <n v="74293"/>
    <n v="37146.5"/>
    <s v=" Not Achieved"/>
    <s v=" Excellent"/>
  </r>
  <r>
    <x v="1759"/>
    <x v="1759"/>
    <s v="EMP_1760"/>
    <x v="1"/>
    <s v="EMP_1760HR"/>
    <x v="0"/>
    <x v="4"/>
    <n v="32632"/>
    <n v="12052"/>
    <n v="0"/>
    <n v="0"/>
    <s v="10/20/2019"/>
    <s v="10/20/2019"/>
    <d v="2026-02-11T00:00:00"/>
    <e v="#VALUE!"/>
    <n v="4"/>
    <n v="44684"/>
    <n v="22342"/>
    <s v=" Not Achieved"/>
    <s v="Average"/>
  </r>
  <r>
    <x v="1760"/>
    <x v="1760"/>
    <s v="EMP_1761"/>
    <x v="0"/>
    <s v="EMP_1761IT"/>
    <x v="3"/>
    <x v="0"/>
    <n v="77242"/>
    <n v="6881"/>
    <n v="0"/>
    <n v="0"/>
    <s v="10/17/2023"/>
    <s v="10/17/2023"/>
    <d v="2026-02-11T00:00:00"/>
    <e v="#VALUE!"/>
    <n v="3"/>
    <n v="84123"/>
    <n v="42061.5"/>
    <s v=" Not Achieved"/>
    <s v=" Excellent"/>
  </r>
  <r>
    <x v="1761"/>
    <x v="1761"/>
    <s v="EMP_1762"/>
    <x v="0"/>
    <s v="EMP_1762Finance"/>
    <x v="2"/>
    <x v="2"/>
    <n v="23895"/>
    <n v="3683"/>
    <n v="0"/>
    <n v="0"/>
    <s v="3/14/2023"/>
    <s v="3/14/2023"/>
    <d v="2026-02-11T00:00:00"/>
    <e v="#VALUE!"/>
    <n v="1"/>
    <n v="27578"/>
    <n v="13789"/>
    <s v=" Not Achieved"/>
    <s v="poor"/>
  </r>
  <r>
    <x v="1762"/>
    <x v="1762"/>
    <s v="EMP_1763"/>
    <x v="1"/>
    <s v="EMP_1763IT"/>
    <x v="3"/>
    <x v="4"/>
    <n v="54613"/>
    <n v="10609"/>
    <n v="0"/>
    <n v="0"/>
    <d v="2018-06-01T00:00:00"/>
    <s v="2018"/>
    <d v="2026-02-11T00:00:00"/>
    <n v="7"/>
    <n v="3"/>
    <n v="65222"/>
    <n v="32611"/>
    <s v=" Not Achieved"/>
    <s v=" Excellent"/>
  </r>
  <r>
    <x v="1763"/>
    <x v="1763"/>
    <s v="EMP_1764"/>
    <x v="0"/>
    <s v="EMP_1764Sales"/>
    <x v="1"/>
    <x v="0"/>
    <n v="24325"/>
    <n v="2798"/>
    <n v="269140"/>
    <n v="174356"/>
    <s v="3/15/2023"/>
    <s v="3/15/2023"/>
    <d v="2026-02-11T00:00:00"/>
    <e v="#VALUE!"/>
    <n v="3"/>
    <n v="27123"/>
    <n v="13561.5"/>
    <s v="Achieved"/>
    <s v="poor"/>
  </r>
  <r>
    <x v="1764"/>
    <x v="1764"/>
    <s v="EMP_1765"/>
    <x v="1"/>
    <s v="EMP_1765IT"/>
    <x v="3"/>
    <x v="3"/>
    <n v="39152"/>
    <n v="13824"/>
    <n v="0"/>
    <n v="0"/>
    <s v="7/22/2023"/>
    <s v="7/22/2023"/>
    <d v="2026-02-11T00:00:00"/>
    <e v="#VALUE!"/>
    <n v="1"/>
    <n v="52976"/>
    <n v="26488"/>
    <s v=" Not Achieved"/>
    <s v="Average"/>
  </r>
  <r>
    <x v="1765"/>
    <x v="1765"/>
    <s v="EMP_1766"/>
    <x v="1"/>
    <s v="EMP_1766Marketing"/>
    <x v="4"/>
    <x v="1"/>
    <n v="23461"/>
    <n v="9197"/>
    <n v="0"/>
    <n v="0"/>
    <s v="10/26/2019"/>
    <s v="10/26/2019"/>
    <d v="2026-02-11T00:00:00"/>
    <e v="#VALUE!"/>
    <n v="4"/>
    <n v="32658"/>
    <n v="16329"/>
    <s v=" Not Achieved"/>
    <s v="poor"/>
  </r>
  <r>
    <x v="1766"/>
    <x v="1766"/>
    <s v="EMP_1767"/>
    <x v="0"/>
    <s v="EMP_1767HR"/>
    <x v="0"/>
    <x v="4"/>
    <n v="27729"/>
    <n v="11004"/>
    <n v="0"/>
    <n v="0"/>
    <s v="3/21/2018"/>
    <s v="3/21/2018"/>
    <d v="2026-02-11T00:00:00"/>
    <e v="#VALUE!"/>
    <n v="4"/>
    <n v="38733"/>
    <n v="19366.5"/>
    <s v=" Not Achieved"/>
    <s v="poor"/>
  </r>
  <r>
    <x v="1767"/>
    <x v="1767"/>
    <s v="EMP_1768"/>
    <x v="1"/>
    <s v="EMP_1768HR"/>
    <x v="0"/>
    <x v="0"/>
    <n v="60207"/>
    <n v="6961"/>
    <n v="0"/>
    <n v="0"/>
    <d v="2022-04-11T00:00:00"/>
    <s v="2022"/>
    <d v="2026-02-11T00:00:00"/>
    <n v="3"/>
    <n v="1"/>
    <n v="67168"/>
    <n v="33584"/>
    <s v=" Not Achieved"/>
    <s v=" Excellent"/>
  </r>
  <r>
    <x v="1768"/>
    <x v="1768"/>
    <s v="EMP_1769"/>
    <x v="1"/>
    <s v="EMP_1769Finance"/>
    <x v="2"/>
    <x v="0"/>
    <n v="20529"/>
    <n v="13573"/>
    <n v="0"/>
    <n v="0"/>
    <d v="2022-10-07T00:00:00"/>
    <s v="2022"/>
    <d v="2026-02-11T00:00:00"/>
    <n v="3"/>
    <n v="3"/>
    <n v="34102"/>
    <n v="17051"/>
    <s v=" Not Achieved"/>
    <s v="poor"/>
  </r>
  <r>
    <x v="1769"/>
    <x v="1769"/>
    <s v="EMP_1770"/>
    <x v="0"/>
    <s v="EMP_1770Marketing"/>
    <x v="4"/>
    <x v="0"/>
    <n v="57855"/>
    <n v="4194"/>
    <n v="0"/>
    <n v="0"/>
    <s v="2/28/2024"/>
    <s v="2/28/2024"/>
    <d v="2026-02-11T00:00:00"/>
    <e v="#VALUE!"/>
    <n v="4"/>
    <n v="62049"/>
    <n v="31024.5"/>
    <s v=" Not Achieved"/>
    <s v=" Excellent"/>
  </r>
  <r>
    <x v="1770"/>
    <x v="1770"/>
    <s v="EMP_1771"/>
    <x v="1"/>
    <s v="EMP_1771Finance"/>
    <x v="2"/>
    <x v="3"/>
    <n v="56840"/>
    <n v="2464"/>
    <n v="0"/>
    <n v="0"/>
    <s v="2/27/2020"/>
    <s v="2/27/2020"/>
    <d v="2026-02-11T00:00:00"/>
    <e v="#VALUE!"/>
    <n v="4"/>
    <n v="59304"/>
    <n v="29652"/>
    <s v=" Not Achieved"/>
    <s v=" Excellent"/>
  </r>
  <r>
    <x v="1771"/>
    <x v="1771"/>
    <s v="EMP_1772"/>
    <x v="1"/>
    <s v="EMP_1772Finance"/>
    <x v="2"/>
    <x v="3"/>
    <n v="54034"/>
    <n v="2801"/>
    <n v="0"/>
    <n v="0"/>
    <s v="12/24/2023"/>
    <s v="12/24/2023"/>
    <d v="2026-02-11T00:00:00"/>
    <e v="#VALUE!"/>
    <n v="1"/>
    <n v="56835"/>
    <n v="28417.5"/>
    <s v=" Not Achieved"/>
    <s v=" Excellent"/>
  </r>
  <r>
    <x v="1772"/>
    <x v="1772"/>
    <s v="EMP_1773"/>
    <x v="0"/>
    <s v="EMP_1773Sales"/>
    <x v="1"/>
    <x v="0"/>
    <n v="48047"/>
    <n v="3249"/>
    <n v="122808"/>
    <n v="138971"/>
    <d v="2020-08-04T00:00:00"/>
    <s v="2020"/>
    <d v="2026-02-11T00:00:00"/>
    <n v="5"/>
    <n v="4"/>
    <n v="51296"/>
    <n v="25648"/>
    <s v=" Not Achieved"/>
    <s v="Good"/>
  </r>
  <r>
    <x v="1773"/>
    <x v="1773"/>
    <s v="EMP_1774"/>
    <x v="0"/>
    <s v="EMP_1774IT"/>
    <x v="3"/>
    <x v="3"/>
    <n v="73777"/>
    <n v="7506"/>
    <n v="0"/>
    <n v="0"/>
    <d v="2024-11-07T00:00:00"/>
    <s v="2024"/>
    <d v="2026-02-11T00:00:00"/>
    <n v="1"/>
    <n v="3"/>
    <n v="81283"/>
    <n v="40641.5"/>
    <s v=" Not Achieved"/>
    <s v=" Excellent"/>
  </r>
  <r>
    <x v="1774"/>
    <x v="1774"/>
    <s v="EMP_1775"/>
    <x v="0"/>
    <s v="EMP_1775Finance"/>
    <x v="2"/>
    <x v="1"/>
    <n v="26141"/>
    <n v="14495"/>
    <n v="0"/>
    <n v="0"/>
    <d v="2023-03-10T00:00:00"/>
    <s v="2023"/>
    <d v="2026-02-11T00:00:00"/>
    <n v="2"/>
    <n v="5"/>
    <n v="40636"/>
    <n v="20318"/>
    <s v=" Not Achieved"/>
    <s v="poor"/>
  </r>
  <r>
    <x v="1775"/>
    <x v="1775"/>
    <s v="EMP_1776"/>
    <x v="0"/>
    <s v="EMP_1776Finance"/>
    <x v="2"/>
    <x v="3"/>
    <n v="70866"/>
    <n v="12437"/>
    <n v="0"/>
    <n v="0"/>
    <s v="7/26/2021"/>
    <s v="7/26/2021"/>
    <d v="2026-02-11T00:00:00"/>
    <e v="#VALUE!"/>
    <n v="1"/>
    <n v="83303"/>
    <n v="41651.5"/>
    <s v=" Not Achieved"/>
    <s v=" Excellent"/>
  </r>
  <r>
    <x v="1776"/>
    <x v="1776"/>
    <s v="EMP_1777"/>
    <x v="0"/>
    <s v="EMP_1777IT"/>
    <x v="3"/>
    <x v="4"/>
    <n v="31065"/>
    <n v="5392"/>
    <n v="0"/>
    <n v="0"/>
    <d v="2020-03-08T00:00:00"/>
    <s v="2020"/>
    <d v="2026-02-11T00:00:00"/>
    <n v="5"/>
    <n v="1"/>
    <n v="36457"/>
    <n v="18228.5"/>
    <s v=" Not Achieved"/>
    <s v="Average"/>
  </r>
  <r>
    <x v="1777"/>
    <x v="1777"/>
    <s v="EMP_1778"/>
    <x v="0"/>
    <s v="EMP_1778HR"/>
    <x v="0"/>
    <x v="0"/>
    <n v="34661"/>
    <n v="2565"/>
    <n v="0"/>
    <n v="0"/>
    <s v="3/26/2023"/>
    <s v="3/26/2023"/>
    <d v="2026-02-11T00:00:00"/>
    <e v="#VALUE!"/>
    <n v="1"/>
    <n v="37226"/>
    <n v="18613"/>
    <s v=" Not Achieved"/>
    <s v="Average"/>
  </r>
  <r>
    <x v="1778"/>
    <x v="1778"/>
    <s v="EMP_1779"/>
    <x v="1"/>
    <s v="EMP_1779Sales"/>
    <x v="1"/>
    <x v="0"/>
    <n v="66102"/>
    <n v="4184"/>
    <n v="275363"/>
    <n v="241099"/>
    <s v="5/31/2022"/>
    <s v="5/31/2022"/>
    <d v="2026-02-11T00:00:00"/>
    <e v="#VALUE!"/>
    <n v="1"/>
    <n v="70286"/>
    <n v="35143"/>
    <s v="Achieved"/>
    <s v=" Excellent"/>
  </r>
  <r>
    <x v="1779"/>
    <x v="1779"/>
    <s v="EMP_1780"/>
    <x v="0"/>
    <s v="EMP_1780HR"/>
    <x v="0"/>
    <x v="2"/>
    <n v="61445"/>
    <n v="12039"/>
    <n v="0"/>
    <n v="0"/>
    <d v="2018-05-10T00:00:00"/>
    <s v="2018"/>
    <d v="2026-02-11T00:00:00"/>
    <n v="7"/>
    <n v="5"/>
    <n v="73484"/>
    <n v="36742"/>
    <s v=" Not Achieved"/>
    <s v=" Excellent"/>
  </r>
  <r>
    <x v="1780"/>
    <x v="1780"/>
    <s v="EMP_1781"/>
    <x v="1"/>
    <s v="EMP_1781Marketing"/>
    <x v="4"/>
    <x v="4"/>
    <n v="66821"/>
    <n v="6746"/>
    <n v="0"/>
    <n v="0"/>
    <d v="2020-05-08T00:00:00"/>
    <s v="2020"/>
    <d v="2026-02-11T00:00:00"/>
    <n v="5"/>
    <n v="4"/>
    <n v="73567"/>
    <n v="36783.5"/>
    <s v=" Not Achieved"/>
    <s v=" Excellent"/>
  </r>
  <r>
    <x v="1781"/>
    <x v="1781"/>
    <s v="EMP_1782"/>
    <x v="0"/>
    <s v="EMP_1782Sales"/>
    <x v="1"/>
    <x v="4"/>
    <n v="28945"/>
    <n v="14121"/>
    <n v="175891"/>
    <n v="161218"/>
    <s v="5/23/2022"/>
    <s v="5/23/2022"/>
    <d v="2026-02-11T00:00:00"/>
    <e v="#VALUE!"/>
    <n v="1"/>
    <n v="43066"/>
    <n v="21533"/>
    <s v="Achieved"/>
    <s v="poor"/>
  </r>
  <r>
    <x v="1782"/>
    <x v="1782"/>
    <s v="EMP_1783"/>
    <x v="1"/>
    <s v="EMP_1783Sales"/>
    <x v="1"/>
    <x v="3"/>
    <n v="29311"/>
    <n v="4056"/>
    <n v="252952"/>
    <n v="101779"/>
    <d v="2024-09-03T00:00:00"/>
    <s v="2024"/>
    <d v="2026-02-11T00:00:00"/>
    <n v="1"/>
    <n v="2"/>
    <n v="33367"/>
    <n v="16683.5"/>
    <s v="Achieved"/>
    <s v="poor"/>
  </r>
  <r>
    <x v="1783"/>
    <x v="1783"/>
    <s v="EMP_1784"/>
    <x v="1"/>
    <s v="EMP_1784Marketing"/>
    <x v="4"/>
    <x v="3"/>
    <n v="59624"/>
    <n v="7426"/>
    <n v="0"/>
    <n v="0"/>
    <s v="10/23/2022"/>
    <s v="10/23/2022"/>
    <d v="2026-02-11T00:00:00"/>
    <e v="#VALUE!"/>
    <n v="3"/>
    <n v="67050"/>
    <n v="33525"/>
    <s v=" Not Achieved"/>
    <s v=" Excellent"/>
  </r>
  <r>
    <x v="1784"/>
    <x v="1784"/>
    <s v="EMP_1785"/>
    <x v="1"/>
    <s v="EMP_1785Marketing"/>
    <x v="4"/>
    <x v="2"/>
    <n v="58065"/>
    <n v="10302"/>
    <n v="0"/>
    <n v="0"/>
    <s v="7/25/2020"/>
    <s v="7/25/2020"/>
    <d v="2026-02-11T00:00:00"/>
    <e v="#VALUE!"/>
    <n v="4"/>
    <n v="68367"/>
    <n v="34183.5"/>
    <s v=" Not Achieved"/>
    <s v=" Excellent"/>
  </r>
  <r>
    <x v="1785"/>
    <x v="1785"/>
    <s v="EMP_1786"/>
    <x v="0"/>
    <s v="EMP_1786Marketing"/>
    <x v="4"/>
    <x v="1"/>
    <n v="58049"/>
    <n v="9413"/>
    <n v="0"/>
    <n v="0"/>
    <s v="2/21/2024"/>
    <s v="2/21/2024"/>
    <d v="2026-02-11T00:00:00"/>
    <e v="#VALUE!"/>
    <n v="3"/>
    <n v="67462"/>
    <n v="33731"/>
    <s v=" Not Achieved"/>
    <s v=" Excellent"/>
  </r>
  <r>
    <x v="1786"/>
    <x v="1786"/>
    <s v="EMP_1787"/>
    <x v="1"/>
    <s v="EMP_1787Finance"/>
    <x v="2"/>
    <x v="3"/>
    <n v="63829"/>
    <n v="10532"/>
    <n v="0"/>
    <n v="0"/>
    <s v="8/20/2019"/>
    <s v="8/20/2019"/>
    <d v="2026-02-11T00:00:00"/>
    <e v="#VALUE!"/>
    <n v="4"/>
    <n v="74361"/>
    <n v="37180.5"/>
    <s v=" Not Achieved"/>
    <s v=" Excellent"/>
  </r>
  <r>
    <x v="1787"/>
    <x v="1787"/>
    <s v="EMP_1788"/>
    <x v="0"/>
    <s v="EMP_1788IT"/>
    <x v="3"/>
    <x v="0"/>
    <n v="74462"/>
    <n v="14623"/>
    <n v="0"/>
    <n v="0"/>
    <d v="2019-03-02T00:00:00"/>
    <s v="2019"/>
    <d v="2026-02-11T00:00:00"/>
    <n v="6"/>
    <n v="2"/>
    <n v="89085"/>
    <n v="44542.5"/>
    <s v=" Not Achieved"/>
    <s v=" Excellent"/>
  </r>
  <r>
    <x v="1788"/>
    <x v="1788"/>
    <s v="EMP_1789"/>
    <x v="1"/>
    <s v="EMP_1789Sales"/>
    <x v="1"/>
    <x v="0"/>
    <n v="52106"/>
    <n v="13639"/>
    <n v="134362"/>
    <n v="231006"/>
    <d v="2022-01-12T00:00:00"/>
    <s v="2022"/>
    <d v="2026-02-11T00:00:00"/>
    <n v="4"/>
    <n v="2"/>
    <n v="65745"/>
    <n v="32872.5"/>
    <s v=" Not Achieved"/>
    <s v=" Excellent"/>
  </r>
  <r>
    <x v="1789"/>
    <x v="1789"/>
    <s v="EMP_1790"/>
    <x v="1"/>
    <s v="EMP_1790Sales"/>
    <x v="1"/>
    <x v="3"/>
    <n v="78266"/>
    <n v="5592"/>
    <n v="290347"/>
    <n v="121414"/>
    <s v="2/29/2024"/>
    <s v="2/29/2024"/>
    <d v="2026-02-11T00:00:00"/>
    <e v="#VALUE!"/>
    <n v="3"/>
    <n v="83858"/>
    <n v="41929"/>
    <s v="Achieved"/>
    <s v=" Excellent"/>
  </r>
  <r>
    <x v="1790"/>
    <x v="1790"/>
    <s v="EMP_1791"/>
    <x v="1"/>
    <s v="EMP_1791HR"/>
    <x v="0"/>
    <x v="1"/>
    <n v="52320"/>
    <n v="12716"/>
    <n v="0"/>
    <n v="0"/>
    <s v="4/29/2022"/>
    <s v="4/29/2022"/>
    <d v="2026-02-11T00:00:00"/>
    <e v="#VALUE!"/>
    <n v="4"/>
    <n v="65036"/>
    <n v="32518"/>
    <s v=" Not Achieved"/>
    <s v=" Excellent"/>
  </r>
  <r>
    <x v="1791"/>
    <x v="1791"/>
    <s v="EMP_1792"/>
    <x v="0"/>
    <s v="EMP_1792HR"/>
    <x v="0"/>
    <x v="3"/>
    <n v="52452"/>
    <n v="7153"/>
    <n v="0"/>
    <n v="0"/>
    <s v="10/26/2019"/>
    <s v="10/26/2019"/>
    <d v="2026-02-11T00:00:00"/>
    <e v="#VALUE!"/>
    <n v="4"/>
    <n v="59605"/>
    <n v="29802.5"/>
    <s v=" Not Achieved"/>
    <s v=" Excellent"/>
  </r>
  <r>
    <x v="1792"/>
    <x v="1792"/>
    <s v="EMP_1793"/>
    <x v="1"/>
    <s v="EMP_1793Finance"/>
    <x v="2"/>
    <x v="0"/>
    <n v="57057"/>
    <n v="5613"/>
    <n v="0"/>
    <n v="0"/>
    <s v="10/22/2021"/>
    <s v="10/22/2021"/>
    <d v="2026-02-11T00:00:00"/>
    <e v="#VALUE!"/>
    <n v="1"/>
    <n v="62670"/>
    <n v="31335"/>
    <s v=" Not Achieved"/>
    <s v=" Excellent"/>
  </r>
  <r>
    <x v="1793"/>
    <x v="1793"/>
    <s v="EMP_1794"/>
    <x v="0"/>
    <s v="EMP_1794Sales"/>
    <x v="1"/>
    <x v="0"/>
    <n v="49654"/>
    <n v="2171"/>
    <n v="217679"/>
    <n v="210827"/>
    <d v="2019-02-02T00:00:00"/>
    <s v="2019"/>
    <d v="2026-02-11T00:00:00"/>
    <n v="7"/>
    <n v="5"/>
    <n v="51825"/>
    <n v="25912.5"/>
    <s v="Achieved"/>
    <s v="Good"/>
  </r>
  <r>
    <x v="1794"/>
    <x v="1794"/>
    <s v="EMP_1795"/>
    <x v="1"/>
    <s v="EMP_1795HR"/>
    <x v="0"/>
    <x v="3"/>
    <n v="46470"/>
    <n v="3769"/>
    <n v="0"/>
    <n v="0"/>
    <d v="2024-06-12T00:00:00"/>
    <s v="2024"/>
    <d v="2026-02-11T00:00:00"/>
    <n v="1"/>
    <n v="1"/>
    <n v="50239"/>
    <n v="25119.5"/>
    <s v=" Not Achieved"/>
    <s v="Good"/>
  </r>
  <r>
    <x v="1795"/>
    <x v="1795"/>
    <s v="EMP_1796"/>
    <x v="0"/>
    <s v="EMP_1796IT"/>
    <x v="3"/>
    <x v="0"/>
    <n v="53614"/>
    <n v="9739"/>
    <n v="0"/>
    <n v="0"/>
    <d v="2024-04-03T00:00:00"/>
    <s v="2024"/>
    <d v="2026-02-11T00:00:00"/>
    <n v="1"/>
    <n v="4"/>
    <n v="63353"/>
    <n v="31676.5"/>
    <s v=" Not Achieved"/>
    <s v=" Excellent"/>
  </r>
  <r>
    <x v="1796"/>
    <x v="1796"/>
    <s v="EMP_1797"/>
    <x v="0"/>
    <s v="EMP_1797Marketing"/>
    <x v="4"/>
    <x v="1"/>
    <n v="54596"/>
    <n v="6239"/>
    <n v="0"/>
    <n v="0"/>
    <d v="2022-01-11T00:00:00"/>
    <s v="2022"/>
    <d v="2026-02-11T00:00:00"/>
    <n v="4"/>
    <n v="5"/>
    <n v="60835"/>
    <n v="30417.5"/>
    <s v=" Not Achieved"/>
    <s v=" Excellent"/>
  </r>
  <r>
    <x v="1797"/>
    <x v="1797"/>
    <s v="EMP_1798"/>
    <x v="1"/>
    <s v="EMP_1798Sales"/>
    <x v="1"/>
    <x v="2"/>
    <n v="58869"/>
    <n v="7100"/>
    <n v="55626"/>
    <n v="199110"/>
    <d v="2020-07-08T00:00:00"/>
    <s v="2020"/>
    <d v="2026-02-11T00:00:00"/>
    <n v="5"/>
    <n v="1"/>
    <n v="65969"/>
    <n v="32984.5"/>
    <s v=" Not Achieved"/>
    <s v=" Excellent"/>
  </r>
  <r>
    <x v="1798"/>
    <x v="1798"/>
    <s v="EMP_1799"/>
    <x v="0"/>
    <s v="EMP_1799Sales"/>
    <x v="1"/>
    <x v="4"/>
    <n v="55806"/>
    <n v="3316"/>
    <n v="187079"/>
    <n v="239863"/>
    <d v="2022-04-04T00:00:00"/>
    <s v="2022"/>
    <d v="2026-02-11T00:00:00"/>
    <n v="3"/>
    <n v="2"/>
    <n v="59122"/>
    <n v="29561"/>
    <s v=" Not Achieved"/>
    <s v=" Excellent"/>
  </r>
  <r>
    <x v="1799"/>
    <x v="1799"/>
    <s v="EMP_1800"/>
    <x v="1"/>
    <s v="EMP_1800Finance"/>
    <x v="2"/>
    <x v="2"/>
    <n v="21453"/>
    <n v="14162"/>
    <n v="0"/>
    <n v="0"/>
    <s v="11/23/2018"/>
    <s v="11/23/2018"/>
    <d v="2026-02-11T00:00:00"/>
    <e v="#VALUE!"/>
    <n v="2"/>
    <n v="35615"/>
    <n v="17807.5"/>
    <s v=" Not Achieved"/>
    <s v="poor"/>
  </r>
  <r>
    <x v="1800"/>
    <x v="1800"/>
    <s v="EMP_1801"/>
    <x v="0"/>
    <s v="EMP_1801Marketing"/>
    <x v="4"/>
    <x v="3"/>
    <n v="53620"/>
    <n v="6267"/>
    <n v="0"/>
    <n v="0"/>
    <s v="11/21/2019"/>
    <s v="11/21/2019"/>
    <d v="2026-02-11T00:00:00"/>
    <e v="#VALUE!"/>
    <n v="2"/>
    <n v="59887"/>
    <n v="29943.5"/>
    <s v=" Not Achieved"/>
    <s v=" Excellent"/>
  </r>
  <r>
    <x v="1801"/>
    <x v="1801"/>
    <s v="EMP_1802"/>
    <x v="0"/>
    <s v="EMP_1802Marketing"/>
    <x v="4"/>
    <x v="3"/>
    <n v="35025"/>
    <n v="10015"/>
    <n v="0"/>
    <n v="0"/>
    <d v="2024-10-02T00:00:00"/>
    <s v="2024"/>
    <d v="2026-02-11T00:00:00"/>
    <n v="1"/>
    <n v="3"/>
    <n v="45040"/>
    <n v="22520"/>
    <s v=" Not Achieved"/>
    <s v="Average"/>
  </r>
  <r>
    <x v="1802"/>
    <x v="1802"/>
    <s v="EMP_1803"/>
    <x v="1"/>
    <s v="EMP_1803HR"/>
    <x v="0"/>
    <x v="1"/>
    <n v="61520"/>
    <n v="4065"/>
    <n v="0"/>
    <n v="0"/>
    <d v="2021-02-07T00:00:00"/>
    <s v="2021"/>
    <d v="2026-02-11T00:00:00"/>
    <n v="5"/>
    <n v="1"/>
    <n v="65585"/>
    <n v="32792.5"/>
    <s v=" Not Achieved"/>
    <s v=" Excellent"/>
  </r>
  <r>
    <x v="1803"/>
    <x v="1803"/>
    <s v="EMP_1804"/>
    <x v="1"/>
    <s v="EMP_1804Finance"/>
    <x v="2"/>
    <x v="4"/>
    <n v="35708"/>
    <n v="4979"/>
    <n v="0"/>
    <n v="0"/>
    <d v="2021-06-02T00:00:00"/>
    <s v="2021"/>
    <d v="2026-02-11T00:00:00"/>
    <n v="4"/>
    <n v="2"/>
    <n v="40687"/>
    <n v="20343.5"/>
    <s v=" Not Achieved"/>
    <s v="Average"/>
  </r>
  <r>
    <x v="1804"/>
    <x v="1804"/>
    <s v="EMP_1805"/>
    <x v="0"/>
    <s v="EMP_1805Marketing"/>
    <x v="4"/>
    <x v="2"/>
    <n v="26041"/>
    <n v="2122"/>
    <n v="0"/>
    <n v="0"/>
    <s v="3/17/2021"/>
    <s v="3/17/2021"/>
    <d v="2026-02-11T00:00:00"/>
    <e v="#VALUE!"/>
    <n v="4"/>
    <n v="28163"/>
    <n v="14081.5"/>
    <s v=" Not Achieved"/>
    <s v="poor"/>
  </r>
  <r>
    <x v="1805"/>
    <x v="1805"/>
    <s v="EMP_1806"/>
    <x v="0"/>
    <s v="EMP_1806Marketing"/>
    <x v="4"/>
    <x v="0"/>
    <n v="64994"/>
    <n v="4161"/>
    <n v="0"/>
    <n v="0"/>
    <d v="2024-10-09T00:00:00"/>
    <s v="2024"/>
    <d v="2026-02-11T00:00:00"/>
    <n v="1"/>
    <n v="5"/>
    <n v="69155"/>
    <n v="34577.5"/>
    <s v=" Not Achieved"/>
    <s v=" Excellent"/>
  </r>
  <r>
    <x v="1806"/>
    <x v="1806"/>
    <s v="EMP_1807"/>
    <x v="1"/>
    <s v="EMP_1807HR"/>
    <x v="0"/>
    <x v="3"/>
    <n v="25402"/>
    <n v="11562"/>
    <n v="0"/>
    <n v="0"/>
    <d v="2024-09-06T00:00:00"/>
    <s v="2024"/>
    <d v="2026-02-11T00:00:00"/>
    <n v="1"/>
    <n v="2"/>
    <n v="36964"/>
    <n v="18482"/>
    <s v=" Not Achieved"/>
    <s v="poor"/>
  </r>
  <r>
    <x v="1807"/>
    <x v="1807"/>
    <s v="EMP_1808"/>
    <x v="1"/>
    <s v="EMP_1808IT"/>
    <x v="3"/>
    <x v="4"/>
    <n v="30324"/>
    <n v="2782"/>
    <n v="0"/>
    <n v="0"/>
    <s v="10/29/2022"/>
    <s v="10/29/2022"/>
    <d v="2026-02-11T00:00:00"/>
    <e v="#VALUE!"/>
    <n v="2"/>
    <n v="33106"/>
    <n v="16553"/>
    <s v=" Not Achieved"/>
    <s v="Average"/>
  </r>
  <r>
    <x v="1808"/>
    <x v="1808"/>
    <s v="EMP_1809"/>
    <x v="1"/>
    <s v="EMP_1809Finance"/>
    <x v="2"/>
    <x v="2"/>
    <n v="79404"/>
    <n v="14056"/>
    <n v="0"/>
    <n v="0"/>
    <s v="3/23/2024"/>
    <s v="3/23/2024"/>
    <d v="2026-02-11T00:00:00"/>
    <e v="#VALUE!"/>
    <n v="2"/>
    <n v="93460"/>
    <n v="46730"/>
    <s v=" Not Achieved"/>
    <s v=" Excellent"/>
  </r>
  <r>
    <x v="1809"/>
    <x v="1809"/>
    <s v="EMP_1810"/>
    <x v="0"/>
    <s v="EMP_1810HR"/>
    <x v="0"/>
    <x v="3"/>
    <n v="66538"/>
    <n v="11732"/>
    <n v="0"/>
    <n v="0"/>
    <d v="2019-11-07T00:00:00"/>
    <s v="2019"/>
    <d v="2026-02-11T00:00:00"/>
    <n v="6"/>
    <n v="5"/>
    <n v="78270"/>
    <n v="39135"/>
    <s v=" Not Achieved"/>
    <s v=" Excellent"/>
  </r>
  <r>
    <x v="1810"/>
    <x v="1810"/>
    <s v="EMP_1811"/>
    <x v="1"/>
    <s v="EMP_1811Sales"/>
    <x v="1"/>
    <x v="3"/>
    <n v="30853"/>
    <n v="5130"/>
    <n v="141669"/>
    <n v="218953"/>
    <s v="10/22/2019"/>
    <s v="10/22/2019"/>
    <d v="2026-02-11T00:00:00"/>
    <e v="#VALUE!"/>
    <n v="1"/>
    <n v="35983"/>
    <n v="17991.5"/>
    <s v=" Not Achieved"/>
    <s v="Average"/>
  </r>
  <r>
    <x v="1811"/>
    <x v="1811"/>
    <s v="EMP_1812"/>
    <x v="0"/>
    <s v="EMP_1812IT"/>
    <x v="3"/>
    <x v="3"/>
    <n v="66549"/>
    <n v="11198"/>
    <n v="0"/>
    <n v="0"/>
    <s v="4/18/2018"/>
    <s v="4/18/2018"/>
    <d v="2026-02-11T00:00:00"/>
    <e v="#VALUE!"/>
    <n v="2"/>
    <n v="77747"/>
    <n v="38873.5"/>
    <s v=" Not Achieved"/>
    <s v=" Excellent"/>
  </r>
  <r>
    <x v="1812"/>
    <x v="1812"/>
    <s v="EMP_1813"/>
    <x v="1"/>
    <s v="EMP_1813Sales"/>
    <x v="1"/>
    <x v="0"/>
    <n v="64334"/>
    <n v="6076"/>
    <n v="74630"/>
    <n v="239662"/>
    <d v="2018-07-05T00:00:00"/>
    <s v="2018"/>
    <d v="2026-02-11T00:00:00"/>
    <n v="7"/>
    <n v="5"/>
    <n v="70410"/>
    <n v="35205"/>
    <s v=" Not Achieved"/>
    <s v=" Excellent"/>
  </r>
  <r>
    <x v="1813"/>
    <x v="1813"/>
    <s v="EMP_1814"/>
    <x v="0"/>
    <s v="EMP_1814HR"/>
    <x v="0"/>
    <x v="0"/>
    <n v="60014"/>
    <n v="6207"/>
    <n v="0"/>
    <n v="0"/>
    <s v="3/23/2020"/>
    <s v="3/23/2020"/>
    <d v="2026-02-11T00:00:00"/>
    <e v="#VALUE!"/>
    <n v="3"/>
    <n v="66221"/>
    <n v="33110.5"/>
    <s v=" Not Achieved"/>
    <s v=" Excellent"/>
  </r>
  <r>
    <x v="1814"/>
    <x v="1814"/>
    <s v="EMP_1815"/>
    <x v="0"/>
    <s v="EMP_1815HR"/>
    <x v="0"/>
    <x v="2"/>
    <n v="31958"/>
    <n v="2740"/>
    <n v="0"/>
    <n v="0"/>
    <d v="2018-11-06T00:00:00"/>
    <s v="2018"/>
    <d v="2026-02-11T00:00:00"/>
    <n v="7"/>
    <n v="2"/>
    <n v="34698"/>
    <n v="17349"/>
    <s v=" Not Achieved"/>
    <s v="Average"/>
  </r>
  <r>
    <x v="1815"/>
    <x v="1815"/>
    <s v="EMP_1816"/>
    <x v="1"/>
    <s v="EMP_1816Sales"/>
    <x v="1"/>
    <x v="1"/>
    <n v="23143"/>
    <n v="3590"/>
    <n v="153439"/>
    <n v="187492"/>
    <s v="3/13/2022"/>
    <s v="3/13/2022"/>
    <d v="2026-02-11T00:00:00"/>
    <e v="#VALUE!"/>
    <n v="3"/>
    <n v="26733"/>
    <n v="13366.5"/>
    <s v=" Not Achieved"/>
    <s v="poor"/>
  </r>
  <r>
    <x v="1816"/>
    <x v="1816"/>
    <s v="EMP_1817"/>
    <x v="1"/>
    <s v="EMP_1817HR"/>
    <x v="0"/>
    <x v="0"/>
    <n v="41513"/>
    <n v="12166"/>
    <n v="0"/>
    <n v="0"/>
    <s v="9/14/2019"/>
    <s v="9/14/2019"/>
    <d v="2026-02-11T00:00:00"/>
    <e v="#VALUE!"/>
    <n v="1"/>
    <n v="53679"/>
    <n v="26839.5"/>
    <s v=" Not Achieved"/>
    <s v="Good"/>
  </r>
  <r>
    <x v="1817"/>
    <x v="1817"/>
    <s v="EMP_1818"/>
    <x v="0"/>
    <s v="EMP_1818Sales"/>
    <x v="1"/>
    <x v="2"/>
    <n v="54720"/>
    <n v="4104"/>
    <n v="256450"/>
    <n v="198682"/>
    <s v="12/29/2024"/>
    <s v="12/29/2024"/>
    <d v="2026-02-11T00:00:00"/>
    <e v="#VALUE!"/>
    <n v="3"/>
    <n v="58824"/>
    <n v="29412"/>
    <s v="Achieved"/>
    <s v=" Excellent"/>
  </r>
  <r>
    <x v="1818"/>
    <x v="1818"/>
    <s v="EMP_1819"/>
    <x v="1"/>
    <s v="EMP_1819Marketing"/>
    <x v="4"/>
    <x v="0"/>
    <n v="37076"/>
    <n v="10688"/>
    <n v="0"/>
    <n v="0"/>
    <d v="2022-09-05T00:00:00"/>
    <s v="2022"/>
    <d v="2026-02-11T00:00:00"/>
    <n v="3"/>
    <n v="4"/>
    <n v="47764"/>
    <n v="23882"/>
    <s v=" Not Achieved"/>
    <s v="Average"/>
  </r>
  <r>
    <x v="1819"/>
    <x v="1819"/>
    <s v="EMP_1820"/>
    <x v="1"/>
    <s v="EMP_1820HR"/>
    <x v="0"/>
    <x v="2"/>
    <n v="63708"/>
    <n v="2091"/>
    <n v="0"/>
    <n v="0"/>
    <s v="2/23/2023"/>
    <s v="2/23/2023"/>
    <d v="2026-02-11T00:00:00"/>
    <e v="#VALUE!"/>
    <n v="4"/>
    <n v="65799"/>
    <n v="32899.5"/>
    <s v=" Not Achieved"/>
    <s v=" Excellent"/>
  </r>
  <r>
    <x v="1820"/>
    <x v="1820"/>
    <s v="EMP_1821"/>
    <x v="0"/>
    <s v="EMP_1821HR"/>
    <x v="0"/>
    <x v="3"/>
    <n v="52030"/>
    <n v="12713"/>
    <n v="0"/>
    <n v="0"/>
    <s v="12/14/2018"/>
    <s v="12/14/2018"/>
    <d v="2026-02-11T00:00:00"/>
    <e v="#VALUE!"/>
    <n v="5"/>
    <n v="64743"/>
    <n v="32371.5"/>
    <s v=" Not Achieved"/>
    <s v=" Excellent"/>
  </r>
  <r>
    <x v="1821"/>
    <x v="1821"/>
    <s v="EMP_1822"/>
    <x v="0"/>
    <s v="EMP_1822IT"/>
    <x v="3"/>
    <x v="0"/>
    <n v="34378"/>
    <n v="3803"/>
    <n v="0"/>
    <n v="0"/>
    <s v="8/16/2021"/>
    <s v="8/16/2021"/>
    <d v="2026-02-11T00:00:00"/>
    <e v="#VALUE!"/>
    <n v="5"/>
    <n v="38181"/>
    <n v="19090.5"/>
    <s v=" Not Achieved"/>
    <s v="Average"/>
  </r>
  <r>
    <x v="1822"/>
    <x v="1822"/>
    <s v="EMP_1823"/>
    <x v="0"/>
    <s v="EMP_1823HR"/>
    <x v="0"/>
    <x v="1"/>
    <n v="48573"/>
    <n v="9297"/>
    <n v="0"/>
    <n v="0"/>
    <d v="2020-02-01T00:00:00"/>
    <s v="2020"/>
    <d v="2026-02-11T00:00:00"/>
    <n v="6"/>
    <n v="3"/>
    <n v="57870"/>
    <n v="28935"/>
    <s v=" Not Achieved"/>
    <s v="Good"/>
  </r>
  <r>
    <x v="1823"/>
    <x v="1823"/>
    <s v="EMP_1824"/>
    <x v="0"/>
    <s v="EMP_1824IT"/>
    <x v="3"/>
    <x v="1"/>
    <n v="23046"/>
    <n v="7303"/>
    <n v="0"/>
    <n v="0"/>
    <d v="2020-06-04T00:00:00"/>
    <s v="2020"/>
    <d v="2026-02-11T00:00:00"/>
    <n v="5"/>
    <n v="1"/>
    <n v="30349"/>
    <n v="15174.5"/>
    <s v=" Not Achieved"/>
    <s v="poor"/>
  </r>
  <r>
    <x v="1824"/>
    <x v="1824"/>
    <s v="EMP_1825"/>
    <x v="0"/>
    <s v="EMP_1825Sales"/>
    <x v="1"/>
    <x v="4"/>
    <n v="27459"/>
    <n v="4379"/>
    <n v="58644"/>
    <n v="209045"/>
    <s v="6/28/2019"/>
    <s v="6/28/2019"/>
    <d v="2026-02-11T00:00:00"/>
    <e v="#VALUE!"/>
    <n v="4"/>
    <n v="31838"/>
    <n v="15919"/>
    <s v=" Not Achieved"/>
    <s v="poor"/>
  </r>
  <r>
    <x v="1825"/>
    <x v="1825"/>
    <s v="EMP_1826"/>
    <x v="0"/>
    <s v="EMP_1826Finance"/>
    <x v="2"/>
    <x v="0"/>
    <n v="55153"/>
    <n v="9007"/>
    <n v="0"/>
    <n v="0"/>
    <d v="2018-04-02T00:00:00"/>
    <s v="2018"/>
    <d v="2026-02-11T00:00:00"/>
    <n v="7"/>
    <n v="2"/>
    <n v="64160"/>
    <n v="32080"/>
    <s v=" Not Achieved"/>
    <s v=" Excellent"/>
  </r>
  <r>
    <x v="1826"/>
    <x v="1826"/>
    <s v="EMP_1827"/>
    <x v="1"/>
    <s v="EMP_1827Sales"/>
    <x v="1"/>
    <x v="1"/>
    <n v="67901"/>
    <n v="14084"/>
    <n v="53631"/>
    <n v="120767"/>
    <d v="2024-04-03T00:00:00"/>
    <s v="2024"/>
    <d v="2026-02-11T00:00:00"/>
    <n v="1"/>
    <n v="3"/>
    <n v="81985"/>
    <n v="40992.5"/>
    <s v=" Not Achieved"/>
    <s v=" Excellent"/>
  </r>
  <r>
    <x v="1827"/>
    <x v="1827"/>
    <s v="EMP_1828"/>
    <x v="1"/>
    <s v="EMP_1828Marketing"/>
    <x v="4"/>
    <x v="4"/>
    <n v="41453"/>
    <n v="2337"/>
    <n v="0"/>
    <n v="0"/>
    <d v="2023-07-08T00:00:00"/>
    <s v="2023"/>
    <d v="2026-02-11T00:00:00"/>
    <n v="2"/>
    <n v="2"/>
    <n v="43790"/>
    <n v="21895"/>
    <s v=" Not Achieved"/>
    <s v="Good"/>
  </r>
  <r>
    <x v="1828"/>
    <x v="1828"/>
    <s v="EMP_1829"/>
    <x v="0"/>
    <s v="EMP_1829Sales"/>
    <x v="1"/>
    <x v="4"/>
    <n v="37870"/>
    <n v="13963"/>
    <n v="149499"/>
    <n v="144994"/>
    <s v="1/15/2021"/>
    <s v="1/15/2021"/>
    <d v="2026-02-11T00:00:00"/>
    <e v="#VALUE!"/>
    <n v="2"/>
    <n v="51833"/>
    <n v="25916.5"/>
    <s v="Achieved"/>
    <s v="Average"/>
  </r>
  <r>
    <x v="1829"/>
    <x v="1829"/>
    <s v="EMP_1830"/>
    <x v="0"/>
    <s v="EMP_1830IT"/>
    <x v="3"/>
    <x v="1"/>
    <n v="65240"/>
    <n v="2148"/>
    <n v="0"/>
    <n v="0"/>
    <s v="8/24/2021"/>
    <s v="8/24/2021"/>
    <d v="2026-02-11T00:00:00"/>
    <e v="#VALUE!"/>
    <n v="4"/>
    <n v="67388"/>
    <n v="33694"/>
    <s v=" Not Achieved"/>
    <s v=" Excellent"/>
  </r>
  <r>
    <x v="1830"/>
    <x v="1830"/>
    <s v="EMP_1831"/>
    <x v="0"/>
    <s v="EMP_1831IT"/>
    <x v="3"/>
    <x v="0"/>
    <n v="31845"/>
    <n v="13253"/>
    <n v="0"/>
    <n v="0"/>
    <s v="5/14/2022"/>
    <s v="5/14/2022"/>
    <d v="2026-02-11T00:00:00"/>
    <e v="#VALUE!"/>
    <n v="3"/>
    <n v="45098"/>
    <n v="22549"/>
    <s v=" Not Achieved"/>
    <s v="Average"/>
  </r>
  <r>
    <x v="1831"/>
    <x v="1831"/>
    <s v="EMP_1832"/>
    <x v="0"/>
    <s v="EMP_1832Finance"/>
    <x v="2"/>
    <x v="4"/>
    <n v="20993"/>
    <n v="6076"/>
    <n v="0"/>
    <n v="0"/>
    <s v="6/30/2018"/>
    <s v="6/30/2018"/>
    <d v="2026-02-11T00:00:00"/>
    <e v="#VALUE!"/>
    <n v="3"/>
    <n v="27069"/>
    <n v="13534.5"/>
    <s v=" Not Achieved"/>
    <s v="poor"/>
  </r>
  <r>
    <x v="1832"/>
    <x v="1832"/>
    <s v="EMP_1833"/>
    <x v="0"/>
    <s v="EMP_1833IT"/>
    <x v="3"/>
    <x v="3"/>
    <n v="51619"/>
    <n v="3749"/>
    <n v="0"/>
    <n v="0"/>
    <s v="8/28/2021"/>
    <s v="8/28/2021"/>
    <d v="2026-02-11T00:00:00"/>
    <e v="#VALUE!"/>
    <n v="4"/>
    <n v="55368"/>
    <n v="27684"/>
    <s v=" Not Achieved"/>
    <s v=" Excellent"/>
  </r>
  <r>
    <x v="1833"/>
    <x v="1833"/>
    <s v="EMP_1834"/>
    <x v="0"/>
    <s v="EMP_1834Sales"/>
    <x v="1"/>
    <x v="2"/>
    <n v="21301"/>
    <n v="9090"/>
    <n v="108351"/>
    <n v="83992"/>
    <s v="11/29/2018"/>
    <s v="11/29/2018"/>
    <d v="2026-02-11T00:00:00"/>
    <e v="#VALUE!"/>
    <n v="3"/>
    <n v="30391"/>
    <n v="15195.5"/>
    <s v="Achieved"/>
    <s v="poor"/>
  </r>
  <r>
    <x v="1834"/>
    <x v="1834"/>
    <s v="EMP_1835"/>
    <x v="0"/>
    <s v="EMP_1835Finance"/>
    <x v="2"/>
    <x v="3"/>
    <n v="29852"/>
    <n v="3391"/>
    <n v="0"/>
    <n v="0"/>
    <d v="2019-11-06T00:00:00"/>
    <s v="2019"/>
    <d v="2026-02-11T00:00:00"/>
    <n v="6"/>
    <n v="5"/>
    <n v="33243"/>
    <n v="16621.5"/>
    <s v=" Not Achieved"/>
    <s v="poor"/>
  </r>
  <r>
    <x v="1835"/>
    <x v="1835"/>
    <s v="EMP_1836"/>
    <x v="1"/>
    <s v="EMP_1836Marketing"/>
    <x v="4"/>
    <x v="3"/>
    <n v="52460"/>
    <n v="11897"/>
    <n v="0"/>
    <n v="0"/>
    <s v="1/18/2020"/>
    <s v="1/18/2020"/>
    <d v="2026-02-11T00:00:00"/>
    <e v="#VALUE!"/>
    <n v="5"/>
    <n v="64357"/>
    <n v="32178.5"/>
    <s v=" Not Achieved"/>
    <s v=" Excellent"/>
  </r>
  <r>
    <x v="1836"/>
    <x v="1836"/>
    <s v="EMP_1837"/>
    <x v="0"/>
    <s v="EMP_1837IT"/>
    <x v="3"/>
    <x v="2"/>
    <n v="55810"/>
    <n v="12343"/>
    <n v="0"/>
    <n v="0"/>
    <s v="2/14/2020"/>
    <s v="2/14/2020"/>
    <d v="2026-02-11T00:00:00"/>
    <e v="#VALUE!"/>
    <n v="2"/>
    <n v="68153"/>
    <n v="34076.5"/>
    <s v=" Not Achieved"/>
    <s v=" Excellent"/>
  </r>
  <r>
    <x v="1837"/>
    <x v="1837"/>
    <s v="EMP_1838"/>
    <x v="0"/>
    <s v="EMP_1838IT"/>
    <x v="3"/>
    <x v="1"/>
    <n v="50497"/>
    <n v="14577"/>
    <n v="0"/>
    <n v="0"/>
    <s v="2/14/2020"/>
    <s v="2/14/2020"/>
    <d v="2026-02-11T00:00:00"/>
    <e v="#VALUE!"/>
    <n v="4"/>
    <n v="65074"/>
    <n v="32537"/>
    <s v=" Not Achieved"/>
    <s v=" Excellent"/>
  </r>
  <r>
    <x v="1838"/>
    <x v="1838"/>
    <s v="EMP_1839"/>
    <x v="0"/>
    <s v="EMP_1839Finance"/>
    <x v="2"/>
    <x v="2"/>
    <n v="60963"/>
    <n v="9496"/>
    <n v="0"/>
    <n v="0"/>
    <s v="8/24/2024"/>
    <s v="8/24/2024"/>
    <d v="2026-02-11T00:00:00"/>
    <e v="#VALUE!"/>
    <n v="3"/>
    <n v="70459"/>
    <n v="35229.5"/>
    <s v=" Not Achieved"/>
    <s v=" Excellent"/>
  </r>
  <r>
    <x v="1839"/>
    <x v="1839"/>
    <s v="EMP_1840"/>
    <x v="1"/>
    <s v="EMP_1840Finance"/>
    <x v="2"/>
    <x v="2"/>
    <n v="41087"/>
    <n v="2712"/>
    <n v="0"/>
    <n v="0"/>
    <s v="11/18/2022"/>
    <s v="11/18/2022"/>
    <d v="2026-02-11T00:00:00"/>
    <e v="#VALUE!"/>
    <n v="1"/>
    <n v="43799"/>
    <n v="21899.5"/>
    <s v=" Not Achieved"/>
    <s v="Good"/>
  </r>
  <r>
    <x v="1840"/>
    <x v="1840"/>
    <s v="EMP_1841"/>
    <x v="1"/>
    <s v="EMP_1841HR"/>
    <x v="0"/>
    <x v="2"/>
    <n v="62282"/>
    <n v="11631"/>
    <n v="0"/>
    <n v="0"/>
    <d v="2024-12-08T00:00:00"/>
    <s v="2024"/>
    <d v="2026-02-11T00:00:00"/>
    <n v="1"/>
    <n v="5"/>
    <n v="73913"/>
    <n v="36956.5"/>
    <s v=" Not Achieved"/>
    <s v=" Excellent"/>
  </r>
  <r>
    <x v="1841"/>
    <x v="1841"/>
    <s v="EMP_1842"/>
    <x v="1"/>
    <s v="EMP_1842IT"/>
    <x v="3"/>
    <x v="3"/>
    <n v="74151"/>
    <n v="6184"/>
    <n v="0"/>
    <n v="0"/>
    <s v="8/30/2020"/>
    <s v="8/30/2020"/>
    <d v="2026-02-11T00:00:00"/>
    <e v="#VALUE!"/>
    <n v="2"/>
    <n v="80335"/>
    <n v="40167.5"/>
    <s v=" Not Achieved"/>
    <s v=" Excellent"/>
  </r>
  <r>
    <x v="1842"/>
    <x v="1842"/>
    <s v="EMP_1843"/>
    <x v="1"/>
    <s v="EMP_1843Sales"/>
    <x v="1"/>
    <x v="3"/>
    <n v="51407"/>
    <n v="2855"/>
    <n v="86989"/>
    <n v="146495"/>
    <d v="2019-12-04T00:00:00"/>
    <s v="2019"/>
    <d v="2026-02-11T00:00:00"/>
    <n v="6"/>
    <n v="2"/>
    <n v="54262"/>
    <n v="27131"/>
    <s v=" Not Achieved"/>
    <s v=" Excellent"/>
  </r>
  <r>
    <x v="1843"/>
    <x v="1843"/>
    <s v="EMP_1844"/>
    <x v="1"/>
    <s v="EMP_1844HR"/>
    <x v="0"/>
    <x v="3"/>
    <n v="68468"/>
    <n v="9127"/>
    <n v="0"/>
    <n v="0"/>
    <s v="1/26/2021"/>
    <s v="1/26/2021"/>
    <d v="2026-02-11T00:00:00"/>
    <e v="#VALUE!"/>
    <n v="1"/>
    <n v="77595"/>
    <n v="38797.5"/>
    <s v=" Not Achieved"/>
    <s v=" Excellent"/>
  </r>
  <r>
    <x v="1844"/>
    <x v="1844"/>
    <s v="EMP_1845"/>
    <x v="0"/>
    <s v="EMP_1845Sales"/>
    <x v="1"/>
    <x v="2"/>
    <n v="52354"/>
    <n v="5788"/>
    <n v="228739"/>
    <n v="245497"/>
    <s v="4/19/2018"/>
    <s v="4/19/2018"/>
    <d v="2026-02-11T00:00:00"/>
    <e v="#VALUE!"/>
    <n v="4"/>
    <n v="58142"/>
    <n v="29071"/>
    <s v=" Not Achieved"/>
    <s v=" Excellent"/>
  </r>
  <r>
    <x v="1845"/>
    <x v="1845"/>
    <s v="EMP_1846"/>
    <x v="0"/>
    <s v="EMP_1846Sales"/>
    <x v="1"/>
    <x v="2"/>
    <n v="49186"/>
    <n v="10480"/>
    <n v="109292"/>
    <n v="141503"/>
    <s v="10/17/2024"/>
    <s v="10/17/2024"/>
    <d v="2026-02-11T00:00:00"/>
    <e v="#VALUE!"/>
    <n v="5"/>
    <n v="59666"/>
    <n v="29833"/>
    <s v=" Not Achieved"/>
    <s v="Good"/>
  </r>
  <r>
    <x v="1846"/>
    <x v="1846"/>
    <s v="EMP_1847"/>
    <x v="0"/>
    <s v="EMP_1847Sales"/>
    <x v="1"/>
    <x v="0"/>
    <n v="52416"/>
    <n v="2099"/>
    <n v="255469"/>
    <n v="100919"/>
    <s v="6/23/2022"/>
    <s v="6/23/2022"/>
    <d v="2026-02-11T00:00:00"/>
    <e v="#VALUE!"/>
    <n v="2"/>
    <n v="54515"/>
    <n v="27257.5"/>
    <s v="Achieved"/>
    <s v=" Excellent"/>
  </r>
  <r>
    <x v="1847"/>
    <x v="1847"/>
    <s v="EMP_1848"/>
    <x v="1"/>
    <s v="EMP_1848Marketing"/>
    <x v="4"/>
    <x v="1"/>
    <n v="78482"/>
    <n v="8004"/>
    <n v="0"/>
    <n v="0"/>
    <s v="4/15/2018"/>
    <s v="4/15/2018"/>
    <d v="2026-02-11T00:00:00"/>
    <e v="#VALUE!"/>
    <n v="5"/>
    <n v="86486"/>
    <n v="43243"/>
    <s v=" Not Achieved"/>
    <s v=" Excellent"/>
  </r>
  <r>
    <x v="1848"/>
    <x v="1848"/>
    <s v="EMP_1849"/>
    <x v="0"/>
    <s v="EMP_1849IT"/>
    <x v="3"/>
    <x v="0"/>
    <n v="72495"/>
    <n v="13164"/>
    <n v="0"/>
    <n v="0"/>
    <d v="2022-06-07T00:00:00"/>
    <s v="2022"/>
    <d v="2026-02-11T00:00:00"/>
    <n v="3"/>
    <n v="5"/>
    <n v="85659"/>
    <n v="42829.5"/>
    <s v=" Not Achieved"/>
    <s v=" Excellent"/>
  </r>
  <r>
    <x v="1849"/>
    <x v="1849"/>
    <s v="EMP_1850"/>
    <x v="0"/>
    <s v="EMP_1850Marketing"/>
    <x v="4"/>
    <x v="0"/>
    <n v="55244"/>
    <n v="5665"/>
    <n v="0"/>
    <n v="0"/>
    <d v="2024-01-09T00:00:00"/>
    <s v="2024"/>
    <d v="2026-02-11T00:00:00"/>
    <n v="2"/>
    <n v="2"/>
    <n v="60909"/>
    <n v="30454.5"/>
    <s v=" Not Achieved"/>
    <s v=" Excellent"/>
  </r>
  <r>
    <x v="1850"/>
    <x v="1850"/>
    <s v="EMP_1851"/>
    <x v="0"/>
    <s v="EMP_1851Sales"/>
    <x v="1"/>
    <x v="3"/>
    <n v="74665"/>
    <n v="8648"/>
    <n v="274812"/>
    <n v="126935"/>
    <s v="3/18/2022"/>
    <s v="3/18/2022"/>
    <d v="2026-02-11T00:00:00"/>
    <e v="#VALUE!"/>
    <n v="5"/>
    <n v="83313"/>
    <n v="41656.5"/>
    <s v="Achieved"/>
    <s v=" Excellent"/>
  </r>
  <r>
    <x v="1851"/>
    <x v="1851"/>
    <s v="EMP_1852"/>
    <x v="0"/>
    <s v="EMP_1852Sales"/>
    <x v="1"/>
    <x v="0"/>
    <n v="60499"/>
    <n v="8151"/>
    <n v="206374"/>
    <n v="226044"/>
    <s v="11/16/2021"/>
    <s v="11/16/2021"/>
    <d v="2026-02-11T00:00:00"/>
    <e v="#VALUE!"/>
    <n v="5"/>
    <n v="68650"/>
    <n v="34325"/>
    <s v=" Not Achieved"/>
    <s v=" Excellent"/>
  </r>
  <r>
    <x v="1852"/>
    <x v="1852"/>
    <s v="EMP_1853"/>
    <x v="1"/>
    <s v="EMP_1853Marketing"/>
    <x v="4"/>
    <x v="1"/>
    <n v="60458"/>
    <n v="4633"/>
    <n v="0"/>
    <n v="0"/>
    <d v="2018-05-03T00:00:00"/>
    <s v="2018"/>
    <d v="2026-02-11T00:00:00"/>
    <n v="7"/>
    <n v="1"/>
    <n v="65091"/>
    <n v="32545.5"/>
    <s v=" Not Achieved"/>
    <s v=" Excellent"/>
  </r>
  <r>
    <x v="1853"/>
    <x v="1853"/>
    <s v="EMP_1854"/>
    <x v="0"/>
    <s v="EMP_1854IT"/>
    <x v="3"/>
    <x v="1"/>
    <n v="66551"/>
    <n v="5516"/>
    <n v="0"/>
    <n v="0"/>
    <s v="1/21/2018"/>
    <s v="1/21/2018"/>
    <d v="2026-02-11T00:00:00"/>
    <e v="#VALUE!"/>
    <n v="5"/>
    <n v="72067"/>
    <n v="36033.5"/>
    <s v=" Not Achieved"/>
    <s v=" Excellent"/>
  </r>
  <r>
    <x v="1854"/>
    <x v="1854"/>
    <s v="EMP_1855"/>
    <x v="0"/>
    <s v="EMP_1855IT"/>
    <x v="3"/>
    <x v="2"/>
    <n v="46781"/>
    <n v="5714"/>
    <n v="0"/>
    <n v="0"/>
    <s v="1/23/2023"/>
    <s v="1/23/2023"/>
    <d v="2026-02-11T00:00:00"/>
    <e v="#VALUE!"/>
    <n v="2"/>
    <n v="52495"/>
    <n v="26247.5"/>
    <s v=" Not Achieved"/>
    <s v="Good"/>
  </r>
  <r>
    <x v="1855"/>
    <x v="1855"/>
    <s v="EMP_1856"/>
    <x v="1"/>
    <s v="EMP_1856HR"/>
    <x v="0"/>
    <x v="4"/>
    <n v="21408"/>
    <n v="3744"/>
    <n v="0"/>
    <n v="0"/>
    <s v="8/30/2023"/>
    <s v="8/30/2023"/>
    <d v="2026-02-11T00:00:00"/>
    <e v="#VALUE!"/>
    <n v="2"/>
    <n v="25152"/>
    <n v="12576"/>
    <s v=" Not Achieved"/>
    <s v="poor"/>
  </r>
  <r>
    <x v="1856"/>
    <x v="1856"/>
    <s v="EMP_1857"/>
    <x v="0"/>
    <s v="EMP_1857HR"/>
    <x v="0"/>
    <x v="4"/>
    <n v="79436"/>
    <n v="5550"/>
    <n v="0"/>
    <n v="0"/>
    <s v="6/17/2019"/>
    <s v="6/17/2019"/>
    <d v="2026-02-11T00:00:00"/>
    <e v="#VALUE!"/>
    <n v="1"/>
    <n v="84986"/>
    <n v="42493"/>
    <s v=" Not Achieved"/>
    <s v=" Excellent"/>
  </r>
  <r>
    <x v="1857"/>
    <x v="1857"/>
    <s v="EMP_1858"/>
    <x v="0"/>
    <s v="EMP_1858IT"/>
    <x v="3"/>
    <x v="1"/>
    <n v="45417"/>
    <n v="4645"/>
    <n v="0"/>
    <n v="0"/>
    <d v="2024-11-12T00:00:00"/>
    <s v="2024"/>
    <d v="2026-02-11T00:00:00"/>
    <n v="1"/>
    <n v="4"/>
    <n v="50062"/>
    <n v="25031"/>
    <s v=" Not Achieved"/>
    <s v="Good"/>
  </r>
  <r>
    <x v="1858"/>
    <x v="1858"/>
    <s v="EMP_1859"/>
    <x v="0"/>
    <s v="EMP_1859Finance"/>
    <x v="2"/>
    <x v="1"/>
    <n v="55429"/>
    <n v="9479"/>
    <n v="0"/>
    <n v="0"/>
    <d v="2018-12-08T00:00:00"/>
    <s v="2018"/>
    <d v="2026-02-11T00:00:00"/>
    <n v="7"/>
    <n v="5"/>
    <n v="64908"/>
    <n v="32454"/>
    <s v=" Not Achieved"/>
    <s v=" Excellent"/>
  </r>
  <r>
    <x v="1859"/>
    <x v="1859"/>
    <s v="EMP_1860"/>
    <x v="1"/>
    <s v="EMP_1860Marketing"/>
    <x v="4"/>
    <x v="0"/>
    <n v="44471"/>
    <n v="8490"/>
    <n v="0"/>
    <n v="0"/>
    <s v="2/13/2023"/>
    <s v="2/13/2023"/>
    <d v="2026-02-11T00:00:00"/>
    <e v="#VALUE!"/>
    <n v="3"/>
    <n v="52961"/>
    <n v="26480.5"/>
    <s v=" Not Achieved"/>
    <s v="Good"/>
  </r>
  <r>
    <x v="1860"/>
    <x v="1860"/>
    <s v="EMP_1861"/>
    <x v="0"/>
    <s v="EMP_1861Sales"/>
    <x v="1"/>
    <x v="3"/>
    <n v="63470"/>
    <n v="8807"/>
    <n v="125269"/>
    <n v="239930"/>
    <s v="9/29/2020"/>
    <s v="9/29/2020"/>
    <d v="2026-02-11T00:00:00"/>
    <e v="#VALUE!"/>
    <n v="3"/>
    <n v="72277"/>
    <n v="36138.5"/>
    <s v=" Not Achieved"/>
    <s v=" Excellent"/>
  </r>
  <r>
    <x v="1861"/>
    <x v="1861"/>
    <s v="EMP_1862"/>
    <x v="1"/>
    <s v="EMP_1862Marketing"/>
    <x v="4"/>
    <x v="4"/>
    <n v="21865"/>
    <n v="5389"/>
    <n v="0"/>
    <n v="0"/>
    <d v="2024-02-08T00:00:00"/>
    <s v="2024"/>
    <d v="2026-02-11T00:00:00"/>
    <n v="2"/>
    <n v="2"/>
    <n v="27254"/>
    <n v="13627"/>
    <s v=" Not Achieved"/>
    <s v="poor"/>
  </r>
  <r>
    <x v="1862"/>
    <x v="1862"/>
    <s v="EMP_1863"/>
    <x v="0"/>
    <s v="EMP_1863Marketing"/>
    <x v="4"/>
    <x v="2"/>
    <n v="28057"/>
    <n v="3281"/>
    <n v="0"/>
    <n v="0"/>
    <s v="11/27/2022"/>
    <s v="11/27/2022"/>
    <d v="2026-02-11T00:00:00"/>
    <e v="#VALUE!"/>
    <n v="5"/>
    <n v="31338"/>
    <n v="15669"/>
    <s v=" Not Achieved"/>
    <s v="poor"/>
  </r>
  <r>
    <x v="1863"/>
    <x v="1863"/>
    <s v="EMP_1864"/>
    <x v="1"/>
    <s v="EMP_1864Marketing"/>
    <x v="4"/>
    <x v="2"/>
    <n v="51996"/>
    <n v="3520"/>
    <n v="0"/>
    <n v="0"/>
    <d v="2022-02-05T00:00:00"/>
    <s v="2022"/>
    <d v="2026-02-11T00:00:00"/>
    <n v="4"/>
    <n v="2"/>
    <n v="55516"/>
    <n v="27758"/>
    <s v=" Not Achieved"/>
    <s v=" Excellent"/>
  </r>
  <r>
    <x v="1864"/>
    <x v="1864"/>
    <s v="EMP_1865"/>
    <x v="1"/>
    <s v="EMP_1865IT"/>
    <x v="3"/>
    <x v="3"/>
    <n v="57307"/>
    <n v="13281"/>
    <n v="0"/>
    <n v="0"/>
    <s v="3/28/2022"/>
    <s v="3/28/2022"/>
    <d v="2026-02-11T00:00:00"/>
    <e v="#VALUE!"/>
    <n v="1"/>
    <n v="70588"/>
    <n v="35294"/>
    <s v=" Not Achieved"/>
    <s v=" Excellent"/>
  </r>
  <r>
    <x v="1865"/>
    <x v="1865"/>
    <s v="EMP_1866"/>
    <x v="0"/>
    <s v="EMP_1866Marketing"/>
    <x v="4"/>
    <x v="2"/>
    <n v="30147"/>
    <n v="8375"/>
    <n v="0"/>
    <n v="0"/>
    <s v="4/28/2019"/>
    <s v="4/28/2019"/>
    <d v="2026-02-11T00:00:00"/>
    <e v="#VALUE!"/>
    <n v="1"/>
    <n v="38522"/>
    <n v="19261"/>
    <s v=" Not Achieved"/>
    <s v="Average"/>
  </r>
  <r>
    <x v="1866"/>
    <x v="1866"/>
    <s v="EMP_1867"/>
    <x v="0"/>
    <s v="EMP_1867Finance"/>
    <x v="2"/>
    <x v="1"/>
    <n v="34556"/>
    <n v="4357"/>
    <n v="0"/>
    <n v="0"/>
    <d v="2019-09-11T00:00:00"/>
    <s v="2019"/>
    <d v="2026-02-11T00:00:00"/>
    <n v="6"/>
    <n v="1"/>
    <n v="38913"/>
    <n v="19456.5"/>
    <s v=" Not Achieved"/>
    <s v="Average"/>
  </r>
  <r>
    <x v="1867"/>
    <x v="1867"/>
    <s v="EMP_1868"/>
    <x v="1"/>
    <s v="EMP_1868IT"/>
    <x v="3"/>
    <x v="1"/>
    <n v="22765"/>
    <n v="5131"/>
    <n v="0"/>
    <n v="0"/>
    <d v="2018-05-05T00:00:00"/>
    <s v="2018"/>
    <d v="2026-02-11T00:00:00"/>
    <n v="7"/>
    <n v="2"/>
    <n v="27896"/>
    <n v="13948"/>
    <s v=" Not Achieved"/>
    <s v="poor"/>
  </r>
  <r>
    <x v="1868"/>
    <x v="1868"/>
    <s v="EMP_1869"/>
    <x v="0"/>
    <s v="EMP_1869IT"/>
    <x v="3"/>
    <x v="0"/>
    <n v="66197"/>
    <n v="11139"/>
    <n v="0"/>
    <n v="0"/>
    <s v="11/25/2023"/>
    <s v="11/25/2023"/>
    <d v="2026-02-11T00:00:00"/>
    <e v="#VALUE!"/>
    <n v="3"/>
    <n v="77336"/>
    <n v="38668"/>
    <s v=" Not Achieved"/>
    <s v=" Excellent"/>
  </r>
  <r>
    <x v="1869"/>
    <x v="1869"/>
    <s v="EMP_1870"/>
    <x v="1"/>
    <s v="EMP_1870IT"/>
    <x v="3"/>
    <x v="0"/>
    <n v="22177"/>
    <n v="12767"/>
    <n v="0"/>
    <n v="0"/>
    <d v="2023-08-07T00:00:00"/>
    <s v="2023"/>
    <d v="2026-02-11T00:00:00"/>
    <n v="2"/>
    <n v="2"/>
    <n v="34944"/>
    <n v="17472"/>
    <s v=" Not Achieved"/>
    <s v="poor"/>
  </r>
  <r>
    <x v="1870"/>
    <x v="1870"/>
    <s v="EMP_1871"/>
    <x v="1"/>
    <s v="EMP_1871Finance"/>
    <x v="2"/>
    <x v="0"/>
    <n v="40685"/>
    <n v="14363"/>
    <n v="0"/>
    <n v="0"/>
    <s v="9/29/2020"/>
    <s v="9/29/2020"/>
    <d v="2026-02-11T00:00:00"/>
    <e v="#VALUE!"/>
    <n v="5"/>
    <n v="55048"/>
    <n v="27524"/>
    <s v=" Not Achieved"/>
    <s v="Good"/>
  </r>
  <r>
    <x v="1871"/>
    <x v="1871"/>
    <s v="EMP_1872"/>
    <x v="1"/>
    <s v="EMP_1872Finance"/>
    <x v="2"/>
    <x v="1"/>
    <n v="46343"/>
    <n v="12815"/>
    <n v="0"/>
    <n v="0"/>
    <s v="11/25/2024"/>
    <s v="11/25/2024"/>
    <d v="2026-02-11T00:00:00"/>
    <e v="#VALUE!"/>
    <n v="4"/>
    <n v="59158"/>
    <n v="29579"/>
    <s v=" Not Achieved"/>
    <s v="Good"/>
  </r>
  <r>
    <x v="1872"/>
    <x v="1872"/>
    <s v="EMP_1873"/>
    <x v="1"/>
    <s v="EMP_1873Marketing"/>
    <x v="4"/>
    <x v="0"/>
    <n v="78857"/>
    <n v="11133"/>
    <n v="0"/>
    <n v="0"/>
    <d v="2020-02-04T00:00:00"/>
    <s v="2020"/>
    <d v="2026-02-11T00:00:00"/>
    <n v="6"/>
    <n v="4"/>
    <n v="89990"/>
    <n v="44995"/>
    <s v=" Not Achieved"/>
    <s v=" Excellent"/>
  </r>
  <r>
    <x v="1873"/>
    <x v="1873"/>
    <s v="EMP_1874"/>
    <x v="0"/>
    <s v="EMP_1874Finance"/>
    <x v="2"/>
    <x v="2"/>
    <n v="57605"/>
    <n v="7328"/>
    <n v="0"/>
    <n v="0"/>
    <d v="2021-04-01T00:00:00"/>
    <s v="2021"/>
    <d v="2026-02-11T00:00:00"/>
    <n v="4"/>
    <n v="4"/>
    <n v="64933"/>
    <n v="32466.5"/>
    <s v=" Not Achieved"/>
    <s v=" Excellent"/>
  </r>
  <r>
    <x v="1874"/>
    <x v="1874"/>
    <s v="EMP_1875"/>
    <x v="1"/>
    <s v="EMP_1875IT"/>
    <x v="3"/>
    <x v="3"/>
    <n v="21257"/>
    <n v="12964"/>
    <n v="0"/>
    <n v="0"/>
    <d v="2018-01-05T00:00:00"/>
    <s v="2018"/>
    <d v="2026-02-11T00:00:00"/>
    <n v="8"/>
    <n v="4"/>
    <n v="34221"/>
    <n v="17110.5"/>
    <s v=" Not Achieved"/>
    <s v="poor"/>
  </r>
  <r>
    <x v="1875"/>
    <x v="1875"/>
    <s v="EMP_1876"/>
    <x v="0"/>
    <s v="EMP_1876IT"/>
    <x v="3"/>
    <x v="0"/>
    <n v="67736"/>
    <n v="9720"/>
    <n v="0"/>
    <n v="0"/>
    <s v="9/19/2018"/>
    <s v="9/19/2018"/>
    <d v="2026-02-11T00:00:00"/>
    <e v="#VALUE!"/>
    <n v="2"/>
    <n v="77456"/>
    <n v="38728"/>
    <s v=" Not Achieved"/>
    <s v=" Excellent"/>
  </r>
  <r>
    <x v="1876"/>
    <x v="1876"/>
    <s v="EMP_1877"/>
    <x v="1"/>
    <s v="EMP_1877Finance"/>
    <x v="2"/>
    <x v="0"/>
    <n v="67761"/>
    <n v="9579"/>
    <n v="0"/>
    <n v="0"/>
    <d v="2018-03-09T00:00:00"/>
    <s v="2018"/>
    <d v="2026-02-11T00:00:00"/>
    <n v="7"/>
    <n v="4"/>
    <n v="77340"/>
    <n v="38670"/>
    <s v=" Not Achieved"/>
    <s v=" Excellent"/>
  </r>
  <r>
    <x v="1877"/>
    <x v="1877"/>
    <s v="EMP_1878"/>
    <x v="1"/>
    <s v="EMP_1878HR"/>
    <x v="0"/>
    <x v="2"/>
    <n v="27171"/>
    <n v="4653"/>
    <n v="0"/>
    <n v="0"/>
    <s v="12/24/2018"/>
    <s v="12/24/2018"/>
    <d v="2026-02-11T00:00:00"/>
    <e v="#VALUE!"/>
    <n v="3"/>
    <n v="31824"/>
    <n v="15912"/>
    <s v=" Not Achieved"/>
    <s v="poor"/>
  </r>
  <r>
    <x v="1878"/>
    <x v="1878"/>
    <s v="EMP_1879"/>
    <x v="0"/>
    <s v="EMP_1879HR"/>
    <x v="0"/>
    <x v="1"/>
    <n v="47127"/>
    <n v="3557"/>
    <n v="0"/>
    <n v="0"/>
    <s v="3/29/2022"/>
    <s v="3/29/2022"/>
    <d v="2026-02-11T00:00:00"/>
    <e v="#VALUE!"/>
    <n v="1"/>
    <n v="50684"/>
    <n v="25342"/>
    <s v=" Not Achieved"/>
    <s v="Good"/>
  </r>
  <r>
    <x v="1879"/>
    <x v="1879"/>
    <s v="EMP_1880"/>
    <x v="1"/>
    <s v="EMP_1880Sales"/>
    <x v="1"/>
    <x v="0"/>
    <n v="77974"/>
    <n v="10486"/>
    <n v="249452"/>
    <n v="181181"/>
    <s v="12/24/2022"/>
    <s v="12/24/2022"/>
    <d v="2026-02-11T00:00:00"/>
    <e v="#VALUE!"/>
    <n v="3"/>
    <n v="88460"/>
    <n v="44230"/>
    <s v="Achieved"/>
    <s v=" Excellent"/>
  </r>
  <r>
    <x v="1880"/>
    <x v="1880"/>
    <s v="EMP_1881"/>
    <x v="1"/>
    <s v="EMP_1881Marketing"/>
    <x v="4"/>
    <x v="1"/>
    <n v="74504"/>
    <n v="11871"/>
    <n v="0"/>
    <n v="0"/>
    <s v="4/16/2019"/>
    <s v="4/16/2019"/>
    <d v="2026-02-11T00:00:00"/>
    <e v="#VALUE!"/>
    <n v="2"/>
    <n v="86375"/>
    <n v="43187.5"/>
    <s v=" Not Achieved"/>
    <s v=" Excellent"/>
  </r>
  <r>
    <x v="1881"/>
    <x v="1881"/>
    <s v="EMP_1882"/>
    <x v="1"/>
    <s v="EMP_1882Marketing"/>
    <x v="4"/>
    <x v="0"/>
    <n v="62267"/>
    <n v="5166"/>
    <n v="0"/>
    <n v="0"/>
    <d v="2023-12-03T00:00:00"/>
    <s v="2023"/>
    <d v="2026-02-11T00:00:00"/>
    <n v="2"/>
    <n v="5"/>
    <n v="67433"/>
    <n v="33716.5"/>
    <s v=" Not Achieved"/>
    <s v=" Excellent"/>
  </r>
  <r>
    <x v="1882"/>
    <x v="1882"/>
    <s v="EMP_1883"/>
    <x v="1"/>
    <s v="EMP_1883Marketing"/>
    <x v="4"/>
    <x v="0"/>
    <n v="29617"/>
    <n v="9340"/>
    <n v="0"/>
    <n v="0"/>
    <s v="12/15/2018"/>
    <s v="12/15/2018"/>
    <d v="2026-02-11T00:00:00"/>
    <e v="#VALUE!"/>
    <n v="4"/>
    <n v="38957"/>
    <n v="19478.5"/>
    <s v=" Not Achieved"/>
    <s v="poor"/>
  </r>
  <r>
    <x v="1883"/>
    <x v="1883"/>
    <s v="EMP_1884"/>
    <x v="0"/>
    <s v="EMP_1884Marketing"/>
    <x v="4"/>
    <x v="1"/>
    <n v="62420"/>
    <n v="2027"/>
    <n v="0"/>
    <n v="0"/>
    <s v="4/25/2020"/>
    <s v="4/25/2020"/>
    <d v="2026-02-11T00:00:00"/>
    <e v="#VALUE!"/>
    <n v="1"/>
    <n v="64447"/>
    <n v="32223.5"/>
    <s v=" Not Achieved"/>
    <s v=" Excellent"/>
  </r>
  <r>
    <x v="1884"/>
    <x v="1884"/>
    <s v="EMP_1885"/>
    <x v="1"/>
    <s v="EMP_1885Finance"/>
    <x v="2"/>
    <x v="3"/>
    <n v="47071"/>
    <n v="7981"/>
    <n v="0"/>
    <n v="0"/>
    <d v="2021-07-11T00:00:00"/>
    <s v="2021"/>
    <d v="2026-02-11T00:00:00"/>
    <n v="4"/>
    <n v="5"/>
    <n v="55052"/>
    <n v="27526"/>
    <s v=" Not Achieved"/>
    <s v="Good"/>
  </r>
  <r>
    <x v="1885"/>
    <x v="1885"/>
    <s v="EMP_1886"/>
    <x v="1"/>
    <s v="EMP_1886HR"/>
    <x v="0"/>
    <x v="1"/>
    <n v="71385"/>
    <n v="14779"/>
    <n v="0"/>
    <n v="0"/>
    <s v="11/15/2018"/>
    <s v="11/15/2018"/>
    <d v="2026-02-11T00:00:00"/>
    <e v="#VALUE!"/>
    <n v="4"/>
    <n v="86164"/>
    <n v="43082"/>
    <s v=" Not Achieved"/>
    <s v=" Excellent"/>
  </r>
  <r>
    <x v="1886"/>
    <x v="1886"/>
    <s v="EMP_1887"/>
    <x v="0"/>
    <s v="EMP_1887HR"/>
    <x v="0"/>
    <x v="2"/>
    <n v="45211"/>
    <n v="13980"/>
    <n v="0"/>
    <n v="0"/>
    <s v="1/20/2020"/>
    <s v="1/20/2020"/>
    <d v="2026-02-11T00:00:00"/>
    <e v="#VALUE!"/>
    <n v="5"/>
    <n v="59191"/>
    <n v="29595.5"/>
    <s v=" Not Achieved"/>
    <s v="Good"/>
  </r>
  <r>
    <x v="1887"/>
    <x v="1887"/>
    <s v="EMP_1888"/>
    <x v="0"/>
    <s v="EMP_1888Sales"/>
    <x v="1"/>
    <x v="2"/>
    <n v="44352"/>
    <n v="3291"/>
    <n v="116992"/>
    <n v="249756"/>
    <d v="2023-06-10T00:00:00"/>
    <s v="2023"/>
    <d v="2026-02-11T00:00:00"/>
    <n v="2"/>
    <n v="5"/>
    <n v="47643"/>
    <n v="23821.5"/>
    <s v=" Not Achieved"/>
    <s v="Good"/>
  </r>
  <r>
    <x v="1888"/>
    <x v="1888"/>
    <s v="EMP_1889"/>
    <x v="0"/>
    <s v="EMP_1889Sales"/>
    <x v="1"/>
    <x v="4"/>
    <n v="21492"/>
    <n v="7372"/>
    <n v="133432"/>
    <n v="231626"/>
    <s v="10/23/2021"/>
    <s v="10/23/2021"/>
    <d v="2026-02-11T00:00:00"/>
    <e v="#VALUE!"/>
    <n v="5"/>
    <n v="28864"/>
    <n v="14432"/>
    <s v=" Not Achieved"/>
    <s v="poor"/>
  </r>
  <r>
    <x v="1889"/>
    <x v="1889"/>
    <s v="EMP_1890"/>
    <x v="1"/>
    <s v="EMP_1890Sales"/>
    <x v="1"/>
    <x v="1"/>
    <n v="67867"/>
    <n v="10224"/>
    <n v="121000"/>
    <n v="158255"/>
    <d v="2023-12-12T00:00:00"/>
    <s v="2023"/>
    <d v="2026-02-11T00:00:00"/>
    <n v="2"/>
    <n v="3"/>
    <n v="78091"/>
    <n v="39045.5"/>
    <s v=" Not Achieved"/>
    <s v=" Excellent"/>
  </r>
  <r>
    <x v="1890"/>
    <x v="1890"/>
    <s v="EMP_1891"/>
    <x v="0"/>
    <s v="EMP_1891IT"/>
    <x v="3"/>
    <x v="1"/>
    <n v="45084"/>
    <n v="6746"/>
    <n v="0"/>
    <n v="0"/>
    <s v="5/30/2023"/>
    <s v="5/30/2023"/>
    <d v="2026-02-11T00:00:00"/>
    <e v="#VALUE!"/>
    <n v="2"/>
    <n v="51830"/>
    <n v="25915"/>
    <s v=" Not Achieved"/>
    <s v="Good"/>
  </r>
  <r>
    <x v="1891"/>
    <x v="1891"/>
    <s v="EMP_1892"/>
    <x v="0"/>
    <s v="EMP_1892Marketing"/>
    <x v="4"/>
    <x v="1"/>
    <n v="24634"/>
    <n v="13722"/>
    <n v="0"/>
    <n v="0"/>
    <d v="2021-02-06T00:00:00"/>
    <s v="2021"/>
    <d v="2026-02-11T00:00:00"/>
    <n v="5"/>
    <n v="3"/>
    <n v="38356"/>
    <n v="19178"/>
    <s v=" Not Achieved"/>
    <s v="poor"/>
  </r>
  <r>
    <x v="1892"/>
    <x v="1892"/>
    <s v="EMP_1893"/>
    <x v="0"/>
    <s v="EMP_1893IT"/>
    <x v="3"/>
    <x v="3"/>
    <n v="25648"/>
    <n v="7984"/>
    <n v="0"/>
    <n v="0"/>
    <s v="6/25/2022"/>
    <s v="6/25/2022"/>
    <d v="2026-02-11T00:00:00"/>
    <e v="#VALUE!"/>
    <n v="1"/>
    <n v="33632"/>
    <n v="16816"/>
    <s v=" Not Achieved"/>
    <s v="poor"/>
  </r>
  <r>
    <x v="1893"/>
    <x v="1893"/>
    <s v="EMP_1894"/>
    <x v="0"/>
    <s v="EMP_1894Finance"/>
    <x v="2"/>
    <x v="0"/>
    <n v="73500"/>
    <n v="8046"/>
    <n v="0"/>
    <n v="0"/>
    <s v="8/13/2018"/>
    <s v="8/13/2018"/>
    <d v="2026-02-11T00:00:00"/>
    <e v="#VALUE!"/>
    <n v="1"/>
    <n v="81546"/>
    <n v="40773"/>
    <s v=" Not Achieved"/>
    <s v=" Excellent"/>
  </r>
  <r>
    <x v="1894"/>
    <x v="1894"/>
    <s v="EMP_1895"/>
    <x v="1"/>
    <s v="EMP_1895Sales"/>
    <x v="1"/>
    <x v="2"/>
    <n v="52558"/>
    <n v="14204"/>
    <n v="223493"/>
    <n v="151814"/>
    <s v="8/16/2022"/>
    <s v="8/16/2022"/>
    <d v="2026-02-11T00:00:00"/>
    <e v="#VALUE!"/>
    <n v="3"/>
    <n v="66762"/>
    <n v="33381"/>
    <s v="Achieved"/>
    <s v=" Excellent"/>
  </r>
  <r>
    <x v="1895"/>
    <x v="1895"/>
    <s v="EMP_1896"/>
    <x v="0"/>
    <s v="EMP_1896HR"/>
    <x v="0"/>
    <x v="2"/>
    <n v="50183"/>
    <n v="4836"/>
    <n v="0"/>
    <n v="0"/>
    <s v="1/25/2024"/>
    <s v="1/25/2024"/>
    <d v="2026-02-11T00:00:00"/>
    <e v="#VALUE!"/>
    <n v="5"/>
    <n v="55019"/>
    <n v="27509.5"/>
    <s v=" Not Achieved"/>
    <s v=" Excellent"/>
  </r>
  <r>
    <x v="1896"/>
    <x v="1896"/>
    <s v="EMP_1897"/>
    <x v="0"/>
    <s v="EMP_1897Finance"/>
    <x v="2"/>
    <x v="1"/>
    <n v="23172"/>
    <n v="12814"/>
    <n v="0"/>
    <n v="0"/>
    <s v="7/25/2021"/>
    <s v="7/25/2021"/>
    <d v="2026-02-11T00:00:00"/>
    <e v="#VALUE!"/>
    <n v="4"/>
    <n v="35986"/>
    <n v="17993"/>
    <s v=" Not Achieved"/>
    <s v="poor"/>
  </r>
  <r>
    <x v="1897"/>
    <x v="1897"/>
    <s v="EMP_1898"/>
    <x v="0"/>
    <s v="EMP_1898IT"/>
    <x v="3"/>
    <x v="4"/>
    <n v="26126"/>
    <n v="8950"/>
    <n v="0"/>
    <n v="0"/>
    <s v="10/22/2020"/>
    <s v="10/22/2020"/>
    <d v="2026-02-11T00:00:00"/>
    <e v="#VALUE!"/>
    <n v="4"/>
    <n v="35076"/>
    <n v="17538"/>
    <s v=" Not Achieved"/>
    <s v="poor"/>
  </r>
  <r>
    <x v="1898"/>
    <x v="1898"/>
    <s v="EMP_1899"/>
    <x v="1"/>
    <s v="EMP_1899Finance"/>
    <x v="2"/>
    <x v="4"/>
    <n v="72665"/>
    <n v="13213"/>
    <n v="0"/>
    <n v="0"/>
    <d v="2021-11-11T00:00:00"/>
    <s v="2021"/>
    <d v="2026-02-11T00:00:00"/>
    <n v="4"/>
    <n v="1"/>
    <n v="85878"/>
    <n v="42939"/>
    <s v=" Not Achieved"/>
    <s v=" Excellent"/>
  </r>
  <r>
    <x v="1899"/>
    <x v="1899"/>
    <s v="EMP_1900"/>
    <x v="1"/>
    <s v="EMP_1900Sales"/>
    <x v="1"/>
    <x v="2"/>
    <n v="46756"/>
    <n v="9909"/>
    <n v="136012"/>
    <n v="190036"/>
    <d v="2020-05-05T00:00:00"/>
    <s v="2020"/>
    <d v="2026-02-11T00:00:00"/>
    <n v="5"/>
    <n v="2"/>
    <n v="56665"/>
    <n v="28332.5"/>
    <s v=" Not Achieved"/>
    <s v="Good"/>
  </r>
  <r>
    <x v="1900"/>
    <x v="1900"/>
    <s v="EMP_1901"/>
    <x v="0"/>
    <s v="EMP_1901HR"/>
    <x v="0"/>
    <x v="2"/>
    <n v="34115"/>
    <n v="14370"/>
    <n v="0"/>
    <n v="0"/>
    <d v="2018-05-05T00:00:00"/>
    <s v="2018"/>
    <d v="2026-02-11T00:00:00"/>
    <n v="7"/>
    <n v="2"/>
    <n v="48485"/>
    <n v="24242.5"/>
    <s v=" Not Achieved"/>
    <s v="Average"/>
  </r>
  <r>
    <x v="1901"/>
    <x v="1901"/>
    <s v="EMP_1902"/>
    <x v="0"/>
    <s v="EMP_1902Finance"/>
    <x v="2"/>
    <x v="1"/>
    <n v="27663"/>
    <n v="9021"/>
    <n v="0"/>
    <n v="0"/>
    <d v="2024-04-04T00:00:00"/>
    <s v="2024"/>
    <d v="2026-02-11T00:00:00"/>
    <n v="1"/>
    <n v="1"/>
    <n v="36684"/>
    <n v="18342"/>
    <s v=" Not Achieved"/>
    <s v="poor"/>
  </r>
  <r>
    <x v="1902"/>
    <x v="1902"/>
    <s v="EMP_1903"/>
    <x v="1"/>
    <s v="EMP_1903IT"/>
    <x v="3"/>
    <x v="0"/>
    <n v="55533"/>
    <n v="9711"/>
    <n v="0"/>
    <n v="0"/>
    <s v="7/18/2021"/>
    <s v="7/18/2021"/>
    <d v="2026-02-11T00:00:00"/>
    <e v="#VALUE!"/>
    <n v="2"/>
    <n v="65244"/>
    <n v="32622"/>
    <s v=" Not Achieved"/>
    <s v=" Excellent"/>
  </r>
  <r>
    <x v="1903"/>
    <x v="1903"/>
    <s v="EMP_1904"/>
    <x v="1"/>
    <s v="EMP_1904IT"/>
    <x v="3"/>
    <x v="1"/>
    <n v="35471"/>
    <n v="14728"/>
    <n v="0"/>
    <n v="0"/>
    <s v="4/27/2021"/>
    <s v="4/27/2021"/>
    <d v="2026-02-11T00:00:00"/>
    <e v="#VALUE!"/>
    <n v="2"/>
    <n v="50199"/>
    <n v="25099.5"/>
    <s v=" Not Achieved"/>
    <s v="Average"/>
  </r>
  <r>
    <x v="1904"/>
    <x v="1904"/>
    <s v="EMP_1905"/>
    <x v="1"/>
    <s v="EMP_1905Finance"/>
    <x v="2"/>
    <x v="0"/>
    <n v="44707"/>
    <n v="8996"/>
    <n v="0"/>
    <n v="0"/>
    <s v="4/24/2019"/>
    <s v="4/24/2019"/>
    <d v="2026-02-11T00:00:00"/>
    <e v="#VALUE!"/>
    <n v="2"/>
    <n v="53703"/>
    <n v="26851.5"/>
    <s v=" Not Achieved"/>
    <s v="Good"/>
  </r>
  <r>
    <x v="1905"/>
    <x v="1905"/>
    <s v="EMP_1906"/>
    <x v="0"/>
    <s v="EMP_1906Marketing"/>
    <x v="4"/>
    <x v="0"/>
    <n v="48654"/>
    <n v="8892"/>
    <n v="0"/>
    <n v="0"/>
    <d v="2024-03-08T00:00:00"/>
    <s v="2024"/>
    <d v="2026-02-11T00:00:00"/>
    <n v="1"/>
    <n v="5"/>
    <n v="57546"/>
    <n v="28773"/>
    <s v=" Not Achieved"/>
    <s v="Good"/>
  </r>
  <r>
    <x v="1906"/>
    <x v="1906"/>
    <s v="EMP_1907"/>
    <x v="1"/>
    <s v="EMP_1907Finance"/>
    <x v="2"/>
    <x v="0"/>
    <n v="38155"/>
    <n v="13795"/>
    <n v="0"/>
    <n v="0"/>
    <d v="2019-12-12T00:00:00"/>
    <s v="2019"/>
    <d v="2026-02-11T00:00:00"/>
    <n v="6"/>
    <n v="4"/>
    <n v="51950"/>
    <n v="25975"/>
    <s v=" Not Achieved"/>
    <s v="Average"/>
  </r>
  <r>
    <x v="1907"/>
    <x v="1907"/>
    <s v="EMP_1908"/>
    <x v="1"/>
    <s v="EMP_1908IT"/>
    <x v="3"/>
    <x v="3"/>
    <n v="50072"/>
    <n v="12594"/>
    <n v="0"/>
    <n v="0"/>
    <d v="2019-12-06T00:00:00"/>
    <s v="2019"/>
    <d v="2026-02-11T00:00:00"/>
    <n v="6"/>
    <n v="3"/>
    <n v="62666"/>
    <n v="31333"/>
    <s v=" Not Achieved"/>
    <s v=" Excellent"/>
  </r>
  <r>
    <x v="1908"/>
    <x v="1908"/>
    <s v="EMP_1909"/>
    <x v="1"/>
    <s v="EMP_1909IT"/>
    <x v="3"/>
    <x v="2"/>
    <n v="68965"/>
    <n v="3303"/>
    <n v="0"/>
    <n v="0"/>
    <s v="8/15/2019"/>
    <s v="8/15/2019"/>
    <d v="2026-02-11T00:00:00"/>
    <e v="#VALUE!"/>
    <n v="5"/>
    <n v="72268"/>
    <n v="36134"/>
    <s v=" Not Achieved"/>
    <s v=" Excellent"/>
  </r>
  <r>
    <x v="1909"/>
    <x v="1909"/>
    <s v="EMP_1910"/>
    <x v="0"/>
    <s v="EMP_1910IT"/>
    <x v="3"/>
    <x v="2"/>
    <n v="33066"/>
    <n v="9833"/>
    <n v="0"/>
    <n v="0"/>
    <d v="2023-02-09T00:00:00"/>
    <s v="2023"/>
    <d v="2026-02-11T00:00:00"/>
    <n v="3"/>
    <n v="2"/>
    <n v="42899"/>
    <n v="21449.5"/>
    <s v=" Not Achieved"/>
    <s v="Average"/>
  </r>
  <r>
    <x v="1910"/>
    <x v="1910"/>
    <s v="EMP_1911"/>
    <x v="0"/>
    <s v="EMP_1911HR"/>
    <x v="0"/>
    <x v="0"/>
    <n v="60981"/>
    <n v="2048"/>
    <n v="0"/>
    <n v="0"/>
    <s v="12/13/2019"/>
    <s v="12/13/2019"/>
    <d v="2026-02-11T00:00:00"/>
    <e v="#VALUE!"/>
    <n v="5"/>
    <n v="63029"/>
    <n v="31514.5"/>
    <s v=" Not Achieved"/>
    <s v=" Excellent"/>
  </r>
  <r>
    <x v="1911"/>
    <x v="1911"/>
    <s v="EMP_1912"/>
    <x v="0"/>
    <s v="EMP_1912IT"/>
    <x v="3"/>
    <x v="0"/>
    <n v="23938"/>
    <n v="10635"/>
    <n v="0"/>
    <n v="0"/>
    <s v="4/23/2021"/>
    <s v="4/23/2021"/>
    <d v="2026-02-11T00:00:00"/>
    <e v="#VALUE!"/>
    <n v="1"/>
    <n v="34573"/>
    <n v="17286.5"/>
    <s v=" Not Achieved"/>
    <s v="poor"/>
  </r>
  <r>
    <x v="1912"/>
    <x v="1912"/>
    <s v="EMP_1913"/>
    <x v="0"/>
    <s v="EMP_1913Marketing"/>
    <x v="4"/>
    <x v="0"/>
    <n v="21780"/>
    <n v="6120"/>
    <n v="0"/>
    <n v="0"/>
    <s v="4/22/2021"/>
    <s v="4/22/2021"/>
    <d v="2026-02-11T00:00:00"/>
    <e v="#VALUE!"/>
    <n v="2"/>
    <n v="27900"/>
    <n v="13950"/>
    <s v=" Not Achieved"/>
    <s v="poor"/>
  </r>
  <r>
    <x v="1913"/>
    <x v="1913"/>
    <s v="EMP_1914"/>
    <x v="0"/>
    <s v="EMP_1914Sales"/>
    <x v="1"/>
    <x v="1"/>
    <n v="49650"/>
    <n v="9311"/>
    <n v="204927"/>
    <n v="83402"/>
    <d v="2022-12-11T00:00:00"/>
    <s v="2022"/>
    <d v="2026-02-11T00:00:00"/>
    <n v="3"/>
    <n v="3"/>
    <n v="58961"/>
    <n v="29480.5"/>
    <s v="Achieved"/>
    <s v="Good"/>
  </r>
  <r>
    <x v="1914"/>
    <x v="1914"/>
    <s v="EMP_1915"/>
    <x v="0"/>
    <s v="EMP_1915Finance"/>
    <x v="2"/>
    <x v="3"/>
    <n v="72168"/>
    <n v="9035"/>
    <n v="0"/>
    <n v="0"/>
    <d v="2022-02-07T00:00:00"/>
    <s v="2022"/>
    <d v="2026-02-11T00:00:00"/>
    <n v="4"/>
    <n v="5"/>
    <n v="81203"/>
    <n v="40601.5"/>
    <s v=" Not Achieved"/>
    <s v=" Excellent"/>
  </r>
  <r>
    <x v="1915"/>
    <x v="1915"/>
    <s v="EMP_1916"/>
    <x v="0"/>
    <s v="EMP_1916Marketing"/>
    <x v="4"/>
    <x v="4"/>
    <n v="39852"/>
    <n v="12846"/>
    <n v="0"/>
    <n v="0"/>
    <d v="2022-01-05T00:00:00"/>
    <s v="2022"/>
    <d v="2026-02-11T00:00:00"/>
    <n v="4"/>
    <n v="1"/>
    <n v="52698"/>
    <n v="26349"/>
    <s v=" Not Achieved"/>
    <s v="Average"/>
  </r>
  <r>
    <x v="1916"/>
    <x v="1916"/>
    <s v="EMP_1917"/>
    <x v="1"/>
    <s v="EMP_1917IT"/>
    <x v="3"/>
    <x v="2"/>
    <n v="54356"/>
    <n v="5773"/>
    <n v="0"/>
    <n v="0"/>
    <d v="2018-02-11T00:00:00"/>
    <s v="2018"/>
    <d v="2026-02-11T00:00:00"/>
    <n v="8"/>
    <n v="4"/>
    <n v="60129"/>
    <n v="30064.5"/>
    <s v=" Not Achieved"/>
    <s v=" Excellent"/>
  </r>
  <r>
    <x v="1917"/>
    <x v="1917"/>
    <s v="EMP_1918"/>
    <x v="0"/>
    <s v="EMP_1918Sales"/>
    <x v="1"/>
    <x v="0"/>
    <n v="56288"/>
    <n v="2806"/>
    <n v="190187"/>
    <n v="126073"/>
    <s v="12/15/2021"/>
    <s v="12/15/2021"/>
    <d v="2026-02-11T00:00:00"/>
    <e v="#VALUE!"/>
    <n v="5"/>
    <n v="59094"/>
    <n v="29547"/>
    <s v="Achieved"/>
    <s v=" Excellent"/>
  </r>
  <r>
    <x v="1918"/>
    <x v="1918"/>
    <s v="EMP_1919"/>
    <x v="1"/>
    <s v="EMP_1919Finance"/>
    <x v="2"/>
    <x v="3"/>
    <n v="36613"/>
    <n v="14216"/>
    <n v="0"/>
    <n v="0"/>
    <s v="7/29/2020"/>
    <s v="7/29/2020"/>
    <d v="2026-02-11T00:00:00"/>
    <e v="#VALUE!"/>
    <n v="4"/>
    <n v="50829"/>
    <n v="25414.5"/>
    <s v=" Not Achieved"/>
    <s v="Average"/>
  </r>
  <r>
    <x v="1919"/>
    <x v="1919"/>
    <s v="EMP_1920"/>
    <x v="1"/>
    <s v="EMP_1920Finance"/>
    <x v="2"/>
    <x v="3"/>
    <n v="24817"/>
    <n v="5691"/>
    <n v="0"/>
    <n v="0"/>
    <s v="8/21/2018"/>
    <s v="8/21/2018"/>
    <d v="2026-02-11T00:00:00"/>
    <e v="#VALUE!"/>
    <n v="1"/>
    <n v="30508"/>
    <n v="15254"/>
    <s v=" Not Achieved"/>
    <s v="poor"/>
  </r>
  <r>
    <x v="1920"/>
    <x v="1920"/>
    <s v="EMP_1921"/>
    <x v="0"/>
    <s v="EMP_1921IT"/>
    <x v="3"/>
    <x v="1"/>
    <n v="69648"/>
    <n v="4435"/>
    <n v="0"/>
    <n v="0"/>
    <d v="2018-04-03T00:00:00"/>
    <s v="2018"/>
    <d v="2026-02-11T00:00:00"/>
    <n v="7"/>
    <n v="5"/>
    <n v="74083"/>
    <n v="37041.5"/>
    <s v=" Not Achieved"/>
    <s v=" Excellent"/>
  </r>
  <r>
    <x v="1921"/>
    <x v="1921"/>
    <s v="EMP_1922"/>
    <x v="1"/>
    <s v="EMP_1922IT"/>
    <x v="3"/>
    <x v="1"/>
    <n v="70963"/>
    <n v="6260"/>
    <n v="0"/>
    <n v="0"/>
    <s v="12/19/2024"/>
    <s v="12/19/2024"/>
    <d v="2026-02-11T00:00:00"/>
    <e v="#VALUE!"/>
    <n v="3"/>
    <n v="77223"/>
    <n v="38611.5"/>
    <s v=" Not Achieved"/>
    <s v=" Excellent"/>
  </r>
  <r>
    <x v="1922"/>
    <x v="1922"/>
    <s v="EMP_1923"/>
    <x v="1"/>
    <s v="EMP_1923Finance"/>
    <x v="2"/>
    <x v="0"/>
    <n v="55431"/>
    <n v="14380"/>
    <n v="0"/>
    <n v="0"/>
    <s v="3/17/2022"/>
    <s v="3/17/2022"/>
    <d v="2026-02-11T00:00:00"/>
    <e v="#VALUE!"/>
    <n v="4"/>
    <n v="69811"/>
    <n v="34905.5"/>
    <s v=" Not Achieved"/>
    <s v=" Excellent"/>
  </r>
  <r>
    <x v="1923"/>
    <x v="1923"/>
    <s v="EMP_1924"/>
    <x v="1"/>
    <s v="EMP_1924Sales"/>
    <x v="1"/>
    <x v="3"/>
    <n v="53116"/>
    <n v="2784"/>
    <n v="101223"/>
    <n v="195327"/>
    <s v="12/21/2020"/>
    <s v="12/21/2020"/>
    <d v="2026-02-11T00:00:00"/>
    <e v="#VALUE!"/>
    <n v="2"/>
    <n v="55900"/>
    <n v="27950"/>
    <s v=" Not Achieved"/>
    <s v=" Excellent"/>
  </r>
  <r>
    <x v="1924"/>
    <x v="1924"/>
    <s v="EMP_1925"/>
    <x v="0"/>
    <s v="EMP_1925IT"/>
    <x v="3"/>
    <x v="4"/>
    <n v="75070"/>
    <n v="5862"/>
    <n v="0"/>
    <n v="0"/>
    <s v="11/26/2024"/>
    <s v="11/26/2024"/>
    <d v="2026-02-11T00:00:00"/>
    <e v="#VALUE!"/>
    <n v="3"/>
    <n v="80932"/>
    <n v="40466"/>
    <s v=" Not Achieved"/>
    <s v=" Excellent"/>
  </r>
  <r>
    <x v="1925"/>
    <x v="1925"/>
    <s v="EMP_1926"/>
    <x v="1"/>
    <s v="EMP_1926Finance"/>
    <x v="2"/>
    <x v="2"/>
    <n v="57776"/>
    <n v="10152"/>
    <n v="0"/>
    <n v="0"/>
    <d v="2021-01-10T00:00:00"/>
    <s v="2021"/>
    <d v="2026-02-11T00:00:00"/>
    <n v="5"/>
    <n v="5"/>
    <n v="67928"/>
    <n v="33964"/>
    <s v=" Not Achieved"/>
    <s v=" Excellent"/>
  </r>
  <r>
    <x v="1926"/>
    <x v="1926"/>
    <s v="EMP_1927"/>
    <x v="0"/>
    <s v="EMP_1927Finance"/>
    <x v="2"/>
    <x v="0"/>
    <n v="32141"/>
    <n v="3829"/>
    <n v="0"/>
    <n v="0"/>
    <s v="8/19/2024"/>
    <s v="8/19/2024"/>
    <d v="2026-02-11T00:00:00"/>
    <e v="#VALUE!"/>
    <n v="1"/>
    <n v="35970"/>
    <n v="17985"/>
    <s v=" Not Achieved"/>
    <s v="Average"/>
  </r>
  <r>
    <x v="1927"/>
    <x v="1927"/>
    <s v="EMP_1928"/>
    <x v="1"/>
    <s v="EMP_1928Sales"/>
    <x v="1"/>
    <x v="1"/>
    <n v="55195"/>
    <n v="2967"/>
    <n v="233025"/>
    <n v="147064"/>
    <d v="2018-06-08T00:00:00"/>
    <s v="2018"/>
    <d v="2026-02-11T00:00:00"/>
    <n v="7"/>
    <n v="2"/>
    <n v="58162"/>
    <n v="29081"/>
    <s v="Achieved"/>
    <s v=" Excellent"/>
  </r>
  <r>
    <x v="1928"/>
    <x v="1928"/>
    <s v="EMP_1929"/>
    <x v="0"/>
    <s v="EMP_1929IT"/>
    <x v="3"/>
    <x v="0"/>
    <n v="68282"/>
    <n v="10713"/>
    <n v="0"/>
    <n v="0"/>
    <d v="2021-08-12T00:00:00"/>
    <s v="2021"/>
    <d v="2026-02-11T00:00:00"/>
    <n v="4"/>
    <n v="5"/>
    <n v="78995"/>
    <n v="39497.5"/>
    <s v=" Not Achieved"/>
    <s v=" Excellent"/>
  </r>
  <r>
    <x v="1929"/>
    <x v="1929"/>
    <s v="EMP_1930"/>
    <x v="0"/>
    <s v="EMP_1930IT"/>
    <x v="3"/>
    <x v="3"/>
    <n v="69633"/>
    <n v="10756"/>
    <n v="0"/>
    <n v="0"/>
    <s v="1/31/2020"/>
    <s v="1/31/2020"/>
    <d v="2026-02-11T00:00:00"/>
    <e v="#VALUE!"/>
    <n v="3"/>
    <n v="80389"/>
    <n v="40194.5"/>
    <s v=" Not Achieved"/>
    <s v=" Excellent"/>
  </r>
  <r>
    <x v="1930"/>
    <x v="1930"/>
    <s v="EMP_1931"/>
    <x v="0"/>
    <s v="EMP_1931HR"/>
    <x v="0"/>
    <x v="2"/>
    <n v="71789"/>
    <n v="12297"/>
    <n v="0"/>
    <n v="0"/>
    <s v="9/20/2019"/>
    <s v="9/20/2019"/>
    <d v="2026-02-11T00:00:00"/>
    <e v="#VALUE!"/>
    <n v="5"/>
    <n v="84086"/>
    <n v="42043"/>
    <s v=" Not Achieved"/>
    <s v=" Excellent"/>
  </r>
  <r>
    <x v="1931"/>
    <x v="1931"/>
    <s v="EMP_1932"/>
    <x v="0"/>
    <s v="EMP_1932IT"/>
    <x v="3"/>
    <x v="3"/>
    <n v="65066"/>
    <n v="11839"/>
    <n v="0"/>
    <n v="0"/>
    <d v="2021-11-08T00:00:00"/>
    <s v="2021"/>
    <d v="2026-02-11T00:00:00"/>
    <n v="4"/>
    <n v="2"/>
    <n v="76905"/>
    <n v="38452.5"/>
    <s v=" Not Achieved"/>
    <s v=" Excellent"/>
  </r>
  <r>
    <x v="1932"/>
    <x v="1932"/>
    <s v="EMP_1933"/>
    <x v="1"/>
    <s v="EMP_1933IT"/>
    <x v="3"/>
    <x v="1"/>
    <n v="57663"/>
    <n v="4133"/>
    <n v="0"/>
    <n v="0"/>
    <s v="3/17/2022"/>
    <s v="3/17/2022"/>
    <d v="2026-02-11T00:00:00"/>
    <e v="#VALUE!"/>
    <n v="1"/>
    <n v="61796"/>
    <n v="30898"/>
    <s v=" Not Achieved"/>
    <s v=" Excellent"/>
  </r>
  <r>
    <x v="1933"/>
    <x v="1933"/>
    <s v="EMP_1934"/>
    <x v="0"/>
    <s v="EMP_1934Marketing"/>
    <x v="4"/>
    <x v="4"/>
    <n v="72655"/>
    <n v="13261"/>
    <n v="0"/>
    <n v="0"/>
    <d v="2021-01-09T00:00:00"/>
    <s v="2021"/>
    <d v="2026-02-11T00:00:00"/>
    <n v="5"/>
    <n v="1"/>
    <n v="85916"/>
    <n v="42958"/>
    <s v=" Not Achieved"/>
    <s v=" Excellent"/>
  </r>
  <r>
    <x v="1934"/>
    <x v="1934"/>
    <s v="EMP_1935"/>
    <x v="1"/>
    <s v="EMP_1935Marketing"/>
    <x v="4"/>
    <x v="4"/>
    <n v="49093"/>
    <n v="14060"/>
    <n v="0"/>
    <n v="0"/>
    <d v="2020-05-06T00:00:00"/>
    <s v="2020"/>
    <d v="2026-02-11T00:00:00"/>
    <n v="5"/>
    <n v="3"/>
    <n v="63153"/>
    <n v="31576.5"/>
    <s v=" Not Achieved"/>
    <s v="Good"/>
  </r>
  <r>
    <x v="1935"/>
    <x v="1935"/>
    <s v="EMP_1936"/>
    <x v="1"/>
    <s v="EMP_1936Marketing"/>
    <x v="4"/>
    <x v="3"/>
    <n v="49483"/>
    <n v="12661"/>
    <n v="0"/>
    <n v="0"/>
    <d v="2023-02-04T00:00:00"/>
    <s v="2023"/>
    <d v="2026-02-11T00:00:00"/>
    <n v="3"/>
    <n v="1"/>
    <n v="62144"/>
    <n v="31072"/>
    <s v=" Not Achieved"/>
    <s v="Good"/>
  </r>
  <r>
    <x v="1936"/>
    <x v="1936"/>
    <s v="EMP_1937"/>
    <x v="1"/>
    <s v="EMP_1937Marketing"/>
    <x v="4"/>
    <x v="2"/>
    <n v="34701"/>
    <n v="8114"/>
    <n v="0"/>
    <n v="0"/>
    <d v="2021-12-01T00:00:00"/>
    <s v="2021"/>
    <d v="2026-02-11T00:00:00"/>
    <n v="4"/>
    <n v="4"/>
    <n v="42815"/>
    <n v="21407.5"/>
    <s v=" Not Achieved"/>
    <s v="Average"/>
  </r>
  <r>
    <x v="1937"/>
    <x v="1937"/>
    <s v="EMP_1938"/>
    <x v="1"/>
    <s v="EMP_1938Finance"/>
    <x v="2"/>
    <x v="1"/>
    <n v="35437"/>
    <n v="14412"/>
    <n v="0"/>
    <n v="0"/>
    <s v="2/20/2019"/>
    <s v="2/20/2019"/>
    <d v="2026-02-11T00:00:00"/>
    <e v="#VALUE!"/>
    <n v="2"/>
    <n v="49849"/>
    <n v="24924.5"/>
    <s v=" Not Achieved"/>
    <s v="Average"/>
  </r>
  <r>
    <x v="1938"/>
    <x v="1938"/>
    <s v="EMP_1939"/>
    <x v="1"/>
    <s v="EMP_1939Marketing"/>
    <x v="4"/>
    <x v="4"/>
    <n v="26976"/>
    <n v="10171"/>
    <n v="0"/>
    <n v="0"/>
    <d v="2020-10-08T00:00:00"/>
    <s v="2020"/>
    <d v="2026-02-11T00:00:00"/>
    <n v="5"/>
    <n v="5"/>
    <n v="37147"/>
    <n v="18573.5"/>
    <s v=" Not Achieved"/>
    <s v="poor"/>
  </r>
  <r>
    <x v="1939"/>
    <x v="1939"/>
    <s v="EMP_1940"/>
    <x v="0"/>
    <s v="EMP_1940Marketing"/>
    <x v="4"/>
    <x v="1"/>
    <n v="40382"/>
    <n v="4326"/>
    <n v="0"/>
    <n v="0"/>
    <d v="2024-08-06T00:00:00"/>
    <s v="2024"/>
    <d v="2026-02-11T00:00:00"/>
    <n v="1"/>
    <n v="1"/>
    <n v="44708"/>
    <n v="22354"/>
    <s v=" Not Achieved"/>
    <s v="Good"/>
  </r>
  <r>
    <x v="1940"/>
    <x v="1940"/>
    <s v="EMP_1941"/>
    <x v="0"/>
    <s v="EMP_1941Sales"/>
    <x v="1"/>
    <x v="2"/>
    <n v="44221"/>
    <n v="10207"/>
    <n v="119792"/>
    <n v="103214"/>
    <s v="5/16/2019"/>
    <s v="5/16/2019"/>
    <d v="2026-02-11T00:00:00"/>
    <e v="#VALUE!"/>
    <n v="3"/>
    <n v="54428"/>
    <n v="27214"/>
    <s v="Achieved"/>
    <s v="Good"/>
  </r>
  <r>
    <x v="1941"/>
    <x v="1941"/>
    <s v="EMP_1942"/>
    <x v="0"/>
    <s v="EMP_1942Finance"/>
    <x v="2"/>
    <x v="0"/>
    <n v="26857"/>
    <n v="8389"/>
    <n v="0"/>
    <n v="0"/>
    <d v="2019-09-09T00:00:00"/>
    <s v="2019"/>
    <d v="2026-02-11T00:00:00"/>
    <n v="6"/>
    <n v="2"/>
    <n v="35246"/>
    <n v="17623"/>
    <s v=" Not Achieved"/>
    <s v="poor"/>
  </r>
  <r>
    <x v="1942"/>
    <x v="1942"/>
    <s v="EMP_1943"/>
    <x v="0"/>
    <s v="EMP_1943IT"/>
    <x v="3"/>
    <x v="2"/>
    <n v="31600"/>
    <n v="12742"/>
    <n v="0"/>
    <n v="0"/>
    <d v="2019-07-08T00:00:00"/>
    <s v="2019"/>
    <d v="2026-02-11T00:00:00"/>
    <n v="6"/>
    <n v="1"/>
    <n v="44342"/>
    <n v="22171"/>
    <s v=" Not Achieved"/>
    <s v="Average"/>
  </r>
  <r>
    <x v="1943"/>
    <x v="1943"/>
    <s v="EMP_1944"/>
    <x v="0"/>
    <s v="EMP_1944Sales"/>
    <x v="1"/>
    <x v="3"/>
    <n v="60418"/>
    <n v="3608"/>
    <n v="198348"/>
    <n v="109283"/>
    <s v="6/16/2022"/>
    <s v="6/16/2022"/>
    <d v="2026-02-11T00:00:00"/>
    <e v="#VALUE!"/>
    <n v="3"/>
    <n v="64026"/>
    <n v="32013"/>
    <s v="Achieved"/>
    <s v=" Excellent"/>
  </r>
  <r>
    <x v="1944"/>
    <x v="1944"/>
    <s v="EMP_1945"/>
    <x v="1"/>
    <s v="EMP_1945Sales"/>
    <x v="1"/>
    <x v="2"/>
    <n v="29422"/>
    <n v="8940"/>
    <n v="292576"/>
    <n v="231082"/>
    <s v="2/14/2018"/>
    <s v="2/14/2018"/>
    <d v="2026-02-11T00:00:00"/>
    <e v="#VALUE!"/>
    <n v="1"/>
    <n v="38362"/>
    <n v="19181"/>
    <s v="Achieved"/>
    <s v="poor"/>
  </r>
  <r>
    <x v="1945"/>
    <x v="1945"/>
    <s v="EMP_1946"/>
    <x v="1"/>
    <s v="EMP_1946HR"/>
    <x v="0"/>
    <x v="3"/>
    <n v="28619"/>
    <n v="8211"/>
    <n v="0"/>
    <n v="0"/>
    <s v="4/19/2019"/>
    <s v="4/19/2019"/>
    <d v="2026-02-11T00:00:00"/>
    <e v="#VALUE!"/>
    <n v="3"/>
    <n v="36830"/>
    <n v="18415"/>
    <s v=" Not Achieved"/>
    <s v="poor"/>
  </r>
  <r>
    <x v="1946"/>
    <x v="1946"/>
    <s v="EMP_1947"/>
    <x v="0"/>
    <s v="EMP_1947Marketing"/>
    <x v="4"/>
    <x v="0"/>
    <n v="23633"/>
    <n v="2353"/>
    <n v="0"/>
    <n v="0"/>
    <s v="5/13/2024"/>
    <s v="5/13/2024"/>
    <d v="2026-02-11T00:00:00"/>
    <e v="#VALUE!"/>
    <n v="1"/>
    <n v="25986"/>
    <n v="12993"/>
    <s v=" Not Achieved"/>
    <s v="poor"/>
  </r>
  <r>
    <x v="1947"/>
    <x v="1947"/>
    <s v="EMP_1948"/>
    <x v="1"/>
    <s v="EMP_1948Marketing"/>
    <x v="4"/>
    <x v="1"/>
    <n v="42326"/>
    <n v="7369"/>
    <n v="0"/>
    <n v="0"/>
    <s v="2/20/2024"/>
    <s v="2/20/2024"/>
    <d v="2026-02-11T00:00:00"/>
    <e v="#VALUE!"/>
    <n v="3"/>
    <n v="49695"/>
    <n v="24847.5"/>
    <s v=" Not Achieved"/>
    <s v="Good"/>
  </r>
  <r>
    <x v="1948"/>
    <x v="1948"/>
    <s v="EMP_1949"/>
    <x v="0"/>
    <s v="EMP_1949Sales"/>
    <x v="1"/>
    <x v="4"/>
    <n v="57507"/>
    <n v="14108"/>
    <n v="54120"/>
    <n v="109640"/>
    <d v="2018-05-06T00:00:00"/>
    <s v="2018"/>
    <d v="2026-02-11T00:00:00"/>
    <n v="7"/>
    <n v="4"/>
    <n v="71615"/>
    <n v="35807.5"/>
    <s v=" Not Achieved"/>
    <s v=" Excellent"/>
  </r>
  <r>
    <x v="1949"/>
    <x v="1949"/>
    <s v="EMP_1950"/>
    <x v="1"/>
    <s v="EMP_1950Finance"/>
    <x v="2"/>
    <x v="3"/>
    <n v="56093"/>
    <n v="7482"/>
    <n v="0"/>
    <n v="0"/>
    <s v="8/26/2023"/>
    <s v="8/26/2023"/>
    <d v="2026-02-11T00:00:00"/>
    <e v="#VALUE!"/>
    <n v="1"/>
    <n v="63575"/>
    <n v="31787.5"/>
    <s v=" Not Achieved"/>
    <s v=" Excellent"/>
  </r>
  <r>
    <x v="1950"/>
    <x v="1950"/>
    <s v="EMP_1951"/>
    <x v="1"/>
    <s v="EMP_1951IT"/>
    <x v="3"/>
    <x v="3"/>
    <n v="22903"/>
    <n v="4216"/>
    <n v="0"/>
    <n v="0"/>
    <s v="4/23/2018"/>
    <s v="4/23/2018"/>
    <d v="2026-02-11T00:00:00"/>
    <e v="#VALUE!"/>
    <n v="1"/>
    <n v="27119"/>
    <n v="13559.5"/>
    <s v=" Not Achieved"/>
    <s v="poor"/>
  </r>
  <r>
    <x v="1951"/>
    <x v="1951"/>
    <s v="EMP_1952"/>
    <x v="0"/>
    <s v="EMP_1952Finance"/>
    <x v="2"/>
    <x v="4"/>
    <n v="53792"/>
    <n v="11628"/>
    <n v="0"/>
    <n v="0"/>
    <s v="5/30/2022"/>
    <s v="5/30/2022"/>
    <d v="2026-02-11T00:00:00"/>
    <e v="#VALUE!"/>
    <n v="3"/>
    <n v="65420"/>
    <n v="32710"/>
    <s v=" Not Achieved"/>
    <s v=" Excellent"/>
  </r>
  <r>
    <x v="1952"/>
    <x v="1952"/>
    <s v="EMP_1953"/>
    <x v="0"/>
    <s v="EMP_1953Finance"/>
    <x v="2"/>
    <x v="4"/>
    <n v="54982"/>
    <n v="12932"/>
    <n v="0"/>
    <n v="0"/>
    <d v="2020-01-12T00:00:00"/>
    <s v="2020"/>
    <d v="2026-02-11T00:00:00"/>
    <n v="6"/>
    <n v="4"/>
    <n v="67914"/>
    <n v="33957"/>
    <s v=" Not Achieved"/>
    <s v=" Excellent"/>
  </r>
  <r>
    <x v="1953"/>
    <x v="1953"/>
    <s v="EMP_1954"/>
    <x v="1"/>
    <s v="EMP_1954Marketing"/>
    <x v="4"/>
    <x v="3"/>
    <n v="23740"/>
    <n v="4543"/>
    <n v="0"/>
    <n v="0"/>
    <s v="3/21/2019"/>
    <s v="3/21/2019"/>
    <d v="2026-02-11T00:00:00"/>
    <e v="#VALUE!"/>
    <n v="2"/>
    <n v="28283"/>
    <n v="14141.5"/>
    <s v=" Not Achieved"/>
    <s v="poor"/>
  </r>
  <r>
    <x v="1954"/>
    <x v="1954"/>
    <s v="EMP_1955"/>
    <x v="1"/>
    <s v="EMP_1955Finance"/>
    <x v="2"/>
    <x v="4"/>
    <n v="40294"/>
    <n v="7331"/>
    <n v="0"/>
    <n v="0"/>
    <s v="10/16/2019"/>
    <s v="10/16/2019"/>
    <d v="2026-02-11T00:00:00"/>
    <e v="#VALUE!"/>
    <n v="2"/>
    <n v="47625"/>
    <n v="23812.5"/>
    <s v=" Not Achieved"/>
    <s v="Good"/>
  </r>
  <r>
    <x v="1955"/>
    <x v="1955"/>
    <s v="EMP_1956"/>
    <x v="0"/>
    <s v="EMP_1956Finance"/>
    <x v="2"/>
    <x v="1"/>
    <n v="75101"/>
    <n v="6677"/>
    <n v="0"/>
    <n v="0"/>
    <s v="10/15/2021"/>
    <s v="10/15/2021"/>
    <d v="2026-02-11T00:00:00"/>
    <e v="#VALUE!"/>
    <n v="4"/>
    <n v="81778"/>
    <n v="40889"/>
    <s v=" Not Achieved"/>
    <s v=" Excellent"/>
  </r>
  <r>
    <x v="1956"/>
    <x v="1956"/>
    <s v="EMP_1957"/>
    <x v="1"/>
    <s v="EMP_1957HR"/>
    <x v="0"/>
    <x v="4"/>
    <n v="60068"/>
    <n v="5878"/>
    <n v="0"/>
    <n v="0"/>
    <d v="2018-10-11T00:00:00"/>
    <s v="2018"/>
    <d v="2026-02-11T00:00:00"/>
    <n v="7"/>
    <n v="5"/>
    <n v="65946"/>
    <n v="32973"/>
    <s v=" Not Achieved"/>
    <s v=" Excellent"/>
  </r>
  <r>
    <x v="1957"/>
    <x v="1957"/>
    <s v="EMP_1958"/>
    <x v="1"/>
    <s v="EMP_1958Finance"/>
    <x v="2"/>
    <x v="1"/>
    <n v="27038"/>
    <n v="2838"/>
    <n v="0"/>
    <n v="0"/>
    <d v="2024-02-01T00:00:00"/>
    <s v="2024"/>
    <d v="2026-02-11T00:00:00"/>
    <n v="2"/>
    <n v="1"/>
    <n v="29876"/>
    <n v="14938"/>
    <s v=" Not Achieved"/>
    <s v="poor"/>
  </r>
  <r>
    <x v="1958"/>
    <x v="1958"/>
    <s v="EMP_1959"/>
    <x v="1"/>
    <s v="EMP_1959IT"/>
    <x v="3"/>
    <x v="1"/>
    <n v="52919"/>
    <n v="6230"/>
    <n v="0"/>
    <n v="0"/>
    <s v="4/20/2018"/>
    <s v="4/20/2018"/>
    <d v="2026-02-11T00:00:00"/>
    <e v="#VALUE!"/>
    <n v="3"/>
    <n v="59149"/>
    <n v="29574.5"/>
    <s v=" Not Achieved"/>
    <s v=" Excellent"/>
  </r>
  <r>
    <x v="1959"/>
    <x v="1959"/>
    <s v="EMP_1960"/>
    <x v="0"/>
    <s v="EMP_1960Marketing"/>
    <x v="4"/>
    <x v="0"/>
    <n v="58087"/>
    <n v="12126"/>
    <n v="0"/>
    <n v="0"/>
    <s v="1/25/2020"/>
    <s v="1/25/2020"/>
    <d v="2026-02-11T00:00:00"/>
    <e v="#VALUE!"/>
    <n v="4"/>
    <n v="70213"/>
    <n v="35106.5"/>
    <s v=" Not Achieved"/>
    <s v=" Excellent"/>
  </r>
  <r>
    <x v="1960"/>
    <x v="1960"/>
    <s v="EMP_1961"/>
    <x v="0"/>
    <s v="EMP_1961Sales"/>
    <x v="1"/>
    <x v="1"/>
    <n v="42605"/>
    <n v="9336"/>
    <n v="155315"/>
    <n v="93267"/>
    <d v="2021-01-04T00:00:00"/>
    <s v="2021"/>
    <d v="2026-02-11T00:00:00"/>
    <n v="5"/>
    <n v="3"/>
    <n v="51941"/>
    <n v="25970.5"/>
    <s v="Achieved"/>
    <s v="Good"/>
  </r>
  <r>
    <x v="1961"/>
    <x v="1961"/>
    <s v="EMP_1962"/>
    <x v="1"/>
    <s v="EMP_1962Marketing"/>
    <x v="4"/>
    <x v="1"/>
    <n v="54434"/>
    <n v="14115"/>
    <n v="0"/>
    <n v="0"/>
    <s v="2/16/2022"/>
    <s v="2/16/2022"/>
    <d v="2026-02-11T00:00:00"/>
    <e v="#VALUE!"/>
    <n v="1"/>
    <n v="68549"/>
    <n v="34274.5"/>
    <s v=" Not Achieved"/>
    <s v=" Excellent"/>
  </r>
  <r>
    <x v="1962"/>
    <x v="1962"/>
    <s v="EMP_1963"/>
    <x v="0"/>
    <s v="EMP_1963Sales"/>
    <x v="1"/>
    <x v="4"/>
    <n v="71606"/>
    <n v="12865"/>
    <n v="195262"/>
    <n v="161890"/>
    <s v="12/19/2024"/>
    <s v="12/19/2024"/>
    <d v="2026-02-11T00:00:00"/>
    <e v="#VALUE!"/>
    <n v="3"/>
    <n v="84471"/>
    <n v="42235.5"/>
    <s v="Achieved"/>
    <s v=" Excellent"/>
  </r>
  <r>
    <x v="1963"/>
    <x v="1963"/>
    <s v="EMP_1964"/>
    <x v="0"/>
    <s v="EMP_1964Sales"/>
    <x v="1"/>
    <x v="1"/>
    <n v="33396"/>
    <n v="9930"/>
    <n v="246836"/>
    <n v="245654"/>
    <s v="5/16/2024"/>
    <s v="5/16/2024"/>
    <d v="2026-02-11T00:00:00"/>
    <e v="#VALUE!"/>
    <n v="4"/>
    <n v="43326"/>
    <n v="21663"/>
    <s v="Achieved"/>
    <s v="Average"/>
  </r>
  <r>
    <x v="1964"/>
    <x v="1964"/>
    <s v="EMP_1965"/>
    <x v="0"/>
    <s v="EMP_1965Sales"/>
    <x v="1"/>
    <x v="4"/>
    <n v="73578"/>
    <n v="7579"/>
    <n v="110012"/>
    <n v="170861"/>
    <d v="2018-12-03T00:00:00"/>
    <s v="2018"/>
    <d v="2026-02-11T00:00:00"/>
    <n v="7"/>
    <n v="5"/>
    <n v="81157"/>
    <n v="40578.5"/>
    <s v=" Not Achieved"/>
    <s v=" Excellent"/>
  </r>
  <r>
    <x v="1965"/>
    <x v="1965"/>
    <s v="EMP_1966"/>
    <x v="1"/>
    <s v="EMP_1966Marketing"/>
    <x v="4"/>
    <x v="1"/>
    <n v="34998"/>
    <n v="4243"/>
    <n v="0"/>
    <n v="0"/>
    <s v="12/18/2021"/>
    <s v="12/18/2021"/>
    <d v="2026-02-11T00:00:00"/>
    <e v="#VALUE!"/>
    <n v="4"/>
    <n v="39241"/>
    <n v="19620.5"/>
    <s v=" Not Achieved"/>
    <s v="Average"/>
  </r>
  <r>
    <x v="1966"/>
    <x v="1966"/>
    <s v="EMP_1967"/>
    <x v="0"/>
    <s v="EMP_1967Finance"/>
    <x v="2"/>
    <x v="3"/>
    <n v="70458"/>
    <n v="7155"/>
    <n v="0"/>
    <n v="0"/>
    <d v="2022-07-06T00:00:00"/>
    <s v="2022"/>
    <d v="2026-02-11T00:00:00"/>
    <n v="3"/>
    <n v="2"/>
    <n v="77613"/>
    <n v="38806.5"/>
    <s v=" Not Achieved"/>
    <s v=" Excellent"/>
  </r>
  <r>
    <x v="1967"/>
    <x v="1967"/>
    <s v="EMP_1968"/>
    <x v="1"/>
    <s v="EMP_1968HR"/>
    <x v="0"/>
    <x v="2"/>
    <n v="34402"/>
    <n v="4739"/>
    <n v="0"/>
    <n v="0"/>
    <s v="9/19/2024"/>
    <s v="9/19/2024"/>
    <d v="2026-02-11T00:00:00"/>
    <e v="#VALUE!"/>
    <n v="4"/>
    <n v="39141"/>
    <n v="19570.5"/>
    <s v=" Not Achieved"/>
    <s v="Average"/>
  </r>
  <r>
    <x v="1968"/>
    <x v="1968"/>
    <s v="EMP_1969"/>
    <x v="0"/>
    <s v="EMP_1969Marketing"/>
    <x v="4"/>
    <x v="3"/>
    <n v="23773"/>
    <n v="12716"/>
    <n v="0"/>
    <n v="0"/>
    <d v="2020-02-08T00:00:00"/>
    <s v="2020"/>
    <d v="2026-02-11T00:00:00"/>
    <n v="6"/>
    <n v="4"/>
    <n v="36489"/>
    <n v="18244.5"/>
    <s v=" Not Achieved"/>
    <s v="poor"/>
  </r>
  <r>
    <x v="1969"/>
    <x v="1969"/>
    <s v="EMP_1970"/>
    <x v="1"/>
    <s v="EMP_1970Sales"/>
    <x v="1"/>
    <x v="0"/>
    <n v="54884"/>
    <n v="6794"/>
    <n v="286266"/>
    <n v="234111"/>
    <d v="2019-11-01T00:00:00"/>
    <s v="2019"/>
    <d v="2026-02-11T00:00:00"/>
    <n v="6"/>
    <n v="1"/>
    <n v="61678"/>
    <n v="30839"/>
    <s v="Achieved"/>
    <s v=" Excellent"/>
  </r>
  <r>
    <x v="1970"/>
    <x v="1970"/>
    <s v="EMP_1971"/>
    <x v="0"/>
    <s v="EMP_1971Marketing"/>
    <x v="4"/>
    <x v="2"/>
    <n v="53827"/>
    <n v="2246"/>
    <n v="0"/>
    <n v="0"/>
    <s v="5/24/2019"/>
    <s v="5/24/2019"/>
    <d v="2026-02-11T00:00:00"/>
    <e v="#VALUE!"/>
    <n v="4"/>
    <n v="56073"/>
    <n v="28036.5"/>
    <s v=" Not Achieved"/>
    <s v=" Excellent"/>
  </r>
  <r>
    <x v="1971"/>
    <x v="1971"/>
    <s v="EMP_1972"/>
    <x v="1"/>
    <s v="EMP_1972Sales"/>
    <x v="1"/>
    <x v="0"/>
    <n v="45351"/>
    <n v="2765"/>
    <n v="297951"/>
    <n v="110779"/>
    <s v="10/23/2022"/>
    <s v="10/23/2022"/>
    <d v="2026-02-11T00:00:00"/>
    <e v="#VALUE!"/>
    <n v="5"/>
    <n v="48116"/>
    <n v="24058"/>
    <s v="Achieved"/>
    <s v="Good"/>
  </r>
  <r>
    <x v="1972"/>
    <x v="1972"/>
    <s v="EMP_1973"/>
    <x v="1"/>
    <s v="EMP_1973Marketing"/>
    <x v="4"/>
    <x v="3"/>
    <n v="72582"/>
    <n v="4779"/>
    <n v="0"/>
    <n v="0"/>
    <s v="5/23/2020"/>
    <s v="5/23/2020"/>
    <d v="2026-02-11T00:00:00"/>
    <e v="#VALUE!"/>
    <n v="4"/>
    <n v="77361"/>
    <n v="38680.5"/>
    <s v=" Not Achieved"/>
    <s v=" Excellent"/>
  </r>
  <r>
    <x v="1973"/>
    <x v="1973"/>
    <s v="EMP_1974"/>
    <x v="1"/>
    <s v="EMP_1974Marketing"/>
    <x v="4"/>
    <x v="0"/>
    <n v="64746"/>
    <n v="8689"/>
    <n v="0"/>
    <n v="0"/>
    <s v="3/13/2022"/>
    <s v="3/13/2022"/>
    <d v="2026-02-11T00:00:00"/>
    <e v="#VALUE!"/>
    <n v="4"/>
    <n v="73435"/>
    <n v="36717.5"/>
    <s v=" Not Achieved"/>
    <s v=" Excellent"/>
  </r>
  <r>
    <x v="1974"/>
    <x v="1974"/>
    <s v="EMP_1975"/>
    <x v="1"/>
    <s v="EMP_1975Finance"/>
    <x v="2"/>
    <x v="0"/>
    <n v="51118"/>
    <n v="14623"/>
    <n v="0"/>
    <n v="0"/>
    <s v="3/29/2019"/>
    <s v="3/29/2019"/>
    <d v="2026-02-11T00:00:00"/>
    <e v="#VALUE!"/>
    <n v="2"/>
    <n v="65741"/>
    <n v="32870.5"/>
    <s v=" Not Achieved"/>
    <s v=" Excellent"/>
  </r>
  <r>
    <x v="1975"/>
    <x v="1975"/>
    <s v="EMP_1976"/>
    <x v="0"/>
    <s v="EMP_1976Marketing"/>
    <x v="4"/>
    <x v="1"/>
    <n v="36679"/>
    <n v="14986"/>
    <n v="0"/>
    <n v="0"/>
    <d v="2022-10-04T00:00:00"/>
    <s v="2022"/>
    <d v="2026-02-11T00:00:00"/>
    <n v="3"/>
    <n v="3"/>
    <n v="51665"/>
    <n v="25832.5"/>
    <s v=" Not Achieved"/>
    <s v="Average"/>
  </r>
  <r>
    <x v="1976"/>
    <x v="1976"/>
    <s v="EMP_1977"/>
    <x v="1"/>
    <s v="EMP_1977Marketing"/>
    <x v="4"/>
    <x v="0"/>
    <n v="21468"/>
    <n v="12305"/>
    <n v="0"/>
    <n v="0"/>
    <d v="2018-02-12T00:00:00"/>
    <s v="2018"/>
    <d v="2026-02-11T00:00:00"/>
    <n v="7"/>
    <n v="4"/>
    <n v="33773"/>
    <n v="16886.5"/>
    <s v=" Not Achieved"/>
    <s v="poor"/>
  </r>
  <r>
    <x v="1977"/>
    <x v="1977"/>
    <s v="EMP_1978"/>
    <x v="1"/>
    <s v="EMP_1978IT"/>
    <x v="3"/>
    <x v="0"/>
    <n v="54445"/>
    <n v="8920"/>
    <n v="0"/>
    <n v="0"/>
    <s v="6/21/2024"/>
    <s v="6/21/2024"/>
    <d v="2026-02-11T00:00:00"/>
    <e v="#VALUE!"/>
    <n v="1"/>
    <n v="63365"/>
    <n v="31682.5"/>
    <s v=" Not Achieved"/>
    <s v=" Excellent"/>
  </r>
  <r>
    <x v="1978"/>
    <x v="1978"/>
    <s v="EMP_1979"/>
    <x v="1"/>
    <s v="EMP_1979Marketing"/>
    <x v="4"/>
    <x v="1"/>
    <n v="44457"/>
    <n v="11358"/>
    <n v="0"/>
    <n v="0"/>
    <s v="3/23/2021"/>
    <s v="3/23/2021"/>
    <d v="2026-02-11T00:00:00"/>
    <e v="#VALUE!"/>
    <n v="2"/>
    <n v="55815"/>
    <n v="27907.5"/>
    <s v=" Not Achieved"/>
    <s v="Good"/>
  </r>
  <r>
    <x v="1979"/>
    <x v="1979"/>
    <s v="EMP_1980"/>
    <x v="0"/>
    <s v="EMP_1980IT"/>
    <x v="3"/>
    <x v="4"/>
    <n v="26092"/>
    <n v="11673"/>
    <n v="0"/>
    <n v="0"/>
    <s v="3/28/2021"/>
    <s v="3/28/2021"/>
    <d v="2026-02-11T00:00:00"/>
    <e v="#VALUE!"/>
    <n v="2"/>
    <n v="37765"/>
    <n v="18882.5"/>
    <s v=" Not Achieved"/>
    <s v="poor"/>
  </r>
  <r>
    <x v="1980"/>
    <x v="1980"/>
    <s v="EMP_1981"/>
    <x v="0"/>
    <s v="EMP_1981Sales"/>
    <x v="1"/>
    <x v="0"/>
    <n v="32127"/>
    <n v="12066"/>
    <n v="125653"/>
    <n v="239861"/>
    <d v="2024-12-05T00:00:00"/>
    <s v="2024"/>
    <d v="2026-02-11T00:00:00"/>
    <n v="1"/>
    <n v="4"/>
    <n v="44193"/>
    <n v="22096.5"/>
    <s v=" Not Achieved"/>
    <s v="Average"/>
  </r>
  <r>
    <x v="1981"/>
    <x v="1981"/>
    <s v="EMP_1982"/>
    <x v="1"/>
    <s v="EMP_1982Marketing"/>
    <x v="4"/>
    <x v="2"/>
    <n v="42931"/>
    <n v="6737"/>
    <n v="0"/>
    <n v="0"/>
    <s v="3/30/2023"/>
    <s v="3/30/2023"/>
    <d v="2026-02-11T00:00:00"/>
    <e v="#VALUE!"/>
    <n v="4"/>
    <n v="49668"/>
    <n v="24834"/>
    <s v=" Not Achieved"/>
    <s v="Good"/>
  </r>
  <r>
    <x v="1982"/>
    <x v="1982"/>
    <s v="EMP_1983"/>
    <x v="0"/>
    <s v="EMP_1983Sales"/>
    <x v="1"/>
    <x v="2"/>
    <n v="22951"/>
    <n v="5287"/>
    <n v="160454"/>
    <n v="180873"/>
    <d v="2021-10-02T00:00:00"/>
    <s v="2021"/>
    <d v="2026-02-11T00:00:00"/>
    <n v="4"/>
    <n v="3"/>
    <n v="28238"/>
    <n v="14119"/>
    <s v=" Not Achieved"/>
    <s v="poor"/>
  </r>
  <r>
    <x v="1983"/>
    <x v="1983"/>
    <s v="EMP_1984"/>
    <x v="0"/>
    <s v="EMP_1984HR"/>
    <x v="0"/>
    <x v="2"/>
    <n v="56939"/>
    <n v="10379"/>
    <n v="0"/>
    <n v="0"/>
    <d v="2020-07-05T00:00:00"/>
    <s v="2020"/>
    <d v="2026-02-11T00:00:00"/>
    <n v="5"/>
    <n v="1"/>
    <n v="67318"/>
    <n v="33659"/>
    <s v=" Not Achieved"/>
    <s v=" Excellent"/>
  </r>
  <r>
    <x v="1984"/>
    <x v="1984"/>
    <s v="EMP_1985"/>
    <x v="1"/>
    <s v="EMP_1985HR"/>
    <x v="0"/>
    <x v="3"/>
    <n v="69453"/>
    <n v="9551"/>
    <n v="0"/>
    <n v="0"/>
    <d v="2023-07-05T00:00:00"/>
    <s v="2023"/>
    <d v="2026-02-11T00:00:00"/>
    <n v="2"/>
    <n v="5"/>
    <n v="79004"/>
    <n v="39502"/>
    <s v=" Not Achieved"/>
    <s v=" Excellent"/>
  </r>
  <r>
    <x v="1985"/>
    <x v="1985"/>
    <s v="EMP_1986"/>
    <x v="1"/>
    <s v="EMP_1986Marketing"/>
    <x v="4"/>
    <x v="2"/>
    <n v="67039"/>
    <n v="5900"/>
    <n v="0"/>
    <n v="0"/>
    <s v="1/15/2023"/>
    <s v="1/15/2023"/>
    <d v="2026-02-11T00:00:00"/>
    <e v="#VALUE!"/>
    <n v="3"/>
    <n v="72939"/>
    <n v="36469.5"/>
    <s v=" Not Achieved"/>
    <s v=" Excellent"/>
  </r>
  <r>
    <x v="1986"/>
    <x v="1986"/>
    <s v="EMP_1987"/>
    <x v="1"/>
    <s v="EMP_1987HR"/>
    <x v="0"/>
    <x v="2"/>
    <n v="20184"/>
    <n v="5064"/>
    <n v="0"/>
    <n v="0"/>
    <d v="2024-01-02T00:00:00"/>
    <s v="2024"/>
    <d v="2026-02-11T00:00:00"/>
    <n v="2"/>
    <n v="1"/>
    <n v="25248"/>
    <n v="12624"/>
    <s v=" Not Achieved"/>
    <s v="poor"/>
  </r>
  <r>
    <x v="1987"/>
    <x v="1987"/>
    <s v="EMP_1988"/>
    <x v="0"/>
    <s v="EMP_1988Marketing"/>
    <x v="4"/>
    <x v="3"/>
    <n v="28846"/>
    <n v="9354"/>
    <n v="0"/>
    <n v="0"/>
    <s v="2/19/2019"/>
    <s v="2/19/2019"/>
    <d v="2026-02-11T00:00:00"/>
    <e v="#VALUE!"/>
    <n v="5"/>
    <n v="38200"/>
    <n v="19100"/>
    <s v=" Not Achieved"/>
    <s v="poor"/>
  </r>
  <r>
    <x v="1988"/>
    <x v="1988"/>
    <s v="EMP_1989"/>
    <x v="1"/>
    <s v="EMP_1989Finance"/>
    <x v="2"/>
    <x v="2"/>
    <n v="70469"/>
    <n v="9987"/>
    <n v="0"/>
    <n v="0"/>
    <s v="2/18/2019"/>
    <s v="2/18/2019"/>
    <d v="2026-02-11T00:00:00"/>
    <e v="#VALUE!"/>
    <n v="5"/>
    <n v="80456"/>
    <n v="40228"/>
    <s v=" Not Achieved"/>
    <s v=" Excellent"/>
  </r>
  <r>
    <x v="1989"/>
    <x v="1989"/>
    <s v="EMP_1990"/>
    <x v="1"/>
    <s v="EMP_1990Finance"/>
    <x v="2"/>
    <x v="4"/>
    <n v="43245"/>
    <n v="7775"/>
    <n v="0"/>
    <n v="0"/>
    <s v="11/25/2019"/>
    <s v="11/25/2019"/>
    <d v="2026-02-11T00:00:00"/>
    <e v="#VALUE!"/>
    <n v="3"/>
    <n v="51020"/>
    <n v="25510"/>
    <s v=" Not Achieved"/>
    <s v="Good"/>
  </r>
  <r>
    <x v="1990"/>
    <x v="1990"/>
    <s v="EMP_1991"/>
    <x v="1"/>
    <s v="EMP_1991HR"/>
    <x v="0"/>
    <x v="2"/>
    <n v="61947"/>
    <n v="8286"/>
    <n v="0"/>
    <n v="0"/>
    <s v="6/20/2024"/>
    <s v="6/20/2024"/>
    <d v="2026-02-11T00:00:00"/>
    <e v="#VALUE!"/>
    <n v="1"/>
    <n v="70233"/>
    <n v="35116.5"/>
    <s v=" Not Achieved"/>
    <s v=" Excellent"/>
  </r>
  <r>
    <x v="1991"/>
    <x v="1991"/>
    <s v="EMP_1992"/>
    <x v="1"/>
    <s v="EMP_1992Marketing"/>
    <x v="4"/>
    <x v="4"/>
    <n v="36129"/>
    <n v="6069"/>
    <n v="0"/>
    <n v="0"/>
    <s v="12/17/2023"/>
    <s v="12/17/2023"/>
    <d v="2026-02-11T00:00:00"/>
    <e v="#VALUE!"/>
    <n v="3"/>
    <n v="42198"/>
    <n v="21099"/>
    <s v=" Not Achieved"/>
    <s v="Average"/>
  </r>
  <r>
    <x v="1992"/>
    <x v="1992"/>
    <s v="EMP_1993"/>
    <x v="0"/>
    <s v="EMP_1993Marketing"/>
    <x v="4"/>
    <x v="0"/>
    <n v="78740"/>
    <n v="3235"/>
    <n v="0"/>
    <n v="0"/>
    <s v="3/22/2021"/>
    <s v="3/22/2021"/>
    <d v="2026-02-11T00:00:00"/>
    <e v="#VALUE!"/>
    <n v="4"/>
    <n v="81975"/>
    <n v="40987.5"/>
    <s v=" Not Achieved"/>
    <s v=" Excellent"/>
  </r>
  <r>
    <x v="1993"/>
    <x v="1993"/>
    <s v="EMP_1994"/>
    <x v="0"/>
    <s v="EMP_1994HR"/>
    <x v="0"/>
    <x v="4"/>
    <n v="42069"/>
    <n v="10057"/>
    <n v="0"/>
    <n v="0"/>
    <s v="5/19/2020"/>
    <s v="5/19/2020"/>
    <d v="2026-02-11T00:00:00"/>
    <e v="#VALUE!"/>
    <n v="5"/>
    <n v="52126"/>
    <n v="26063"/>
    <s v=" Not Achieved"/>
    <s v="Good"/>
  </r>
  <r>
    <x v="1994"/>
    <x v="1994"/>
    <s v="EMP_1995"/>
    <x v="0"/>
    <s v="EMP_1995Marketing"/>
    <x v="4"/>
    <x v="2"/>
    <n v="27170"/>
    <n v="10868"/>
    <n v="0"/>
    <n v="0"/>
    <d v="2019-11-09T00:00:00"/>
    <s v="2019"/>
    <d v="2026-02-11T00:00:00"/>
    <n v="6"/>
    <n v="2"/>
    <n v="38038"/>
    <n v="19019"/>
    <s v=" Not Achieved"/>
    <s v="poor"/>
  </r>
  <r>
    <x v="1995"/>
    <x v="1995"/>
    <s v="EMP_1996"/>
    <x v="1"/>
    <s v="EMP_1996Sales"/>
    <x v="1"/>
    <x v="1"/>
    <n v="72702"/>
    <n v="13373"/>
    <n v="277871"/>
    <n v="103451"/>
    <s v="2/22/2018"/>
    <s v="2/22/2018"/>
    <d v="2026-02-11T00:00:00"/>
    <e v="#VALUE!"/>
    <n v="4"/>
    <n v="86075"/>
    <n v="43037.5"/>
    <s v="Achieved"/>
    <s v=" Excellent"/>
  </r>
  <r>
    <x v="1996"/>
    <x v="1996"/>
    <s v="EMP_1997"/>
    <x v="1"/>
    <s v="EMP_1997Marketing"/>
    <x v="4"/>
    <x v="0"/>
    <n v="49524"/>
    <n v="2660"/>
    <n v="0"/>
    <n v="0"/>
    <s v="10/24/2023"/>
    <s v="10/24/2023"/>
    <d v="2026-02-11T00:00:00"/>
    <e v="#VALUE!"/>
    <n v="5"/>
    <n v="52184"/>
    <n v="26092"/>
    <s v=" Not Achieved"/>
    <s v="Good"/>
  </r>
  <r>
    <x v="1997"/>
    <x v="1997"/>
    <s v="EMP_1998"/>
    <x v="0"/>
    <s v="EMP_1998HR"/>
    <x v="0"/>
    <x v="4"/>
    <n v="49790"/>
    <n v="10436"/>
    <n v="0"/>
    <n v="0"/>
    <d v="2021-11-12T00:00:00"/>
    <s v="2021"/>
    <d v="2026-02-11T00:00:00"/>
    <n v="4"/>
    <n v="4"/>
    <n v="60226"/>
    <n v="30113"/>
    <s v=" Not Achieved"/>
    <s v="Good"/>
  </r>
  <r>
    <x v="1998"/>
    <x v="1998"/>
    <s v="EMP_1999"/>
    <x v="1"/>
    <s v="EMP_1999Finance"/>
    <x v="2"/>
    <x v="0"/>
    <n v="79612"/>
    <n v="2781"/>
    <n v="0"/>
    <n v="0"/>
    <d v="2023-11-07T00:00:00"/>
    <s v="2023"/>
    <d v="2026-02-11T00:00:00"/>
    <n v="2"/>
    <n v="5"/>
    <n v="82393"/>
    <n v="41196.5"/>
    <s v=" Not Achieved"/>
    <s v=" Excellent"/>
  </r>
  <r>
    <x v="1999"/>
    <x v="1999"/>
    <s v="EMP_2000"/>
    <x v="1"/>
    <s v="EMP_2000HR"/>
    <x v="0"/>
    <x v="2"/>
    <n v="34116"/>
    <n v="2633"/>
    <n v="0"/>
    <n v="0"/>
    <s v="12/17/2023"/>
    <s v="12/17/2023"/>
    <d v="2026-02-11T00:00:00"/>
    <e v="#VALUE!"/>
    <n v="3"/>
    <n v="36749"/>
    <n v="18374.5"/>
    <s v=" Not Achieved"/>
    <s v="Average"/>
  </r>
  <r>
    <x v="2000"/>
    <x v="2000"/>
    <s v="EMP_2001"/>
    <x v="0"/>
    <s v="EMP_2001Finance"/>
    <x v="2"/>
    <x v="0"/>
    <n v="51740"/>
    <n v="6011"/>
    <n v="0"/>
    <n v="0"/>
    <d v="2022-02-09T00:00:00"/>
    <s v="2022"/>
    <d v="2026-02-11T00:00:00"/>
    <n v="4"/>
    <n v="5"/>
    <n v="57751"/>
    <n v="28875.5"/>
    <s v=" Not Achieved"/>
    <s v=" Excellent"/>
  </r>
  <r>
    <x v="2001"/>
    <x v="2001"/>
    <s v="EMP_2002"/>
    <x v="1"/>
    <s v="EMP_2002HR"/>
    <x v="0"/>
    <x v="1"/>
    <n v="23424"/>
    <n v="6737"/>
    <n v="0"/>
    <n v="0"/>
    <d v="2024-03-07T00:00:00"/>
    <s v="2024"/>
    <d v="2026-02-11T00:00:00"/>
    <n v="1"/>
    <n v="5"/>
    <n v="30161"/>
    <n v="15080.5"/>
    <s v=" Not Achieved"/>
    <s v="poor"/>
  </r>
  <r>
    <x v="2002"/>
    <x v="2002"/>
    <s v="EMP_2003"/>
    <x v="1"/>
    <s v="EMP_2003HR"/>
    <x v="0"/>
    <x v="2"/>
    <n v="47559"/>
    <n v="8700"/>
    <n v="0"/>
    <n v="0"/>
    <s v="7/31/2024"/>
    <s v="7/31/2024"/>
    <d v="2026-02-11T00:00:00"/>
    <e v="#VALUE!"/>
    <n v="5"/>
    <n v="56259"/>
    <n v="28129.5"/>
    <s v=" Not Achieved"/>
    <s v="Good"/>
  </r>
  <r>
    <x v="2003"/>
    <x v="2003"/>
    <s v="EMP_2004"/>
    <x v="0"/>
    <s v="EMP_2004Finance"/>
    <x v="2"/>
    <x v="1"/>
    <n v="78309"/>
    <n v="6182"/>
    <n v="0"/>
    <n v="0"/>
    <s v="10/30/2019"/>
    <s v="10/30/2019"/>
    <d v="2026-02-11T00:00:00"/>
    <e v="#VALUE!"/>
    <n v="2"/>
    <n v="84491"/>
    <n v="42245.5"/>
    <s v=" Not Achieved"/>
    <s v=" Excellent"/>
  </r>
  <r>
    <x v="2004"/>
    <x v="2004"/>
    <s v="EMP_2005"/>
    <x v="1"/>
    <s v="EMP_2005Finance"/>
    <x v="2"/>
    <x v="4"/>
    <n v="77467"/>
    <n v="4240"/>
    <n v="0"/>
    <n v="0"/>
    <s v="12/13/2020"/>
    <s v="12/13/2020"/>
    <d v="2026-02-11T00:00:00"/>
    <e v="#VALUE!"/>
    <n v="3"/>
    <n v="81707"/>
    <n v="40853.5"/>
    <s v=" Not Achieved"/>
    <s v=" Excellent"/>
  </r>
  <r>
    <x v="2005"/>
    <x v="2005"/>
    <s v="EMP_2006"/>
    <x v="0"/>
    <s v="EMP_2006Marketing"/>
    <x v="4"/>
    <x v="3"/>
    <n v="74195"/>
    <n v="5957"/>
    <n v="0"/>
    <n v="0"/>
    <s v="6/17/2023"/>
    <s v="6/17/2023"/>
    <d v="2026-02-11T00:00:00"/>
    <e v="#VALUE!"/>
    <n v="5"/>
    <n v="80152"/>
    <n v="40076"/>
    <s v=" Not Achieved"/>
    <s v=" Excellent"/>
  </r>
  <r>
    <x v="2006"/>
    <x v="2006"/>
    <s v="EMP_2007"/>
    <x v="0"/>
    <s v="EMP_2007Finance"/>
    <x v="2"/>
    <x v="0"/>
    <n v="31823"/>
    <n v="11702"/>
    <n v="0"/>
    <n v="0"/>
    <s v="9/14/2023"/>
    <s v="9/14/2023"/>
    <d v="2026-02-11T00:00:00"/>
    <e v="#VALUE!"/>
    <n v="3"/>
    <n v="43525"/>
    <n v="21762.5"/>
    <s v=" Not Achieved"/>
    <s v="Average"/>
  </r>
  <r>
    <x v="2007"/>
    <x v="2007"/>
    <s v="EMP_2008"/>
    <x v="0"/>
    <s v="EMP_2008Finance"/>
    <x v="2"/>
    <x v="2"/>
    <n v="59954"/>
    <n v="6833"/>
    <n v="0"/>
    <n v="0"/>
    <d v="2018-06-01T00:00:00"/>
    <s v="2018"/>
    <d v="2026-02-11T00:00:00"/>
    <n v="7"/>
    <n v="4"/>
    <n v="66787"/>
    <n v="33393.5"/>
    <s v=" Not Achieved"/>
    <s v=" Excellent"/>
  </r>
  <r>
    <x v="2008"/>
    <x v="2008"/>
    <s v="EMP_2009"/>
    <x v="1"/>
    <s v="EMP_2009HR"/>
    <x v="0"/>
    <x v="1"/>
    <n v="42278"/>
    <n v="2947"/>
    <n v="0"/>
    <n v="0"/>
    <d v="2024-04-11T00:00:00"/>
    <s v="2024"/>
    <d v="2026-02-11T00:00:00"/>
    <n v="1"/>
    <n v="5"/>
    <n v="45225"/>
    <n v="22612.5"/>
    <s v=" Not Achieved"/>
    <s v="Good"/>
  </r>
  <r>
    <x v="2009"/>
    <x v="2009"/>
    <s v="EMP_2010"/>
    <x v="0"/>
    <s v="EMP_2010Finance"/>
    <x v="2"/>
    <x v="0"/>
    <n v="55926"/>
    <n v="6915"/>
    <n v="0"/>
    <n v="0"/>
    <s v="10/31/2022"/>
    <s v="10/31/2022"/>
    <d v="2026-02-11T00:00:00"/>
    <e v="#VALUE!"/>
    <n v="5"/>
    <n v="62841"/>
    <n v="31420.5"/>
    <s v=" Not Achieved"/>
    <s v=" Excellent"/>
  </r>
  <r>
    <x v="2010"/>
    <x v="2010"/>
    <s v="EMP_2011"/>
    <x v="0"/>
    <s v="EMP_2011HR"/>
    <x v="0"/>
    <x v="3"/>
    <n v="47280"/>
    <n v="10165"/>
    <n v="0"/>
    <n v="0"/>
    <s v="7/16/2023"/>
    <s v="7/16/2023"/>
    <d v="2026-02-11T00:00:00"/>
    <e v="#VALUE!"/>
    <n v="1"/>
    <n v="57445"/>
    <n v="28722.5"/>
    <s v=" Not Achieved"/>
    <s v="Good"/>
  </r>
  <r>
    <x v="2011"/>
    <x v="2011"/>
    <s v="EMP_2012"/>
    <x v="1"/>
    <s v="EMP_2012Sales"/>
    <x v="1"/>
    <x v="2"/>
    <n v="35329"/>
    <n v="4705"/>
    <n v="74716"/>
    <n v="193684"/>
    <s v="3/30/2020"/>
    <s v="3/30/2020"/>
    <d v="2026-02-11T00:00:00"/>
    <e v="#VALUE!"/>
    <n v="5"/>
    <n v="40034"/>
    <n v="20017"/>
    <s v=" Not Achieved"/>
    <s v="Average"/>
  </r>
  <r>
    <x v="2012"/>
    <x v="2012"/>
    <s v="EMP_2013"/>
    <x v="1"/>
    <s v="EMP_2013Finance"/>
    <x v="2"/>
    <x v="2"/>
    <n v="61538"/>
    <n v="10692"/>
    <n v="0"/>
    <n v="0"/>
    <s v="2/26/2023"/>
    <s v="2/26/2023"/>
    <d v="2026-02-11T00:00:00"/>
    <e v="#VALUE!"/>
    <n v="3"/>
    <n v="72230"/>
    <n v="36115"/>
    <s v=" Not Achieved"/>
    <s v=" Excellent"/>
  </r>
  <r>
    <x v="2013"/>
    <x v="2013"/>
    <s v="EMP_2014"/>
    <x v="1"/>
    <s v="EMP_2014HR"/>
    <x v="0"/>
    <x v="3"/>
    <n v="44197"/>
    <n v="10456"/>
    <n v="0"/>
    <n v="0"/>
    <s v="2/17/2019"/>
    <s v="2/17/2019"/>
    <d v="2026-02-11T00:00:00"/>
    <e v="#VALUE!"/>
    <n v="2"/>
    <n v="54653"/>
    <n v="27326.5"/>
    <s v=" Not Achieved"/>
    <s v="Good"/>
  </r>
  <r>
    <x v="2014"/>
    <x v="2014"/>
    <s v="EMP_2015"/>
    <x v="0"/>
    <s v="EMP_2015Finance"/>
    <x v="2"/>
    <x v="2"/>
    <n v="61313"/>
    <n v="8394"/>
    <n v="0"/>
    <n v="0"/>
    <d v="2024-10-12T00:00:00"/>
    <s v="2024"/>
    <d v="2026-02-11T00:00:00"/>
    <n v="1"/>
    <n v="1"/>
    <n v="69707"/>
    <n v="34853.5"/>
    <s v=" Not Achieved"/>
    <s v=" Excellent"/>
  </r>
  <r>
    <x v="2015"/>
    <x v="2015"/>
    <s v="EMP_2016"/>
    <x v="0"/>
    <s v="EMP_2016HR"/>
    <x v="0"/>
    <x v="0"/>
    <n v="49664"/>
    <n v="3243"/>
    <n v="0"/>
    <n v="0"/>
    <s v="10/21/2019"/>
    <s v="10/21/2019"/>
    <d v="2026-02-11T00:00:00"/>
    <e v="#VALUE!"/>
    <n v="3"/>
    <n v="52907"/>
    <n v="26453.5"/>
    <s v=" Not Achieved"/>
    <s v="Good"/>
  </r>
  <r>
    <x v="2016"/>
    <x v="2016"/>
    <s v="EMP_2017"/>
    <x v="1"/>
    <s v="EMP_2017Marketing"/>
    <x v="4"/>
    <x v="3"/>
    <n v="20930"/>
    <n v="12126"/>
    <n v="0"/>
    <n v="0"/>
    <d v="2020-06-12T00:00:00"/>
    <s v="2020"/>
    <d v="2026-02-11T00:00:00"/>
    <n v="5"/>
    <n v="2"/>
    <n v="33056"/>
    <n v="16528"/>
    <s v=" Not Achieved"/>
    <s v="poor"/>
  </r>
  <r>
    <x v="2017"/>
    <x v="2017"/>
    <s v="EMP_2018"/>
    <x v="0"/>
    <s v="EMP_2018HR"/>
    <x v="0"/>
    <x v="0"/>
    <n v="66504"/>
    <n v="9464"/>
    <n v="0"/>
    <n v="0"/>
    <s v="7/17/2021"/>
    <s v="7/17/2021"/>
    <d v="2026-02-11T00:00:00"/>
    <e v="#VALUE!"/>
    <n v="2"/>
    <n v="75968"/>
    <n v="37984"/>
    <s v=" Not Achieved"/>
    <s v=" Excellent"/>
  </r>
  <r>
    <x v="2018"/>
    <x v="2018"/>
    <s v="EMP_2019"/>
    <x v="0"/>
    <s v="EMP_2019Marketing"/>
    <x v="4"/>
    <x v="1"/>
    <n v="37297"/>
    <n v="6481"/>
    <n v="0"/>
    <n v="0"/>
    <s v="2/19/2022"/>
    <s v="2/19/2022"/>
    <d v="2026-02-11T00:00:00"/>
    <e v="#VALUE!"/>
    <n v="4"/>
    <n v="43778"/>
    <n v="21889"/>
    <s v=" Not Achieved"/>
    <s v="Average"/>
  </r>
  <r>
    <x v="2019"/>
    <x v="2019"/>
    <s v="EMP_2020"/>
    <x v="1"/>
    <s v="EMP_2020HR"/>
    <x v="0"/>
    <x v="1"/>
    <n v="58408"/>
    <n v="13076"/>
    <n v="0"/>
    <n v="0"/>
    <s v="3/29/2024"/>
    <s v="3/29/2024"/>
    <d v="2026-02-11T00:00:00"/>
    <e v="#VALUE!"/>
    <n v="1"/>
    <n v="71484"/>
    <n v="35742"/>
    <s v=" Not Achieved"/>
    <s v=" Excellent"/>
  </r>
  <r>
    <x v="2020"/>
    <x v="2020"/>
    <s v="EMP_2021"/>
    <x v="0"/>
    <s v="EMP_2021IT"/>
    <x v="3"/>
    <x v="2"/>
    <n v="34576"/>
    <n v="4713"/>
    <n v="0"/>
    <n v="0"/>
    <d v="2024-11-12T00:00:00"/>
    <s v="2024"/>
    <d v="2026-02-11T00:00:00"/>
    <n v="1"/>
    <n v="5"/>
    <n v="39289"/>
    <n v="19644.5"/>
    <s v=" Not Achieved"/>
    <s v="Average"/>
  </r>
  <r>
    <x v="2021"/>
    <x v="2021"/>
    <s v="EMP_2022"/>
    <x v="1"/>
    <s v="EMP_2022HR"/>
    <x v="0"/>
    <x v="0"/>
    <n v="45770"/>
    <n v="7267"/>
    <n v="0"/>
    <n v="0"/>
    <d v="2019-08-12T00:00:00"/>
    <s v="2019"/>
    <d v="2026-02-11T00:00:00"/>
    <n v="6"/>
    <n v="3"/>
    <n v="53037"/>
    <n v="26518.5"/>
    <s v=" Not Achieved"/>
    <s v="Good"/>
  </r>
  <r>
    <x v="2022"/>
    <x v="2022"/>
    <s v="EMP_2023"/>
    <x v="1"/>
    <s v="EMP_2023Sales"/>
    <x v="1"/>
    <x v="0"/>
    <n v="74818"/>
    <n v="9980"/>
    <n v="167205"/>
    <n v="212850"/>
    <d v="2020-12-10T00:00:00"/>
    <s v="2020"/>
    <d v="2026-02-11T00:00:00"/>
    <n v="5"/>
    <n v="3"/>
    <n v="84798"/>
    <n v="42399"/>
    <s v=" Not Achieved"/>
    <s v=" Excellent"/>
  </r>
  <r>
    <x v="2023"/>
    <x v="2023"/>
    <s v="EMP_2024"/>
    <x v="0"/>
    <s v="EMP_2024HR"/>
    <x v="0"/>
    <x v="4"/>
    <n v="38758"/>
    <n v="8983"/>
    <n v="0"/>
    <n v="0"/>
    <d v="2024-07-10T00:00:00"/>
    <s v="2024"/>
    <d v="2026-02-11T00:00:00"/>
    <n v="1"/>
    <n v="5"/>
    <n v="47741"/>
    <n v="23870.5"/>
    <s v=" Not Achieved"/>
    <s v="Average"/>
  </r>
  <r>
    <x v="2024"/>
    <x v="2024"/>
    <s v="EMP_2025"/>
    <x v="1"/>
    <s v="EMP_2025Marketing"/>
    <x v="4"/>
    <x v="1"/>
    <n v="23644"/>
    <n v="8038"/>
    <n v="0"/>
    <n v="0"/>
    <s v="3/23/2024"/>
    <s v="3/23/2024"/>
    <d v="2026-02-11T00:00:00"/>
    <e v="#VALUE!"/>
    <n v="3"/>
    <n v="31682"/>
    <n v="15841"/>
    <s v=" Not Achieved"/>
    <s v="poor"/>
  </r>
  <r>
    <x v="2025"/>
    <x v="2025"/>
    <s v="EMP_2026"/>
    <x v="0"/>
    <s v="EMP_2026Sales"/>
    <x v="1"/>
    <x v="0"/>
    <n v="24633"/>
    <n v="14951"/>
    <n v="270622"/>
    <n v="229703"/>
    <d v="2024-12-08T00:00:00"/>
    <s v="2024"/>
    <d v="2026-02-11T00:00:00"/>
    <n v="1"/>
    <n v="5"/>
    <n v="39584"/>
    <n v="19792"/>
    <s v="Achieved"/>
    <s v="poor"/>
  </r>
  <r>
    <x v="2026"/>
    <x v="2026"/>
    <s v="EMP_2027"/>
    <x v="0"/>
    <s v="EMP_2027IT"/>
    <x v="3"/>
    <x v="4"/>
    <n v="33970"/>
    <n v="4641"/>
    <n v="0"/>
    <n v="0"/>
    <s v="8/22/2019"/>
    <s v="8/22/2019"/>
    <d v="2026-02-11T00:00:00"/>
    <e v="#VALUE!"/>
    <n v="5"/>
    <n v="38611"/>
    <n v="19305.5"/>
    <s v=" Not Achieved"/>
    <s v="Average"/>
  </r>
  <r>
    <x v="2027"/>
    <x v="2027"/>
    <s v="EMP_2028"/>
    <x v="0"/>
    <s v="EMP_2028Finance"/>
    <x v="2"/>
    <x v="0"/>
    <n v="40573"/>
    <n v="10971"/>
    <n v="0"/>
    <n v="0"/>
    <s v="12/18/2019"/>
    <s v="12/18/2019"/>
    <d v="2026-02-11T00:00:00"/>
    <e v="#VALUE!"/>
    <n v="1"/>
    <n v="51544"/>
    <n v="25772"/>
    <s v=" Not Achieved"/>
    <s v="Good"/>
  </r>
  <r>
    <x v="2028"/>
    <x v="2028"/>
    <s v="EMP_2029"/>
    <x v="1"/>
    <s v="EMP_2029Sales"/>
    <x v="1"/>
    <x v="4"/>
    <n v="44765"/>
    <n v="8340"/>
    <n v="185558"/>
    <n v="198478"/>
    <s v="10/28/2024"/>
    <s v="10/28/2024"/>
    <d v="2026-02-11T00:00:00"/>
    <e v="#VALUE!"/>
    <n v="4"/>
    <n v="53105"/>
    <n v="26552.5"/>
    <s v=" Not Achieved"/>
    <s v="Good"/>
  </r>
  <r>
    <x v="2029"/>
    <x v="2029"/>
    <s v="EMP_2030"/>
    <x v="0"/>
    <s v="EMP_2030Finance"/>
    <x v="2"/>
    <x v="1"/>
    <n v="76529"/>
    <n v="5308"/>
    <n v="0"/>
    <n v="0"/>
    <d v="2022-05-06T00:00:00"/>
    <s v="2022"/>
    <d v="2026-02-11T00:00:00"/>
    <n v="3"/>
    <n v="3"/>
    <n v="81837"/>
    <n v="40918.5"/>
    <s v=" Not Achieved"/>
    <s v=" Excellent"/>
  </r>
  <r>
    <x v="2030"/>
    <x v="2030"/>
    <s v="EMP_2031"/>
    <x v="1"/>
    <s v="EMP_2031Marketing"/>
    <x v="4"/>
    <x v="2"/>
    <n v="78002"/>
    <n v="10961"/>
    <n v="0"/>
    <n v="0"/>
    <d v="2019-10-12T00:00:00"/>
    <s v="2019"/>
    <d v="2026-02-11T00:00:00"/>
    <n v="6"/>
    <n v="1"/>
    <n v="88963"/>
    <n v="44481.5"/>
    <s v=" Not Achieved"/>
    <s v=" Excellent"/>
  </r>
  <r>
    <x v="2031"/>
    <x v="2031"/>
    <s v="EMP_2032"/>
    <x v="1"/>
    <s v="EMP_2032IT"/>
    <x v="3"/>
    <x v="1"/>
    <n v="21171"/>
    <n v="2001"/>
    <n v="0"/>
    <n v="0"/>
    <s v="5/15/2021"/>
    <s v="5/15/2021"/>
    <d v="2026-02-11T00:00:00"/>
    <e v="#VALUE!"/>
    <n v="2"/>
    <n v="23172"/>
    <n v="11586"/>
    <s v=" Not Achieved"/>
    <s v="poor"/>
  </r>
  <r>
    <x v="2032"/>
    <x v="2032"/>
    <s v="EMP_2033"/>
    <x v="1"/>
    <s v="EMP_2033Sales"/>
    <x v="1"/>
    <x v="4"/>
    <n v="52637"/>
    <n v="12260"/>
    <n v="87220"/>
    <n v="202738"/>
    <d v="2022-11-01T00:00:00"/>
    <s v="2022"/>
    <d v="2026-02-11T00:00:00"/>
    <n v="3"/>
    <n v="3"/>
    <n v="64897"/>
    <n v="32448.5"/>
    <s v=" Not Achieved"/>
    <s v=" Excellent"/>
  </r>
  <r>
    <x v="2033"/>
    <x v="2033"/>
    <s v="EMP_2034"/>
    <x v="1"/>
    <s v="EMP_2034Finance"/>
    <x v="2"/>
    <x v="4"/>
    <n v="46812"/>
    <n v="6885"/>
    <n v="0"/>
    <n v="0"/>
    <s v="2/14/2021"/>
    <s v="2/14/2021"/>
    <d v="2026-02-11T00:00:00"/>
    <e v="#VALUE!"/>
    <n v="3"/>
    <n v="53697"/>
    <n v="26848.5"/>
    <s v=" Not Achieved"/>
    <s v="Good"/>
  </r>
  <r>
    <x v="2034"/>
    <x v="2034"/>
    <s v="EMP_2035"/>
    <x v="1"/>
    <s v="EMP_2035Finance"/>
    <x v="2"/>
    <x v="4"/>
    <n v="58841"/>
    <n v="3380"/>
    <n v="0"/>
    <n v="0"/>
    <d v="2022-10-01T00:00:00"/>
    <s v="2022"/>
    <d v="2026-02-11T00:00:00"/>
    <n v="3"/>
    <n v="2"/>
    <n v="62221"/>
    <n v="31110.5"/>
    <s v=" Not Achieved"/>
    <s v=" Excellent"/>
  </r>
  <r>
    <x v="2035"/>
    <x v="2035"/>
    <s v="EMP_2036"/>
    <x v="0"/>
    <s v="EMP_2036IT"/>
    <x v="3"/>
    <x v="0"/>
    <n v="59542"/>
    <n v="4008"/>
    <n v="0"/>
    <n v="0"/>
    <d v="2023-03-06T00:00:00"/>
    <s v="2023"/>
    <d v="2026-02-11T00:00:00"/>
    <n v="2"/>
    <n v="5"/>
    <n v="63550"/>
    <n v="31775"/>
    <s v=" Not Achieved"/>
    <s v=" Excellent"/>
  </r>
  <r>
    <x v="2036"/>
    <x v="2036"/>
    <s v="EMP_2037"/>
    <x v="1"/>
    <s v="EMP_2037HR"/>
    <x v="0"/>
    <x v="4"/>
    <n v="58219"/>
    <n v="4896"/>
    <n v="0"/>
    <n v="0"/>
    <d v="2019-06-07T00:00:00"/>
    <s v="2019"/>
    <d v="2026-02-11T00:00:00"/>
    <n v="6"/>
    <n v="5"/>
    <n v="63115"/>
    <n v="31557.5"/>
    <s v=" Not Achieved"/>
    <s v=" Excellent"/>
  </r>
  <r>
    <x v="2037"/>
    <x v="2037"/>
    <s v="EMP_2038"/>
    <x v="1"/>
    <s v="EMP_2038Finance"/>
    <x v="2"/>
    <x v="1"/>
    <n v="52378"/>
    <n v="10714"/>
    <n v="0"/>
    <n v="0"/>
    <d v="2020-12-12T00:00:00"/>
    <s v="2020"/>
    <d v="2026-02-11T00:00:00"/>
    <n v="5"/>
    <n v="3"/>
    <n v="63092"/>
    <n v="31546"/>
    <s v=" Not Achieved"/>
    <s v=" Excellent"/>
  </r>
  <r>
    <x v="2038"/>
    <x v="2038"/>
    <s v="EMP_2039"/>
    <x v="1"/>
    <s v="EMP_2039Sales"/>
    <x v="1"/>
    <x v="0"/>
    <n v="34365"/>
    <n v="6498"/>
    <n v="264420"/>
    <n v="87672"/>
    <s v="1/21/2020"/>
    <s v="1/21/2020"/>
    <d v="2026-02-11T00:00:00"/>
    <e v="#VALUE!"/>
    <n v="2"/>
    <n v="40863"/>
    <n v="20431.5"/>
    <s v="Achieved"/>
    <s v="Average"/>
  </r>
  <r>
    <x v="2039"/>
    <x v="2039"/>
    <s v="EMP_2040"/>
    <x v="0"/>
    <s v="EMP_2040Finance"/>
    <x v="2"/>
    <x v="1"/>
    <n v="43174"/>
    <n v="10681"/>
    <n v="0"/>
    <n v="0"/>
    <d v="2024-07-05T00:00:00"/>
    <s v="2024"/>
    <d v="2026-02-11T00:00:00"/>
    <n v="1"/>
    <n v="1"/>
    <n v="53855"/>
    <n v="26927.5"/>
    <s v=" Not Achieved"/>
    <s v="Good"/>
  </r>
  <r>
    <x v="2040"/>
    <x v="2040"/>
    <s v="EMP_2041"/>
    <x v="0"/>
    <s v="EMP_2041Marketing"/>
    <x v="4"/>
    <x v="1"/>
    <n v="63468"/>
    <n v="6670"/>
    <n v="0"/>
    <n v="0"/>
    <s v="1/28/2020"/>
    <s v="1/28/2020"/>
    <d v="2026-02-11T00:00:00"/>
    <e v="#VALUE!"/>
    <n v="1"/>
    <n v="70138"/>
    <n v="35069"/>
    <s v=" Not Achieved"/>
    <s v=" Excellent"/>
  </r>
  <r>
    <x v="2041"/>
    <x v="2041"/>
    <s v="EMP_2042"/>
    <x v="0"/>
    <s v="EMP_2042Sales"/>
    <x v="1"/>
    <x v="0"/>
    <n v="30609"/>
    <n v="7949"/>
    <n v="128212"/>
    <n v="168677"/>
    <s v="4/25/2019"/>
    <s v="4/25/2019"/>
    <d v="2026-02-11T00:00:00"/>
    <e v="#VALUE!"/>
    <n v="5"/>
    <n v="38558"/>
    <n v="19279"/>
    <s v=" Not Achieved"/>
    <s v="Average"/>
  </r>
  <r>
    <x v="2042"/>
    <x v="2042"/>
    <s v="EMP_2043"/>
    <x v="1"/>
    <s v="EMP_2043HR"/>
    <x v="0"/>
    <x v="4"/>
    <n v="59260"/>
    <n v="7847"/>
    <n v="0"/>
    <n v="0"/>
    <s v="11/16/2019"/>
    <s v="11/16/2019"/>
    <d v="2026-02-11T00:00:00"/>
    <e v="#VALUE!"/>
    <n v="1"/>
    <n v="67107"/>
    <n v="33553.5"/>
    <s v=" Not Achieved"/>
    <s v=" Excellent"/>
  </r>
  <r>
    <x v="2043"/>
    <x v="2043"/>
    <s v="EMP_2044"/>
    <x v="1"/>
    <s v="EMP_2044Marketing"/>
    <x v="4"/>
    <x v="0"/>
    <n v="32108"/>
    <n v="3968"/>
    <n v="0"/>
    <n v="0"/>
    <s v="10/14/2022"/>
    <s v="10/14/2022"/>
    <d v="2026-02-11T00:00:00"/>
    <e v="#VALUE!"/>
    <n v="5"/>
    <n v="36076"/>
    <n v="18038"/>
    <s v=" Not Achieved"/>
    <s v="Average"/>
  </r>
  <r>
    <x v="2044"/>
    <x v="2044"/>
    <s v="EMP_2045"/>
    <x v="1"/>
    <s v="EMP_2045Finance"/>
    <x v="2"/>
    <x v="1"/>
    <n v="26254"/>
    <n v="7688"/>
    <n v="0"/>
    <n v="0"/>
    <d v="2019-06-09T00:00:00"/>
    <s v="2019"/>
    <d v="2026-02-11T00:00:00"/>
    <n v="6"/>
    <n v="5"/>
    <n v="33942"/>
    <n v="16971"/>
    <s v=" Not Achieved"/>
    <s v="poor"/>
  </r>
  <r>
    <x v="2045"/>
    <x v="2045"/>
    <s v="EMP_2046"/>
    <x v="1"/>
    <s v="EMP_2046Finance"/>
    <x v="2"/>
    <x v="0"/>
    <n v="74212"/>
    <n v="10634"/>
    <n v="0"/>
    <n v="0"/>
    <d v="2018-06-11T00:00:00"/>
    <s v="2018"/>
    <d v="2026-02-11T00:00:00"/>
    <n v="7"/>
    <n v="1"/>
    <n v="84846"/>
    <n v="42423"/>
    <s v=" Not Achieved"/>
    <s v=" Excellent"/>
  </r>
  <r>
    <x v="2046"/>
    <x v="2046"/>
    <s v="EMP_2047"/>
    <x v="1"/>
    <s v="EMP_2047Sales"/>
    <x v="1"/>
    <x v="2"/>
    <n v="63067"/>
    <n v="14108"/>
    <n v="154031"/>
    <n v="198019"/>
    <d v="2024-08-02T00:00:00"/>
    <s v="2024"/>
    <d v="2026-02-11T00:00:00"/>
    <n v="1"/>
    <n v="1"/>
    <n v="77175"/>
    <n v="38587.5"/>
    <s v=" Not Achieved"/>
    <s v=" Excellent"/>
  </r>
  <r>
    <x v="2047"/>
    <x v="2047"/>
    <s v="EMP_2048"/>
    <x v="0"/>
    <s v="EMP_2048Finance"/>
    <x v="2"/>
    <x v="2"/>
    <n v="79081"/>
    <n v="5488"/>
    <n v="0"/>
    <n v="0"/>
    <s v="2/16/2024"/>
    <s v="2/16/2024"/>
    <d v="2026-02-11T00:00:00"/>
    <e v="#VALUE!"/>
    <n v="5"/>
    <n v="84569"/>
    <n v="42284.5"/>
    <s v=" Not Achieved"/>
    <s v=" Excellent"/>
  </r>
  <r>
    <x v="2048"/>
    <x v="2048"/>
    <s v="EMP_2049"/>
    <x v="0"/>
    <s v="EMP_2049IT"/>
    <x v="3"/>
    <x v="4"/>
    <n v="27561"/>
    <n v="5124"/>
    <n v="0"/>
    <n v="0"/>
    <d v="2021-12-02T00:00:00"/>
    <s v="2021"/>
    <d v="2026-02-11T00:00:00"/>
    <n v="4"/>
    <n v="2"/>
    <n v="32685"/>
    <n v="16342.5"/>
    <s v=" Not Achieved"/>
    <s v="poor"/>
  </r>
  <r>
    <x v="2049"/>
    <x v="2049"/>
    <s v="EMP_2050"/>
    <x v="0"/>
    <s v="EMP_2050Marketing"/>
    <x v="4"/>
    <x v="4"/>
    <n v="23195"/>
    <n v="7365"/>
    <n v="0"/>
    <n v="0"/>
    <d v="2022-07-08T00:00:00"/>
    <s v="2022"/>
    <d v="2026-02-11T00:00:00"/>
    <n v="3"/>
    <n v="4"/>
    <n v="30560"/>
    <n v="15280"/>
    <s v=" Not Achieved"/>
    <s v="poor"/>
  </r>
  <r>
    <x v="2050"/>
    <x v="2050"/>
    <s v="EMP_2051"/>
    <x v="0"/>
    <s v="EMP_2051HR"/>
    <x v="0"/>
    <x v="3"/>
    <n v="75833"/>
    <n v="6276"/>
    <n v="0"/>
    <n v="0"/>
    <s v="10/13/2018"/>
    <s v="10/13/2018"/>
    <d v="2026-02-11T00:00:00"/>
    <e v="#VALUE!"/>
    <n v="5"/>
    <n v="82109"/>
    <n v="41054.5"/>
    <s v=" Not Achieved"/>
    <s v=" Excellent"/>
  </r>
  <r>
    <x v="2051"/>
    <x v="2051"/>
    <s v="EMP_2052"/>
    <x v="1"/>
    <s v="EMP_2052Sales"/>
    <x v="1"/>
    <x v="0"/>
    <n v="25483"/>
    <n v="11065"/>
    <n v="255073"/>
    <n v="231989"/>
    <s v="10/23/2019"/>
    <s v="10/23/2019"/>
    <d v="2026-02-11T00:00:00"/>
    <e v="#VALUE!"/>
    <n v="2"/>
    <n v="36548"/>
    <n v="18274"/>
    <s v="Achieved"/>
    <s v="poor"/>
  </r>
  <r>
    <x v="2052"/>
    <x v="2052"/>
    <s v="EMP_2053"/>
    <x v="1"/>
    <s v="EMP_2053IT"/>
    <x v="3"/>
    <x v="4"/>
    <n v="68929"/>
    <n v="3742"/>
    <n v="0"/>
    <n v="0"/>
    <d v="2022-10-01T00:00:00"/>
    <s v="2022"/>
    <d v="2026-02-11T00:00:00"/>
    <n v="3"/>
    <n v="5"/>
    <n v="72671"/>
    <n v="36335.5"/>
    <s v=" Not Achieved"/>
    <s v=" Excellent"/>
  </r>
  <r>
    <x v="2053"/>
    <x v="2053"/>
    <s v="EMP_2054"/>
    <x v="1"/>
    <s v="EMP_2054Marketing"/>
    <x v="4"/>
    <x v="4"/>
    <n v="71252"/>
    <n v="6684"/>
    <n v="0"/>
    <n v="0"/>
    <d v="2018-01-08T00:00:00"/>
    <s v="2018"/>
    <d v="2026-02-11T00:00:00"/>
    <n v="8"/>
    <n v="1"/>
    <n v="77936"/>
    <n v="38968"/>
    <s v=" Not Achieved"/>
    <s v=" Excellent"/>
  </r>
  <r>
    <x v="2054"/>
    <x v="2054"/>
    <s v="EMP_2055"/>
    <x v="0"/>
    <s v="EMP_2055HR"/>
    <x v="0"/>
    <x v="0"/>
    <n v="67739"/>
    <n v="7428"/>
    <n v="0"/>
    <n v="0"/>
    <s v="6/26/2023"/>
    <s v="6/26/2023"/>
    <d v="2026-02-11T00:00:00"/>
    <e v="#VALUE!"/>
    <n v="4"/>
    <n v="75167"/>
    <n v="37583.5"/>
    <s v=" Not Achieved"/>
    <s v=" Excellent"/>
  </r>
  <r>
    <x v="2055"/>
    <x v="2055"/>
    <s v="EMP_2056"/>
    <x v="1"/>
    <s v="EMP_2056Finance"/>
    <x v="2"/>
    <x v="3"/>
    <n v="54195"/>
    <n v="10726"/>
    <n v="0"/>
    <n v="0"/>
    <s v="12/31/2023"/>
    <s v="12/31/2023"/>
    <d v="2026-02-11T00:00:00"/>
    <e v="#VALUE!"/>
    <n v="4"/>
    <n v="64921"/>
    <n v="32460.5"/>
    <s v=" Not Achieved"/>
    <s v=" Excellent"/>
  </r>
  <r>
    <x v="2056"/>
    <x v="2056"/>
    <s v="EMP_2057"/>
    <x v="1"/>
    <s v="EMP_2057Finance"/>
    <x v="2"/>
    <x v="4"/>
    <n v="43026"/>
    <n v="8630"/>
    <n v="0"/>
    <n v="0"/>
    <s v="4/17/2022"/>
    <s v="4/17/2022"/>
    <d v="2026-02-11T00:00:00"/>
    <e v="#VALUE!"/>
    <n v="5"/>
    <n v="51656"/>
    <n v="25828"/>
    <s v=" Not Achieved"/>
    <s v="Good"/>
  </r>
  <r>
    <x v="2057"/>
    <x v="2057"/>
    <s v="EMP_2058"/>
    <x v="0"/>
    <s v="EMP_2058Finance"/>
    <x v="2"/>
    <x v="3"/>
    <n v="25988"/>
    <n v="10639"/>
    <n v="0"/>
    <n v="0"/>
    <s v="3/13/2024"/>
    <s v="3/13/2024"/>
    <d v="2026-02-11T00:00:00"/>
    <e v="#VALUE!"/>
    <n v="2"/>
    <n v="36627"/>
    <n v="18313.5"/>
    <s v=" Not Achieved"/>
    <s v="poor"/>
  </r>
  <r>
    <x v="2058"/>
    <x v="2058"/>
    <s v="EMP_2059"/>
    <x v="1"/>
    <s v="EMP_2059IT"/>
    <x v="3"/>
    <x v="1"/>
    <n v="42177"/>
    <n v="9518"/>
    <n v="0"/>
    <n v="0"/>
    <s v="12/18/2024"/>
    <s v="12/18/2024"/>
    <d v="2026-02-11T00:00:00"/>
    <e v="#VALUE!"/>
    <n v="4"/>
    <n v="51695"/>
    <n v="25847.5"/>
    <s v=" Not Achieved"/>
    <s v="Good"/>
  </r>
  <r>
    <x v="2059"/>
    <x v="2059"/>
    <s v="EMP_2060"/>
    <x v="1"/>
    <s v="EMP_2060Marketing"/>
    <x v="4"/>
    <x v="0"/>
    <n v="28111"/>
    <n v="2990"/>
    <n v="0"/>
    <n v="0"/>
    <s v="12/15/2024"/>
    <s v="12/15/2024"/>
    <d v="2026-02-11T00:00:00"/>
    <e v="#VALUE!"/>
    <n v="3"/>
    <n v="31101"/>
    <n v="15550.5"/>
    <s v=" Not Achieved"/>
    <s v="poor"/>
  </r>
  <r>
    <x v="2060"/>
    <x v="2060"/>
    <s v="EMP_2061"/>
    <x v="0"/>
    <s v="EMP_2061IT"/>
    <x v="3"/>
    <x v="0"/>
    <n v="32229"/>
    <n v="5276"/>
    <n v="0"/>
    <n v="0"/>
    <s v="5/20/2021"/>
    <s v="5/20/2021"/>
    <d v="2026-02-11T00:00:00"/>
    <e v="#VALUE!"/>
    <n v="5"/>
    <n v="37505"/>
    <n v="18752.5"/>
    <s v=" Not Achieved"/>
    <s v="Average"/>
  </r>
  <r>
    <x v="2061"/>
    <x v="2061"/>
    <s v="EMP_2062"/>
    <x v="1"/>
    <s v="EMP_2062HR"/>
    <x v="0"/>
    <x v="0"/>
    <n v="64459"/>
    <n v="12183"/>
    <n v="0"/>
    <n v="0"/>
    <s v="9/23/2024"/>
    <s v="9/23/2024"/>
    <d v="2026-02-11T00:00:00"/>
    <e v="#VALUE!"/>
    <n v="4"/>
    <n v="76642"/>
    <n v="38321"/>
    <s v=" Not Achieved"/>
    <s v=" Excellent"/>
  </r>
  <r>
    <x v="2062"/>
    <x v="2062"/>
    <s v="EMP_2063"/>
    <x v="1"/>
    <s v="EMP_2063Finance"/>
    <x v="2"/>
    <x v="3"/>
    <n v="31624"/>
    <n v="7436"/>
    <n v="0"/>
    <n v="0"/>
    <s v="6/25/2018"/>
    <s v="6/25/2018"/>
    <d v="2026-02-11T00:00:00"/>
    <e v="#VALUE!"/>
    <n v="3"/>
    <n v="39060"/>
    <n v="19530"/>
    <s v=" Not Achieved"/>
    <s v="Average"/>
  </r>
  <r>
    <x v="2063"/>
    <x v="2063"/>
    <s v="EMP_2064"/>
    <x v="0"/>
    <s v="EMP_2064Marketing"/>
    <x v="4"/>
    <x v="4"/>
    <n v="41823"/>
    <n v="9764"/>
    <n v="0"/>
    <n v="0"/>
    <s v="8/25/2022"/>
    <s v="8/25/2022"/>
    <d v="2026-02-11T00:00:00"/>
    <e v="#VALUE!"/>
    <n v="2"/>
    <n v="51587"/>
    <n v="25793.5"/>
    <s v=" Not Achieved"/>
    <s v="Good"/>
  </r>
  <r>
    <x v="2064"/>
    <x v="2064"/>
    <s v="EMP_2065"/>
    <x v="0"/>
    <s v="EMP_2065Finance"/>
    <x v="2"/>
    <x v="4"/>
    <n v="43732"/>
    <n v="13556"/>
    <n v="0"/>
    <n v="0"/>
    <s v="8/16/2023"/>
    <s v="8/16/2023"/>
    <d v="2026-02-11T00:00:00"/>
    <e v="#VALUE!"/>
    <n v="3"/>
    <n v="57288"/>
    <n v="28644"/>
    <s v=" Not Achieved"/>
    <s v="Good"/>
  </r>
  <r>
    <x v="2065"/>
    <x v="2065"/>
    <s v="EMP_2066"/>
    <x v="0"/>
    <s v="EMP_2066Sales"/>
    <x v="1"/>
    <x v="0"/>
    <n v="39569"/>
    <n v="14737"/>
    <n v="245530"/>
    <n v="170620"/>
    <d v="2021-08-03T00:00:00"/>
    <s v="2021"/>
    <d v="2026-02-11T00:00:00"/>
    <n v="4"/>
    <n v="2"/>
    <n v="54306"/>
    <n v="27153"/>
    <s v="Achieved"/>
    <s v="Average"/>
  </r>
  <r>
    <x v="2066"/>
    <x v="2066"/>
    <s v="EMP_2067"/>
    <x v="0"/>
    <s v="EMP_2067IT"/>
    <x v="3"/>
    <x v="3"/>
    <n v="59399"/>
    <n v="4508"/>
    <n v="0"/>
    <n v="0"/>
    <s v="6/28/2022"/>
    <s v="6/28/2022"/>
    <d v="2026-02-11T00:00:00"/>
    <e v="#VALUE!"/>
    <n v="3"/>
    <n v="63907"/>
    <n v="31953.5"/>
    <s v=" Not Achieved"/>
    <s v=" Excellent"/>
  </r>
  <r>
    <x v="2067"/>
    <x v="2067"/>
    <s v="EMP_2068"/>
    <x v="0"/>
    <s v="EMP_2068Marketing"/>
    <x v="4"/>
    <x v="4"/>
    <n v="30216"/>
    <n v="10211"/>
    <n v="0"/>
    <n v="0"/>
    <s v="1/31/2020"/>
    <s v="1/31/2020"/>
    <d v="2026-02-11T00:00:00"/>
    <e v="#VALUE!"/>
    <n v="3"/>
    <n v="40427"/>
    <n v="20213.5"/>
    <s v=" Not Achieved"/>
    <s v="Average"/>
  </r>
  <r>
    <x v="2068"/>
    <x v="2068"/>
    <s v="EMP_2069"/>
    <x v="1"/>
    <s v="EMP_2069IT"/>
    <x v="3"/>
    <x v="3"/>
    <n v="78742"/>
    <n v="6937"/>
    <n v="0"/>
    <n v="0"/>
    <d v="2020-07-02T00:00:00"/>
    <s v="2020"/>
    <d v="2026-02-11T00:00:00"/>
    <n v="5"/>
    <n v="4"/>
    <n v="85679"/>
    <n v="42839.5"/>
    <s v=" Not Achieved"/>
    <s v=" Excellent"/>
  </r>
  <r>
    <x v="2069"/>
    <x v="2069"/>
    <s v="EMP_2070"/>
    <x v="1"/>
    <s v="EMP_2070Marketing"/>
    <x v="4"/>
    <x v="3"/>
    <n v="63082"/>
    <n v="2804"/>
    <n v="0"/>
    <n v="0"/>
    <s v="1/22/2024"/>
    <s v="1/22/2024"/>
    <d v="2026-02-11T00:00:00"/>
    <e v="#VALUE!"/>
    <n v="3"/>
    <n v="65886"/>
    <n v="32943"/>
    <s v=" Not Achieved"/>
    <s v=" Excellent"/>
  </r>
  <r>
    <x v="2070"/>
    <x v="2070"/>
    <s v="EMP_2071"/>
    <x v="1"/>
    <s v="EMP_2071Marketing"/>
    <x v="4"/>
    <x v="1"/>
    <n v="30581"/>
    <n v="11088"/>
    <n v="0"/>
    <n v="0"/>
    <s v="9/13/2022"/>
    <s v="9/13/2022"/>
    <d v="2026-02-11T00:00:00"/>
    <e v="#VALUE!"/>
    <n v="4"/>
    <n v="41669"/>
    <n v="20834.5"/>
    <s v=" Not Achieved"/>
    <s v="Average"/>
  </r>
  <r>
    <x v="2071"/>
    <x v="2071"/>
    <s v="EMP_2072"/>
    <x v="0"/>
    <s v="EMP_2072Finance"/>
    <x v="2"/>
    <x v="4"/>
    <n v="61118"/>
    <n v="3425"/>
    <n v="0"/>
    <n v="0"/>
    <s v="12/18/2023"/>
    <s v="12/18/2023"/>
    <d v="2026-02-11T00:00:00"/>
    <e v="#VALUE!"/>
    <n v="3"/>
    <n v="64543"/>
    <n v="32271.5"/>
    <s v=" Not Achieved"/>
    <s v=" Excellent"/>
  </r>
  <r>
    <x v="2072"/>
    <x v="2072"/>
    <s v="EMP_2073"/>
    <x v="0"/>
    <s v="EMP_2073IT"/>
    <x v="3"/>
    <x v="2"/>
    <n v="55147"/>
    <n v="5734"/>
    <n v="0"/>
    <n v="0"/>
    <s v="2/27/2024"/>
    <s v="2/27/2024"/>
    <d v="2026-02-11T00:00:00"/>
    <e v="#VALUE!"/>
    <n v="3"/>
    <n v="60881"/>
    <n v="30440.5"/>
    <s v=" Not Achieved"/>
    <s v=" Excellent"/>
  </r>
  <r>
    <x v="2073"/>
    <x v="2073"/>
    <s v="EMP_2074"/>
    <x v="1"/>
    <s v="EMP_2074Finance"/>
    <x v="2"/>
    <x v="4"/>
    <n v="33930"/>
    <n v="12044"/>
    <n v="0"/>
    <n v="0"/>
    <d v="2020-12-02T00:00:00"/>
    <s v="2020"/>
    <d v="2026-02-11T00:00:00"/>
    <n v="5"/>
    <n v="4"/>
    <n v="45974"/>
    <n v="22987"/>
    <s v=" Not Achieved"/>
    <s v="Average"/>
  </r>
  <r>
    <x v="2074"/>
    <x v="2074"/>
    <s v="EMP_2075"/>
    <x v="1"/>
    <s v="EMP_2075Sales"/>
    <x v="1"/>
    <x v="4"/>
    <n v="78534"/>
    <n v="13160"/>
    <n v="54105"/>
    <n v="150832"/>
    <s v="11/21/2018"/>
    <s v="11/21/2018"/>
    <d v="2026-02-11T00:00:00"/>
    <e v="#VALUE!"/>
    <n v="3"/>
    <n v="91694"/>
    <n v="45847"/>
    <s v=" Not Achieved"/>
    <s v=" Excellent"/>
  </r>
  <r>
    <x v="2075"/>
    <x v="2075"/>
    <s v="EMP_2076"/>
    <x v="1"/>
    <s v="EMP_2076Finance"/>
    <x v="2"/>
    <x v="1"/>
    <n v="70253"/>
    <n v="13184"/>
    <n v="0"/>
    <n v="0"/>
    <s v="11/14/2024"/>
    <s v="11/14/2024"/>
    <d v="2026-02-11T00:00:00"/>
    <e v="#VALUE!"/>
    <n v="1"/>
    <n v="83437"/>
    <n v="41718.5"/>
    <s v=" Not Achieved"/>
    <s v=" Excellent"/>
  </r>
  <r>
    <x v="2076"/>
    <x v="2076"/>
    <s v="EMP_2077"/>
    <x v="0"/>
    <s v="EMP_2077Marketing"/>
    <x v="4"/>
    <x v="0"/>
    <n v="29338"/>
    <n v="12944"/>
    <n v="0"/>
    <n v="0"/>
    <s v="7/25/2023"/>
    <s v="7/25/2023"/>
    <d v="2026-02-11T00:00:00"/>
    <e v="#VALUE!"/>
    <n v="5"/>
    <n v="42282"/>
    <n v="21141"/>
    <s v=" Not Achieved"/>
    <s v="poor"/>
  </r>
  <r>
    <x v="2077"/>
    <x v="2077"/>
    <s v="EMP_2078"/>
    <x v="0"/>
    <s v="EMP_2078Sales"/>
    <x v="1"/>
    <x v="4"/>
    <n v="35275"/>
    <n v="8982"/>
    <n v="271721"/>
    <n v="178367"/>
    <s v="4/19/2018"/>
    <s v="4/19/2018"/>
    <d v="2026-02-11T00:00:00"/>
    <e v="#VALUE!"/>
    <n v="1"/>
    <n v="44257"/>
    <n v="22128.5"/>
    <s v="Achieved"/>
    <s v="Average"/>
  </r>
  <r>
    <x v="2078"/>
    <x v="2078"/>
    <s v="EMP_2079"/>
    <x v="0"/>
    <s v="EMP_2079Sales"/>
    <x v="1"/>
    <x v="4"/>
    <n v="60058"/>
    <n v="6458"/>
    <n v="169312"/>
    <n v="185713"/>
    <s v="5/19/2019"/>
    <s v="5/19/2019"/>
    <d v="2026-02-11T00:00:00"/>
    <e v="#VALUE!"/>
    <n v="1"/>
    <n v="66516"/>
    <n v="33258"/>
    <s v=" Not Achieved"/>
    <s v=" Excellent"/>
  </r>
  <r>
    <x v="2079"/>
    <x v="2079"/>
    <s v="EMP_2080"/>
    <x v="0"/>
    <s v="EMP_2080Marketing"/>
    <x v="4"/>
    <x v="1"/>
    <n v="71111"/>
    <n v="3126"/>
    <n v="0"/>
    <n v="0"/>
    <d v="2023-11-12T00:00:00"/>
    <s v="2023"/>
    <d v="2026-02-11T00:00:00"/>
    <n v="2"/>
    <n v="4"/>
    <n v="74237"/>
    <n v="37118.5"/>
    <s v=" Not Achieved"/>
    <s v=" Excellent"/>
  </r>
  <r>
    <x v="2080"/>
    <x v="2080"/>
    <s v="EMP_2081"/>
    <x v="1"/>
    <s v="EMP_2081HR"/>
    <x v="0"/>
    <x v="0"/>
    <n v="28796"/>
    <n v="11146"/>
    <n v="0"/>
    <n v="0"/>
    <d v="2018-12-07T00:00:00"/>
    <s v="2018"/>
    <d v="2026-02-11T00:00:00"/>
    <n v="7"/>
    <n v="4"/>
    <n v="39942"/>
    <n v="19971"/>
    <s v=" Not Achieved"/>
    <s v="poor"/>
  </r>
  <r>
    <x v="2081"/>
    <x v="2081"/>
    <s v="EMP_2082"/>
    <x v="0"/>
    <s v="EMP_2082IT"/>
    <x v="3"/>
    <x v="4"/>
    <n v="20658"/>
    <n v="12138"/>
    <n v="0"/>
    <n v="0"/>
    <s v="11/23/2018"/>
    <s v="11/23/2018"/>
    <d v="2026-02-11T00:00:00"/>
    <e v="#VALUE!"/>
    <n v="2"/>
    <n v="32796"/>
    <n v="16398"/>
    <s v=" Not Achieved"/>
    <s v="poor"/>
  </r>
  <r>
    <x v="2082"/>
    <x v="2082"/>
    <s v="EMP_2083"/>
    <x v="1"/>
    <s v="EMP_2083Finance"/>
    <x v="2"/>
    <x v="3"/>
    <n v="44764"/>
    <n v="6338"/>
    <n v="0"/>
    <n v="0"/>
    <s v="4/19/2024"/>
    <s v="4/19/2024"/>
    <d v="2026-02-11T00:00:00"/>
    <e v="#VALUE!"/>
    <n v="3"/>
    <n v="51102"/>
    <n v="25551"/>
    <s v=" Not Achieved"/>
    <s v="Good"/>
  </r>
  <r>
    <x v="2083"/>
    <x v="2083"/>
    <s v="EMP_2084"/>
    <x v="0"/>
    <s v="EMP_2084Sales"/>
    <x v="1"/>
    <x v="2"/>
    <n v="54552"/>
    <n v="10790"/>
    <n v="162430"/>
    <n v="168368"/>
    <d v="2021-01-07T00:00:00"/>
    <s v="2021"/>
    <d v="2026-02-11T00:00:00"/>
    <n v="5"/>
    <n v="2"/>
    <n v="65342"/>
    <n v="32671"/>
    <s v=" Not Achieved"/>
    <s v=" Excellent"/>
  </r>
  <r>
    <x v="2084"/>
    <x v="2084"/>
    <s v="EMP_2085"/>
    <x v="1"/>
    <s v="EMP_2085Marketing"/>
    <x v="4"/>
    <x v="3"/>
    <n v="59842"/>
    <n v="6509"/>
    <n v="0"/>
    <n v="0"/>
    <s v="8/23/2024"/>
    <s v="8/23/2024"/>
    <d v="2026-02-11T00:00:00"/>
    <e v="#VALUE!"/>
    <n v="3"/>
    <n v="66351"/>
    <n v="33175.5"/>
    <s v=" Not Achieved"/>
    <s v=" Excellent"/>
  </r>
  <r>
    <x v="2085"/>
    <x v="2085"/>
    <s v="EMP_2086"/>
    <x v="0"/>
    <s v="EMP_2086HR"/>
    <x v="0"/>
    <x v="2"/>
    <n v="32343"/>
    <n v="3395"/>
    <n v="0"/>
    <n v="0"/>
    <d v="2024-01-07T00:00:00"/>
    <s v="2024"/>
    <d v="2026-02-11T00:00:00"/>
    <n v="2"/>
    <n v="2"/>
    <n v="35738"/>
    <n v="17869"/>
    <s v=" Not Achieved"/>
    <s v="Average"/>
  </r>
  <r>
    <x v="2086"/>
    <x v="2086"/>
    <s v="EMP_2087"/>
    <x v="0"/>
    <s v="EMP_2087Marketing"/>
    <x v="4"/>
    <x v="3"/>
    <n v="46619"/>
    <n v="7929"/>
    <n v="0"/>
    <n v="0"/>
    <d v="2020-05-02T00:00:00"/>
    <s v="2020"/>
    <d v="2026-02-11T00:00:00"/>
    <n v="5"/>
    <n v="5"/>
    <n v="54548"/>
    <n v="27274"/>
    <s v=" Not Achieved"/>
    <s v="Good"/>
  </r>
  <r>
    <x v="2087"/>
    <x v="2087"/>
    <s v="EMP_2088"/>
    <x v="0"/>
    <s v="EMP_2088IT"/>
    <x v="3"/>
    <x v="4"/>
    <n v="44122"/>
    <n v="3541"/>
    <n v="0"/>
    <n v="0"/>
    <d v="2023-09-05T00:00:00"/>
    <s v="2023"/>
    <d v="2026-02-11T00:00:00"/>
    <n v="2"/>
    <n v="4"/>
    <n v="47663"/>
    <n v="23831.5"/>
    <s v=" Not Achieved"/>
    <s v="Good"/>
  </r>
  <r>
    <x v="2088"/>
    <x v="2088"/>
    <s v="EMP_2089"/>
    <x v="0"/>
    <s v="EMP_2089Finance"/>
    <x v="2"/>
    <x v="3"/>
    <n v="23312"/>
    <n v="4047"/>
    <n v="0"/>
    <n v="0"/>
    <s v="1/18/2019"/>
    <s v="1/18/2019"/>
    <d v="2026-02-11T00:00:00"/>
    <e v="#VALUE!"/>
    <n v="1"/>
    <n v="27359"/>
    <n v="13679.5"/>
    <s v=" Not Achieved"/>
    <s v="poor"/>
  </r>
  <r>
    <x v="2089"/>
    <x v="2089"/>
    <s v="EMP_2090"/>
    <x v="0"/>
    <s v="EMP_2090Finance"/>
    <x v="2"/>
    <x v="4"/>
    <n v="32501"/>
    <n v="3270"/>
    <n v="0"/>
    <n v="0"/>
    <s v="12/25/2018"/>
    <s v="12/25/2018"/>
    <d v="2026-02-11T00:00:00"/>
    <e v="#VALUE!"/>
    <n v="4"/>
    <n v="35771"/>
    <n v="17885.5"/>
    <s v=" Not Achieved"/>
    <s v="Average"/>
  </r>
  <r>
    <x v="2090"/>
    <x v="2090"/>
    <s v="EMP_2091"/>
    <x v="0"/>
    <s v="EMP_2091IT"/>
    <x v="3"/>
    <x v="1"/>
    <n v="37451"/>
    <n v="4816"/>
    <n v="0"/>
    <n v="0"/>
    <d v="2024-10-01T00:00:00"/>
    <s v="2024"/>
    <d v="2026-02-11T00:00:00"/>
    <n v="1"/>
    <n v="4"/>
    <n v="42267"/>
    <n v="21133.5"/>
    <s v=" Not Achieved"/>
    <s v="Average"/>
  </r>
  <r>
    <x v="2091"/>
    <x v="2091"/>
    <s v="EMP_2092"/>
    <x v="0"/>
    <s v="EMP_2092HR"/>
    <x v="0"/>
    <x v="1"/>
    <n v="54650"/>
    <n v="11137"/>
    <n v="0"/>
    <n v="0"/>
    <s v="1/17/2018"/>
    <s v="1/17/2018"/>
    <d v="2026-02-11T00:00:00"/>
    <e v="#VALUE!"/>
    <n v="2"/>
    <n v="65787"/>
    <n v="32893.5"/>
    <s v=" Not Achieved"/>
    <s v=" Excellent"/>
  </r>
  <r>
    <x v="2092"/>
    <x v="2092"/>
    <s v="EMP_2093"/>
    <x v="1"/>
    <s v="EMP_2093HR"/>
    <x v="0"/>
    <x v="2"/>
    <n v="31765"/>
    <n v="10622"/>
    <n v="0"/>
    <n v="0"/>
    <s v="2/25/2020"/>
    <s v="2/25/2020"/>
    <d v="2026-02-11T00:00:00"/>
    <e v="#VALUE!"/>
    <n v="4"/>
    <n v="42387"/>
    <n v="21193.5"/>
    <s v=" Not Achieved"/>
    <s v="Average"/>
  </r>
  <r>
    <x v="2093"/>
    <x v="2093"/>
    <s v="EMP_2094"/>
    <x v="0"/>
    <s v="EMP_2094IT"/>
    <x v="3"/>
    <x v="4"/>
    <n v="34274"/>
    <n v="3007"/>
    <n v="0"/>
    <n v="0"/>
    <d v="2020-09-05T00:00:00"/>
    <s v="2020"/>
    <d v="2026-02-11T00:00:00"/>
    <n v="5"/>
    <n v="1"/>
    <n v="37281"/>
    <n v="18640.5"/>
    <s v=" Not Achieved"/>
    <s v="Average"/>
  </r>
  <r>
    <x v="2094"/>
    <x v="2094"/>
    <s v="EMP_2095"/>
    <x v="1"/>
    <s v="EMP_2095IT"/>
    <x v="3"/>
    <x v="3"/>
    <n v="55533"/>
    <n v="7412"/>
    <n v="0"/>
    <n v="0"/>
    <s v="11/17/2022"/>
    <s v="11/17/2022"/>
    <d v="2026-02-11T00:00:00"/>
    <e v="#VALUE!"/>
    <n v="4"/>
    <n v="62945"/>
    <n v="31472.5"/>
    <s v=" Not Achieved"/>
    <s v=" Excellent"/>
  </r>
  <r>
    <x v="2095"/>
    <x v="2095"/>
    <s v="EMP_2096"/>
    <x v="0"/>
    <s v="EMP_2096IT"/>
    <x v="3"/>
    <x v="0"/>
    <n v="64251"/>
    <n v="12808"/>
    <n v="0"/>
    <n v="0"/>
    <d v="2018-03-10T00:00:00"/>
    <s v="2018"/>
    <d v="2026-02-11T00:00:00"/>
    <n v="7"/>
    <n v="3"/>
    <n v="77059"/>
    <n v="38529.5"/>
    <s v=" Not Achieved"/>
    <s v=" Excellent"/>
  </r>
  <r>
    <x v="2096"/>
    <x v="2096"/>
    <s v="EMP_2097"/>
    <x v="1"/>
    <s v="EMP_2097Marketing"/>
    <x v="4"/>
    <x v="2"/>
    <n v="25372"/>
    <n v="11264"/>
    <n v="0"/>
    <n v="0"/>
    <s v="2/22/2018"/>
    <s v="2/22/2018"/>
    <d v="2026-02-11T00:00:00"/>
    <e v="#VALUE!"/>
    <n v="3"/>
    <n v="36636"/>
    <n v="18318"/>
    <s v=" Not Achieved"/>
    <s v="poor"/>
  </r>
  <r>
    <x v="2097"/>
    <x v="2097"/>
    <s v="EMP_2098"/>
    <x v="1"/>
    <s v="EMP_2098Marketing"/>
    <x v="4"/>
    <x v="1"/>
    <n v="67046"/>
    <n v="5374"/>
    <n v="0"/>
    <n v="0"/>
    <d v="2019-02-02T00:00:00"/>
    <s v="2019"/>
    <d v="2026-02-11T00:00:00"/>
    <n v="7"/>
    <n v="5"/>
    <n v="72420"/>
    <n v="36210"/>
    <s v=" Not Achieved"/>
    <s v=" Excellent"/>
  </r>
  <r>
    <x v="2098"/>
    <x v="2098"/>
    <s v="EMP_2099"/>
    <x v="1"/>
    <s v="EMP_2099Finance"/>
    <x v="2"/>
    <x v="0"/>
    <n v="41967"/>
    <n v="14037"/>
    <n v="0"/>
    <n v="0"/>
    <s v="12/29/2020"/>
    <s v="12/29/2020"/>
    <d v="2026-02-11T00:00:00"/>
    <e v="#VALUE!"/>
    <n v="2"/>
    <n v="56004"/>
    <n v="28002"/>
    <s v=" Not Achieved"/>
    <s v="Good"/>
  </r>
  <r>
    <x v="2099"/>
    <x v="2099"/>
    <s v="EMP_2100"/>
    <x v="1"/>
    <s v="EMP_2100IT"/>
    <x v="3"/>
    <x v="1"/>
    <n v="64736"/>
    <n v="13176"/>
    <n v="0"/>
    <n v="0"/>
    <s v="3/25/2021"/>
    <s v="3/25/2021"/>
    <d v="2026-02-11T00:00:00"/>
    <e v="#VALUE!"/>
    <n v="3"/>
    <n v="77912"/>
    <n v="38956"/>
    <s v=" Not Achieved"/>
    <s v=" Excellent"/>
  </r>
  <r>
    <x v="2100"/>
    <x v="2100"/>
    <s v="EMP_2101"/>
    <x v="0"/>
    <s v="EMP_2101HR"/>
    <x v="0"/>
    <x v="2"/>
    <n v="38398"/>
    <n v="9874"/>
    <n v="0"/>
    <n v="0"/>
    <s v="11/19/2024"/>
    <s v="11/19/2024"/>
    <d v="2026-02-11T00:00:00"/>
    <e v="#VALUE!"/>
    <n v="5"/>
    <n v="48272"/>
    <n v="24136"/>
    <s v=" Not Achieved"/>
    <s v="Average"/>
  </r>
  <r>
    <x v="2101"/>
    <x v="2101"/>
    <s v="EMP_2102"/>
    <x v="1"/>
    <s v="EMP_2102IT"/>
    <x v="3"/>
    <x v="3"/>
    <n v="23771"/>
    <n v="2446"/>
    <n v="0"/>
    <n v="0"/>
    <s v="5/26/2018"/>
    <s v="5/26/2018"/>
    <d v="2026-02-11T00:00:00"/>
    <e v="#VALUE!"/>
    <n v="5"/>
    <n v="26217"/>
    <n v="13108.5"/>
    <s v=" Not Achieved"/>
    <s v="poor"/>
  </r>
  <r>
    <x v="2102"/>
    <x v="2102"/>
    <s v="EMP_2103"/>
    <x v="0"/>
    <s v="EMP_2103Sales"/>
    <x v="1"/>
    <x v="2"/>
    <n v="66344"/>
    <n v="2677"/>
    <n v="224558"/>
    <n v="126219"/>
    <s v="5/14/2023"/>
    <s v="5/14/2023"/>
    <d v="2026-02-11T00:00:00"/>
    <e v="#VALUE!"/>
    <n v="2"/>
    <n v="69021"/>
    <n v="34510.5"/>
    <s v="Achieved"/>
    <s v=" Excellent"/>
  </r>
  <r>
    <x v="2103"/>
    <x v="2103"/>
    <s v="EMP_2104"/>
    <x v="1"/>
    <s v="EMP_2104Finance"/>
    <x v="2"/>
    <x v="1"/>
    <n v="71003"/>
    <n v="4729"/>
    <n v="0"/>
    <n v="0"/>
    <s v="4/25/2018"/>
    <s v="4/25/2018"/>
    <d v="2026-02-11T00:00:00"/>
    <e v="#VALUE!"/>
    <n v="3"/>
    <n v="75732"/>
    <n v="37866"/>
    <s v=" Not Achieved"/>
    <s v=" Excellent"/>
  </r>
  <r>
    <x v="2104"/>
    <x v="2104"/>
    <s v="EMP_2105"/>
    <x v="1"/>
    <s v="EMP_2105Sales"/>
    <x v="1"/>
    <x v="4"/>
    <n v="72729"/>
    <n v="4874"/>
    <n v="270702"/>
    <n v="180589"/>
    <d v="2024-08-06T00:00:00"/>
    <s v="2024"/>
    <d v="2026-02-11T00:00:00"/>
    <n v="1"/>
    <n v="4"/>
    <n v="77603"/>
    <n v="38801.5"/>
    <s v="Achieved"/>
    <s v=" Excellent"/>
  </r>
  <r>
    <x v="2105"/>
    <x v="2105"/>
    <s v="EMP_2106"/>
    <x v="0"/>
    <s v="EMP_2106Sales"/>
    <x v="1"/>
    <x v="3"/>
    <n v="63530"/>
    <n v="7092"/>
    <n v="148509"/>
    <n v="195466"/>
    <d v="2020-03-04T00:00:00"/>
    <s v="2020"/>
    <d v="2026-02-11T00:00:00"/>
    <n v="5"/>
    <n v="5"/>
    <n v="70622"/>
    <n v="35311"/>
    <s v=" Not Achieved"/>
    <s v=" Excellent"/>
  </r>
  <r>
    <x v="2106"/>
    <x v="2106"/>
    <s v="EMP_2107"/>
    <x v="1"/>
    <s v="EMP_2107Marketing"/>
    <x v="4"/>
    <x v="2"/>
    <n v="72319"/>
    <n v="11441"/>
    <n v="0"/>
    <n v="0"/>
    <d v="2020-04-06T00:00:00"/>
    <s v="2020"/>
    <d v="2026-02-11T00:00:00"/>
    <n v="5"/>
    <n v="3"/>
    <n v="83760"/>
    <n v="41880"/>
    <s v=" Not Achieved"/>
    <s v=" Excellent"/>
  </r>
  <r>
    <x v="2107"/>
    <x v="2107"/>
    <s v="EMP_2108"/>
    <x v="0"/>
    <s v="EMP_2108Sales"/>
    <x v="1"/>
    <x v="4"/>
    <n v="31220"/>
    <n v="11464"/>
    <n v="177070"/>
    <n v="169298"/>
    <s v="6/16/2020"/>
    <s v="6/16/2020"/>
    <d v="2026-02-11T00:00:00"/>
    <e v="#VALUE!"/>
    <n v="2"/>
    <n v="42684"/>
    <n v="21342"/>
    <s v="Achieved"/>
    <s v="Average"/>
  </r>
  <r>
    <x v="2108"/>
    <x v="2108"/>
    <s v="EMP_2109"/>
    <x v="0"/>
    <s v="EMP_2109Sales"/>
    <x v="1"/>
    <x v="2"/>
    <n v="47203"/>
    <n v="14863"/>
    <n v="195790"/>
    <n v="109403"/>
    <d v="2019-12-01T00:00:00"/>
    <s v="2019"/>
    <d v="2026-02-11T00:00:00"/>
    <n v="6"/>
    <n v="3"/>
    <n v="62066"/>
    <n v="31033"/>
    <s v="Achieved"/>
    <s v="Good"/>
  </r>
  <r>
    <x v="2109"/>
    <x v="2109"/>
    <s v="EMP_2110"/>
    <x v="1"/>
    <s v="EMP_2110IT"/>
    <x v="3"/>
    <x v="4"/>
    <n v="56434"/>
    <n v="9948"/>
    <n v="0"/>
    <n v="0"/>
    <s v="12/17/2020"/>
    <s v="12/17/2020"/>
    <d v="2026-02-11T00:00:00"/>
    <e v="#VALUE!"/>
    <n v="4"/>
    <n v="66382"/>
    <n v="33191"/>
    <s v=" Not Achieved"/>
    <s v=" Excellent"/>
  </r>
  <r>
    <x v="2110"/>
    <x v="2110"/>
    <s v="EMP_2111"/>
    <x v="1"/>
    <s v="EMP_2111HR"/>
    <x v="0"/>
    <x v="0"/>
    <n v="74017"/>
    <n v="11820"/>
    <n v="0"/>
    <n v="0"/>
    <s v="11/19/2018"/>
    <s v="11/19/2018"/>
    <d v="2026-02-11T00:00:00"/>
    <e v="#VALUE!"/>
    <n v="3"/>
    <n v="85837"/>
    <n v="42918.5"/>
    <s v=" Not Achieved"/>
    <s v=" Excellent"/>
  </r>
  <r>
    <x v="2111"/>
    <x v="2111"/>
    <s v="EMP_2112"/>
    <x v="0"/>
    <s v="EMP_2112Marketing"/>
    <x v="4"/>
    <x v="1"/>
    <n v="22741"/>
    <n v="14882"/>
    <n v="0"/>
    <n v="0"/>
    <d v="2024-08-01T00:00:00"/>
    <s v="2024"/>
    <d v="2026-02-11T00:00:00"/>
    <n v="1"/>
    <n v="2"/>
    <n v="37623"/>
    <n v="18811.5"/>
    <s v=" Not Achieved"/>
    <s v="poor"/>
  </r>
  <r>
    <x v="2112"/>
    <x v="2112"/>
    <s v="EMP_2113"/>
    <x v="1"/>
    <s v="EMP_2113Marketing"/>
    <x v="4"/>
    <x v="1"/>
    <n v="67397"/>
    <n v="7358"/>
    <n v="0"/>
    <n v="0"/>
    <s v="6/15/2022"/>
    <s v="6/15/2022"/>
    <d v="2026-02-11T00:00:00"/>
    <e v="#VALUE!"/>
    <n v="5"/>
    <n v="74755"/>
    <n v="37377.5"/>
    <s v=" Not Achieved"/>
    <s v=" Excellent"/>
  </r>
  <r>
    <x v="2113"/>
    <x v="2113"/>
    <s v="EMP_2114"/>
    <x v="0"/>
    <s v="EMP_2114Marketing"/>
    <x v="4"/>
    <x v="2"/>
    <n v="52574"/>
    <n v="10000"/>
    <n v="0"/>
    <n v="0"/>
    <d v="2019-07-10T00:00:00"/>
    <s v="2019"/>
    <d v="2026-02-11T00:00:00"/>
    <n v="6"/>
    <n v="2"/>
    <n v="62574"/>
    <n v="31287"/>
    <s v=" Not Achieved"/>
    <s v=" Excellent"/>
  </r>
  <r>
    <x v="2114"/>
    <x v="2114"/>
    <s v="EMP_2115"/>
    <x v="0"/>
    <s v="EMP_2115Finance"/>
    <x v="2"/>
    <x v="4"/>
    <n v="78299"/>
    <n v="6184"/>
    <n v="0"/>
    <n v="0"/>
    <s v="6/29/2020"/>
    <s v="6/29/2020"/>
    <d v="2026-02-11T00:00:00"/>
    <e v="#VALUE!"/>
    <n v="4"/>
    <n v="84483"/>
    <n v="42241.5"/>
    <s v=" Not Achieved"/>
    <s v=" Excellent"/>
  </r>
  <r>
    <x v="2115"/>
    <x v="2115"/>
    <s v="EMP_2116"/>
    <x v="0"/>
    <s v="EMP_2116Sales"/>
    <x v="1"/>
    <x v="0"/>
    <n v="24100"/>
    <n v="2414"/>
    <n v="295786"/>
    <n v="104391"/>
    <d v="2021-11-04T00:00:00"/>
    <s v="2021"/>
    <d v="2026-02-11T00:00:00"/>
    <n v="4"/>
    <n v="4"/>
    <n v="26514"/>
    <n v="13257"/>
    <s v="Achieved"/>
    <s v="poor"/>
  </r>
  <r>
    <x v="2116"/>
    <x v="2116"/>
    <s v="EMP_2117"/>
    <x v="1"/>
    <s v="EMP_2117Finance"/>
    <x v="2"/>
    <x v="1"/>
    <n v="76685"/>
    <n v="4117"/>
    <n v="0"/>
    <n v="0"/>
    <d v="2023-05-12T00:00:00"/>
    <s v="2023"/>
    <d v="2026-02-11T00:00:00"/>
    <n v="2"/>
    <n v="1"/>
    <n v="80802"/>
    <n v="40401"/>
    <s v=" Not Achieved"/>
    <s v=" Excellent"/>
  </r>
  <r>
    <x v="2117"/>
    <x v="2117"/>
    <s v="EMP_2118"/>
    <x v="1"/>
    <s v="EMP_2118HR"/>
    <x v="0"/>
    <x v="1"/>
    <n v="27542"/>
    <n v="12297"/>
    <n v="0"/>
    <n v="0"/>
    <s v="8/23/2018"/>
    <s v="8/23/2018"/>
    <d v="2026-02-11T00:00:00"/>
    <e v="#VALUE!"/>
    <n v="2"/>
    <n v="39839"/>
    <n v="19919.5"/>
    <s v=" Not Achieved"/>
    <s v="poor"/>
  </r>
  <r>
    <x v="2118"/>
    <x v="2118"/>
    <s v="EMP_2119"/>
    <x v="1"/>
    <s v="EMP_2119Marketing"/>
    <x v="4"/>
    <x v="0"/>
    <n v="20248"/>
    <n v="13586"/>
    <n v="0"/>
    <n v="0"/>
    <s v="1/30/2020"/>
    <s v="1/30/2020"/>
    <d v="2026-02-11T00:00:00"/>
    <e v="#VALUE!"/>
    <n v="2"/>
    <n v="33834"/>
    <n v="16917"/>
    <s v=" Not Achieved"/>
    <s v="poor"/>
  </r>
  <r>
    <x v="2119"/>
    <x v="2119"/>
    <s v="EMP_2120"/>
    <x v="0"/>
    <s v="EMP_2120HR"/>
    <x v="0"/>
    <x v="4"/>
    <n v="72425"/>
    <n v="8284"/>
    <n v="0"/>
    <n v="0"/>
    <s v="4/18/2022"/>
    <s v="4/18/2022"/>
    <d v="2026-02-11T00:00:00"/>
    <e v="#VALUE!"/>
    <n v="1"/>
    <n v="80709"/>
    <n v="40354.5"/>
    <s v=" Not Achieved"/>
    <s v=" Excellent"/>
  </r>
  <r>
    <x v="2120"/>
    <x v="2120"/>
    <s v="EMP_2121"/>
    <x v="1"/>
    <s v="EMP_2121IT"/>
    <x v="3"/>
    <x v="0"/>
    <n v="62408"/>
    <n v="13605"/>
    <n v="0"/>
    <n v="0"/>
    <d v="2019-05-08T00:00:00"/>
    <s v="2019"/>
    <d v="2026-02-11T00:00:00"/>
    <n v="6"/>
    <n v="2"/>
    <n v="76013"/>
    <n v="38006.5"/>
    <s v=" Not Achieved"/>
    <s v=" Excellent"/>
  </r>
  <r>
    <x v="2121"/>
    <x v="2121"/>
    <s v="EMP_2122"/>
    <x v="1"/>
    <s v="EMP_2122IT"/>
    <x v="3"/>
    <x v="2"/>
    <n v="35482"/>
    <n v="8966"/>
    <n v="0"/>
    <n v="0"/>
    <d v="2021-06-02T00:00:00"/>
    <s v="2021"/>
    <d v="2026-02-11T00:00:00"/>
    <n v="4"/>
    <n v="1"/>
    <n v="44448"/>
    <n v="22224"/>
    <s v=" Not Achieved"/>
    <s v="Average"/>
  </r>
  <r>
    <x v="2122"/>
    <x v="2122"/>
    <s v="EMP_2123"/>
    <x v="0"/>
    <s v="EMP_2123IT"/>
    <x v="3"/>
    <x v="4"/>
    <n v="71159"/>
    <n v="10009"/>
    <n v="0"/>
    <n v="0"/>
    <s v="5/14/2020"/>
    <s v="5/14/2020"/>
    <d v="2026-02-11T00:00:00"/>
    <e v="#VALUE!"/>
    <n v="1"/>
    <n v="81168"/>
    <n v="40584"/>
    <s v=" Not Achieved"/>
    <s v=" Excellent"/>
  </r>
  <r>
    <x v="2123"/>
    <x v="2123"/>
    <s v="EMP_2124"/>
    <x v="0"/>
    <s v="EMP_2124Marketing"/>
    <x v="4"/>
    <x v="1"/>
    <n v="60316"/>
    <n v="6335"/>
    <n v="0"/>
    <n v="0"/>
    <d v="2019-03-12T00:00:00"/>
    <s v="2019"/>
    <d v="2026-02-11T00:00:00"/>
    <n v="6"/>
    <n v="3"/>
    <n v="66651"/>
    <n v="33325.5"/>
    <s v=" Not Achieved"/>
    <s v=" Excellent"/>
  </r>
  <r>
    <x v="2124"/>
    <x v="2124"/>
    <s v="EMP_2125"/>
    <x v="1"/>
    <s v="EMP_2125Finance"/>
    <x v="2"/>
    <x v="2"/>
    <n v="70723"/>
    <n v="12331"/>
    <n v="0"/>
    <n v="0"/>
    <d v="2022-10-04T00:00:00"/>
    <s v="2022"/>
    <d v="2026-02-11T00:00:00"/>
    <n v="3"/>
    <n v="4"/>
    <n v="83054"/>
    <n v="41527"/>
    <s v=" Not Achieved"/>
    <s v=" Excellent"/>
  </r>
  <r>
    <x v="2125"/>
    <x v="2125"/>
    <s v="EMP_2126"/>
    <x v="0"/>
    <s v="EMP_2126IT"/>
    <x v="3"/>
    <x v="1"/>
    <n v="49320"/>
    <n v="9089"/>
    <n v="0"/>
    <n v="0"/>
    <d v="2020-06-02T00:00:00"/>
    <s v="2020"/>
    <d v="2026-02-11T00:00:00"/>
    <n v="5"/>
    <n v="2"/>
    <n v="58409"/>
    <n v="29204.5"/>
    <s v=" Not Achieved"/>
    <s v="Good"/>
  </r>
  <r>
    <x v="2126"/>
    <x v="2126"/>
    <s v="EMP_2127"/>
    <x v="0"/>
    <s v="EMP_2127Sales"/>
    <x v="1"/>
    <x v="2"/>
    <n v="64238"/>
    <n v="14695"/>
    <n v="51776"/>
    <n v="206695"/>
    <s v="1/18/2019"/>
    <s v="1/18/2019"/>
    <d v="2026-02-11T00:00:00"/>
    <e v="#VALUE!"/>
    <n v="5"/>
    <n v="78933"/>
    <n v="39466.5"/>
    <s v=" Not Achieved"/>
    <s v=" Excellent"/>
  </r>
  <r>
    <x v="2127"/>
    <x v="2127"/>
    <s v="EMP_2128"/>
    <x v="0"/>
    <s v="EMP_2128HR"/>
    <x v="0"/>
    <x v="0"/>
    <n v="75874"/>
    <n v="6183"/>
    <n v="0"/>
    <n v="0"/>
    <d v="2018-06-03T00:00:00"/>
    <s v="2018"/>
    <d v="2026-02-11T00:00:00"/>
    <n v="7"/>
    <n v="1"/>
    <n v="82057"/>
    <n v="41028.5"/>
    <s v=" Not Achieved"/>
    <s v=" Excellent"/>
  </r>
  <r>
    <x v="2128"/>
    <x v="2128"/>
    <s v="EMP_2129"/>
    <x v="1"/>
    <s v="EMP_2129Finance"/>
    <x v="2"/>
    <x v="2"/>
    <n v="77208"/>
    <n v="5542"/>
    <n v="0"/>
    <n v="0"/>
    <s v="6/18/2018"/>
    <s v="6/18/2018"/>
    <d v="2026-02-11T00:00:00"/>
    <e v="#VALUE!"/>
    <n v="3"/>
    <n v="82750"/>
    <n v="41375"/>
    <s v=" Not Achieved"/>
    <s v=" Excellent"/>
  </r>
  <r>
    <x v="2129"/>
    <x v="2129"/>
    <s v="EMP_2130"/>
    <x v="0"/>
    <s v="EMP_2130Marketing"/>
    <x v="4"/>
    <x v="4"/>
    <n v="76322"/>
    <n v="3892"/>
    <n v="0"/>
    <n v="0"/>
    <d v="2022-08-09T00:00:00"/>
    <s v="2022"/>
    <d v="2026-02-11T00:00:00"/>
    <n v="3"/>
    <n v="2"/>
    <n v="80214"/>
    <n v="40107"/>
    <s v=" Not Achieved"/>
    <s v=" Excellent"/>
  </r>
  <r>
    <x v="2130"/>
    <x v="2130"/>
    <s v="EMP_2131"/>
    <x v="0"/>
    <s v="EMP_2131Sales"/>
    <x v="1"/>
    <x v="1"/>
    <n v="74483"/>
    <n v="14284"/>
    <n v="214844"/>
    <n v="88604"/>
    <s v="2/19/2022"/>
    <s v="2/19/2022"/>
    <d v="2026-02-11T00:00:00"/>
    <e v="#VALUE!"/>
    <n v="4"/>
    <n v="88767"/>
    <n v="44383.5"/>
    <s v="Achieved"/>
    <s v=" Excellent"/>
  </r>
  <r>
    <x v="2131"/>
    <x v="2131"/>
    <s v="EMP_2132"/>
    <x v="1"/>
    <s v="EMP_2132Sales"/>
    <x v="1"/>
    <x v="4"/>
    <n v="51995"/>
    <n v="9147"/>
    <n v="199317"/>
    <n v="103994"/>
    <s v="6/27/2018"/>
    <s v="6/27/2018"/>
    <d v="2026-02-11T00:00:00"/>
    <e v="#VALUE!"/>
    <n v="2"/>
    <n v="61142"/>
    <n v="30571"/>
    <s v="Achieved"/>
    <s v=" Excellent"/>
  </r>
  <r>
    <x v="2132"/>
    <x v="2132"/>
    <s v="EMP_2133"/>
    <x v="0"/>
    <s v="EMP_2133Finance"/>
    <x v="2"/>
    <x v="0"/>
    <n v="22303"/>
    <n v="7859"/>
    <n v="0"/>
    <n v="0"/>
    <s v="2/24/2020"/>
    <s v="2/24/2020"/>
    <d v="2026-02-11T00:00:00"/>
    <e v="#VALUE!"/>
    <n v="3"/>
    <n v="30162"/>
    <n v="15081"/>
    <s v=" Not Achieved"/>
    <s v="poor"/>
  </r>
  <r>
    <x v="2133"/>
    <x v="2133"/>
    <s v="EMP_2134"/>
    <x v="1"/>
    <s v="EMP_2134Finance"/>
    <x v="2"/>
    <x v="2"/>
    <n v="20997"/>
    <n v="11208"/>
    <n v="0"/>
    <n v="0"/>
    <s v="9/27/2022"/>
    <s v="9/27/2022"/>
    <d v="2026-02-11T00:00:00"/>
    <e v="#VALUE!"/>
    <n v="3"/>
    <n v="32205"/>
    <n v="16102.5"/>
    <s v=" Not Achieved"/>
    <s v="poor"/>
  </r>
  <r>
    <x v="2134"/>
    <x v="2134"/>
    <s v="EMP_2135"/>
    <x v="1"/>
    <s v="EMP_2135IT"/>
    <x v="3"/>
    <x v="3"/>
    <n v="49503"/>
    <n v="11938"/>
    <n v="0"/>
    <n v="0"/>
    <d v="2023-02-03T00:00:00"/>
    <s v="2023"/>
    <d v="2026-02-11T00:00:00"/>
    <n v="3"/>
    <n v="2"/>
    <n v="61441"/>
    <n v="30720.5"/>
    <s v=" Not Achieved"/>
    <s v="Good"/>
  </r>
  <r>
    <x v="2135"/>
    <x v="2135"/>
    <s v="EMP_2136"/>
    <x v="0"/>
    <s v="EMP_2136Sales"/>
    <x v="1"/>
    <x v="2"/>
    <n v="73803"/>
    <n v="4722"/>
    <n v="210539"/>
    <n v="172867"/>
    <d v="2020-03-04T00:00:00"/>
    <s v="2020"/>
    <d v="2026-02-11T00:00:00"/>
    <n v="5"/>
    <n v="5"/>
    <n v="78525"/>
    <n v="39262.5"/>
    <s v="Achieved"/>
    <s v=" Excellent"/>
  </r>
  <r>
    <x v="2136"/>
    <x v="2136"/>
    <s v="EMP_2137"/>
    <x v="0"/>
    <s v="EMP_2137HR"/>
    <x v="0"/>
    <x v="4"/>
    <n v="77093"/>
    <n v="5803"/>
    <n v="0"/>
    <n v="0"/>
    <d v="2022-09-10T00:00:00"/>
    <s v="2022"/>
    <d v="2026-02-11T00:00:00"/>
    <n v="3"/>
    <n v="5"/>
    <n v="82896"/>
    <n v="41448"/>
    <s v=" Not Achieved"/>
    <s v=" Excellent"/>
  </r>
  <r>
    <x v="2137"/>
    <x v="2137"/>
    <s v="EMP_2138"/>
    <x v="1"/>
    <s v="EMP_2138IT"/>
    <x v="3"/>
    <x v="3"/>
    <n v="40523"/>
    <n v="8592"/>
    <n v="0"/>
    <n v="0"/>
    <d v="2018-01-02T00:00:00"/>
    <s v="2018"/>
    <d v="2026-02-11T00:00:00"/>
    <n v="8"/>
    <n v="2"/>
    <n v="49115"/>
    <n v="24557.5"/>
    <s v=" Not Achieved"/>
    <s v="Good"/>
  </r>
  <r>
    <x v="2138"/>
    <x v="2138"/>
    <s v="EMP_2139"/>
    <x v="0"/>
    <s v="EMP_2139Finance"/>
    <x v="2"/>
    <x v="0"/>
    <n v="56809"/>
    <n v="13107"/>
    <n v="0"/>
    <n v="0"/>
    <s v="9/26/2021"/>
    <s v="9/26/2021"/>
    <d v="2026-02-11T00:00:00"/>
    <e v="#VALUE!"/>
    <n v="3"/>
    <n v="69916"/>
    <n v="34958"/>
    <s v=" Not Achieved"/>
    <s v=" Excellent"/>
  </r>
  <r>
    <x v="2139"/>
    <x v="2139"/>
    <s v="EMP_2140"/>
    <x v="1"/>
    <s v="EMP_2140Marketing"/>
    <x v="4"/>
    <x v="2"/>
    <n v="78195"/>
    <n v="4897"/>
    <n v="0"/>
    <n v="0"/>
    <s v="11/17/2021"/>
    <s v="11/17/2021"/>
    <d v="2026-02-11T00:00:00"/>
    <e v="#VALUE!"/>
    <n v="1"/>
    <n v="83092"/>
    <n v="41546"/>
    <s v=" Not Achieved"/>
    <s v=" Excellent"/>
  </r>
  <r>
    <x v="2140"/>
    <x v="2140"/>
    <s v="EMP_2141"/>
    <x v="1"/>
    <s v="EMP_2141Sales"/>
    <x v="1"/>
    <x v="2"/>
    <n v="61303"/>
    <n v="6163"/>
    <n v="191523"/>
    <n v="95127"/>
    <s v="12/25/2020"/>
    <s v="12/25/2020"/>
    <d v="2026-02-11T00:00:00"/>
    <e v="#VALUE!"/>
    <n v="1"/>
    <n v="67466"/>
    <n v="33733"/>
    <s v="Achieved"/>
    <s v=" Excellent"/>
  </r>
  <r>
    <x v="2141"/>
    <x v="2141"/>
    <s v="EMP_2142"/>
    <x v="1"/>
    <s v="EMP_2142Sales"/>
    <x v="1"/>
    <x v="3"/>
    <n v="30241"/>
    <n v="9845"/>
    <n v="228229"/>
    <n v="184253"/>
    <s v="4/22/2022"/>
    <s v="4/22/2022"/>
    <d v="2026-02-11T00:00:00"/>
    <e v="#VALUE!"/>
    <n v="5"/>
    <n v="40086"/>
    <n v="20043"/>
    <s v="Achieved"/>
    <s v="Average"/>
  </r>
  <r>
    <x v="2142"/>
    <x v="2142"/>
    <s v="EMP_2143"/>
    <x v="0"/>
    <s v="EMP_2143Sales"/>
    <x v="1"/>
    <x v="2"/>
    <n v="60842"/>
    <n v="4791"/>
    <n v="104772"/>
    <n v="169325"/>
    <s v="5/25/2024"/>
    <s v="5/25/2024"/>
    <d v="2026-02-11T00:00:00"/>
    <e v="#VALUE!"/>
    <n v="4"/>
    <n v="65633"/>
    <n v="32816.5"/>
    <s v=" Not Achieved"/>
    <s v=" Excellent"/>
  </r>
  <r>
    <x v="2143"/>
    <x v="2143"/>
    <s v="EMP_2144"/>
    <x v="0"/>
    <s v="EMP_2144IT"/>
    <x v="3"/>
    <x v="0"/>
    <n v="27862"/>
    <n v="14478"/>
    <n v="0"/>
    <n v="0"/>
    <s v="3/19/2024"/>
    <s v="3/19/2024"/>
    <d v="2026-02-11T00:00:00"/>
    <e v="#VALUE!"/>
    <n v="4"/>
    <n v="42340"/>
    <n v="21170"/>
    <s v=" Not Achieved"/>
    <s v="poor"/>
  </r>
  <r>
    <x v="2144"/>
    <x v="2144"/>
    <s v="EMP_2145"/>
    <x v="1"/>
    <s v="EMP_2145IT"/>
    <x v="3"/>
    <x v="2"/>
    <n v="21337"/>
    <n v="9745"/>
    <n v="0"/>
    <n v="0"/>
    <s v="8/19/2019"/>
    <s v="8/19/2019"/>
    <d v="2026-02-11T00:00:00"/>
    <e v="#VALUE!"/>
    <n v="3"/>
    <n v="31082"/>
    <n v="15541"/>
    <s v=" Not Achieved"/>
    <s v="poor"/>
  </r>
  <r>
    <x v="2145"/>
    <x v="2145"/>
    <s v="EMP_2146"/>
    <x v="1"/>
    <s v="EMP_2146IT"/>
    <x v="3"/>
    <x v="4"/>
    <n v="61327"/>
    <n v="3099"/>
    <n v="0"/>
    <n v="0"/>
    <d v="2022-01-07T00:00:00"/>
    <s v="2022"/>
    <d v="2026-02-11T00:00:00"/>
    <n v="4"/>
    <n v="1"/>
    <n v="64426"/>
    <n v="32213"/>
    <s v=" Not Achieved"/>
    <s v=" Excellent"/>
  </r>
  <r>
    <x v="2146"/>
    <x v="2146"/>
    <s v="EMP_2147"/>
    <x v="0"/>
    <s v="EMP_2147HR"/>
    <x v="0"/>
    <x v="1"/>
    <n v="49570"/>
    <n v="4752"/>
    <n v="0"/>
    <n v="0"/>
    <s v="2/15/2019"/>
    <s v="2/15/2019"/>
    <d v="2026-02-11T00:00:00"/>
    <e v="#VALUE!"/>
    <n v="5"/>
    <n v="54322"/>
    <n v="27161"/>
    <s v=" Not Achieved"/>
    <s v="Good"/>
  </r>
  <r>
    <x v="2147"/>
    <x v="2147"/>
    <s v="EMP_2148"/>
    <x v="0"/>
    <s v="EMP_2148Marketing"/>
    <x v="4"/>
    <x v="0"/>
    <n v="74308"/>
    <n v="11239"/>
    <n v="0"/>
    <n v="0"/>
    <s v="8/29/2022"/>
    <s v="8/29/2022"/>
    <d v="2026-02-11T00:00:00"/>
    <e v="#VALUE!"/>
    <n v="4"/>
    <n v="85547"/>
    <n v="42773.5"/>
    <s v=" Not Achieved"/>
    <s v=" Excellent"/>
  </r>
  <r>
    <x v="2148"/>
    <x v="2148"/>
    <s v="EMP_2149"/>
    <x v="1"/>
    <s v="EMP_2149Finance"/>
    <x v="2"/>
    <x v="3"/>
    <n v="46985"/>
    <n v="6619"/>
    <n v="0"/>
    <n v="0"/>
    <d v="2021-02-11T00:00:00"/>
    <s v="2021"/>
    <d v="2026-02-11T00:00:00"/>
    <n v="5"/>
    <n v="5"/>
    <n v="53604"/>
    <n v="26802"/>
    <s v=" Not Achieved"/>
    <s v="Good"/>
  </r>
  <r>
    <x v="2149"/>
    <x v="2149"/>
    <s v="EMP_2150"/>
    <x v="1"/>
    <s v="EMP_2150Marketing"/>
    <x v="4"/>
    <x v="2"/>
    <n v="73302"/>
    <n v="6105"/>
    <n v="0"/>
    <n v="0"/>
    <d v="2019-09-10T00:00:00"/>
    <s v="2019"/>
    <d v="2026-02-11T00:00:00"/>
    <n v="6"/>
    <n v="5"/>
    <n v="79407"/>
    <n v="39703.5"/>
    <s v=" Not Achieved"/>
    <s v=" Excellent"/>
  </r>
  <r>
    <x v="2150"/>
    <x v="2150"/>
    <s v="EMP_2151"/>
    <x v="1"/>
    <s v="EMP_2151Finance"/>
    <x v="2"/>
    <x v="0"/>
    <n v="75378"/>
    <n v="11716"/>
    <n v="0"/>
    <n v="0"/>
    <d v="2023-03-09T00:00:00"/>
    <s v="2023"/>
    <d v="2026-02-11T00:00:00"/>
    <n v="2"/>
    <n v="5"/>
    <n v="87094"/>
    <n v="43547"/>
    <s v=" Not Achieved"/>
    <s v=" Excellent"/>
  </r>
  <r>
    <x v="2151"/>
    <x v="2151"/>
    <s v="EMP_2152"/>
    <x v="0"/>
    <s v="EMP_2152Finance"/>
    <x v="2"/>
    <x v="2"/>
    <n v="27830"/>
    <n v="7679"/>
    <n v="0"/>
    <n v="0"/>
    <d v="2023-12-03T00:00:00"/>
    <s v="2023"/>
    <d v="2026-02-11T00:00:00"/>
    <n v="2"/>
    <n v="5"/>
    <n v="35509"/>
    <n v="17754.5"/>
    <s v=" Not Achieved"/>
    <s v="poor"/>
  </r>
  <r>
    <x v="2152"/>
    <x v="2152"/>
    <s v="EMP_2153"/>
    <x v="0"/>
    <s v="EMP_2153IT"/>
    <x v="3"/>
    <x v="0"/>
    <n v="33296"/>
    <n v="12007"/>
    <n v="0"/>
    <n v="0"/>
    <d v="2019-07-06T00:00:00"/>
    <s v="2019"/>
    <d v="2026-02-11T00:00:00"/>
    <n v="6"/>
    <n v="3"/>
    <n v="45303"/>
    <n v="22651.5"/>
    <s v=" Not Achieved"/>
    <s v="Average"/>
  </r>
  <r>
    <x v="2153"/>
    <x v="2153"/>
    <s v="EMP_2154"/>
    <x v="1"/>
    <s v="EMP_2154HR"/>
    <x v="0"/>
    <x v="3"/>
    <n v="32619"/>
    <n v="4221"/>
    <n v="0"/>
    <n v="0"/>
    <d v="2022-09-08T00:00:00"/>
    <s v="2022"/>
    <d v="2026-02-11T00:00:00"/>
    <n v="3"/>
    <n v="1"/>
    <n v="36840"/>
    <n v="18420"/>
    <s v=" Not Achieved"/>
    <s v="Average"/>
  </r>
  <r>
    <x v="2154"/>
    <x v="2154"/>
    <s v="EMP_2155"/>
    <x v="0"/>
    <s v="EMP_2155Sales"/>
    <x v="1"/>
    <x v="3"/>
    <n v="74858"/>
    <n v="8466"/>
    <n v="227290"/>
    <n v="149434"/>
    <s v="3/28/2021"/>
    <s v="3/28/2021"/>
    <d v="2026-02-11T00:00:00"/>
    <e v="#VALUE!"/>
    <n v="4"/>
    <n v="83324"/>
    <n v="41662"/>
    <s v="Achieved"/>
    <s v=" Excellent"/>
  </r>
  <r>
    <x v="2155"/>
    <x v="2155"/>
    <s v="EMP_2156"/>
    <x v="1"/>
    <s v="EMP_2156HR"/>
    <x v="0"/>
    <x v="0"/>
    <n v="65578"/>
    <n v="7932"/>
    <n v="0"/>
    <n v="0"/>
    <d v="2021-01-10T00:00:00"/>
    <s v="2021"/>
    <d v="2026-02-11T00:00:00"/>
    <n v="5"/>
    <n v="1"/>
    <n v="73510"/>
    <n v="36755"/>
    <s v=" Not Achieved"/>
    <s v=" Excellent"/>
  </r>
  <r>
    <x v="2156"/>
    <x v="2156"/>
    <s v="EMP_2157"/>
    <x v="1"/>
    <s v="EMP_2157Marketing"/>
    <x v="4"/>
    <x v="4"/>
    <n v="70804"/>
    <n v="4988"/>
    <n v="0"/>
    <n v="0"/>
    <s v="11/22/2023"/>
    <s v="11/22/2023"/>
    <d v="2026-02-11T00:00:00"/>
    <e v="#VALUE!"/>
    <n v="1"/>
    <n v="75792"/>
    <n v="37896"/>
    <s v=" Not Achieved"/>
    <s v=" Excellent"/>
  </r>
  <r>
    <x v="2157"/>
    <x v="2157"/>
    <s v="EMP_2158"/>
    <x v="0"/>
    <s v="EMP_2158IT"/>
    <x v="3"/>
    <x v="0"/>
    <n v="43362"/>
    <n v="10837"/>
    <n v="0"/>
    <n v="0"/>
    <d v="2022-07-12T00:00:00"/>
    <s v="2022"/>
    <d v="2026-02-11T00:00:00"/>
    <n v="3"/>
    <n v="2"/>
    <n v="54199"/>
    <n v="27099.5"/>
    <s v=" Not Achieved"/>
    <s v="Good"/>
  </r>
  <r>
    <x v="2158"/>
    <x v="2158"/>
    <s v="EMP_2159"/>
    <x v="1"/>
    <s v="EMP_2159Finance"/>
    <x v="2"/>
    <x v="0"/>
    <n v="36447"/>
    <n v="3845"/>
    <n v="0"/>
    <n v="0"/>
    <s v="9/18/2023"/>
    <s v="9/18/2023"/>
    <d v="2026-02-11T00:00:00"/>
    <e v="#VALUE!"/>
    <n v="1"/>
    <n v="40292"/>
    <n v="20146"/>
    <s v=" Not Achieved"/>
    <s v="Average"/>
  </r>
  <r>
    <x v="2159"/>
    <x v="2159"/>
    <s v="EMP_2160"/>
    <x v="0"/>
    <s v="EMP_2160Sales"/>
    <x v="1"/>
    <x v="3"/>
    <n v="33843"/>
    <n v="14638"/>
    <n v="172842"/>
    <n v="146468"/>
    <s v="12/15/2024"/>
    <s v="12/15/2024"/>
    <d v="2026-02-11T00:00:00"/>
    <e v="#VALUE!"/>
    <n v="5"/>
    <n v="48481"/>
    <n v="24240.5"/>
    <s v="Achieved"/>
    <s v="Average"/>
  </r>
  <r>
    <x v="2160"/>
    <x v="2160"/>
    <s v="EMP_2161"/>
    <x v="0"/>
    <s v="EMP_2161Sales"/>
    <x v="1"/>
    <x v="4"/>
    <n v="52838"/>
    <n v="12230"/>
    <n v="190625"/>
    <n v="125933"/>
    <s v="3/23/2019"/>
    <s v="3/23/2019"/>
    <d v="2026-02-11T00:00:00"/>
    <e v="#VALUE!"/>
    <n v="2"/>
    <n v="65068"/>
    <n v="32534"/>
    <s v="Achieved"/>
    <s v=" Excellent"/>
  </r>
  <r>
    <x v="2161"/>
    <x v="2161"/>
    <s v="EMP_2162"/>
    <x v="1"/>
    <s v="EMP_2162IT"/>
    <x v="3"/>
    <x v="1"/>
    <n v="37460"/>
    <n v="5245"/>
    <n v="0"/>
    <n v="0"/>
    <s v="3/24/2018"/>
    <s v="3/24/2018"/>
    <d v="2026-02-11T00:00:00"/>
    <e v="#VALUE!"/>
    <n v="5"/>
    <n v="42705"/>
    <n v="21352.5"/>
    <s v=" Not Achieved"/>
    <s v="Average"/>
  </r>
  <r>
    <x v="2162"/>
    <x v="2162"/>
    <s v="EMP_2163"/>
    <x v="0"/>
    <s v="EMP_2163Sales"/>
    <x v="1"/>
    <x v="2"/>
    <n v="23318"/>
    <n v="4476"/>
    <n v="102999"/>
    <n v="83268"/>
    <s v="7/25/2019"/>
    <s v="7/25/2019"/>
    <d v="2026-02-11T00:00:00"/>
    <e v="#VALUE!"/>
    <n v="2"/>
    <n v="27794"/>
    <n v="13897"/>
    <s v="Achieved"/>
    <s v="poor"/>
  </r>
  <r>
    <x v="2163"/>
    <x v="2163"/>
    <s v="EMP_2164"/>
    <x v="1"/>
    <s v="EMP_2164Finance"/>
    <x v="2"/>
    <x v="3"/>
    <n v="67309"/>
    <n v="12562"/>
    <n v="0"/>
    <n v="0"/>
    <s v="1/30/2020"/>
    <s v="1/30/2020"/>
    <d v="2026-02-11T00:00:00"/>
    <e v="#VALUE!"/>
    <n v="2"/>
    <n v="79871"/>
    <n v="39935.5"/>
    <s v=" Not Achieved"/>
    <s v=" Excellent"/>
  </r>
  <r>
    <x v="2164"/>
    <x v="2164"/>
    <s v="EMP_2165"/>
    <x v="0"/>
    <s v="EMP_2165HR"/>
    <x v="0"/>
    <x v="0"/>
    <n v="31555"/>
    <n v="7897"/>
    <n v="0"/>
    <n v="0"/>
    <s v="10/30/2024"/>
    <s v="10/30/2024"/>
    <d v="2026-02-11T00:00:00"/>
    <e v="#VALUE!"/>
    <n v="5"/>
    <n v="39452"/>
    <n v="19726"/>
    <s v=" Not Achieved"/>
    <s v="Average"/>
  </r>
  <r>
    <x v="2165"/>
    <x v="2165"/>
    <s v="EMP_2166"/>
    <x v="1"/>
    <s v="EMP_2166IT"/>
    <x v="3"/>
    <x v="3"/>
    <n v="31896"/>
    <n v="14578"/>
    <n v="0"/>
    <n v="0"/>
    <d v="2022-09-10T00:00:00"/>
    <s v="2022"/>
    <d v="2026-02-11T00:00:00"/>
    <n v="3"/>
    <n v="3"/>
    <n v="46474"/>
    <n v="23237"/>
    <s v=" Not Achieved"/>
    <s v="Average"/>
  </r>
  <r>
    <x v="2166"/>
    <x v="2166"/>
    <s v="EMP_2167"/>
    <x v="1"/>
    <s v="EMP_2167Finance"/>
    <x v="2"/>
    <x v="3"/>
    <n v="41035"/>
    <n v="4014"/>
    <n v="0"/>
    <n v="0"/>
    <s v="11/28/2024"/>
    <s v="11/28/2024"/>
    <d v="2026-02-11T00:00:00"/>
    <e v="#VALUE!"/>
    <n v="4"/>
    <n v="45049"/>
    <n v="22524.5"/>
    <s v=" Not Achieved"/>
    <s v="Good"/>
  </r>
  <r>
    <x v="2167"/>
    <x v="2167"/>
    <s v="EMP_2168"/>
    <x v="1"/>
    <s v="EMP_2168Finance"/>
    <x v="2"/>
    <x v="0"/>
    <n v="43547"/>
    <n v="4249"/>
    <n v="0"/>
    <n v="0"/>
    <d v="2024-12-07T00:00:00"/>
    <s v="2024"/>
    <d v="2026-02-11T00:00:00"/>
    <n v="1"/>
    <n v="2"/>
    <n v="47796"/>
    <n v="23898"/>
    <s v=" Not Achieved"/>
    <s v="Good"/>
  </r>
  <r>
    <x v="2168"/>
    <x v="2168"/>
    <s v="EMP_2169"/>
    <x v="0"/>
    <s v="EMP_2169Sales"/>
    <x v="1"/>
    <x v="2"/>
    <n v="34191"/>
    <n v="9897"/>
    <n v="148815"/>
    <n v="173164"/>
    <d v="2020-03-09T00:00:00"/>
    <s v="2020"/>
    <d v="2026-02-11T00:00:00"/>
    <n v="5"/>
    <n v="4"/>
    <n v="44088"/>
    <n v="22044"/>
    <s v=" Not Achieved"/>
    <s v="Average"/>
  </r>
  <r>
    <x v="2169"/>
    <x v="2169"/>
    <s v="EMP_2170"/>
    <x v="1"/>
    <s v="EMP_2170HR"/>
    <x v="0"/>
    <x v="4"/>
    <n v="28503"/>
    <n v="11484"/>
    <n v="0"/>
    <n v="0"/>
    <s v="11/24/2019"/>
    <s v="11/24/2019"/>
    <d v="2026-02-11T00:00:00"/>
    <e v="#VALUE!"/>
    <n v="5"/>
    <n v="39987"/>
    <n v="19993.5"/>
    <s v=" Not Achieved"/>
    <s v="poor"/>
  </r>
  <r>
    <x v="2170"/>
    <x v="2170"/>
    <s v="EMP_2171"/>
    <x v="0"/>
    <s v="EMP_2171Marketing"/>
    <x v="4"/>
    <x v="4"/>
    <n v="74628"/>
    <n v="6629"/>
    <n v="0"/>
    <n v="0"/>
    <d v="2022-07-11T00:00:00"/>
    <s v="2022"/>
    <d v="2026-02-11T00:00:00"/>
    <n v="3"/>
    <n v="2"/>
    <n v="81257"/>
    <n v="40628.5"/>
    <s v=" Not Achieved"/>
    <s v=" Excellent"/>
  </r>
  <r>
    <x v="2171"/>
    <x v="2171"/>
    <s v="EMP_2172"/>
    <x v="0"/>
    <s v="EMP_2172Finance"/>
    <x v="2"/>
    <x v="0"/>
    <n v="34234"/>
    <n v="8688"/>
    <n v="0"/>
    <n v="0"/>
    <s v="9/25/2021"/>
    <s v="9/25/2021"/>
    <d v="2026-02-11T00:00:00"/>
    <e v="#VALUE!"/>
    <n v="2"/>
    <n v="42922"/>
    <n v="21461"/>
    <s v=" Not Achieved"/>
    <s v="Average"/>
  </r>
  <r>
    <x v="2172"/>
    <x v="2172"/>
    <s v="EMP_2173"/>
    <x v="0"/>
    <s v="EMP_2173IT"/>
    <x v="3"/>
    <x v="1"/>
    <n v="59342"/>
    <n v="14215"/>
    <n v="0"/>
    <n v="0"/>
    <d v="2023-02-05T00:00:00"/>
    <s v="2023"/>
    <d v="2026-02-11T00:00:00"/>
    <n v="3"/>
    <n v="2"/>
    <n v="73557"/>
    <n v="36778.5"/>
    <s v=" Not Achieved"/>
    <s v=" Excellent"/>
  </r>
  <r>
    <x v="2173"/>
    <x v="2173"/>
    <s v="EMP_2174"/>
    <x v="1"/>
    <s v="EMP_2174HR"/>
    <x v="0"/>
    <x v="1"/>
    <n v="75324"/>
    <n v="3076"/>
    <n v="0"/>
    <n v="0"/>
    <s v="6/23/2022"/>
    <s v="6/23/2022"/>
    <d v="2026-02-11T00:00:00"/>
    <e v="#VALUE!"/>
    <n v="1"/>
    <n v="78400"/>
    <n v="39200"/>
    <s v=" Not Achieved"/>
    <s v=" Excellent"/>
  </r>
  <r>
    <x v="2174"/>
    <x v="2174"/>
    <s v="EMP_2175"/>
    <x v="1"/>
    <s v="EMP_2175HR"/>
    <x v="0"/>
    <x v="4"/>
    <n v="74247"/>
    <n v="4556"/>
    <n v="0"/>
    <n v="0"/>
    <d v="2024-03-06T00:00:00"/>
    <s v="2024"/>
    <d v="2026-02-11T00:00:00"/>
    <n v="1"/>
    <n v="2"/>
    <n v="78803"/>
    <n v="39401.5"/>
    <s v=" Not Achieved"/>
    <s v=" Excellent"/>
  </r>
  <r>
    <x v="2175"/>
    <x v="2175"/>
    <s v="EMP_2176"/>
    <x v="1"/>
    <s v="EMP_2176IT"/>
    <x v="3"/>
    <x v="3"/>
    <n v="53382"/>
    <n v="5003"/>
    <n v="0"/>
    <n v="0"/>
    <s v="6/21/2018"/>
    <s v="6/21/2018"/>
    <d v="2026-02-11T00:00:00"/>
    <e v="#VALUE!"/>
    <n v="5"/>
    <n v="58385"/>
    <n v="29192.5"/>
    <s v=" Not Achieved"/>
    <s v=" Excellent"/>
  </r>
  <r>
    <x v="2176"/>
    <x v="2176"/>
    <s v="EMP_2177"/>
    <x v="0"/>
    <s v="EMP_2177Finance"/>
    <x v="2"/>
    <x v="4"/>
    <n v="73466"/>
    <n v="4152"/>
    <n v="0"/>
    <n v="0"/>
    <s v="1/19/2022"/>
    <s v="1/19/2022"/>
    <d v="2026-02-11T00:00:00"/>
    <e v="#VALUE!"/>
    <n v="1"/>
    <n v="77618"/>
    <n v="38809"/>
    <s v=" Not Achieved"/>
    <s v=" Excellent"/>
  </r>
  <r>
    <x v="2177"/>
    <x v="2177"/>
    <s v="EMP_2178"/>
    <x v="1"/>
    <s v="EMP_2178IT"/>
    <x v="3"/>
    <x v="0"/>
    <n v="27899"/>
    <n v="5464"/>
    <n v="0"/>
    <n v="0"/>
    <d v="2020-09-01T00:00:00"/>
    <s v="2020"/>
    <d v="2026-02-11T00:00:00"/>
    <n v="5"/>
    <n v="3"/>
    <n v="33363"/>
    <n v="16681.5"/>
    <s v=" Not Achieved"/>
    <s v="poor"/>
  </r>
  <r>
    <x v="2178"/>
    <x v="2178"/>
    <s v="EMP_2179"/>
    <x v="0"/>
    <s v="EMP_2179IT"/>
    <x v="3"/>
    <x v="3"/>
    <n v="60488"/>
    <n v="13977"/>
    <n v="0"/>
    <n v="0"/>
    <s v="4/14/2024"/>
    <s v="4/14/2024"/>
    <d v="2026-02-11T00:00:00"/>
    <e v="#VALUE!"/>
    <n v="4"/>
    <n v="74465"/>
    <n v="37232.5"/>
    <s v=" Not Achieved"/>
    <s v=" Excellent"/>
  </r>
  <r>
    <x v="2179"/>
    <x v="2179"/>
    <s v="EMP_2180"/>
    <x v="0"/>
    <s v="EMP_2180HR"/>
    <x v="0"/>
    <x v="3"/>
    <n v="59807"/>
    <n v="8396"/>
    <n v="0"/>
    <n v="0"/>
    <s v="3/29/2018"/>
    <s v="3/29/2018"/>
    <d v="2026-02-11T00:00:00"/>
    <e v="#VALUE!"/>
    <n v="4"/>
    <n v="68203"/>
    <n v="34101.5"/>
    <s v=" Not Achieved"/>
    <s v=" Excellent"/>
  </r>
  <r>
    <x v="2180"/>
    <x v="2180"/>
    <s v="EMP_2181"/>
    <x v="0"/>
    <s v="EMP_2181Marketing"/>
    <x v="4"/>
    <x v="1"/>
    <n v="21317"/>
    <n v="7832"/>
    <n v="0"/>
    <n v="0"/>
    <s v="6/16/2018"/>
    <s v="6/16/2018"/>
    <d v="2026-02-11T00:00:00"/>
    <e v="#VALUE!"/>
    <n v="5"/>
    <n v="29149"/>
    <n v="14574.5"/>
    <s v=" Not Achieved"/>
    <s v="poor"/>
  </r>
  <r>
    <x v="2181"/>
    <x v="2181"/>
    <s v="EMP_2182"/>
    <x v="0"/>
    <s v="EMP_2182Sales"/>
    <x v="1"/>
    <x v="2"/>
    <n v="22754"/>
    <n v="10284"/>
    <n v="292619"/>
    <n v="129497"/>
    <s v="5/30/2018"/>
    <s v="5/30/2018"/>
    <d v="2026-02-11T00:00:00"/>
    <e v="#VALUE!"/>
    <n v="3"/>
    <n v="33038"/>
    <n v="16519"/>
    <s v="Achieved"/>
    <s v="poor"/>
  </r>
  <r>
    <x v="2182"/>
    <x v="2182"/>
    <s v="EMP_2183"/>
    <x v="0"/>
    <s v="EMP_2183Marketing"/>
    <x v="4"/>
    <x v="4"/>
    <n v="53565"/>
    <n v="9245"/>
    <n v="0"/>
    <n v="0"/>
    <d v="2019-03-10T00:00:00"/>
    <s v="2019"/>
    <d v="2026-02-11T00:00:00"/>
    <n v="6"/>
    <n v="2"/>
    <n v="62810"/>
    <n v="31405"/>
    <s v=" Not Achieved"/>
    <s v=" Excellent"/>
  </r>
  <r>
    <x v="2183"/>
    <x v="2183"/>
    <s v="EMP_2184"/>
    <x v="1"/>
    <s v="EMP_2184Marketing"/>
    <x v="4"/>
    <x v="4"/>
    <n v="79653"/>
    <n v="3047"/>
    <n v="0"/>
    <n v="0"/>
    <s v="7/31/2022"/>
    <s v="7/31/2022"/>
    <d v="2026-02-11T00:00:00"/>
    <e v="#VALUE!"/>
    <n v="2"/>
    <n v="82700"/>
    <n v="41350"/>
    <s v=" Not Achieved"/>
    <s v=" Excellent"/>
  </r>
  <r>
    <x v="2184"/>
    <x v="2184"/>
    <s v="EMP_2185"/>
    <x v="1"/>
    <s v="EMP_2185Sales"/>
    <x v="1"/>
    <x v="4"/>
    <n v="69418"/>
    <n v="13921"/>
    <n v="111906"/>
    <n v="167817"/>
    <s v="9/28/2023"/>
    <s v="9/28/2023"/>
    <d v="2026-02-11T00:00:00"/>
    <e v="#VALUE!"/>
    <n v="2"/>
    <n v="83339"/>
    <n v="41669.5"/>
    <s v=" Not Achieved"/>
    <s v=" Excellent"/>
  </r>
  <r>
    <x v="2185"/>
    <x v="2185"/>
    <s v="EMP_2186"/>
    <x v="1"/>
    <s v="EMP_2186Marketing"/>
    <x v="4"/>
    <x v="2"/>
    <n v="63462"/>
    <n v="5523"/>
    <n v="0"/>
    <n v="0"/>
    <s v="8/22/2020"/>
    <s v="8/22/2020"/>
    <d v="2026-02-11T00:00:00"/>
    <e v="#VALUE!"/>
    <n v="3"/>
    <n v="68985"/>
    <n v="34492.5"/>
    <s v=" Not Achieved"/>
    <s v=" Excellent"/>
  </r>
  <r>
    <x v="2186"/>
    <x v="2186"/>
    <s v="EMP_2187"/>
    <x v="1"/>
    <s v="EMP_2187IT"/>
    <x v="3"/>
    <x v="3"/>
    <n v="56329"/>
    <n v="4777"/>
    <n v="0"/>
    <n v="0"/>
    <d v="2019-05-09T00:00:00"/>
    <s v="2019"/>
    <d v="2026-02-11T00:00:00"/>
    <n v="6"/>
    <n v="3"/>
    <n v="61106"/>
    <n v="30553"/>
    <s v=" Not Achieved"/>
    <s v=" Excellent"/>
  </r>
  <r>
    <x v="2187"/>
    <x v="2187"/>
    <s v="EMP_2188"/>
    <x v="1"/>
    <s v="EMP_2188IT"/>
    <x v="3"/>
    <x v="0"/>
    <n v="64558"/>
    <n v="12073"/>
    <n v="0"/>
    <n v="0"/>
    <d v="2022-01-02T00:00:00"/>
    <s v="2022"/>
    <d v="2026-02-11T00:00:00"/>
    <n v="4"/>
    <n v="4"/>
    <n v="76631"/>
    <n v="38315.5"/>
    <s v=" Not Achieved"/>
    <s v=" Excellent"/>
  </r>
  <r>
    <x v="2188"/>
    <x v="2188"/>
    <s v="EMP_2189"/>
    <x v="1"/>
    <s v="EMP_2189Sales"/>
    <x v="1"/>
    <x v="3"/>
    <n v="37526"/>
    <n v="3063"/>
    <n v="151492"/>
    <n v="161338"/>
    <s v="6/23/2024"/>
    <s v="6/23/2024"/>
    <d v="2026-02-11T00:00:00"/>
    <e v="#VALUE!"/>
    <n v="1"/>
    <n v="40589"/>
    <n v="20294.5"/>
    <s v=" Not Achieved"/>
    <s v="Average"/>
  </r>
  <r>
    <x v="2189"/>
    <x v="2189"/>
    <s v="EMP_2190"/>
    <x v="1"/>
    <s v="EMP_2190Finance"/>
    <x v="2"/>
    <x v="0"/>
    <n v="30797"/>
    <n v="3049"/>
    <n v="0"/>
    <n v="0"/>
    <d v="2020-08-09T00:00:00"/>
    <s v="2020"/>
    <d v="2026-02-11T00:00:00"/>
    <n v="5"/>
    <n v="5"/>
    <n v="33846"/>
    <n v="16923"/>
    <s v=" Not Achieved"/>
    <s v="Average"/>
  </r>
  <r>
    <x v="2190"/>
    <x v="2190"/>
    <s v="EMP_2191"/>
    <x v="0"/>
    <s v="EMP_2191Sales"/>
    <x v="1"/>
    <x v="4"/>
    <n v="28429"/>
    <n v="11942"/>
    <n v="256424"/>
    <n v="98608"/>
    <d v="2019-01-09T00:00:00"/>
    <s v="2019"/>
    <d v="2026-02-11T00:00:00"/>
    <n v="7"/>
    <n v="3"/>
    <n v="40371"/>
    <n v="20185.5"/>
    <s v="Achieved"/>
    <s v="poor"/>
  </r>
  <r>
    <x v="2191"/>
    <x v="2191"/>
    <s v="EMP_2192"/>
    <x v="0"/>
    <s v="EMP_2192IT"/>
    <x v="3"/>
    <x v="2"/>
    <n v="28561"/>
    <n v="11536"/>
    <n v="0"/>
    <n v="0"/>
    <s v="11/27/2019"/>
    <s v="11/27/2019"/>
    <d v="2026-02-11T00:00:00"/>
    <e v="#VALUE!"/>
    <n v="1"/>
    <n v="40097"/>
    <n v="20048.5"/>
    <s v=" Not Achieved"/>
    <s v="poor"/>
  </r>
  <r>
    <x v="2192"/>
    <x v="2192"/>
    <s v="EMP_2193"/>
    <x v="0"/>
    <s v="EMP_2193Finance"/>
    <x v="2"/>
    <x v="0"/>
    <n v="40562"/>
    <n v="3710"/>
    <n v="0"/>
    <n v="0"/>
    <s v="5/13/2019"/>
    <s v="5/13/2019"/>
    <d v="2026-02-11T00:00:00"/>
    <e v="#VALUE!"/>
    <n v="3"/>
    <n v="44272"/>
    <n v="22136"/>
    <s v=" Not Achieved"/>
    <s v="Good"/>
  </r>
  <r>
    <x v="2193"/>
    <x v="2193"/>
    <s v="EMP_2194"/>
    <x v="0"/>
    <s v="EMP_2194IT"/>
    <x v="3"/>
    <x v="3"/>
    <n v="54636"/>
    <n v="7136"/>
    <n v="0"/>
    <n v="0"/>
    <s v="12/15/2020"/>
    <s v="12/15/2020"/>
    <d v="2026-02-11T00:00:00"/>
    <e v="#VALUE!"/>
    <n v="3"/>
    <n v="61772"/>
    <n v="30886"/>
    <s v=" Not Achieved"/>
    <s v=" Excellent"/>
  </r>
  <r>
    <x v="2194"/>
    <x v="2194"/>
    <s v="EMP_2195"/>
    <x v="0"/>
    <s v="EMP_2195HR"/>
    <x v="0"/>
    <x v="3"/>
    <n v="32383"/>
    <n v="14369"/>
    <n v="0"/>
    <n v="0"/>
    <s v="4/16/2019"/>
    <s v="4/16/2019"/>
    <d v="2026-02-11T00:00:00"/>
    <e v="#VALUE!"/>
    <n v="2"/>
    <n v="46752"/>
    <n v="23376"/>
    <s v=" Not Achieved"/>
    <s v="Average"/>
  </r>
  <r>
    <x v="2195"/>
    <x v="2195"/>
    <s v="EMP_2196"/>
    <x v="1"/>
    <s v="EMP_2196Marketing"/>
    <x v="4"/>
    <x v="0"/>
    <n v="70529"/>
    <n v="5514"/>
    <n v="0"/>
    <n v="0"/>
    <s v="4/29/2019"/>
    <s v="4/29/2019"/>
    <d v="2026-02-11T00:00:00"/>
    <e v="#VALUE!"/>
    <n v="3"/>
    <n v="76043"/>
    <n v="38021.5"/>
    <s v=" Not Achieved"/>
    <s v=" Excellent"/>
  </r>
  <r>
    <x v="2196"/>
    <x v="2196"/>
    <s v="EMP_2197"/>
    <x v="1"/>
    <s v="EMP_2197IT"/>
    <x v="3"/>
    <x v="2"/>
    <n v="50586"/>
    <n v="11206"/>
    <n v="0"/>
    <n v="0"/>
    <s v="4/30/2019"/>
    <s v="4/30/2019"/>
    <d v="2026-02-11T00:00:00"/>
    <e v="#VALUE!"/>
    <n v="1"/>
    <n v="61792"/>
    <n v="30896"/>
    <s v=" Not Achieved"/>
    <s v=" Excellent"/>
  </r>
  <r>
    <x v="2197"/>
    <x v="2197"/>
    <s v="EMP_2198"/>
    <x v="1"/>
    <s v="EMP_2198IT"/>
    <x v="3"/>
    <x v="0"/>
    <n v="70953"/>
    <n v="4471"/>
    <n v="0"/>
    <n v="0"/>
    <d v="2020-06-10T00:00:00"/>
    <s v="2020"/>
    <d v="2026-02-11T00:00:00"/>
    <n v="5"/>
    <n v="4"/>
    <n v="75424"/>
    <n v="37712"/>
    <s v=" Not Achieved"/>
    <s v=" Excellent"/>
  </r>
  <r>
    <x v="2198"/>
    <x v="2198"/>
    <s v="EMP_2199"/>
    <x v="0"/>
    <s v="EMP_2199Finance"/>
    <x v="2"/>
    <x v="2"/>
    <n v="67954"/>
    <n v="3884"/>
    <n v="0"/>
    <n v="0"/>
    <s v="2/25/2022"/>
    <s v="2/25/2022"/>
    <d v="2026-02-11T00:00:00"/>
    <e v="#VALUE!"/>
    <n v="2"/>
    <n v="71838"/>
    <n v="35919"/>
    <s v=" Not Achieved"/>
    <s v=" Excellent"/>
  </r>
  <r>
    <x v="2199"/>
    <x v="2199"/>
    <s v="EMP_2200"/>
    <x v="1"/>
    <s v="EMP_2200Marketing"/>
    <x v="4"/>
    <x v="2"/>
    <n v="45899"/>
    <n v="7633"/>
    <n v="0"/>
    <n v="0"/>
    <s v="12/28/2019"/>
    <s v="12/28/2019"/>
    <d v="2026-02-11T00:00:00"/>
    <e v="#VALUE!"/>
    <n v="1"/>
    <n v="53532"/>
    <n v="26766"/>
    <s v=" Not Achieved"/>
    <s v="Good"/>
  </r>
  <r>
    <x v="2200"/>
    <x v="2200"/>
    <s v="EMP_2201"/>
    <x v="0"/>
    <s v="EMP_2201Sales"/>
    <x v="1"/>
    <x v="1"/>
    <n v="65435"/>
    <n v="9411"/>
    <n v="88498"/>
    <n v="239693"/>
    <s v="4/27/2024"/>
    <s v="4/27/2024"/>
    <d v="2026-02-11T00:00:00"/>
    <e v="#VALUE!"/>
    <n v="3"/>
    <n v="74846"/>
    <n v="37423"/>
    <s v=" Not Achieved"/>
    <s v=" Excellent"/>
  </r>
  <r>
    <x v="2201"/>
    <x v="2201"/>
    <s v="EMP_2202"/>
    <x v="1"/>
    <s v="EMP_2202Sales"/>
    <x v="1"/>
    <x v="2"/>
    <n v="79494"/>
    <n v="2511"/>
    <n v="282320"/>
    <n v="163892"/>
    <s v="10/19/2020"/>
    <s v="10/19/2020"/>
    <d v="2026-02-11T00:00:00"/>
    <e v="#VALUE!"/>
    <n v="5"/>
    <n v="82005"/>
    <n v="41002.5"/>
    <s v="Achieved"/>
    <s v=" Excellent"/>
  </r>
  <r>
    <x v="2202"/>
    <x v="2202"/>
    <s v="EMP_2203"/>
    <x v="0"/>
    <s v="EMP_2203Marketing"/>
    <x v="4"/>
    <x v="3"/>
    <n v="57606"/>
    <n v="7318"/>
    <n v="0"/>
    <n v="0"/>
    <s v="4/14/2024"/>
    <s v="4/14/2024"/>
    <d v="2026-02-11T00:00:00"/>
    <e v="#VALUE!"/>
    <n v="1"/>
    <n v="64924"/>
    <n v="32462"/>
    <s v=" Not Achieved"/>
    <s v=" Excellent"/>
  </r>
  <r>
    <x v="2203"/>
    <x v="2203"/>
    <s v="EMP_2204"/>
    <x v="1"/>
    <s v="EMP_2204Finance"/>
    <x v="2"/>
    <x v="3"/>
    <n v="76639"/>
    <n v="6150"/>
    <n v="0"/>
    <n v="0"/>
    <s v="2/21/2020"/>
    <s v="2/21/2020"/>
    <d v="2026-02-11T00:00:00"/>
    <e v="#VALUE!"/>
    <n v="2"/>
    <n v="82789"/>
    <n v="41394.5"/>
    <s v=" Not Achieved"/>
    <s v=" Excellent"/>
  </r>
  <r>
    <x v="2204"/>
    <x v="2204"/>
    <s v="EMP_2205"/>
    <x v="0"/>
    <s v="EMP_2205Marketing"/>
    <x v="4"/>
    <x v="1"/>
    <n v="46828"/>
    <n v="2125"/>
    <n v="0"/>
    <n v="0"/>
    <s v="2/28/2019"/>
    <s v="2/28/2019"/>
    <d v="2026-02-11T00:00:00"/>
    <e v="#VALUE!"/>
    <n v="3"/>
    <n v="48953"/>
    <n v="24476.5"/>
    <s v=" Not Achieved"/>
    <s v="Good"/>
  </r>
  <r>
    <x v="2205"/>
    <x v="2205"/>
    <s v="EMP_2206"/>
    <x v="1"/>
    <s v="EMP_2206Marketing"/>
    <x v="4"/>
    <x v="3"/>
    <n v="49884"/>
    <n v="6856"/>
    <n v="0"/>
    <n v="0"/>
    <s v="12/17/2020"/>
    <s v="12/17/2020"/>
    <d v="2026-02-11T00:00:00"/>
    <e v="#VALUE!"/>
    <n v="4"/>
    <n v="56740"/>
    <n v="28370"/>
    <s v=" Not Achieved"/>
    <s v="Good"/>
  </r>
  <r>
    <x v="2206"/>
    <x v="2206"/>
    <s v="EMP_2207"/>
    <x v="1"/>
    <s v="EMP_2207Sales"/>
    <x v="1"/>
    <x v="0"/>
    <n v="20495"/>
    <n v="9605"/>
    <n v="165329"/>
    <n v="197301"/>
    <s v="12/21/2020"/>
    <s v="12/21/2020"/>
    <d v="2026-02-11T00:00:00"/>
    <e v="#VALUE!"/>
    <n v="5"/>
    <n v="30100"/>
    <n v="15050"/>
    <s v=" Not Achieved"/>
    <s v="poor"/>
  </r>
  <r>
    <x v="2207"/>
    <x v="2207"/>
    <s v="EMP_2208"/>
    <x v="1"/>
    <s v="EMP_2208Marketing"/>
    <x v="4"/>
    <x v="3"/>
    <n v="59842"/>
    <n v="12006"/>
    <n v="0"/>
    <n v="0"/>
    <d v="2024-04-03T00:00:00"/>
    <s v="2024"/>
    <d v="2026-02-11T00:00:00"/>
    <n v="1"/>
    <n v="1"/>
    <n v="71848"/>
    <n v="35924"/>
    <s v=" Not Achieved"/>
    <s v=" Excellent"/>
  </r>
  <r>
    <x v="2208"/>
    <x v="2208"/>
    <s v="EMP_2209"/>
    <x v="1"/>
    <s v="EMP_2209Sales"/>
    <x v="1"/>
    <x v="1"/>
    <n v="31849"/>
    <n v="9034"/>
    <n v="281796"/>
    <n v="113331"/>
    <s v="2/22/2018"/>
    <s v="2/22/2018"/>
    <d v="2026-02-11T00:00:00"/>
    <e v="#VALUE!"/>
    <n v="1"/>
    <n v="40883"/>
    <n v="20441.5"/>
    <s v="Achieved"/>
    <s v="Average"/>
  </r>
  <r>
    <x v="2209"/>
    <x v="2209"/>
    <s v="EMP_2210"/>
    <x v="1"/>
    <s v="EMP_2210IT"/>
    <x v="3"/>
    <x v="3"/>
    <n v="56430"/>
    <n v="4305"/>
    <n v="0"/>
    <n v="0"/>
    <s v="1/31/2019"/>
    <s v="1/31/2019"/>
    <d v="2026-02-11T00:00:00"/>
    <e v="#VALUE!"/>
    <n v="5"/>
    <n v="60735"/>
    <n v="30367.5"/>
    <s v=" Not Achieved"/>
    <s v=" Excellent"/>
  </r>
  <r>
    <x v="2210"/>
    <x v="2210"/>
    <s v="EMP_2211"/>
    <x v="1"/>
    <s v="EMP_2211Marketing"/>
    <x v="4"/>
    <x v="4"/>
    <n v="33296"/>
    <n v="10698"/>
    <n v="0"/>
    <n v="0"/>
    <s v="3/17/2020"/>
    <s v="3/17/2020"/>
    <d v="2026-02-11T00:00:00"/>
    <e v="#VALUE!"/>
    <n v="2"/>
    <n v="43994"/>
    <n v="21997"/>
    <s v=" Not Achieved"/>
    <s v="Average"/>
  </r>
  <r>
    <x v="2211"/>
    <x v="2211"/>
    <s v="EMP_2212"/>
    <x v="0"/>
    <s v="EMP_2212HR"/>
    <x v="0"/>
    <x v="1"/>
    <n v="36794"/>
    <n v="12955"/>
    <n v="0"/>
    <n v="0"/>
    <s v="2/20/2020"/>
    <s v="2/20/2020"/>
    <d v="2026-02-11T00:00:00"/>
    <e v="#VALUE!"/>
    <n v="2"/>
    <n v="49749"/>
    <n v="24874.5"/>
    <s v=" Not Achieved"/>
    <s v="Average"/>
  </r>
  <r>
    <x v="2212"/>
    <x v="2212"/>
    <s v="EMP_2213"/>
    <x v="0"/>
    <s v="EMP_2213Finance"/>
    <x v="2"/>
    <x v="1"/>
    <n v="50656"/>
    <n v="4029"/>
    <n v="0"/>
    <n v="0"/>
    <s v="8/15/2023"/>
    <s v="8/15/2023"/>
    <d v="2026-02-11T00:00:00"/>
    <e v="#VALUE!"/>
    <n v="2"/>
    <n v="54685"/>
    <n v="27342.5"/>
    <s v=" Not Achieved"/>
    <s v=" Excellent"/>
  </r>
  <r>
    <x v="2213"/>
    <x v="2213"/>
    <s v="EMP_2214"/>
    <x v="0"/>
    <s v="EMP_2214IT"/>
    <x v="3"/>
    <x v="0"/>
    <n v="63483"/>
    <n v="6681"/>
    <n v="0"/>
    <n v="0"/>
    <d v="2020-08-02T00:00:00"/>
    <s v="2020"/>
    <d v="2026-02-11T00:00:00"/>
    <n v="5"/>
    <n v="4"/>
    <n v="70164"/>
    <n v="35082"/>
    <s v=" Not Achieved"/>
    <s v=" Excellent"/>
  </r>
  <r>
    <x v="2214"/>
    <x v="2214"/>
    <s v="EMP_2215"/>
    <x v="0"/>
    <s v="EMP_2215IT"/>
    <x v="3"/>
    <x v="3"/>
    <n v="28172"/>
    <n v="13272"/>
    <n v="0"/>
    <n v="0"/>
    <s v="2/21/2019"/>
    <s v="2/21/2019"/>
    <d v="2026-02-11T00:00:00"/>
    <e v="#VALUE!"/>
    <n v="1"/>
    <n v="41444"/>
    <n v="20722"/>
    <s v=" Not Achieved"/>
    <s v="poor"/>
  </r>
  <r>
    <x v="2215"/>
    <x v="2215"/>
    <s v="EMP_2216"/>
    <x v="1"/>
    <s v="EMP_2216Finance"/>
    <x v="2"/>
    <x v="4"/>
    <n v="46356"/>
    <n v="7388"/>
    <n v="0"/>
    <n v="0"/>
    <s v="11/22/2024"/>
    <s v="11/22/2024"/>
    <d v="2026-02-11T00:00:00"/>
    <e v="#VALUE!"/>
    <n v="5"/>
    <n v="53744"/>
    <n v="26872"/>
    <s v=" Not Achieved"/>
    <s v="Good"/>
  </r>
  <r>
    <x v="2216"/>
    <x v="2216"/>
    <s v="EMP_2217"/>
    <x v="0"/>
    <s v="EMP_2217HR"/>
    <x v="0"/>
    <x v="3"/>
    <n v="79270"/>
    <n v="4541"/>
    <n v="0"/>
    <n v="0"/>
    <d v="2024-04-02T00:00:00"/>
    <s v="2024"/>
    <d v="2026-02-11T00:00:00"/>
    <n v="1"/>
    <n v="4"/>
    <n v="83811"/>
    <n v="41905.5"/>
    <s v=" Not Achieved"/>
    <s v=" Excellent"/>
  </r>
  <r>
    <x v="2217"/>
    <x v="2217"/>
    <s v="EMP_2218"/>
    <x v="1"/>
    <s v="EMP_2218IT"/>
    <x v="3"/>
    <x v="4"/>
    <n v="50208"/>
    <n v="5050"/>
    <n v="0"/>
    <n v="0"/>
    <s v="5/25/2022"/>
    <s v="5/25/2022"/>
    <d v="2026-02-11T00:00:00"/>
    <e v="#VALUE!"/>
    <n v="2"/>
    <n v="55258"/>
    <n v="27629"/>
    <s v=" Not Achieved"/>
    <s v=" Excellent"/>
  </r>
  <r>
    <x v="2218"/>
    <x v="2218"/>
    <s v="EMP_2219"/>
    <x v="0"/>
    <s v="EMP_2219IT"/>
    <x v="3"/>
    <x v="1"/>
    <n v="75866"/>
    <n v="4893"/>
    <n v="0"/>
    <n v="0"/>
    <d v="2024-07-12T00:00:00"/>
    <s v="2024"/>
    <d v="2026-02-11T00:00:00"/>
    <n v="1"/>
    <n v="3"/>
    <n v="80759"/>
    <n v="40379.5"/>
    <s v=" Not Achieved"/>
    <s v=" Excellent"/>
  </r>
  <r>
    <x v="2219"/>
    <x v="2219"/>
    <s v="EMP_2220"/>
    <x v="1"/>
    <s v="EMP_2220HR"/>
    <x v="0"/>
    <x v="3"/>
    <n v="21435"/>
    <n v="4062"/>
    <n v="0"/>
    <n v="0"/>
    <d v="2019-07-01T00:00:00"/>
    <s v="2019"/>
    <d v="2026-02-11T00:00:00"/>
    <n v="6"/>
    <n v="1"/>
    <n v="25497"/>
    <n v="12748.5"/>
    <s v=" Not Achieved"/>
    <s v="poor"/>
  </r>
  <r>
    <x v="2220"/>
    <x v="2220"/>
    <s v="EMP_2221"/>
    <x v="1"/>
    <s v="EMP_2221Finance"/>
    <x v="2"/>
    <x v="2"/>
    <n v="40156"/>
    <n v="3617"/>
    <n v="0"/>
    <n v="0"/>
    <s v="5/19/2020"/>
    <s v="5/19/2020"/>
    <d v="2026-02-11T00:00:00"/>
    <e v="#VALUE!"/>
    <n v="2"/>
    <n v="43773"/>
    <n v="21886.5"/>
    <s v=" Not Achieved"/>
    <s v="Good"/>
  </r>
  <r>
    <x v="2221"/>
    <x v="2221"/>
    <s v="EMP_2222"/>
    <x v="1"/>
    <s v="EMP_2222Marketing"/>
    <x v="4"/>
    <x v="0"/>
    <n v="74029"/>
    <n v="3508"/>
    <n v="0"/>
    <n v="0"/>
    <d v="2022-09-04T00:00:00"/>
    <s v="2022"/>
    <d v="2026-02-11T00:00:00"/>
    <n v="3"/>
    <n v="5"/>
    <n v="77537"/>
    <n v="38768.5"/>
    <s v=" Not Achieved"/>
    <s v=" Excellent"/>
  </r>
  <r>
    <x v="2222"/>
    <x v="2222"/>
    <s v="EMP_2223"/>
    <x v="1"/>
    <s v="EMP_2223Sales"/>
    <x v="1"/>
    <x v="0"/>
    <n v="66650"/>
    <n v="14990"/>
    <n v="80729"/>
    <n v="168356"/>
    <s v="5/28/2021"/>
    <s v="5/28/2021"/>
    <d v="2026-02-11T00:00:00"/>
    <e v="#VALUE!"/>
    <n v="3"/>
    <n v="81640"/>
    <n v="40820"/>
    <s v=" Not Achieved"/>
    <s v=" Excellent"/>
  </r>
  <r>
    <x v="2223"/>
    <x v="2223"/>
    <s v="EMP_2224"/>
    <x v="1"/>
    <s v="EMP_2224Finance"/>
    <x v="2"/>
    <x v="4"/>
    <n v="54871"/>
    <n v="14535"/>
    <n v="0"/>
    <n v="0"/>
    <s v="5/22/2021"/>
    <s v="5/22/2021"/>
    <d v="2026-02-11T00:00:00"/>
    <e v="#VALUE!"/>
    <n v="2"/>
    <n v="69406"/>
    <n v="34703"/>
    <s v=" Not Achieved"/>
    <s v=" Excellent"/>
  </r>
  <r>
    <x v="2224"/>
    <x v="2224"/>
    <s v="EMP_2225"/>
    <x v="1"/>
    <s v="EMP_2225Marketing"/>
    <x v="4"/>
    <x v="4"/>
    <n v="51215"/>
    <n v="11224"/>
    <n v="0"/>
    <n v="0"/>
    <d v="2022-01-03T00:00:00"/>
    <s v="2022"/>
    <d v="2026-02-11T00:00:00"/>
    <n v="4"/>
    <n v="1"/>
    <n v="62439"/>
    <n v="31219.5"/>
    <s v=" Not Achieved"/>
    <s v=" Excellent"/>
  </r>
  <r>
    <x v="2225"/>
    <x v="2225"/>
    <s v="EMP_2226"/>
    <x v="0"/>
    <s v="EMP_2226Marketing"/>
    <x v="4"/>
    <x v="1"/>
    <n v="29487"/>
    <n v="12847"/>
    <n v="0"/>
    <n v="0"/>
    <s v="5/23/2022"/>
    <s v="5/23/2022"/>
    <d v="2026-02-11T00:00:00"/>
    <e v="#VALUE!"/>
    <n v="1"/>
    <n v="42334"/>
    <n v="21167"/>
    <s v=" Not Achieved"/>
    <s v="poor"/>
  </r>
  <r>
    <x v="2226"/>
    <x v="2226"/>
    <s v="EMP_2227"/>
    <x v="0"/>
    <s v="EMP_2227HR"/>
    <x v="0"/>
    <x v="0"/>
    <n v="61919"/>
    <n v="5086"/>
    <n v="0"/>
    <n v="0"/>
    <s v="2/27/2024"/>
    <s v="2/27/2024"/>
    <d v="2026-02-11T00:00:00"/>
    <e v="#VALUE!"/>
    <n v="4"/>
    <n v="67005"/>
    <n v="33502.5"/>
    <s v=" Not Achieved"/>
    <s v=" Excellent"/>
  </r>
  <r>
    <x v="2227"/>
    <x v="2227"/>
    <s v="EMP_2228"/>
    <x v="1"/>
    <s v="EMP_2228Finance"/>
    <x v="2"/>
    <x v="2"/>
    <n v="44317"/>
    <n v="9097"/>
    <n v="0"/>
    <n v="0"/>
    <s v="5/22/2018"/>
    <s v="5/22/2018"/>
    <d v="2026-02-11T00:00:00"/>
    <e v="#VALUE!"/>
    <n v="3"/>
    <n v="53414"/>
    <n v="26707"/>
    <s v=" Not Achieved"/>
    <s v="Good"/>
  </r>
  <r>
    <x v="2228"/>
    <x v="2228"/>
    <s v="EMP_2229"/>
    <x v="0"/>
    <s v="EMP_2229Finance"/>
    <x v="2"/>
    <x v="0"/>
    <n v="50476"/>
    <n v="12750"/>
    <n v="0"/>
    <n v="0"/>
    <s v="10/25/2018"/>
    <s v="10/25/2018"/>
    <d v="2026-02-11T00:00:00"/>
    <e v="#VALUE!"/>
    <n v="2"/>
    <n v="63226"/>
    <n v="31613"/>
    <s v=" Not Achieved"/>
    <s v=" Excellent"/>
  </r>
  <r>
    <x v="2229"/>
    <x v="2229"/>
    <s v="EMP_2230"/>
    <x v="1"/>
    <s v="EMP_2230HR"/>
    <x v="0"/>
    <x v="3"/>
    <n v="70711"/>
    <n v="5745"/>
    <n v="0"/>
    <n v="0"/>
    <d v="2022-03-10T00:00:00"/>
    <s v="2022"/>
    <d v="2026-02-11T00:00:00"/>
    <n v="3"/>
    <n v="2"/>
    <n v="76456"/>
    <n v="38228"/>
    <s v=" Not Achieved"/>
    <s v=" Excellent"/>
  </r>
  <r>
    <x v="2230"/>
    <x v="2230"/>
    <s v="EMP_2231"/>
    <x v="0"/>
    <s v="EMP_2231Marketing"/>
    <x v="4"/>
    <x v="3"/>
    <n v="77625"/>
    <n v="3660"/>
    <n v="0"/>
    <n v="0"/>
    <s v="8/18/2024"/>
    <s v="8/18/2024"/>
    <d v="2026-02-11T00:00:00"/>
    <e v="#VALUE!"/>
    <n v="2"/>
    <n v="81285"/>
    <n v="40642.5"/>
    <s v=" Not Achieved"/>
    <s v=" Excellent"/>
  </r>
  <r>
    <x v="2231"/>
    <x v="2231"/>
    <s v="EMP_2232"/>
    <x v="0"/>
    <s v="EMP_2232Sales"/>
    <x v="1"/>
    <x v="3"/>
    <n v="38979"/>
    <n v="9632"/>
    <n v="70892"/>
    <n v="147509"/>
    <d v="2022-04-05T00:00:00"/>
    <s v="2022"/>
    <d v="2026-02-11T00:00:00"/>
    <n v="3"/>
    <n v="1"/>
    <n v="48611"/>
    <n v="24305.5"/>
    <s v=" Not Achieved"/>
    <s v="Average"/>
  </r>
  <r>
    <x v="2232"/>
    <x v="2232"/>
    <s v="EMP_2233"/>
    <x v="1"/>
    <s v="EMP_2233IT"/>
    <x v="3"/>
    <x v="0"/>
    <n v="62373"/>
    <n v="2405"/>
    <n v="0"/>
    <n v="0"/>
    <s v="11/25/2019"/>
    <s v="11/25/2019"/>
    <d v="2026-02-11T00:00:00"/>
    <e v="#VALUE!"/>
    <n v="4"/>
    <n v="64778"/>
    <n v="32389"/>
    <s v=" Not Achieved"/>
    <s v=" Excellent"/>
  </r>
  <r>
    <x v="2233"/>
    <x v="2233"/>
    <s v="EMP_2234"/>
    <x v="1"/>
    <s v="EMP_2234Sales"/>
    <x v="1"/>
    <x v="1"/>
    <n v="47785"/>
    <n v="5966"/>
    <n v="241406"/>
    <n v="191961"/>
    <s v="11/28/2022"/>
    <s v="11/28/2022"/>
    <d v="2026-02-11T00:00:00"/>
    <e v="#VALUE!"/>
    <n v="1"/>
    <n v="53751"/>
    <n v="26875.5"/>
    <s v="Achieved"/>
    <s v="Good"/>
  </r>
  <r>
    <x v="2234"/>
    <x v="2234"/>
    <s v="EMP_2235"/>
    <x v="1"/>
    <s v="EMP_2235HR"/>
    <x v="0"/>
    <x v="4"/>
    <n v="55073"/>
    <n v="5480"/>
    <n v="0"/>
    <n v="0"/>
    <s v="10/20/2019"/>
    <s v="10/20/2019"/>
    <d v="2026-02-11T00:00:00"/>
    <e v="#VALUE!"/>
    <n v="5"/>
    <n v="60553"/>
    <n v="30276.5"/>
    <s v=" Not Achieved"/>
    <s v=" Excellent"/>
  </r>
  <r>
    <x v="2235"/>
    <x v="2235"/>
    <s v="EMP_2236"/>
    <x v="0"/>
    <s v="EMP_2236HR"/>
    <x v="0"/>
    <x v="2"/>
    <n v="29050"/>
    <n v="14545"/>
    <n v="0"/>
    <n v="0"/>
    <s v="11/20/2018"/>
    <s v="11/20/2018"/>
    <d v="2026-02-11T00:00:00"/>
    <e v="#VALUE!"/>
    <n v="3"/>
    <n v="43595"/>
    <n v="21797.5"/>
    <s v=" Not Achieved"/>
    <s v="poor"/>
  </r>
  <r>
    <x v="2236"/>
    <x v="2236"/>
    <s v="EMP_2237"/>
    <x v="0"/>
    <s v="EMP_2237Finance"/>
    <x v="2"/>
    <x v="2"/>
    <n v="27636"/>
    <n v="9597"/>
    <n v="0"/>
    <n v="0"/>
    <d v="2019-09-09T00:00:00"/>
    <s v="2019"/>
    <d v="2026-02-11T00:00:00"/>
    <n v="6"/>
    <n v="5"/>
    <n v="37233"/>
    <n v="18616.5"/>
    <s v=" Not Achieved"/>
    <s v="poor"/>
  </r>
  <r>
    <x v="2237"/>
    <x v="2237"/>
    <s v="EMP_2238"/>
    <x v="0"/>
    <s v="EMP_2238HR"/>
    <x v="0"/>
    <x v="4"/>
    <n v="75000"/>
    <n v="10918"/>
    <n v="0"/>
    <n v="0"/>
    <s v="5/28/2020"/>
    <s v="5/28/2020"/>
    <d v="2026-02-11T00:00:00"/>
    <e v="#VALUE!"/>
    <n v="2"/>
    <n v="85918"/>
    <n v="42959"/>
    <s v=" Not Achieved"/>
    <s v=" Excellent"/>
  </r>
  <r>
    <x v="2238"/>
    <x v="2238"/>
    <s v="EMP_2239"/>
    <x v="0"/>
    <s v="EMP_2239HR"/>
    <x v="0"/>
    <x v="2"/>
    <n v="41168"/>
    <n v="4508"/>
    <n v="0"/>
    <n v="0"/>
    <s v="1/23/2024"/>
    <s v="1/23/2024"/>
    <d v="2026-02-11T00:00:00"/>
    <e v="#VALUE!"/>
    <n v="3"/>
    <n v="45676"/>
    <n v="22838"/>
    <s v=" Not Achieved"/>
    <s v="Good"/>
  </r>
  <r>
    <x v="2239"/>
    <x v="2239"/>
    <s v="EMP_2240"/>
    <x v="1"/>
    <s v="EMP_2240Finance"/>
    <x v="2"/>
    <x v="0"/>
    <n v="64305"/>
    <n v="5724"/>
    <n v="0"/>
    <n v="0"/>
    <s v="12/28/2019"/>
    <s v="12/28/2019"/>
    <d v="2026-02-11T00:00:00"/>
    <e v="#VALUE!"/>
    <n v="4"/>
    <n v="70029"/>
    <n v="35014.5"/>
    <s v=" Not Achieved"/>
    <s v=" Excellent"/>
  </r>
  <r>
    <x v="2240"/>
    <x v="2240"/>
    <s v="EMP_2241"/>
    <x v="0"/>
    <s v="EMP_2241Sales"/>
    <x v="1"/>
    <x v="2"/>
    <n v="69184"/>
    <n v="12148"/>
    <n v="182437"/>
    <n v="111830"/>
    <s v="10/21/2018"/>
    <s v="10/21/2018"/>
    <d v="2026-02-11T00:00:00"/>
    <e v="#VALUE!"/>
    <n v="3"/>
    <n v="81332"/>
    <n v="40666"/>
    <s v="Achieved"/>
    <s v=" Excellent"/>
  </r>
  <r>
    <x v="2241"/>
    <x v="2241"/>
    <s v="EMP_2242"/>
    <x v="1"/>
    <s v="EMP_2242IT"/>
    <x v="3"/>
    <x v="4"/>
    <n v="50898"/>
    <n v="10342"/>
    <n v="0"/>
    <n v="0"/>
    <s v="8/21/2021"/>
    <s v="8/21/2021"/>
    <d v="2026-02-11T00:00:00"/>
    <e v="#VALUE!"/>
    <n v="5"/>
    <n v="61240"/>
    <n v="30620"/>
    <s v=" Not Achieved"/>
    <s v=" Excellent"/>
  </r>
  <r>
    <x v="2242"/>
    <x v="2242"/>
    <s v="EMP_2243"/>
    <x v="1"/>
    <s v="EMP_2243HR"/>
    <x v="0"/>
    <x v="0"/>
    <n v="34082"/>
    <n v="3944"/>
    <n v="0"/>
    <n v="0"/>
    <s v="9/28/2019"/>
    <s v="9/28/2019"/>
    <d v="2026-02-11T00:00:00"/>
    <e v="#VALUE!"/>
    <n v="3"/>
    <n v="38026"/>
    <n v="19013"/>
    <s v=" Not Achieved"/>
    <s v="Average"/>
  </r>
  <r>
    <x v="2243"/>
    <x v="2243"/>
    <s v="EMP_2244"/>
    <x v="1"/>
    <s v="EMP_2244HR"/>
    <x v="0"/>
    <x v="1"/>
    <n v="76463"/>
    <n v="4013"/>
    <n v="0"/>
    <n v="0"/>
    <s v="6/14/2018"/>
    <s v="6/14/2018"/>
    <d v="2026-02-11T00:00:00"/>
    <e v="#VALUE!"/>
    <n v="3"/>
    <n v="80476"/>
    <n v="40238"/>
    <s v=" Not Achieved"/>
    <s v=" Excellent"/>
  </r>
  <r>
    <x v="2244"/>
    <x v="2244"/>
    <s v="EMP_2245"/>
    <x v="0"/>
    <s v="EMP_2245HR"/>
    <x v="0"/>
    <x v="1"/>
    <n v="27425"/>
    <n v="9453"/>
    <n v="0"/>
    <n v="0"/>
    <s v="8/27/2018"/>
    <s v="8/27/2018"/>
    <d v="2026-02-11T00:00:00"/>
    <e v="#VALUE!"/>
    <n v="4"/>
    <n v="36878"/>
    <n v="18439"/>
    <s v=" Not Achieved"/>
    <s v="poor"/>
  </r>
  <r>
    <x v="2245"/>
    <x v="2245"/>
    <s v="EMP_2246"/>
    <x v="1"/>
    <s v="EMP_2246IT"/>
    <x v="3"/>
    <x v="2"/>
    <n v="44611"/>
    <n v="3366"/>
    <n v="0"/>
    <n v="0"/>
    <s v="4/22/2023"/>
    <s v="4/22/2023"/>
    <d v="2026-02-11T00:00:00"/>
    <e v="#VALUE!"/>
    <n v="4"/>
    <n v="47977"/>
    <n v="23988.5"/>
    <s v=" Not Achieved"/>
    <s v="Good"/>
  </r>
  <r>
    <x v="2246"/>
    <x v="2246"/>
    <s v="EMP_2247"/>
    <x v="1"/>
    <s v="EMP_2247Marketing"/>
    <x v="4"/>
    <x v="0"/>
    <n v="26915"/>
    <n v="8700"/>
    <n v="0"/>
    <n v="0"/>
    <d v="2020-03-04T00:00:00"/>
    <s v="2020"/>
    <d v="2026-02-11T00:00:00"/>
    <n v="5"/>
    <n v="5"/>
    <n v="35615"/>
    <n v="17807.5"/>
    <s v=" Not Achieved"/>
    <s v="poor"/>
  </r>
  <r>
    <x v="2247"/>
    <x v="2247"/>
    <s v="EMP_2248"/>
    <x v="0"/>
    <s v="EMP_2248Finance"/>
    <x v="2"/>
    <x v="1"/>
    <n v="51484"/>
    <n v="9885"/>
    <n v="0"/>
    <n v="0"/>
    <s v="1/22/2020"/>
    <s v="1/22/2020"/>
    <d v="2026-02-11T00:00:00"/>
    <e v="#VALUE!"/>
    <n v="4"/>
    <n v="61369"/>
    <n v="30684.5"/>
    <s v=" Not Achieved"/>
    <s v=" Excellent"/>
  </r>
  <r>
    <x v="2248"/>
    <x v="2248"/>
    <s v="EMP_2249"/>
    <x v="0"/>
    <s v="EMP_2249Finance"/>
    <x v="2"/>
    <x v="4"/>
    <n v="68419"/>
    <n v="14521"/>
    <n v="0"/>
    <n v="0"/>
    <s v="7/24/2024"/>
    <s v="7/24/2024"/>
    <d v="2026-02-11T00:00:00"/>
    <e v="#VALUE!"/>
    <n v="3"/>
    <n v="82940"/>
    <n v="41470"/>
    <s v=" Not Achieved"/>
    <s v=" Excellent"/>
  </r>
  <r>
    <x v="2249"/>
    <x v="2249"/>
    <s v="EMP_2250"/>
    <x v="1"/>
    <s v="EMP_2250IT"/>
    <x v="3"/>
    <x v="3"/>
    <n v="75989"/>
    <n v="11070"/>
    <n v="0"/>
    <n v="0"/>
    <s v="5/21/2022"/>
    <s v="5/21/2022"/>
    <d v="2026-02-11T00:00:00"/>
    <e v="#VALUE!"/>
    <n v="2"/>
    <n v="87059"/>
    <n v="43529.5"/>
    <s v=" Not Achieved"/>
    <s v=" Excellent"/>
  </r>
  <r>
    <x v="2250"/>
    <x v="2250"/>
    <s v="EMP_2251"/>
    <x v="0"/>
    <s v="EMP_2251HR"/>
    <x v="0"/>
    <x v="1"/>
    <n v="32182"/>
    <n v="14726"/>
    <n v="0"/>
    <n v="0"/>
    <d v="2023-11-04T00:00:00"/>
    <s v="2023"/>
    <d v="2026-02-11T00:00:00"/>
    <n v="2"/>
    <n v="5"/>
    <n v="46908"/>
    <n v="23454"/>
    <s v=" Not Achieved"/>
    <s v="Average"/>
  </r>
  <r>
    <x v="2251"/>
    <x v="2251"/>
    <s v="EMP_2252"/>
    <x v="0"/>
    <s v="EMP_2252HR"/>
    <x v="0"/>
    <x v="1"/>
    <n v="24217"/>
    <n v="12615"/>
    <n v="0"/>
    <n v="0"/>
    <d v="2018-12-09T00:00:00"/>
    <s v="2018"/>
    <d v="2026-02-11T00:00:00"/>
    <n v="7"/>
    <n v="2"/>
    <n v="36832"/>
    <n v="18416"/>
    <s v=" Not Achieved"/>
    <s v="poor"/>
  </r>
  <r>
    <x v="2252"/>
    <x v="2252"/>
    <s v="EMP_2253"/>
    <x v="1"/>
    <s v="EMP_2253Marketing"/>
    <x v="4"/>
    <x v="1"/>
    <n v="45912"/>
    <n v="5793"/>
    <n v="0"/>
    <n v="0"/>
    <s v="7/25/2020"/>
    <s v="7/25/2020"/>
    <d v="2026-02-11T00:00:00"/>
    <e v="#VALUE!"/>
    <n v="2"/>
    <n v="51705"/>
    <n v="25852.5"/>
    <s v=" Not Achieved"/>
    <s v="Good"/>
  </r>
  <r>
    <x v="2253"/>
    <x v="2253"/>
    <s v="EMP_2254"/>
    <x v="1"/>
    <s v="EMP_2254IT"/>
    <x v="3"/>
    <x v="3"/>
    <n v="42538"/>
    <n v="2816"/>
    <n v="0"/>
    <n v="0"/>
    <s v="5/13/2024"/>
    <s v="5/13/2024"/>
    <d v="2026-02-11T00:00:00"/>
    <e v="#VALUE!"/>
    <n v="2"/>
    <n v="45354"/>
    <n v="22677"/>
    <s v=" Not Achieved"/>
    <s v="Good"/>
  </r>
  <r>
    <x v="2254"/>
    <x v="2254"/>
    <s v="EMP_2255"/>
    <x v="1"/>
    <s v="EMP_2255Finance"/>
    <x v="2"/>
    <x v="2"/>
    <n v="38475"/>
    <n v="4105"/>
    <n v="0"/>
    <n v="0"/>
    <s v="12/19/2024"/>
    <s v="12/19/2024"/>
    <d v="2026-02-11T00:00:00"/>
    <e v="#VALUE!"/>
    <n v="2"/>
    <n v="42580"/>
    <n v="21290"/>
    <s v=" Not Achieved"/>
    <s v="Average"/>
  </r>
  <r>
    <x v="2255"/>
    <x v="2255"/>
    <s v="EMP_2256"/>
    <x v="1"/>
    <s v="EMP_2256Marketing"/>
    <x v="4"/>
    <x v="2"/>
    <n v="69678"/>
    <n v="4784"/>
    <n v="0"/>
    <n v="0"/>
    <s v="4/24/2019"/>
    <s v="4/24/2019"/>
    <d v="2026-02-11T00:00:00"/>
    <e v="#VALUE!"/>
    <n v="2"/>
    <n v="74462"/>
    <n v="37231"/>
    <s v=" Not Achieved"/>
    <s v=" Excellent"/>
  </r>
  <r>
    <x v="2256"/>
    <x v="2256"/>
    <s v="EMP_2257"/>
    <x v="1"/>
    <s v="EMP_2257Marketing"/>
    <x v="4"/>
    <x v="2"/>
    <n v="29547"/>
    <n v="10215"/>
    <n v="0"/>
    <n v="0"/>
    <s v="3/21/2018"/>
    <s v="3/21/2018"/>
    <d v="2026-02-11T00:00:00"/>
    <e v="#VALUE!"/>
    <n v="2"/>
    <n v="39762"/>
    <n v="19881"/>
    <s v=" Not Achieved"/>
    <s v="poor"/>
  </r>
  <r>
    <x v="2257"/>
    <x v="2257"/>
    <s v="EMP_2258"/>
    <x v="1"/>
    <s v="EMP_2258Marketing"/>
    <x v="4"/>
    <x v="3"/>
    <n v="24483"/>
    <n v="4409"/>
    <n v="0"/>
    <n v="0"/>
    <d v="2021-10-05T00:00:00"/>
    <s v="2021"/>
    <d v="2026-02-11T00:00:00"/>
    <n v="4"/>
    <n v="1"/>
    <n v="28892"/>
    <n v="14446"/>
    <s v=" Not Achieved"/>
    <s v="poor"/>
  </r>
  <r>
    <x v="2258"/>
    <x v="2258"/>
    <s v="EMP_2259"/>
    <x v="1"/>
    <s v="EMP_2259Marketing"/>
    <x v="4"/>
    <x v="2"/>
    <n v="28154"/>
    <n v="14558"/>
    <n v="0"/>
    <n v="0"/>
    <d v="2018-07-07T00:00:00"/>
    <s v="2018"/>
    <d v="2026-02-11T00:00:00"/>
    <n v="7"/>
    <n v="5"/>
    <n v="42712"/>
    <n v="21356"/>
    <s v=" Not Achieved"/>
    <s v="poor"/>
  </r>
  <r>
    <x v="2259"/>
    <x v="2259"/>
    <s v="EMP_2260"/>
    <x v="0"/>
    <s v="EMP_2260Sales"/>
    <x v="1"/>
    <x v="1"/>
    <n v="62153"/>
    <n v="10447"/>
    <n v="109461"/>
    <n v="137274"/>
    <d v="2024-04-06T00:00:00"/>
    <s v="2024"/>
    <d v="2026-02-11T00:00:00"/>
    <n v="1"/>
    <n v="1"/>
    <n v="72600"/>
    <n v="36300"/>
    <s v=" Not Achieved"/>
    <s v=" Excellent"/>
  </r>
  <r>
    <x v="2260"/>
    <x v="2260"/>
    <s v="EMP_2261"/>
    <x v="0"/>
    <s v="EMP_2261Marketing"/>
    <x v="4"/>
    <x v="1"/>
    <n v="26009"/>
    <n v="13372"/>
    <n v="0"/>
    <n v="0"/>
    <s v="4/28/2019"/>
    <s v="4/28/2019"/>
    <d v="2026-02-11T00:00:00"/>
    <e v="#VALUE!"/>
    <n v="3"/>
    <n v="39381"/>
    <n v="19690.5"/>
    <s v=" Not Achieved"/>
    <s v="poor"/>
  </r>
  <r>
    <x v="2261"/>
    <x v="2261"/>
    <s v="EMP_2262"/>
    <x v="1"/>
    <s v="EMP_2262Marketing"/>
    <x v="4"/>
    <x v="0"/>
    <n v="69305"/>
    <n v="2827"/>
    <n v="0"/>
    <n v="0"/>
    <d v="2021-11-09T00:00:00"/>
    <s v="2021"/>
    <d v="2026-02-11T00:00:00"/>
    <n v="4"/>
    <n v="3"/>
    <n v="72132"/>
    <n v="36066"/>
    <s v=" Not Achieved"/>
    <s v=" Excellent"/>
  </r>
  <r>
    <x v="2262"/>
    <x v="2262"/>
    <s v="EMP_2263"/>
    <x v="0"/>
    <s v="EMP_2263HR"/>
    <x v="0"/>
    <x v="0"/>
    <n v="63729"/>
    <n v="14879"/>
    <n v="0"/>
    <n v="0"/>
    <s v="12/22/2019"/>
    <s v="12/22/2019"/>
    <d v="2026-02-11T00:00:00"/>
    <e v="#VALUE!"/>
    <n v="5"/>
    <n v="78608"/>
    <n v="39304"/>
    <s v=" Not Achieved"/>
    <s v=" Excellent"/>
  </r>
  <r>
    <x v="2263"/>
    <x v="2263"/>
    <s v="EMP_2264"/>
    <x v="0"/>
    <s v="EMP_2264Marketing"/>
    <x v="4"/>
    <x v="2"/>
    <n v="51596"/>
    <n v="9580"/>
    <n v="0"/>
    <n v="0"/>
    <s v="4/14/2021"/>
    <s v="4/14/2021"/>
    <d v="2026-02-11T00:00:00"/>
    <e v="#VALUE!"/>
    <n v="4"/>
    <n v="61176"/>
    <n v="30588"/>
    <s v=" Not Achieved"/>
    <s v=" Excellent"/>
  </r>
  <r>
    <x v="2264"/>
    <x v="2264"/>
    <s v="EMP_2265"/>
    <x v="0"/>
    <s v="EMP_2265IT"/>
    <x v="3"/>
    <x v="1"/>
    <n v="21206"/>
    <n v="8967"/>
    <n v="0"/>
    <n v="0"/>
    <s v="1/13/2024"/>
    <s v="1/13/2024"/>
    <d v="2026-02-11T00:00:00"/>
    <e v="#VALUE!"/>
    <n v="1"/>
    <n v="30173"/>
    <n v="15086.5"/>
    <s v=" Not Achieved"/>
    <s v="poor"/>
  </r>
  <r>
    <x v="2265"/>
    <x v="2265"/>
    <s v="EMP_2266"/>
    <x v="0"/>
    <s v="EMP_2266Sales"/>
    <x v="1"/>
    <x v="3"/>
    <n v="77166"/>
    <n v="2296"/>
    <n v="125231"/>
    <n v="118495"/>
    <s v="10/21/2020"/>
    <s v="10/21/2020"/>
    <d v="2026-02-11T00:00:00"/>
    <e v="#VALUE!"/>
    <n v="5"/>
    <n v="79462"/>
    <n v="39731"/>
    <s v="Achieved"/>
    <s v=" Excellent"/>
  </r>
  <r>
    <x v="2266"/>
    <x v="2266"/>
    <s v="EMP_2267"/>
    <x v="1"/>
    <s v="EMP_2267IT"/>
    <x v="3"/>
    <x v="1"/>
    <n v="78231"/>
    <n v="13184"/>
    <n v="0"/>
    <n v="0"/>
    <s v="11/21/2022"/>
    <s v="11/21/2022"/>
    <d v="2026-02-11T00:00:00"/>
    <e v="#VALUE!"/>
    <n v="5"/>
    <n v="91415"/>
    <n v="45707.5"/>
    <s v=" Not Achieved"/>
    <s v=" Excellent"/>
  </r>
  <r>
    <x v="2267"/>
    <x v="2267"/>
    <s v="EMP_2268"/>
    <x v="0"/>
    <s v="EMP_2268Sales"/>
    <x v="1"/>
    <x v="4"/>
    <n v="34076"/>
    <n v="11395"/>
    <n v="217306"/>
    <n v="230213"/>
    <s v="6/30/2023"/>
    <s v="6/30/2023"/>
    <d v="2026-02-11T00:00:00"/>
    <e v="#VALUE!"/>
    <n v="4"/>
    <n v="45471"/>
    <n v="22735.5"/>
    <s v=" Not Achieved"/>
    <s v="Average"/>
  </r>
  <r>
    <x v="2268"/>
    <x v="2268"/>
    <s v="EMP_2269"/>
    <x v="0"/>
    <s v="EMP_2269IT"/>
    <x v="3"/>
    <x v="1"/>
    <n v="31743"/>
    <n v="5860"/>
    <n v="0"/>
    <n v="0"/>
    <s v="12/19/2022"/>
    <s v="12/19/2022"/>
    <d v="2026-02-11T00:00:00"/>
    <e v="#VALUE!"/>
    <n v="3"/>
    <n v="37603"/>
    <n v="18801.5"/>
    <s v=" Not Achieved"/>
    <s v="Average"/>
  </r>
  <r>
    <x v="2269"/>
    <x v="2269"/>
    <s v="EMP_2270"/>
    <x v="1"/>
    <s v="EMP_2270Sales"/>
    <x v="1"/>
    <x v="0"/>
    <n v="63916"/>
    <n v="13612"/>
    <n v="93618"/>
    <n v="232969"/>
    <d v="2023-11-12T00:00:00"/>
    <s v="2023"/>
    <d v="2026-02-11T00:00:00"/>
    <n v="2"/>
    <n v="4"/>
    <n v="77528"/>
    <n v="38764"/>
    <s v=" Not Achieved"/>
    <s v=" Excellent"/>
  </r>
  <r>
    <x v="2270"/>
    <x v="2270"/>
    <s v="EMP_2271"/>
    <x v="1"/>
    <s v="EMP_2271Finance"/>
    <x v="2"/>
    <x v="1"/>
    <n v="44162"/>
    <n v="6186"/>
    <n v="0"/>
    <n v="0"/>
    <d v="2024-05-05T00:00:00"/>
    <s v="2024"/>
    <d v="2026-02-11T00:00:00"/>
    <n v="1"/>
    <n v="3"/>
    <n v="50348"/>
    <n v="25174"/>
    <s v=" Not Achieved"/>
    <s v="Good"/>
  </r>
  <r>
    <x v="2271"/>
    <x v="2271"/>
    <s v="EMP_2272"/>
    <x v="1"/>
    <s v="EMP_2272IT"/>
    <x v="3"/>
    <x v="3"/>
    <n v="30520"/>
    <n v="5694"/>
    <n v="0"/>
    <n v="0"/>
    <s v="7/16/2023"/>
    <s v="7/16/2023"/>
    <d v="2026-02-11T00:00:00"/>
    <e v="#VALUE!"/>
    <n v="1"/>
    <n v="36214"/>
    <n v="18107"/>
    <s v=" Not Achieved"/>
    <s v="Average"/>
  </r>
  <r>
    <x v="2272"/>
    <x v="2272"/>
    <s v="EMP_2273"/>
    <x v="0"/>
    <s v="EMP_2273IT"/>
    <x v="3"/>
    <x v="3"/>
    <n v="72878"/>
    <n v="12562"/>
    <n v="0"/>
    <n v="0"/>
    <s v="12/30/2019"/>
    <s v="12/30/2019"/>
    <d v="2026-02-11T00:00:00"/>
    <e v="#VALUE!"/>
    <n v="4"/>
    <n v="85440"/>
    <n v="42720"/>
    <s v=" Not Achieved"/>
    <s v=" Excellent"/>
  </r>
  <r>
    <x v="2273"/>
    <x v="2273"/>
    <s v="EMP_2274"/>
    <x v="0"/>
    <s v="EMP_2274Marketing"/>
    <x v="4"/>
    <x v="0"/>
    <n v="67068"/>
    <n v="13665"/>
    <n v="0"/>
    <n v="0"/>
    <d v="2018-09-06T00:00:00"/>
    <s v="2018"/>
    <d v="2026-02-11T00:00:00"/>
    <n v="7"/>
    <n v="3"/>
    <n v="80733"/>
    <n v="40366.5"/>
    <s v=" Not Achieved"/>
    <s v=" Excellent"/>
  </r>
  <r>
    <x v="2274"/>
    <x v="2274"/>
    <s v="EMP_2275"/>
    <x v="0"/>
    <s v="EMP_2275Finance"/>
    <x v="2"/>
    <x v="4"/>
    <n v="40824"/>
    <n v="5351"/>
    <n v="0"/>
    <n v="0"/>
    <d v="2023-03-05T00:00:00"/>
    <s v="2023"/>
    <d v="2026-02-11T00:00:00"/>
    <n v="2"/>
    <n v="5"/>
    <n v="46175"/>
    <n v="23087.5"/>
    <s v=" Not Achieved"/>
    <s v="Good"/>
  </r>
  <r>
    <x v="2275"/>
    <x v="2275"/>
    <s v="EMP_2276"/>
    <x v="0"/>
    <s v="EMP_2276IT"/>
    <x v="3"/>
    <x v="3"/>
    <n v="72912"/>
    <n v="13774"/>
    <n v="0"/>
    <n v="0"/>
    <d v="2019-12-07T00:00:00"/>
    <s v="2019"/>
    <d v="2026-02-11T00:00:00"/>
    <n v="6"/>
    <n v="3"/>
    <n v="86686"/>
    <n v="43343"/>
    <s v=" Not Achieved"/>
    <s v=" Excellent"/>
  </r>
  <r>
    <x v="2276"/>
    <x v="2276"/>
    <s v="EMP_2277"/>
    <x v="0"/>
    <s v="EMP_2277Sales"/>
    <x v="1"/>
    <x v="4"/>
    <n v="20681"/>
    <n v="4019"/>
    <n v="97690"/>
    <n v="83566"/>
    <s v="10/27/2022"/>
    <s v="10/27/2022"/>
    <d v="2026-02-11T00:00:00"/>
    <e v="#VALUE!"/>
    <n v="2"/>
    <n v="24700"/>
    <n v="12350"/>
    <s v="Achieved"/>
    <s v="poor"/>
  </r>
  <r>
    <x v="2277"/>
    <x v="2277"/>
    <s v="EMP_2278"/>
    <x v="0"/>
    <s v="EMP_2278Finance"/>
    <x v="2"/>
    <x v="3"/>
    <n v="48937"/>
    <n v="2637"/>
    <n v="0"/>
    <n v="0"/>
    <s v="2/20/2022"/>
    <s v="2/20/2022"/>
    <d v="2026-02-11T00:00:00"/>
    <e v="#VALUE!"/>
    <n v="4"/>
    <n v="51574"/>
    <n v="25787"/>
    <s v=" Not Achieved"/>
    <s v="Good"/>
  </r>
  <r>
    <x v="2278"/>
    <x v="2278"/>
    <s v="EMP_2279"/>
    <x v="0"/>
    <s v="EMP_2279HR"/>
    <x v="0"/>
    <x v="3"/>
    <n v="34504"/>
    <n v="4113"/>
    <n v="0"/>
    <n v="0"/>
    <s v="1/13/2020"/>
    <s v="1/13/2020"/>
    <d v="2026-02-11T00:00:00"/>
    <e v="#VALUE!"/>
    <n v="1"/>
    <n v="38617"/>
    <n v="19308.5"/>
    <s v=" Not Achieved"/>
    <s v="Average"/>
  </r>
  <r>
    <x v="2279"/>
    <x v="2279"/>
    <s v="EMP_2280"/>
    <x v="0"/>
    <s v="EMP_2280Marketing"/>
    <x v="4"/>
    <x v="2"/>
    <n v="63745"/>
    <n v="9851"/>
    <n v="0"/>
    <n v="0"/>
    <s v="11/16/2023"/>
    <s v="11/16/2023"/>
    <d v="2026-02-11T00:00:00"/>
    <e v="#VALUE!"/>
    <n v="4"/>
    <n v="73596"/>
    <n v="36798"/>
    <s v=" Not Achieved"/>
    <s v=" Excellent"/>
  </r>
  <r>
    <x v="2280"/>
    <x v="2280"/>
    <s v="EMP_2281"/>
    <x v="0"/>
    <s v="EMP_2281Marketing"/>
    <x v="4"/>
    <x v="4"/>
    <n v="70891"/>
    <n v="13505"/>
    <n v="0"/>
    <n v="0"/>
    <d v="2022-07-04T00:00:00"/>
    <s v="2022"/>
    <d v="2026-02-11T00:00:00"/>
    <n v="3"/>
    <n v="4"/>
    <n v="84396"/>
    <n v="42198"/>
    <s v=" Not Achieved"/>
    <s v=" Excellent"/>
  </r>
  <r>
    <x v="2281"/>
    <x v="2281"/>
    <s v="EMP_2282"/>
    <x v="1"/>
    <s v="EMP_2282Sales"/>
    <x v="1"/>
    <x v="2"/>
    <n v="37097"/>
    <n v="7545"/>
    <n v="175391"/>
    <n v="168519"/>
    <d v="2024-04-07T00:00:00"/>
    <s v="2024"/>
    <d v="2026-02-11T00:00:00"/>
    <n v="1"/>
    <n v="2"/>
    <n v="44642"/>
    <n v="22321"/>
    <s v="Achieved"/>
    <s v="Average"/>
  </r>
  <r>
    <x v="2282"/>
    <x v="2282"/>
    <s v="EMP_2283"/>
    <x v="1"/>
    <s v="EMP_2283IT"/>
    <x v="3"/>
    <x v="0"/>
    <n v="58127"/>
    <n v="9810"/>
    <n v="0"/>
    <n v="0"/>
    <s v="8/21/2024"/>
    <s v="8/21/2024"/>
    <d v="2026-02-11T00:00:00"/>
    <e v="#VALUE!"/>
    <n v="2"/>
    <n v="67937"/>
    <n v="33968.5"/>
    <s v=" Not Achieved"/>
    <s v=" Excellent"/>
  </r>
  <r>
    <x v="2283"/>
    <x v="2283"/>
    <s v="EMP_2284"/>
    <x v="0"/>
    <s v="EMP_2284IT"/>
    <x v="3"/>
    <x v="4"/>
    <n v="49796"/>
    <n v="7220"/>
    <n v="0"/>
    <n v="0"/>
    <s v="10/16/2021"/>
    <s v="10/16/2021"/>
    <d v="2026-02-11T00:00:00"/>
    <e v="#VALUE!"/>
    <n v="2"/>
    <n v="57016"/>
    <n v="28508"/>
    <s v=" Not Achieved"/>
    <s v="Good"/>
  </r>
  <r>
    <x v="2284"/>
    <x v="2284"/>
    <s v="EMP_2285"/>
    <x v="0"/>
    <s v="EMP_2285Sales"/>
    <x v="1"/>
    <x v="3"/>
    <n v="50119"/>
    <n v="3543"/>
    <n v="250525"/>
    <n v="210294"/>
    <s v="4/16/2023"/>
    <s v="4/16/2023"/>
    <d v="2026-02-11T00:00:00"/>
    <e v="#VALUE!"/>
    <n v="1"/>
    <n v="53662"/>
    <n v="26831"/>
    <s v="Achieved"/>
    <s v=" Excellent"/>
  </r>
  <r>
    <x v="2285"/>
    <x v="2285"/>
    <s v="EMP_2286"/>
    <x v="0"/>
    <s v="EMP_2286IT"/>
    <x v="3"/>
    <x v="2"/>
    <n v="57428"/>
    <n v="6144"/>
    <n v="0"/>
    <n v="0"/>
    <d v="2023-06-11T00:00:00"/>
    <s v="2023"/>
    <d v="2026-02-11T00:00:00"/>
    <n v="2"/>
    <n v="3"/>
    <n v="63572"/>
    <n v="31786"/>
    <s v=" Not Achieved"/>
    <s v=" Excellent"/>
  </r>
  <r>
    <x v="2286"/>
    <x v="2286"/>
    <s v="EMP_2287"/>
    <x v="0"/>
    <s v="EMP_2287Sales"/>
    <x v="1"/>
    <x v="3"/>
    <n v="63330"/>
    <n v="13761"/>
    <n v="59832"/>
    <n v="193015"/>
    <s v="3/22/2023"/>
    <s v="3/22/2023"/>
    <d v="2026-02-11T00:00:00"/>
    <e v="#VALUE!"/>
    <n v="2"/>
    <n v="77091"/>
    <n v="38545.5"/>
    <s v=" Not Achieved"/>
    <s v=" Excellent"/>
  </r>
  <r>
    <x v="2287"/>
    <x v="2287"/>
    <s v="EMP_2288"/>
    <x v="1"/>
    <s v="EMP_2288HR"/>
    <x v="0"/>
    <x v="3"/>
    <n v="76952"/>
    <n v="11652"/>
    <n v="0"/>
    <n v="0"/>
    <s v="8/21/2023"/>
    <s v="8/21/2023"/>
    <d v="2026-02-11T00:00:00"/>
    <e v="#VALUE!"/>
    <n v="1"/>
    <n v="88604"/>
    <n v="44302"/>
    <s v=" Not Achieved"/>
    <s v=" Excellent"/>
  </r>
  <r>
    <x v="2288"/>
    <x v="2288"/>
    <s v="EMP_2289"/>
    <x v="1"/>
    <s v="EMP_2289Finance"/>
    <x v="2"/>
    <x v="2"/>
    <n v="72936"/>
    <n v="3193"/>
    <n v="0"/>
    <n v="0"/>
    <s v="12/16/2020"/>
    <s v="12/16/2020"/>
    <d v="2026-02-11T00:00:00"/>
    <e v="#VALUE!"/>
    <n v="5"/>
    <n v="76129"/>
    <n v="38064.5"/>
    <s v=" Not Achieved"/>
    <s v=" Excellent"/>
  </r>
  <r>
    <x v="2289"/>
    <x v="2289"/>
    <s v="EMP_2290"/>
    <x v="1"/>
    <s v="EMP_2290Sales"/>
    <x v="1"/>
    <x v="2"/>
    <n v="22830"/>
    <n v="11735"/>
    <n v="228154"/>
    <n v="93666"/>
    <d v="2024-08-01T00:00:00"/>
    <s v="2024"/>
    <d v="2026-02-11T00:00:00"/>
    <n v="1"/>
    <n v="3"/>
    <n v="34565"/>
    <n v="17282.5"/>
    <s v="Achieved"/>
    <s v="poor"/>
  </r>
  <r>
    <x v="2290"/>
    <x v="2290"/>
    <s v="EMP_2291"/>
    <x v="1"/>
    <s v="EMP_2291HR"/>
    <x v="0"/>
    <x v="4"/>
    <n v="42908"/>
    <n v="14562"/>
    <n v="0"/>
    <n v="0"/>
    <s v="11/30/2019"/>
    <s v="11/30/2019"/>
    <d v="2026-02-11T00:00:00"/>
    <e v="#VALUE!"/>
    <n v="4"/>
    <n v="57470"/>
    <n v="28735"/>
    <s v=" Not Achieved"/>
    <s v="Good"/>
  </r>
  <r>
    <x v="2291"/>
    <x v="2291"/>
    <s v="EMP_2292"/>
    <x v="1"/>
    <s v="EMP_2292HR"/>
    <x v="0"/>
    <x v="1"/>
    <n v="34347"/>
    <n v="12010"/>
    <n v="0"/>
    <n v="0"/>
    <d v="2022-07-09T00:00:00"/>
    <s v="2022"/>
    <d v="2026-02-11T00:00:00"/>
    <n v="3"/>
    <n v="4"/>
    <n v="46357"/>
    <n v="23178.5"/>
    <s v=" Not Achieved"/>
    <s v="Average"/>
  </r>
  <r>
    <x v="2292"/>
    <x v="2292"/>
    <s v="EMP_2293"/>
    <x v="0"/>
    <s v="EMP_2293Marketing"/>
    <x v="4"/>
    <x v="1"/>
    <n v="67342"/>
    <n v="14784"/>
    <n v="0"/>
    <n v="0"/>
    <s v="11/18/2024"/>
    <s v="11/18/2024"/>
    <d v="2026-02-11T00:00:00"/>
    <e v="#VALUE!"/>
    <n v="2"/>
    <n v="82126"/>
    <n v="41063"/>
    <s v=" Not Achieved"/>
    <s v=" Excellent"/>
  </r>
  <r>
    <x v="2293"/>
    <x v="2293"/>
    <s v="EMP_2294"/>
    <x v="0"/>
    <s v="EMP_2294Finance"/>
    <x v="2"/>
    <x v="3"/>
    <n v="28755"/>
    <n v="7744"/>
    <n v="0"/>
    <n v="0"/>
    <s v="2/21/2020"/>
    <s v="2/21/2020"/>
    <d v="2026-02-11T00:00:00"/>
    <e v="#VALUE!"/>
    <n v="1"/>
    <n v="36499"/>
    <n v="18249.5"/>
    <s v=" Not Achieved"/>
    <s v="poor"/>
  </r>
  <r>
    <x v="2294"/>
    <x v="2294"/>
    <s v="EMP_2295"/>
    <x v="1"/>
    <s v="EMP_2295Marketing"/>
    <x v="4"/>
    <x v="1"/>
    <n v="66003"/>
    <n v="14488"/>
    <n v="0"/>
    <n v="0"/>
    <d v="2023-05-03T00:00:00"/>
    <s v="2023"/>
    <d v="2026-02-11T00:00:00"/>
    <n v="2"/>
    <n v="5"/>
    <n v="80491"/>
    <n v="40245.5"/>
    <s v=" Not Achieved"/>
    <s v=" Excellent"/>
  </r>
  <r>
    <x v="2295"/>
    <x v="2295"/>
    <s v="EMP_2296"/>
    <x v="0"/>
    <s v="EMP_2296Sales"/>
    <x v="1"/>
    <x v="3"/>
    <n v="23107"/>
    <n v="11065"/>
    <n v="148317"/>
    <n v="209089"/>
    <s v="12/27/2023"/>
    <s v="12/27/2023"/>
    <d v="2026-02-11T00:00:00"/>
    <e v="#VALUE!"/>
    <n v="2"/>
    <n v="34172"/>
    <n v="17086"/>
    <s v=" Not Achieved"/>
    <s v="poor"/>
  </r>
  <r>
    <x v="2296"/>
    <x v="2296"/>
    <s v="EMP_2297"/>
    <x v="1"/>
    <s v="EMP_2297Marketing"/>
    <x v="4"/>
    <x v="3"/>
    <n v="70831"/>
    <n v="12333"/>
    <n v="0"/>
    <n v="0"/>
    <d v="2023-03-11T00:00:00"/>
    <s v="2023"/>
    <d v="2026-02-11T00:00:00"/>
    <n v="2"/>
    <n v="5"/>
    <n v="83164"/>
    <n v="41582"/>
    <s v=" Not Achieved"/>
    <s v=" Excellent"/>
  </r>
  <r>
    <x v="2297"/>
    <x v="2297"/>
    <s v="EMP_2298"/>
    <x v="1"/>
    <s v="EMP_2298HR"/>
    <x v="0"/>
    <x v="0"/>
    <n v="32746"/>
    <n v="8608"/>
    <n v="0"/>
    <n v="0"/>
    <s v="6/26/2019"/>
    <s v="6/26/2019"/>
    <d v="2026-02-11T00:00:00"/>
    <e v="#VALUE!"/>
    <n v="5"/>
    <n v="41354"/>
    <n v="20677"/>
    <s v=" Not Achieved"/>
    <s v="Average"/>
  </r>
  <r>
    <x v="2298"/>
    <x v="2298"/>
    <s v="EMP_2299"/>
    <x v="1"/>
    <s v="EMP_2299Sales"/>
    <x v="1"/>
    <x v="2"/>
    <n v="24633"/>
    <n v="5234"/>
    <n v="156188"/>
    <n v="243081"/>
    <d v="2020-01-06T00:00:00"/>
    <s v="2020"/>
    <d v="2026-02-11T00:00:00"/>
    <n v="6"/>
    <n v="3"/>
    <n v="29867"/>
    <n v="14933.5"/>
    <s v=" Not Achieved"/>
    <s v="poor"/>
  </r>
  <r>
    <x v="2299"/>
    <x v="2299"/>
    <s v="EMP_2300"/>
    <x v="0"/>
    <s v="EMP_2300Finance"/>
    <x v="2"/>
    <x v="2"/>
    <n v="52887"/>
    <n v="11385"/>
    <n v="0"/>
    <n v="0"/>
    <s v="9/26/2021"/>
    <s v="9/26/2021"/>
    <d v="2026-02-11T00:00:00"/>
    <e v="#VALUE!"/>
    <n v="5"/>
    <n v="64272"/>
    <n v="32136"/>
    <s v=" Not Achieved"/>
    <s v=" Excellent"/>
  </r>
  <r>
    <x v="2300"/>
    <x v="2300"/>
    <s v="EMP_2301"/>
    <x v="1"/>
    <s v="EMP_2301HR"/>
    <x v="0"/>
    <x v="0"/>
    <n v="57834"/>
    <n v="9316"/>
    <n v="0"/>
    <n v="0"/>
    <s v="2/17/2018"/>
    <s v="2/17/2018"/>
    <d v="2026-02-11T00:00:00"/>
    <e v="#VALUE!"/>
    <n v="2"/>
    <n v="67150"/>
    <n v="33575"/>
    <s v=" Not Achieved"/>
    <s v=" Excellent"/>
  </r>
  <r>
    <x v="2301"/>
    <x v="2301"/>
    <s v="EMP_2302"/>
    <x v="0"/>
    <s v="EMP_2302HR"/>
    <x v="0"/>
    <x v="1"/>
    <n v="64517"/>
    <n v="12338"/>
    <n v="0"/>
    <n v="0"/>
    <s v="7/21/2023"/>
    <s v="7/21/2023"/>
    <d v="2026-02-11T00:00:00"/>
    <e v="#VALUE!"/>
    <n v="1"/>
    <n v="76855"/>
    <n v="38427.5"/>
    <s v=" Not Achieved"/>
    <s v=" Excellent"/>
  </r>
  <r>
    <x v="2302"/>
    <x v="2302"/>
    <s v="EMP_2303"/>
    <x v="1"/>
    <s v="EMP_2303Finance"/>
    <x v="2"/>
    <x v="0"/>
    <n v="63539"/>
    <n v="2372"/>
    <n v="0"/>
    <n v="0"/>
    <d v="2024-06-01T00:00:00"/>
    <s v="2024"/>
    <d v="2026-02-11T00:00:00"/>
    <n v="1"/>
    <n v="3"/>
    <n v="65911"/>
    <n v="32955.5"/>
    <s v=" Not Achieved"/>
    <s v=" Excellent"/>
  </r>
  <r>
    <x v="2303"/>
    <x v="2303"/>
    <s v="EMP_2304"/>
    <x v="1"/>
    <s v="EMP_2304HR"/>
    <x v="0"/>
    <x v="2"/>
    <n v="49507"/>
    <n v="4405"/>
    <n v="0"/>
    <n v="0"/>
    <s v="6/19/2023"/>
    <s v="6/19/2023"/>
    <d v="2026-02-11T00:00:00"/>
    <e v="#VALUE!"/>
    <n v="2"/>
    <n v="53912"/>
    <n v="26956"/>
    <s v=" Not Achieved"/>
    <s v="Good"/>
  </r>
  <r>
    <x v="2304"/>
    <x v="2304"/>
    <s v="EMP_2305"/>
    <x v="1"/>
    <s v="EMP_2305Finance"/>
    <x v="2"/>
    <x v="1"/>
    <n v="77804"/>
    <n v="4853"/>
    <n v="0"/>
    <n v="0"/>
    <d v="2018-06-08T00:00:00"/>
    <s v="2018"/>
    <d v="2026-02-11T00:00:00"/>
    <n v="7"/>
    <n v="5"/>
    <n v="82657"/>
    <n v="41328.5"/>
    <s v=" Not Achieved"/>
    <s v=" Excellent"/>
  </r>
  <r>
    <x v="2305"/>
    <x v="2305"/>
    <s v="EMP_2306"/>
    <x v="0"/>
    <s v="EMP_2306Marketing"/>
    <x v="4"/>
    <x v="1"/>
    <n v="27739"/>
    <n v="3063"/>
    <n v="0"/>
    <n v="0"/>
    <s v="2/18/2024"/>
    <s v="2/18/2024"/>
    <d v="2026-02-11T00:00:00"/>
    <e v="#VALUE!"/>
    <n v="1"/>
    <n v="30802"/>
    <n v="15401"/>
    <s v=" Not Achieved"/>
    <s v="poor"/>
  </r>
  <r>
    <x v="2306"/>
    <x v="2306"/>
    <s v="EMP_2307"/>
    <x v="0"/>
    <s v="EMP_2307HR"/>
    <x v="0"/>
    <x v="1"/>
    <n v="51425"/>
    <n v="10122"/>
    <n v="0"/>
    <n v="0"/>
    <s v="6/22/2022"/>
    <s v="6/22/2022"/>
    <d v="2026-02-11T00:00:00"/>
    <e v="#VALUE!"/>
    <n v="5"/>
    <n v="61547"/>
    <n v="30773.5"/>
    <s v=" Not Achieved"/>
    <s v=" Excellent"/>
  </r>
  <r>
    <x v="2307"/>
    <x v="2307"/>
    <s v="EMP_2308"/>
    <x v="1"/>
    <s v="EMP_2308Marketing"/>
    <x v="4"/>
    <x v="2"/>
    <n v="27520"/>
    <n v="10953"/>
    <n v="0"/>
    <n v="0"/>
    <s v="3/30/2024"/>
    <s v="3/30/2024"/>
    <d v="2026-02-11T00:00:00"/>
    <e v="#VALUE!"/>
    <n v="1"/>
    <n v="38473"/>
    <n v="19236.5"/>
    <s v=" Not Achieved"/>
    <s v="poor"/>
  </r>
  <r>
    <x v="2308"/>
    <x v="2308"/>
    <s v="EMP_2309"/>
    <x v="1"/>
    <s v="EMP_2309Sales"/>
    <x v="1"/>
    <x v="1"/>
    <n v="79510"/>
    <n v="13495"/>
    <n v="263829"/>
    <n v="116519"/>
    <s v="10/25/2020"/>
    <s v="10/25/2020"/>
    <d v="2026-02-11T00:00:00"/>
    <e v="#VALUE!"/>
    <n v="5"/>
    <n v="93005"/>
    <n v="46502.5"/>
    <s v="Achieved"/>
    <s v=" Excellent"/>
  </r>
  <r>
    <x v="2309"/>
    <x v="2309"/>
    <s v="EMP_2310"/>
    <x v="0"/>
    <s v="EMP_2310Marketing"/>
    <x v="4"/>
    <x v="4"/>
    <n v="41160"/>
    <n v="8056"/>
    <n v="0"/>
    <n v="0"/>
    <d v="2020-09-11T00:00:00"/>
    <s v="2020"/>
    <d v="2026-02-11T00:00:00"/>
    <n v="5"/>
    <n v="1"/>
    <n v="49216"/>
    <n v="24608"/>
    <s v=" Not Achieved"/>
    <s v="Good"/>
  </r>
  <r>
    <x v="2310"/>
    <x v="2310"/>
    <s v="EMP_2311"/>
    <x v="0"/>
    <s v="EMP_2311HR"/>
    <x v="0"/>
    <x v="2"/>
    <n v="37403"/>
    <n v="7139"/>
    <n v="0"/>
    <n v="0"/>
    <s v="5/15/2021"/>
    <s v="5/15/2021"/>
    <d v="2026-02-11T00:00:00"/>
    <e v="#VALUE!"/>
    <n v="5"/>
    <n v="44542"/>
    <n v="22271"/>
    <s v=" Not Achieved"/>
    <s v="Average"/>
  </r>
  <r>
    <x v="2311"/>
    <x v="2311"/>
    <s v="EMP_2312"/>
    <x v="1"/>
    <s v="EMP_2312Finance"/>
    <x v="2"/>
    <x v="3"/>
    <n v="60896"/>
    <n v="13696"/>
    <n v="0"/>
    <n v="0"/>
    <d v="2021-08-01T00:00:00"/>
    <s v="2021"/>
    <d v="2026-02-11T00:00:00"/>
    <n v="4"/>
    <n v="2"/>
    <n v="74592"/>
    <n v="37296"/>
    <s v=" Not Achieved"/>
    <s v=" Excellent"/>
  </r>
  <r>
    <x v="2312"/>
    <x v="2312"/>
    <s v="EMP_2313"/>
    <x v="0"/>
    <s v="EMP_2313HR"/>
    <x v="0"/>
    <x v="4"/>
    <n v="72763"/>
    <n v="5573"/>
    <n v="0"/>
    <n v="0"/>
    <s v="11/21/2018"/>
    <s v="11/21/2018"/>
    <d v="2026-02-11T00:00:00"/>
    <e v="#VALUE!"/>
    <n v="4"/>
    <n v="78336"/>
    <n v="39168"/>
    <s v=" Not Achieved"/>
    <s v=" Excellent"/>
  </r>
  <r>
    <x v="2313"/>
    <x v="2313"/>
    <s v="EMP_2314"/>
    <x v="0"/>
    <s v="EMP_2314IT"/>
    <x v="3"/>
    <x v="4"/>
    <n v="22882"/>
    <n v="13958"/>
    <n v="0"/>
    <n v="0"/>
    <s v="12/23/2019"/>
    <s v="12/23/2019"/>
    <d v="2026-02-11T00:00:00"/>
    <e v="#VALUE!"/>
    <n v="2"/>
    <n v="36840"/>
    <n v="18420"/>
    <s v=" Not Achieved"/>
    <s v="poor"/>
  </r>
  <r>
    <x v="2314"/>
    <x v="2314"/>
    <s v="EMP_2315"/>
    <x v="1"/>
    <s v="EMP_2315HR"/>
    <x v="0"/>
    <x v="2"/>
    <n v="67200"/>
    <n v="4654"/>
    <n v="0"/>
    <n v="0"/>
    <s v="10/23/2022"/>
    <s v="10/23/2022"/>
    <d v="2026-02-11T00:00:00"/>
    <e v="#VALUE!"/>
    <n v="3"/>
    <n v="71854"/>
    <n v="35927"/>
    <s v=" Not Achieved"/>
    <s v=" Excellent"/>
  </r>
  <r>
    <x v="2315"/>
    <x v="2315"/>
    <s v="EMP_2316"/>
    <x v="0"/>
    <s v="EMP_2316Finance"/>
    <x v="2"/>
    <x v="0"/>
    <n v="64283"/>
    <n v="4498"/>
    <n v="0"/>
    <n v="0"/>
    <s v="5/28/2023"/>
    <s v="5/28/2023"/>
    <d v="2026-02-11T00:00:00"/>
    <e v="#VALUE!"/>
    <n v="4"/>
    <n v="68781"/>
    <n v="34390.5"/>
    <s v=" Not Achieved"/>
    <s v=" Excellent"/>
  </r>
  <r>
    <x v="2316"/>
    <x v="2316"/>
    <s v="EMP_2317"/>
    <x v="0"/>
    <s v="EMP_2317Sales"/>
    <x v="1"/>
    <x v="1"/>
    <n v="74619"/>
    <n v="4796"/>
    <n v="174099"/>
    <n v="151579"/>
    <d v="2023-05-01T00:00:00"/>
    <s v="2023"/>
    <d v="2026-02-11T00:00:00"/>
    <n v="2"/>
    <n v="3"/>
    <n v="79415"/>
    <n v="39707.5"/>
    <s v="Achieved"/>
    <s v=" Excellent"/>
  </r>
  <r>
    <x v="2317"/>
    <x v="2317"/>
    <s v="EMP_2318"/>
    <x v="1"/>
    <s v="EMP_2318Sales"/>
    <x v="1"/>
    <x v="2"/>
    <n v="30862"/>
    <n v="12366"/>
    <n v="190237"/>
    <n v="229935"/>
    <d v="2023-04-05T00:00:00"/>
    <s v="2023"/>
    <d v="2026-02-11T00:00:00"/>
    <n v="2"/>
    <n v="1"/>
    <n v="43228"/>
    <n v="21614"/>
    <s v=" Not Achieved"/>
    <s v="Average"/>
  </r>
  <r>
    <x v="2318"/>
    <x v="2318"/>
    <s v="EMP_2319"/>
    <x v="0"/>
    <s v="EMP_2319Sales"/>
    <x v="1"/>
    <x v="3"/>
    <n v="21425"/>
    <n v="6642"/>
    <n v="150295"/>
    <n v="181183"/>
    <s v="8/23/2019"/>
    <s v="8/23/2019"/>
    <d v="2026-02-11T00:00:00"/>
    <e v="#VALUE!"/>
    <n v="4"/>
    <n v="28067"/>
    <n v="14033.5"/>
    <s v=" Not Achieved"/>
    <s v="poor"/>
  </r>
  <r>
    <x v="2319"/>
    <x v="2319"/>
    <s v="EMP_2320"/>
    <x v="0"/>
    <s v="EMP_2320IT"/>
    <x v="3"/>
    <x v="3"/>
    <n v="70291"/>
    <n v="2203"/>
    <n v="0"/>
    <n v="0"/>
    <d v="2024-08-01T00:00:00"/>
    <s v="2024"/>
    <d v="2026-02-11T00:00:00"/>
    <n v="1"/>
    <n v="1"/>
    <n v="72494"/>
    <n v="36247"/>
    <s v=" Not Achieved"/>
    <s v=" Excellent"/>
  </r>
  <r>
    <x v="2320"/>
    <x v="2320"/>
    <s v="EMP_2321"/>
    <x v="0"/>
    <s v="EMP_2321Finance"/>
    <x v="2"/>
    <x v="1"/>
    <n v="62168"/>
    <n v="10050"/>
    <n v="0"/>
    <n v="0"/>
    <d v="2024-12-04T00:00:00"/>
    <s v="2024"/>
    <d v="2026-02-11T00:00:00"/>
    <n v="1"/>
    <n v="2"/>
    <n v="72218"/>
    <n v="36109"/>
    <s v=" Not Achieved"/>
    <s v=" Excellent"/>
  </r>
  <r>
    <x v="2321"/>
    <x v="2321"/>
    <s v="EMP_2322"/>
    <x v="1"/>
    <s v="EMP_2322Marketing"/>
    <x v="4"/>
    <x v="1"/>
    <n v="22563"/>
    <n v="2030"/>
    <n v="0"/>
    <n v="0"/>
    <s v="7/15/2021"/>
    <s v="7/15/2021"/>
    <d v="2026-02-11T00:00:00"/>
    <e v="#VALUE!"/>
    <n v="1"/>
    <n v="24593"/>
    <n v="12296.5"/>
    <s v=" Not Achieved"/>
    <s v="poor"/>
  </r>
  <r>
    <x v="2322"/>
    <x v="2322"/>
    <s v="EMP_2323"/>
    <x v="1"/>
    <s v="EMP_2323Sales"/>
    <x v="1"/>
    <x v="1"/>
    <n v="24579"/>
    <n v="10992"/>
    <n v="91613"/>
    <n v="212466"/>
    <d v="2018-06-01T00:00:00"/>
    <s v="2018"/>
    <d v="2026-02-11T00:00:00"/>
    <n v="7"/>
    <n v="2"/>
    <n v="35571"/>
    <n v="17785.5"/>
    <s v=" Not Achieved"/>
    <s v="poor"/>
  </r>
  <r>
    <x v="2323"/>
    <x v="2323"/>
    <s v="EMP_2324"/>
    <x v="0"/>
    <s v="EMP_2324Marketing"/>
    <x v="4"/>
    <x v="2"/>
    <n v="63070"/>
    <n v="13279"/>
    <n v="0"/>
    <n v="0"/>
    <s v="5/27/2021"/>
    <s v="5/27/2021"/>
    <d v="2026-02-11T00:00:00"/>
    <e v="#VALUE!"/>
    <n v="5"/>
    <n v="76349"/>
    <n v="38174.5"/>
    <s v=" Not Achieved"/>
    <s v=" Excellent"/>
  </r>
  <r>
    <x v="2324"/>
    <x v="2324"/>
    <s v="EMP_2325"/>
    <x v="1"/>
    <s v="EMP_2325Sales"/>
    <x v="1"/>
    <x v="2"/>
    <n v="49209"/>
    <n v="12197"/>
    <n v="152519"/>
    <n v="169797"/>
    <d v="2021-01-03T00:00:00"/>
    <s v="2021"/>
    <d v="2026-02-11T00:00:00"/>
    <n v="5"/>
    <n v="4"/>
    <n v="61406"/>
    <n v="30703"/>
    <s v=" Not Achieved"/>
    <s v="Good"/>
  </r>
  <r>
    <x v="2325"/>
    <x v="2325"/>
    <s v="EMP_2326"/>
    <x v="0"/>
    <s v="EMP_2326HR"/>
    <x v="0"/>
    <x v="4"/>
    <n v="48740"/>
    <n v="13219"/>
    <n v="0"/>
    <n v="0"/>
    <s v="4/19/2020"/>
    <s v="4/19/2020"/>
    <d v="2026-02-11T00:00:00"/>
    <e v="#VALUE!"/>
    <n v="3"/>
    <n v="61959"/>
    <n v="30979.5"/>
    <s v=" Not Achieved"/>
    <s v="Good"/>
  </r>
  <r>
    <x v="2326"/>
    <x v="2326"/>
    <s v="EMP_2327"/>
    <x v="1"/>
    <s v="EMP_2327HR"/>
    <x v="0"/>
    <x v="3"/>
    <n v="46473"/>
    <n v="12919"/>
    <n v="0"/>
    <n v="0"/>
    <d v="2022-04-09T00:00:00"/>
    <s v="2022"/>
    <d v="2026-02-11T00:00:00"/>
    <n v="3"/>
    <n v="2"/>
    <n v="59392"/>
    <n v="29696"/>
    <s v=" Not Achieved"/>
    <s v="Good"/>
  </r>
  <r>
    <x v="2327"/>
    <x v="2327"/>
    <s v="EMP_2328"/>
    <x v="0"/>
    <s v="EMP_2328HR"/>
    <x v="0"/>
    <x v="0"/>
    <n v="66833"/>
    <n v="5913"/>
    <n v="0"/>
    <n v="0"/>
    <d v="2019-02-10T00:00:00"/>
    <s v="2019"/>
    <d v="2026-02-11T00:00:00"/>
    <n v="7"/>
    <n v="2"/>
    <n v="72746"/>
    <n v="36373"/>
    <s v=" Not Achieved"/>
    <s v=" Excellent"/>
  </r>
  <r>
    <x v="2328"/>
    <x v="2328"/>
    <s v="EMP_2329"/>
    <x v="1"/>
    <s v="EMP_2329Finance"/>
    <x v="2"/>
    <x v="3"/>
    <n v="28596"/>
    <n v="7148"/>
    <n v="0"/>
    <n v="0"/>
    <d v="2020-06-04T00:00:00"/>
    <s v="2020"/>
    <d v="2026-02-11T00:00:00"/>
    <n v="5"/>
    <n v="2"/>
    <n v="35744"/>
    <n v="17872"/>
    <s v=" Not Achieved"/>
    <s v="poor"/>
  </r>
  <r>
    <x v="2329"/>
    <x v="2329"/>
    <s v="EMP_2330"/>
    <x v="1"/>
    <s v="EMP_2330Marketing"/>
    <x v="4"/>
    <x v="3"/>
    <n v="42197"/>
    <n v="9493"/>
    <n v="0"/>
    <n v="0"/>
    <s v="10/24/2021"/>
    <s v="10/24/2021"/>
    <d v="2026-02-11T00:00:00"/>
    <e v="#VALUE!"/>
    <n v="2"/>
    <n v="51690"/>
    <n v="25845"/>
    <s v=" Not Achieved"/>
    <s v="Good"/>
  </r>
  <r>
    <x v="2330"/>
    <x v="2330"/>
    <s v="EMP_2331"/>
    <x v="1"/>
    <s v="EMP_2331IT"/>
    <x v="3"/>
    <x v="0"/>
    <n v="51124"/>
    <n v="12690"/>
    <n v="0"/>
    <n v="0"/>
    <s v="10/23/2019"/>
    <s v="10/23/2019"/>
    <d v="2026-02-11T00:00:00"/>
    <e v="#VALUE!"/>
    <n v="2"/>
    <n v="63814"/>
    <n v="31907"/>
    <s v=" Not Achieved"/>
    <s v=" Excellent"/>
  </r>
  <r>
    <x v="2331"/>
    <x v="2331"/>
    <s v="EMP_2332"/>
    <x v="1"/>
    <s v="EMP_2332Marketing"/>
    <x v="4"/>
    <x v="1"/>
    <n v="67952"/>
    <n v="13092"/>
    <n v="0"/>
    <n v="0"/>
    <d v="2019-05-01T00:00:00"/>
    <s v="2019"/>
    <d v="2026-02-11T00:00:00"/>
    <n v="6"/>
    <n v="4"/>
    <n v="81044"/>
    <n v="40522"/>
    <s v=" Not Achieved"/>
    <s v=" Excellent"/>
  </r>
  <r>
    <x v="2332"/>
    <x v="2332"/>
    <s v="EMP_2333"/>
    <x v="0"/>
    <s v="EMP_2333Marketing"/>
    <x v="4"/>
    <x v="2"/>
    <n v="34744"/>
    <n v="8684"/>
    <n v="0"/>
    <n v="0"/>
    <s v="11/29/2023"/>
    <s v="11/29/2023"/>
    <d v="2026-02-11T00:00:00"/>
    <e v="#VALUE!"/>
    <n v="1"/>
    <n v="43428"/>
    <n v="21714"/>
    <s v=" Not Achieved"/>
    <s v="Average"/>
  </r>
  <r>
    <x v="2333"/>
    <x v="2333"/>
    <s v="EMP_2334"/>
    <x v="1"/>
    <s v="EMP_2334Finance"/>
    <x v="2"/>
    <x v="0"/>
    <n v="76539"/>
    <n v="8332"/>
    <n v="0"/>
    <n v="0"/>
    <d v="2023-05-01T00:00:00"/>
    <s v="2023"/>
    <d v="2026-02-11T00:00:00"/>
    <n v="2"/>
    <n v="1"/>
    <n v="84871"/>
    <n v="42435.5"/>
    <s v=" Not Achieved"/>
    <s v=" Excellent"/>
  </r>
  <r>
    <x v="2334"/>
    <x v="2334"/>
    <s v="EMP_2335"/>
    <x v="0"/>
    <s v="EMP_2335Marketing"/>
    <x v="4"/>
    <x v="1"/>
    <n v="62694"/>
    <n v="2403"/>
    <n v="0"/>
    <n v="0"/>
    <d v="2018-04-07T00:00:00"/>
    <s v="2018"/>
    <d v="2026-02-11T00:00:00"/>
    <n v="7"/>
    <n v="2"/>
    <n v="65097"/>
    <n v="32548.5"/>
    <s v=" Not Achieved"/>
    <s v=" Excellent"/>
  </r>
  <r>
    <x v="2335"/>
    <x v="2335"/>
    <s v="EMP_2336"/>
    <x v="1"/>
    <s v="EMP_2336Finance"/>
    <x v="2"/>
    <x v="0"/>
    <n v="74336"/>
    <n v="9571"/>
    <n v="0"/>
    <n v="0"/>
    <d v="2024-01-03T00:00:00"/>
    <s v="2024"/>
    <d v="2026-02-11T00:00:00"/>
    <n v="2"/>
    <n v="1"/>
    <n v="83907"/>
    <n v="41953.5"/>
    <s v=" Not Achieved"/>
    <s v=" Excellent"/>
  </r>
  <r>
    <x v="2336"/>
    <x v="2336"/>
    <s v="EMP_2337"/>
    <x v="0"/>
    <s v="EMP_2337Sales"/>
    <x v="1"/>
    <x v="0"/>
    <n v="73546"/>
    <n v="9647"/>
    <n v="155507"/>
    <n v="123248"/>
    <d v="2023-02-07T00:00:00"/>
    <s v="2023"/>
    <d v="2026-02-11T00:00:00"/>
    <n v="3"/>
    <n v="3"/>
    <n v="83193"/>
    <n v="41596.5"/>
    <s v="Achieved"/>
    <s v=" Excellent"/>
  </r>
  <r>
    <x v="2337"/>
    <x v="2337"/>
    <s v="EMP_2338"/>
    <x v="1"/>
    <s v="EMP_2338HR"/>
    <x v="0"/>
    <x v="3"/>
    <n v="47041"/>
    <n v="11380"/>
    <n v="0"/>
    <n v="0"/>
    <d v="2018-06-12T00:00:00"/>
    <s v="2018"/>
    <d v="2026-02-11T00:00:00"/>
    <n v="7"/>
    <n v="4"/>
    <n v="58421"/>
    <n v="29210.5"/>
    <s v=" Not Achieved"/>
    <s v="Good"/>
  </r>
  <r>
    <x v="2338"/>
    <x v="2338"/>
    <s v="EMP_2339"/>
    <x v="0"/>
    <s v="EMP_2339IT"/>
    <x v="3"/>
    <x v="0"/>
    <n v="33615"/>
    <n v="13501"/>
    <n v="0"/>
    <n v="0"/>
    <d v="2022-06-01T00:00:00"/>
    <s v="2022"/>
    <d v="2026-02-11T00:00:00"/>
    <n v="3"/>
    <n v="5"/>
    <n v="47116"/>
    <n v="23558"/>
    <s v=" Not Achieved"/>
    <s v="Average"/>
  </r>
  <r>
    <x v="2339"/>
    <x v="2339"/>
    <s v="EMP_2340"/>
    <x v="1"/>
    <s v="EMP_2340Finance"/>
    <x v="2"/>
    <x v="1"/>
    <n v="78634"/>
    <n v="8846"/>
    <n v="0"/>
    <n v="0"/>
    <s v="6/30/2024"/>
    <s v="6/30/2024"/>
    <d v="2026-02-11T00:00:00"/>
    <e v="#VALUE!"/>
    <n v="2"/>
    <n v="87480"/>
    <n v="43740"/>
    <s v=" Not Achieved"/>
    <s v=" Excellent"/>
  </r>
  <r>
    <x v="2340"/>
    <x v="2340"/>
    <s v="EMP_2341"/>
    <x v="1"/>
    <s v="EMP_2341Sales"/>
    <x v="1"/>
    <x v="4"/>
    <n v="63416"/>
    <n v="4686"/>
    <n v="85932"/>
    <n v="86136"/>
    <d v="2022-07-07T00:00:00"/>
    <s v="2022"/>
    <d v="2026-02-11T00:00:00"/>
    <n v="3"/>
    <n v="2"/>
    <n v="68102"/>
    <n v="34051"/>
    <s v=" Not Achieved"/>
    <s v=" Excellent"/>
  </r>
  <r>
    <x v="2341"/>
    <x v="2341"/>
    <s v="EMP_2342"/>
    <x v="1"/>
    <s v="EMP_2342IT"/>
    <x v="3"/>
    <x v="0"/>
    <n v="48684"/>
    <n v="4136"/>
    <n v="0"/>
    <n v="0"/>
    <s v="8/16/2021"/>
    <s v="8/16/2021"/>
    <d v="2026-02-11T00:00:00"/>
    <e v="#VALUE!"/>
    <n v="5"/>
    <n v="52820"/>
    <n v="26410"/>
    <s v=" Not Achieved"/>
    <s v="Good"/>
  </r>
  <r>
    <x v="2342"/>
    <x v="2342"/>
    <s v="EMP_2343"/>
    <x v="0"/>
    <s v="EMP_2343Marketing"/>
    <x v="4"/>
    <x v="2"/>
    <n v="42112"/>
    <n v="2771"/>
    <n v="0"/>
    <n v="0"/>
    <s v="11/22/2020"/>
    <s v="11/22/2020"/>
    <d v="2026-02-11T00:00:00"/>
    <e v="#VALUE!"/>
    <n v="4"/>
    <n v="44883"/>
    <n v="22441.5"/>
    <s v=" Not Achieved"/>
    <s v="Good"/>
  </r>
  <r>
    <x v="2343"/>
    <x v="2343"/>
    <s v="EMP_2344"/>
    <x v="0"/>
    <s v="EMP_2344IT"/>
    <x v="3"/>
    <x v="0"/>
    <n v="60742"/>
    <n v="3116"/>
    <n v="0"/>
    <n v="0"/>
    <d v="2019-02-02T00:00:00"/>
    <s v="2019"/>
    <d v="2026-02-11T00:00:00"/>
    <n v="7"/>
    <n v="2"/>
    <n v="63858"/>
    <n v="31929"/>
    <s v=" Not Achieved"/>
    <s v=" Excellent"/>
  </r>
  <r>
    <x v="2344"/>
    <x v="2344"/>
    <s v="EMP_2345"/>
    <x v="1"/>
    <s v="EMP_2345HR"/>
    <x v="0"/>
    <x v="0"/>
    <n v="56181"/>
    <n v="12446"/>
    <n v="0"/>
    <n v="0"/>
    <s v="9/18/2022"/>
    <s v="9/18/2022"/>
    <d v="2026-02-11T00:00:00"/>
    <e v="#VALUE!"/>
    <n v="2"/>
    <n v="68627"/>
    <n v="34313.5"/>
    <s v=" Not Achieved"/>
    <s v=" Excellent"/>
  </r>
  <r>
    <x v="2345"/>
    <x v="2345"/>
    <s v="EMP_2346"/>
    <x v="0"/>
    <s v="EMP_2346Sales"/>
    <x v="1"/>
    <x v="4"/>
    <n v="23045"/>
    <n v="14217"/>
    <n v="81521"/>
    <n v="169898"/>
    <d v="2022-06-09T00:00:00"/>
    <s v="2022"/>
    <d v="2026-02-11T00:00:00"/>
    <n v="3"/>
    <n v="5"/>
    <n v="37262"/>
    <n v="18631"/>
    <s v=" Not Achieved"/>
    <s v="poor"/>
  </r>
  <r>
    <x v="2346"/>
    <x v="2346"/>
    <s v="EMP_2347"/>
    <x v="1"/>
    <s v="EMP_2347Finance"/>
    <x v="2"/>
    <x v="3"/>
    <n v="45636"/>
    <n v="12946"/>
    <n v="0"/>
    <n v="0"/>
    <s v="9/25/2019"/>
    <s v="9/25/2019"/>
    <d v="2026-02-11T00:00:00"/>
    <e v="#VALUE!"/>
    <n v="2"/>
    <n v="58582"/>
    <n v="29291"/>
    <s v=" Not Achieved"/>
    <s v="Good"/>
  </r>
  <r>
    <x v="2347"/>
    <x v="2347"/>
    <s v="EMP_2348"/>
    <x v="0"/>
    <s v="EMP_2348Sales"/>
    <x v="1"/>
    <x v="3"/>
    <n v="72789"/>
    <n v="4385"/>
    <n v="83633"/>
    <n v="207258"/>
    <s v="9/27/2019"/>
    <s v="9/27/2019"/>
    <d v="2026-02-11T00:00:00"/>
    <e v="#VALUE!"/>
    <n v="2"/>
    <n v="77174"/>
    <n v="38587"/>
    <s v=" Not Achieved"/>
    <s v=" Excellent"/>
  </r>
  <r>
    <x v="2348"/>
    <x v="2348"/>
    <s v="EMP_2349"/>
    <x v="1"/>
    <s v="EMP_2349Finance"/>
    <x v="2"/>
    <x v="4"/>
    <n v="74866"/>
    <n v="7664"/>
    <n v="0"/>
    <n v="0"/>
    <s v="4/16/2022"/>
    <s v="4/16/2022"/>
    <d v="2026-02-11T00:00:00"/>
    <e v="#VALUE!"/>
    <n v="2"/>
    <n v="82530"/>
    <n v="41265"/>
    <s v=" Not Achieved"/>
    <s v=" Excellent"/>
  </r>
  <r>
    <x v="2349"/>
    <x v="2349"/>
    <s v="EMP_2350"/>
    <x v="1"/>
    <s v="EMP_2350IT"/>
    <x v="3"/>
    <x v="2"/>
    <n v="31712"/>
    <n v="11057"/>
    <n v="0"/>
    <n v="0"/>
    <s v="5/19/2020"/>
    <s v="5/19/2020"/>
    <d v="2026-02-11T00:00:00"/>
    <e v="#VALUE!"/>
    <n v="5"/>
    <n v="42769"/>
    <n v="21384.5"/>
    <s v=" Not Achieved"/>
    <s v="Average"/>
  </r>
  <r>
    <x v="2350"/>
    <x v="2350"/>
    <s v="EMP_2351"/>
    <x v="1"/>
    <s v="EMP_2351Finance"/>
    <x v="2"/>
    <x v="1"/>
    <n v="71953"/>
    <n v="14541"/>
    <n v="0"/>
    <n v="0"/>
    <s v="10/28/2021"/>
    <s v="10/28/2021"/>
    <d v="2026-02-11T00:00:00"/>
    <e v="#VALUE!"/>
    <n v="4"/>
    <n v="86494"/>
    <n v="43247"/>
    <s v=" Not Achieved"/>
    <s v=" Excellent"/>
  </r>
  <r>
    <x v="2351"/>
    <x v="2351"/>
    <s v="EMP_2352"/>
    <x v="1"/>
    <s v="EMP_2352Sales"/>
    <x v="1"/>
    <x v="0"/>
    <n v="37408"/>
    <n v="4866"/>
    <n v="81416"/>
    <n v="113309"/>
    <d v="2019-12-01T00:00:00"/>
    <s v="2019"/>
    <d v="2026-02-11T00:00:00"/>
    <n v="6"/>
    <n v="3"/>
    <n v="42274"/>
    <n v="21137"/>
    <s v=" Not Achieved"/>
    <s v="Average"/>
  </r>
  <r>
    <x v="2352"/>
    <x v="2352"/>
    <s v="EMP_2353"/>
    <x v="1"/>
    <s v="EMP_2353HR"/>
    <x v="0"/>
    <x v="0"/>
    <n v="48327"/>
    <n v="4201"/>
    <n v="0"/>
    <n v="0"/>
    <s v="1/28/2020"/>
    <s v="1/28/2020"/>
    <d v="2026-02-11T00:00:00"/>
    <e v="#VALUE!"/>
    <n v="4"/>
    <n v="52528"/>
    <n v="26264"/>
    <s v=" Not Achieved"/>
    <s v="Good"/>
  </r>
  <r>
    <x v="2353"/>
    <x v="2353"/>
    <s v="EMP_2354"/>
    <x v="0"/>
    <s v="EMP_2354Sales"/>
    <x v="1"/>
    <x v="0"/>
    <n v="31592"/>
    <n v="6595"/>
    <n v="196265"/>
    <n v="97238"/>
    <s v="9/17/2019"/>
    <s v="9/17/2019"/>
    <d v="2026-02-11T00:00:00"/>
    <e v="#VALUE!"/>
    <n v="2"/>
    <n v="38187"/>
    <n v="19093.5"/>
    <s v="Achieved"/>
    <s v="Average"/>
  </r>
  <r>
    <x v="2354"/>
    <x v="2354"/>
    <s v="EMP_2355"/>
    <x v="1"/>
    <s v="EMP_2355IT"/>
    <x v="3"/>
    <x v="1"/>
    <n v="75672"/>
    <n v="14999"/>
    <n v="0"/>
    <n v="0"/>
    <s v="5/20/2019"/>
    <s v="5/20/2019"/>
    <d v="2026-02-11T00:00:00"/>
    <e v="#VALUE!"/>
    <n v="4"/>
    <n v="90671"/>
    <n v="45335.5"/>
    <s v=" Not Achieved"/>
    <s v=" Excellent"/>
  </r>
  <r>
    <x v="2355"/>
    <x v="2355"/>
    <s v="EMP_2356"/>
    <x v="0"/>
    <s v="EMP_2356HR"/>
    <x v="0"/>
    <x v="0"/>
    <n v="20817"/>
    <n v="2620"/>
    <n v="0"/>
    <n v="0"/>
    <d v="2018-12-09T00:00:00"/>
    <s v="2018"/>
    <d v="2026-02-11T00:00:00"/>
    <n v="7"/>
    <n v="1"/>
    <n v="23437"/>
    <n v="11718.5"/>
    <s v=" Not Achieved"/>
    <s v="poor"/>
  </r>
  <r>
    <x v="2356"/>
    <x v="2356"/>
    <s v="EMP_2357"/>
    <x v="1"/>
    <s v="EMP_2357Finance"/>
    <x v="2"/>
    <x v="0"/>
    <n v="59110"/>
    <n v="5780"/>
    <n v="0"/>
    <n v="0"/>
    <s v="7/29/2021"/>
    <s v="7/29/2021"/>
    <d v="2026-02-11T00:00:00"/>
    <e v="#VALUE!"/>
    <n v="2"/>
    <n v="64890"/>
    <n v="32445"/>
    <s v=" Not Achieved"/>
    <s v=" Excellent"/>
  </r>
  <r>
    <x v="2357"/>
    <x v="2357"/>
    <s v="EMP_2358"/>
    <x v="0"/>
    <s v="EMP_2358Marketing"/>
    <x v="4"/>
    <x v="4"/>
    <n v="44349"/>
    <n v="4163"/>
    <n v="0"/>
    <n v="0"/>
    <d v="2018-05-11T00:00:00"/>
    <s v="2018"/>
    <d v="2026-02-11T00:00:00"/>
    <n v="7"/>
    <n v="3"/>
    <n v="48512"/>
    <n v="24256"/>
    <s v=" Not Achieved"/>
    <s v="Good"/>
  </r>
  <r>
    <x v="2358"/>
    <x v="2358"/>
    <s v="EMP_2359"/>
    <x v="0"/>
    <s v="EMP_2359IT"/>
    <x v="3"/>
    <x v="4"/>
    <n v="23794"/>
    <n v="14269"/>
    <n v="0"/>
    <n v="0"/>
    <d v="2024-07-11T00:00:00"/>
    <s v="2024"/>
    <d v="2026-02-11T00:00:00"/>
    <n v="1"/>
    <n v="5"/>
    <n v="38063"/>
    <n v="19031.5"/>
    <s v=" Not Achieved"/>
    <s v="poor"/>
  </r>
  <r>
    <x v="2359"/>
    <x v="2359"/>
    <s v="EMP_2360"/>
    <x v="0"/>
    <s v="EMP_2360Sales"/>
    <x v="1"/>
    <x v="2"/>
    <n v="78780"/>
    <n v="6923"/>
    <n v="287805"/>
    <n v="198907"/>
    <s v="1/28/2019"/>
    <s v="1/28/2019"/>
    <d v="2026-02-11T00:00:00"/>
    <e v="#VALUE!"/>
    <n v="2"/>
    <n v="85703"/>
    <n v="42851.5"/>
    <s v="Achieved"/>
    <s v=" Excellent"/>
  </r>
  <r>
    <x v="2360"/>
    <x v="2360"/>
    <s v="EMP_2361"/>
    <x v="1"/>
    <s v="EMP_2361IT"/>
    <x v="3"/>
    <x v="4"/>
    <n v="32552"/>
    <n v="14220"/>
    <n v="0"/>
    <n v="0"/>
    <d v="2024-12-06T00:00:00"/>
    <s v="2024"/>
    <d v="2026-02-11T00:00:00"/>
    <n v="1"/>
    <n v="2"/>
    <n v="46772"/>
    <n v="23386"/>
    <s v=" Not Achieved"/>
    <s v="Average"/>
  </r>
  <r>
    <x v="2361"/>
    <x v="2361"/>
    <s v="EMP_2362"/>
    <x v="1"/>
    <s v="EMP_2362Sales"/>
    <x v="1"/>
    <x v="0"/>
    <n v="33448"/>
    <n v="4379"/>
    <n v="157272"/>
    <n v="96887"/>
    <s v="2/20/2024"/>
    <s v="2/20/2024"/>
    <d v="2026-02-11T00:00:00"/>
    <e v="#VALUE!"/>
    <n v="3"/>
    <n v="37827"/>
    <n v="18913.5"/>
    <s v="Achieved"/>
    <s v="Average"/>
  </r>
  <r>
    <x v="2362"/>
    <x v="2362"/>
    <s v="EMP_2363"/>
    <x v="0"/>
    <s v="EMP_2363Finance"/>
    <x v="2"/>
    <x v="4"/>
    <n v="65209"/>
    <n v="9702"/>
    <n v="0"/>
    <n v="0"/>
    <d v="2018-10-10T00:00:00"/>
    <s v="2018"/>
    <d v="2026-02-11T00:00:00"/>
    <n v="7"/>
    <n v="1"/>
    <n v="74911"/>
    <n v="37455.5"/>
    <s v=" Not Achieved"/>
    <s v=" Excellent"/>
  </r>
  <r>
    <x v="2363"/>
    <x v="2363"/>
    <s v="EMP_2364"/>
    <x v="0"/>
    <s v="EMP_2364HR"/>
    <x v="0"/>
    <x v="0"/>
    <n v="44439"/>
    <n v="10392"/>
    <n v="0"/>
    <n v="0"/>
    <s v="10/31/2019"/>
    <s v="10/31/2019"/>
    <d v="2026-02-11T00:00:00"/>
    <e v="#VALUE!"/>
    <n v="1"/>
    <n v="54831"/>
    <n v="27415.5"/>
    <s v=" Not Achieved"/>
    <s v="Good"/>
  </r>
  <r>
    <x v="2364"/>
    <x v="2364"/>
    <s v="EMP_2365"/>
    <x v="0"/>
    <s v="EMP_2365Sales"/>
    <x v="1"/>
    <x v="3"/>
    <n v="62655"/>
    <n v="14008"/>
    <n v="157722"/>
    <n v="89290"/>
    <s v="7/29/2020"/>
    <s v="7/29/2020"/>
    <d v="2026-02-11T00:00:00"/>
    <e v="#VALUE!"/>
    <n v="4"/>
    <n v="76663"/>
    <n v="38331.5"/>
    <s v="Achieved"/>
    <s v=" Excellent"/>
  </r>
  <r>
    <x v="2365"/>
    <x v="2365"/>
    <s v="EMP_2366"/>
    <x v="0"/>
    <s v="EMP_2366Sales"/>
    <x v="1"/>
    <x v="3"/>
    <n v="71372"/>
    <n v="4839"/>
    <n v="183435"/>
    <n v="213000"/>
    <d v="2023-08-08T00:00:00"/>
    <s v="2023"/>
    <d v="2026-02-11T00:00:00"/>
    <n v="2"/>
    <n v="1"/>
    <n v="76211"/>
    <n v="38105.5"/>
    <s v=" Not Achieved"/>
    <s v=" Excellent"/>
  </r>
  <r>
    <x v="2366"/>
    <x v="2366"/>
    <s v="EMP_2367"/>
    <x v="0"/>
    <s v="EMP_2367HR"/>
    <x v="0"/>
    <x v="2"/>
    <n v="52279"/>
    <n v="9727"/>
    <n v="0"/>
    <n v="0"/>
    <s v="7/26/2023"/>
    <s v="7/26/2023"/>
    <d v="2026-02-11T00:00:00"/>
    <e v="#VALUE!"/>
    <n v="1"/>
    <n v="62006"/>
    <n v="31003"/>
    <s v=" Not Achieved"/>
    <s v=" Excellent"/>
  </r>
  <r>
    <x v="2367"/>
    <x v="2367"/>
    <s v="EMP_2368"/>
    <x v="1"/>
    <s v="EMP_2368Sales"/>
    <x v="1"/>
    <x v="3"/>
    <n v="37645"/>
    <n v="9574"/>
    <n v="142182"/>
    <n v="151751"/>
    <s v="9/24/2020"/>
    <s v="9/24/2020"/>
    <d v="2026-02-11T00:00:00"/>
    <e v="#VALUE!"/>
    <n v="3"/>
    <n v="47219"/>
    <n v="23609.5"/>
    <s v=" Not Achieved"/>
    <s v="Average"/>
  </r>
  <r>
    <x v="2368"/>
    <x v="2368"/>
    <s v="EMP_2369"/>
    <x v="0"/>
    <s v="EMP_2369HR"/>
    <x v="0"/>
    <x v="3"/>
    <n v="44938"/>
    <n v="12789"/>
    <n v="0"/>
    <n v="0"/>
    <d v="2020-06-06T00:00:00"/>
    <s v="2020"/>
    <d v="2026-02-11T00:00:00"/>
    <n v="5"/>
    <n v="2"/>
    <n v="57727"/>
    <n v="28863.5"/>
    <s v=" Not Achieved"/>
    <s v="Good"/>
  </r>
  <r>
    <x v="2369"/>
    <x v="2369"/>
    <s v="EMP_2370"/>
    <x v="1"/>
    <s v="EMP_2370Marketing"/>
    <x v="4"/>
    <x v="0"/>
    <n v="76202"/>
    <n v="6165"/>
    <n v="0"/>
    <n v="0"/>
    <s v="9/24/2023"/>
    <s v="9/24/2023"/>
    <d v="2026-02-11T00:00:00"/>
    <e v="#VALUE!"/>
    <n v="5"/>
    <n v="82367"/>
    <n v="41183.5"/>
    <s v=" Not Achieved"/>
    <s v=" Excellent"/>
  </r>
  <r>
    <x v="2370"/>
    <x v="2370"/>
    <s v="EMP_2371"/>
    <x v="0"/>
    <s v="EMP_2371HR"/>
    <x v="0"/>
    <x v="3"/>
    <n v="63077"/>
    <n v="14270"/>
    <n v="0"/>
    <n v="0"/>
    <d v="2024-08-09T00:00:00"/>
    <s v="2024"/>
    <d v="2026-02-11T00:00:00"/>
    <n v="1"/>
    <n v="1"/>
    <n v="77347"/>
    <n v="38673.5"/>
    <s v=" Not Achieved"/>
    <s v=" Excellent"/>
  </r>
  <r>
    <x v="2371"/>
    <x v="2371"/>
    <s v="EMP_2372"/>
    <x v="1"/>
    <s v="EMP_2372IT"/>
    <x v="3"/>
    <x v="3"/>
    <n v="59091"/>
    <n v="2725"/>
    <n v="0"/>
    <n v="0"/>
    <d v="2021-12-08T00:00:00"/>
    <s v="2021"/>
    <d v="2026-02-11T00:00:00"/>
    <n v="4"/>
    <n v="5"/>
    <n v="61816"/>
    <n v="30908"/>
    <s v=" Not Achieved"/>
    <s v=" Excellent"/>
  </r>
  <r>
    <x v="2372"/>
    <x v="2372"/>
    <s v="EMP_2373"/>
    <x v="0"/>
    <s v="EMP_2373Marketing"/>
    <x v="4"/>
    <x v="3"/>
    <n v="39298"/>
    <n v="12262"/>
    <n v="0"/>
    <n v="0"/>
    <d v="2023-05-05T00:00:00"/>
    <s v="2023"/>
    <d v="2026-02-11T00:00:00"/>
    <n v="2"/>
    <n v="5"/>
    <n v="51560"/>
    <n v="25780"/>
    <s v=" Not Achieved"/>
    <s v="Average"/>
  </r>
  <r>
    <x v="2373"/>
    <x v="2373"/>
    <s v="EMP_2374"/>
    <x v="1"/>
    <s v="EMP_2374Marketing"/>
    <x v="4"/>
    <x v="4"/>
    <n v="20654"/>
    <n v="9284"/>
    <n v="0"/>
    <n v="0"/>
    <s v="12/23/2019"/>
    <s v="12/23/2019"/>
    <d v="2026-02-11T00:00:00"/>
    <e v="#VALUE!"/>
    <n v="1"/>
    <n v="29938"/>
    <n v="14969"/>
    <s v=" Not Achieved"/>
    <s v="poor"/>
  </r>
  <r>
    <x v="2374"/>
    <x v="2374"/>
    <s v="EMP_2375"/>
    <x v="0"/>
    <s v="EMP_2375HR"/>
    <x v="0"/>
    <x v="2"/>
    <n v="79157"/>
    <n v="4410"/>
    <n v="0"/>
    <n v="0"/>
    <d v="2023-07-06T00:00:00"/>
    <s v="2023"/>
    <d v="2026-02-11T00:00:00"/>
    <n v="2"/>
    <n v="5"/>
    <n v="83567"/>
    <n v="41783.5"/>
    <s v=" Not Achieved"/>
    <s v=" Excellent"/>
  </r>
  <r>
    <x v="2375"/>
    <x v="2375"/>
    <s v="EMP_2376"/>
    <x v="1"/>
    <s v="EMP_2376Finance"/>
    <x v="2"/>
    <x v="2"/>
    <n v="57828"/>
    <n v="6570"/>
    <n v="0"/>
    <n v="0"/>
    <d v="2023-10-11T00:00:00"/>
    <s v="2023"/>
    <d v="2026-02-11T00:00:00"/>
    <n v="2"/>
    <n v="4"/>
    <n v="64398"/>
    <n v="32199"/>
    <s v=" Not Achieved"/>
    <s v=" Excellent"/>
  </r>
  <r>
    <x v="2376"/>
    <x v="2376"/>
    <s v="EMP_2377"/>
    <x v="1"/>
    <s v="EMP_2377IT"/>
    <x v="3"/>
    <x v="1"/>
    <n v="72599"/>
    <n v="13096"/>
    <n v="0"/>
    <n v="0"/>
    <d v="2023-05-06T00:00:00"/>
    <s v="2023"/>
    <d v="2026-02-11T00:00:00"/>
    <n v="2"/>
    <n v="3"/>
    <n v="85695"/>
    <n v="42847.5"/>
    <s v=" Not Achieved"/>
    <s v=" Excellent"/>
  </r>
  <r>
    <x v="2377"/>
    <x v="2377"/>
    <s v="EMP_2378"/>
    <x v="1"/>
    <s v="EMP_2378IT"/>
    <x v="3"/>
    <x v="4"/>
    <n v="23379"/>
    <n v="3596"/>
    <n v="0"/>
    <n v="0"/>
    <s v="1/15/2020"/>
    <s v="1/15/2020"/>
    <d v="2026-02-11T00:00:00"/>
    <e v="#VALUE!"/>
    <n v="5"/>
    <n v="26975"/>
    <n v="13487.5"/>
    <s v=" Not Achieved"/>
    <s v="poor"/>
  </r>
  <r>
    <x v="2378"/>
    <x v="2378"/>
    <s v="EMP_2379"/>
    <x v="1"/>
    <s v="EMP_2379IT"/>
    <x v="3"/>
    <x v="4"/>
    <n v="64545"/>
    <n v="8816"/>
    <n v="0"/>
    <n v="0"/>
    <s v="3/20/2019"/>
    <s v="3/20/2019"/>
    <d v="2026-02-11T00:00:00"/>
    <e v="#VALUE!"/>
    <n v="2"/>
    <n v="73361"/>
    <n v="36680.5"/>
    <s v=" Not Achieved"/>
    <s v=" Excellent"/>
  </r>
  <r>
    <x v="2379"/>
    <x v="2379"/>
    <s v="EMP_2380"/>
    <x v="0"/>
    <s v="EMP_2380IT"/>
    <x v="3"/>
    <x v="3"/>
    <n v="73482"/>
    <n v="4471"/>
    <n v="0"/>
    <n v="0"/>
    <d v="2023-11-05T00:00:00"/>
    <s v="2023"/>
    <d v="2026-02-11T00:00:00"/>
    <n v="2"/>
    <n v="2"/>
    <n v="77953"/>
    <n v="38976.5"/>
    <s v=" Not Achieved"/>
    <s v=" Excellent"/>
  </r>
  <r>
    <x v="2380"/>
    <x v="2380"/>
    <s v="EMP_2381"/>
    <x v="1"/>
    <s v="EMP_2381Finance"/>
    <x v="2"/>
    <x v="3"/>
    <n v="68491"/>
    <n v="10521"/>
    <n v="0"/>
    <n v="0"/>
    <s v="2/21/2019"/>
    <s v="2/21/2019"/>
    <d v="2026-02-11T00:00:00"/>
    <e v="#VALUE!"/>
    <n v="5"/>
    <n v="79012"/>
    <n v="39506"/>
    <s v=" Not Achieved"/>
    <s v=" Excellent"/>
  </r>
  <r>
    <x v="2381"/>
    <x v="2381"/>
    <s v="EMP_2382"/>
    <x v="0"/>
    <s v="EMP_2382IT"/>
    <x v="3"/>
    <x v="1"/>
    <n v="22937"/>
    <n v="3007"/>
    <n v="0"/>
    <n v="0"/>
    <d v="2018-04-03T00:00:00"/>
    <s v="2018"/>
    <d v="2026-02-11T00:00:00"/>
    <n v="7"/>
    <n v="1"/>
    <n v="25944"/>
    <n v="12972"/>
    <s v=" Not Achieved"/>
    <s v="poor"/>
  </r>
  <r>
    <x v="2382"/>
    <x v="2382"/>
    <s v="EMP_2383"/>
    <x v="1"/>
    <s v="EMP_2383IT"/>
    <x v="3"/>
    <x v="3"/>
    <n v="28408"/>
    <n v="13188"/>
    <n v="0"/>
    <n v="0"/>
    <d v="2024-07-11T00:00:00"/>
    <s v="2024"/>
    <d v="2026-02-11T00:00:00"/>
    <n v="1"/>
    <n v="5"/>
    <n v="41596"/>
    <n v="20798"/>
    <s v=" Not Achieved"/>
    <s v="poor"/>
  </r>
  <r>
    <x v="2383"/>
    <x v="2383"/>
    <s v="EMP_2384"/>
    <x v="0"/>
    <s v="EMP_2384Sales"/>
    <x v="1"/>
    <x v="3"/>
    <n v="71668"/>
    <n v="7510"/>
    <n v="211574"/>
    <n v="84655"/>
    <d v="2018-03-05T00:00:00"/>
    <s v="2018"/>
    <d v="2026-02-11T00:00:00"/>
    <n v="7"/>
    <n v="5"/>
    <n v="79178"/>
    <n v="39589"/>
    <s v="Achieved"/>
    <s v=" Excellent"/>
  </r>
  <r>
    <x v="2384"/>
    <x v="2384"/>
    <s v="EMP_2385"/>
    <x v="1"/>
    <s v="EMP_2385HR"/>
    <x v="0"/>
    <x v="2"/>
    <n v="71760"/>
    <n v="7288"/>
    <n v="0"/>
    <n v="0"/>
    <d v="2022-03-11T00:00:00"/>
    <s v="2022"/>
    <d v="2026-02-11T00:00:00"/>
    <n v="3"/>
    <n v="5"/>
    <n v="79048"/>
    <n v="39524"/>
    <s v=" Not Achieved"/>
    <s v=" Excellent"/>
  </r>
  <r>
    <x v="2385"/>
    <x v="2385"/>
    <s v="EMP_2386"/>
    <x v="1"/>
    <s v="EMP_2386IT"/>
    <x v="3"/>
    <x v="4"/>
    <n v="58749"/>
    <n v="9562"/>
    <n v="0"/>
    <n v="0"/>
    <d v="2021-01-10T00:00:00"/>
    <s v="2021"/>
    <d v="2026-02-11T00:00:00"/>
    <n v="5"/>
    <n v="1"/>
    <n v="68311"/>
    <n v="34155.5"/>
    <s v=" Not Achieved"/>
    <s v=" Excellent"/>
  </r>
  <r>
    <x v="2386"/>
    <x v="2386"/>
    <s v="EMP_2387"/>
    <x v="1"/>
    <s v="EMP_2387Marketing"/>
    <x v="4"/>
    <x v="0"/>
    <n v="70025"/>
    <n v="5895"/>
    <n v="0"/>
    <n v="0"/>
    <d v="2022-12-06T00:00:00"/>
    <s v="2022"/>
    <d v="2026-02-11T00:00:00"/>
    <n v="3"/>
    <n v="3"/>
    <n v="75920"/>
    <n v="37960"/>
    <s v=" Not Achieved"/>
    <s v=" Excellent"/>
  </r>
  <r>
    <x v="2387"/>
    <x v="2387"/>
    <s v="EMP_2388"/>
    <x v="1"/>
    <s v="EMP_2388Sales"/>
    <x v="1"/>
    <x v="0"/>
    <n v="43760"/>
    <n v="12523"/>
    <n v="290678"/>
    <n v="126293"/>
    <s v="6/14/2018"/>
    <s v="6/14/2018"/>
    <d v="2026-02-11T00:00:00"/>
    <e v="#VALUE!"/>
    <n v="1"/>
    <n v="56283"/>
    <n v="28141.5"/>
    <s v="Achieved"/>
    <s v="Good"/>
  </r>
  <r>
    <x v="2388"/>
    <x v="2388"/>
    <s v="EMP_2389"/>
    <x v="0"/>
    <s v="EMP_2389HR"/>
    <x v="0"/>
    <x v="1"/>
    <n v="55498"/>
    <n v="4685"/>
    <n v="0"/>
    <n v="0"/>
    <d v="2022-04-03T00:00:00"/>
    <s v="2022"/>
    <d v="2026-02-11T00:00:00"/>
    <n v="3"/>
    <n v="1"/>
    <n v="60183"/>
    <n v="30091.5"/>
    <s v=" Not Achieved"/>
    <s v=" Excellent"/>
  </r>
  <r>
    <x v="2389"/>
    <x v="2389"/>
    <s v="EMP_2390"/>
    <x v="0"/>
    <s v="EMP_2390Finance"/>
    <x v="2"/>
    <x v="4"/>
    <n v="20977"/>
    <n v="2191"/>
    <n v="0"/>
    <n v="0"/>
    <d v="2022-04-04T00:00:00"/>
    <s v="2022"/>
    <d v="2026-02-11T00:00:00"/>
    <n v="3"/>
    <n v="4"/>
    <n v="23168"/>
    <n v="11584"/>
    <s v=" Not Achieved"/>
    <s v="poor"/>
  </r>
  <r>
    <x v="2390"/>
    <x v="2390"/>
    <s v="EMP_2391"/>
    <x v="1"/>
    <s v="EMP_2391Finance"/>
    <x v="2"/>
    <x v="2"/>
    <n v="68893"/>
    <n v="12944"/>
    <n v="0"/>
    <n v="0"/>
    <s v="6/19/2018"/>
    <s v="6/19/2018"/>
    <d v="2026-02-11T00:00:00"/>
    <e v="#VALUE!"/>
    <n v="2"/>
    <n v="81837"/>
    <n v="40918.5"/>
    <s v=" Not Achieved"/>
    <s v=" Excellent"/>
  </r>
  <r>
    <x v="2391"/>
    <x v="2391"/>
    <s v="EMP_2392"/>
    <x v="1"/>
    <s v="EMP_2392Sales"/>
    <x v="1"/>
    <x v="4"/>
    <n v="70346"/>
    <n v="9349"/>
    <n v="119561"/>
    <n v="220138"/>
    <s v="3/28/2020"/>
    <s v="3/28/2020"/>
    <d v="2026-02-11T00:00:00"/>
    <e v="#VALUE!"/>
    <n v="4"/>
    <n v="79695"/>
    <n v="39847.5"/>
    <s v=" Not Achieved"/>
    <s v=" Excellent"/>
  </r>
  <r>
    <x v="2392"/>
    <x v="2392"/>
    <s v="EMP_2393"/>
    <x v="0"/>
    <s v="EMP_2393IT"/>
    <x v="3"/>
    <x v="3"/>
    <n v="61681"/>
    <n v="5846"/>
    <n v="0"/>
    <n v="0"/>
    <s v="1/30/2020"/>
    <s v="1/30/2020"/>
    <d v="2026-02-11T00:00:00"/>
    <e v="#VALUE!"/>
    <n v="3"/>
    <n v="67527"/>
    <n v="33763.5"/>
    <s v=" Not Achieved"/>
    <s v=" Excellent"/>
  </r>
  <r>
    <x v="2393"/>
    <x v="2393"/>
    <s v="EMP_2394"/>
    <x v="1"/>
    <s v="EMP_2394IT"/>
    <x v="3"/>
    <x v="1"/>
    <n v="38090"/>
    <n v="7851"/>
    <n v="0"/>
    <n v="0"/>
    <s v="2/15/2020"/>
    <s v="2/15/2020"/>
    <d v="2026-02-11T00:00:00"/>
    <e v="#VALUE!"/>
    <n v="3"/>
    <n v="45941"/>
    <n v="22970.5"/>
    <s v=" Not Achieved"/>
    <s v="Average"/>
  </r>
  <r>
    <x v="2394"/>
    <x v="2394"/>
    <s v="EMP_2395"/>
    <x v="0"/>
    <s v="EMP_2395HR"/>
    <x v="0"/>
    <x v="2"/>
    <n v="51854"/>
    <n v="11764"/>
    <n v="0"/>
    <n v="0"/>
    <d v="2018-06-09T00:00:00"/>
    <s v="2018"/>
    <d v="2026-02-11T00:00:00"/>
    <n v="7"/>
    <n v="1"/>
    <n v="63618"/>
    <n v="31809"/>
    <s v=" Not Achieved"/>
    <s v=" Excellent"/>
  </r>
  <r>
    <x v="2395"/>
    <x v="2395"/>
    <s v="EMP_2396"/>
    <x v="1"/>
    <s v="EMP_2396HR"/>
    <x v="0"/>
    <x v="0"/>
    <n v="26283"/>
    <n v="5748"/>
    <n v="0"/>
    <n v="0"/>
    <s v="6/15/2024"/>
    <s v="6/15/2024"/>
    <d v="2026-02-11T00:00:00"/>
    <e v="#VALUE!"/>
    <n v="5"/>
    <n v="32031"/>
    <n v="16015.5"/>
    <s v=" Not Achieved"/>
    <s v="poor"/>
  </r>
  <r>
    <x v="2396"/>
    <x v="2396"/>
    <s v="EMP_2397"/>
    <x v="1"/>
    <s v="EMP_2397IT"/>
    <x v="3"/>
    <x v="2"/>
    <n v="78360"/>
    <n v="13370"/>
    <n v="0"/>
    <n v="0"/>
    <d v="2020-08-11T00:00:00"/>
    <s v="2020"/>
    <d v="2026-02-11T00:00:00"/>
    <n v="5"/>
    <n v="5"/>
    <n v="91730"/>
    <n v="45865"/>
    <s v=" Not Achieved"/>
    <s v=" Excellent"/>
  </r>
  <r>
    <x v="2397"/>
    <x v="2397"/>
    <s v="EMP_2398"/>
    <x v="1"/>
    <s v="EMP_2398Marketing"/>
    <x v="4"/>
    <x v="3"/>
    <n v="52200"/>
    <n v="8654"/>
    <n v="0"/>
    <n v="0"/>
    <s v="3/17/2020"/>
    <s v="3/17/2020"/>
    <d v="2026-02-11T00:00:00"/>
    <e v="#VALUE!"/>
    <n v="3"/>
    <n v="60854"/>
    <n v="30427"/>
    <s v=" Not Achieved"/>
    <s v=" Excellent"/>
  </r>
  <r>
    <x v="2398"/>
    <x v="2398"/>
    <s v="EMP_2399"/>
    <x v="0"/>
    <s v="EMP_2399HR"/>
    <x v="0"/>
    <x v="1"/>
    <n v="59725"/>
    <n v="5194"/>
    <n v="0"/>
    <n v="0"/>
    <d v="2020-09-12T00:00:00"/>
    <s v="2020"/>
    <d v="2026-02-11T00:00:00"/>
    <n v="5"/>
    <n v="3"/>
    <n v="64919"/>
    <n v="32459.5"/>
    <s v=" Not Achieved"/>
    <s v=" Excellent"/>
  </r>
  <r>
    <x v="2399"/>
    <x v="2399"/>
    <s v="EMP_2400"/>
    <x v="0"/>
    <s v="EMP_2400Marketing"/>
    <x v="4"/>
    <x v="4"/>
    <n v="56569"/>
    <n v="13472"/>
    <n v="0"/>
    <n v="0"/>
    <d v="2020-12-01T00:00:00"/>
    <s v="2020"/>
    <d v="2026-02-11T00:00:00"/>
    <n v="5"/>
    <n v="3"/>
    <n v="70041"/>
    <n v="35020.5"/>
    <s v=" Not Achieved"/>
    <s v=" Excellent"/>
  </r>
  <r>
    <x v="2400"/>
    <x v="2400"/>
    <s v="EMP_2401"/>
    <x v="1"/>
    <s v="EMP_2401Marketing"/>
    <x v="4"/>
    <x v="4"/>
    <n v="69638"/>
    <n v="12559"/>
    <n v="0"/>
    <n v="0"/>
    <s v="4/16/2021"/>
    <s v="4/16/2021"/>
    <d v="2026-02-11T00:00:00"/>
    <e v="#VALUE!"/>
    <n v="2"/>
    <n v="82197"/>
    <n v="41098.5"/>
    <s v=" Not Achieved"/>
    <s v=" Excellent"/>
  </r>
  <r>
    <x v="2401"/>
    <x v="2401"/>
    <s v="EMP_2402"/>
    <x v="1"/>
    <s v="EMP_2402IT"/>
    <x v="3"/>
    <x v="1"/>
    <n v="20005"/>
    <n v="2378"/>
    <n v="0"/>
    <n v="0"/>
    <d v="2019-11-07T00:00:00"/>
    <s v="2019"/>
    <d v="2026-02-11T00:00:00"/>
    <n v="6"/>
    <n v="5"/>
    <n v="22383"/>
    <n v="11191.5"/>
    <s v=" Not Achieved"/>
    <s v="poor"/>
  </r>
  <r>
    <x v="2402"/>
    <x v="2402"/>
    <s v="EMP_2403"/>
    <x v="1"/>
    <s v="EMP_2403Finance"/>
    <x v="2"/>
    <x v="1"/>
    <n v="68119"/>
    <n v="4483"/>
    <n v="0"/>
    <n v="0"/>
    <s v="11/23/2022"/>
    <s v="11/23/2022"/>
    <d v="2026-02-11T00:00:00"/>
    <e v="#VALUE!"/>
    <n v="3"/>
    <n v="72602"/>
    <n v="36301"/>
    <s v=" Not Achieved"/>
    <s v=" Excellent"/>
  </r>
  <r>
    <x v="2403"/>
    <x v="2403"/>
    <s v="EMP_2404"/>
    <x v="0"/>
    <s v="EMP_2404Sales"/>
    <x v="1"/>
    <x v="0"/>
    <n v="25072"/>
    <n v="3277"/>
    <n v="113626"/>
    <n v="209158"/>
    <s v="9/17/2019"/>
    <s v="9/17/2019"/>
    <d v="2026-02-11T00:00:00"/>
    <e v="#VALUE!"/>
    <n v="1"/>
    <n v="28349"/>
    <n v="14174.5"/>
    <s v=" Not Achieved"/>
    <s v="poor"/>
  </r>
  <r>
    <x v="2404"/>
    <x v="2404"/>
    <s v="EMP_2405"/>
    <x v="0"/>
    <s v="EMP_2405HR"/>
    <x v="0"/>
    <x v="0"/>
    <n v="27423"/>
    <n v="12275"/>
    <n v="0"/>
    <n v="0"/>
    <s v="1/18/2020"/>
    <s v="1/18/2020"/>
    <d v="2026-02-11T00:00:00"/>
    <e v="#VALUE!"/>
    <n v="5"/>
    <n v="39698"/>
    <n v="19849"/>
    <s v=" Not Achieved"/>
    <s v="poor"/>
  </r>
  <r>
    <x v="2405"/>
    <x v="2405"/>
    <s v="EMP_2406"/>
    <x v="1"/>
    <s v="EMP_2406IT"/>
    <x v="3"/>
    <x v="4"/>
    <n v="60618"/>
    <n v="13900"/>
    <n v="0"/>
    <n v="0"/>
    <s v="8/17/2024"/>
    <s v="8/17/2024"/>
    <d v="2026-02-11T00:00:00"/>
    <e v="#VALUE!"/>
    <n v="4"/>
    <n v="74518"/>
    <n v="37259"/>
    <s v=" Not Achieved"/>
    <s v=" Excellent"/>
  </r>
  <r>
    <x v="2406"/>
    <x v="2406"/>
    <s v="EMP_2407"/>
    <x v="1"/>
    <s v="EMP_2407HR"/>
    <x v="0"/>
    <x v="4"/>
    <n v="57397"/>
    <n v="11451"/>
    <n v="0"/>
    <n v="0"/>
    <s v="7/17/2022"/>
    <s v="7/17/2022"/>
    <d v="2026-02-11T00:00:00"/>
    <e v="#VALUE!"/>
    <n v="2"/>
    <n v="68848"/>
    <n v="34424"/>
    <s v=" Not Achieved"/>
    <s v=" Excellent"/>
  </r>
  <r>
    <x v="2407"/>
    <x v="2407"/>
    <s v="EMP_2408"/>
    <x v="0"/>
    <s v="EMP_2408HR"/>
    <x v="0"/>
    <x v="4"/>
    <n v="64441"/>
    <n v="10707"/>
    <n v="0"/>
    <n v="0"/>
    <s v="9/17/2021"/>
    <s v="9/17/2021"/>
    <d v="2026-02-11T00:00:00"/>
    <e v="#VALUE!"/>
    <n v="2"/>
    <n v="75148"/>
    <n v="37574"/>
    <s v=" Not Achieved"/>
    <s v=" Excellent"/>
  </r>
  <r>
    <x v="2408"/>
    <x v="2408"/>
    <s v="EMP_2409"/>
    <x v="1"/>
    <s v="EMP_2409Finance"/>
    <x v="2"/>
    <x v="0"/>
    <n v="79941"/>
    <n v="7714"/>
    <n v="0"/>
    <n v="0"/>
    <s v="11/21/2020"/>
    <s v="11/21/2020"/>
    <d v="2026-02-11T00:00:00"/>
    <e v="#VALUE!"/>
    <n v="1"/>
    <n v="87655"/>
    <n v="43827.5"/>
    <s v=" Not Achieved"/>
    <s v=" Excellent"/>
  </r>
  <r>
    <x v="2409"/>
    <x v="2409"/>
    <s v="EMP_2410"/>
    <x v="0"/>
    <s v="EMP_2410HR"/>
    <x v="0"/>
    <x v="0"/>
    <n v="63352"/>
    <n v="7939"/>
    <n v="0"/>
    <n v="0"/>
    <s v="5/29/2018"/>
    <s v="5/29/2018"/>
    <d v="2026-02-11T00:00:00"/>
    <e v="#VALUE!"/>
    <n v="5"/>
    <n v="71291"/>
    <n v="35645.5"/>
    <s v=" Not Achieved"/>
    <s v=" Excellent"/>
  </r>
  <r>
    <x v="2410"/>
    <x v="2410"/>
    <s v="EMP_2411"/>
    <x v="1"/>
    <s v="EMP_2411HR"/>
    <x v="0"/>
    <x v="0"/>
    <n v="33768"/>
    <n v="6955"/>
    <n v="0"/>
    <n v="0"/>
    <s v="3/15/2021"/>
    <s v="3/15/2021"/>
    <d v="2026-02-11T00:00:00"/>
    <e v="#VALUE!"/>
    <n v="2"/>
    <n v="40723"/>
    <n v="20361.5"/>
    <s v=" Not Achieved"/>
    <s v="Average"/>
  </r>
  <r>
    <x v="2411"/>
    <x v="2411"/>
    <s v="EMP_2412"/>
    <x v="1"/>
    <s v="EMP_2412HR"/>
    <x v="0"/>
    <x v="0"/>
    <n v="40776"/>
    <n v="11766"/>
    <n v="0"/>
    <n v="0"/>
    <s v="11/14/2023"/>
    <s v="11/14/2023"/>
    <d v="2026-02-11T00:00:00"/>
    <e v="#VALUE!"/>
    <n v="3"/>
    <n v="52542"/>
    <n v="26271"/>
    <s v=" Not Achieved"/>
    <s v="Good"/>
  </r>
  <r>
    <x v="2412"/>
    <x v="2412"/>
    <s v="EMP_2413"/>
    <x v="1"/>
    <s v="EMP_2413HR"/>
    <x v="0"/>
    <x v="2"/>
    <n v="45454"/>
    <n v="9817"/>
    <n v="0"/>
    <n v="0"/>
    <d v="2024-06-07T00:00:00"/>
    <s v="2024"/>
    <d v="2026-02-11T00:00:00"/>
    <n v="1"/>
    <n v="3"/>
    <n v="55271"/>
    <n v="27635.5"/>
    <s v=" Not Achieved"/>
    <s v="Good"/>
  </r>
  <r>
    <x v="2413"/>
    <x v="2413"/>
    <s v="EMP_2414"/>
    <x v="0"/>
    <s v="EMP_2414Marketing"/>
    <x v="4"/>
    <x v="4"/>
    <n v="50916"/>
    <n v="13572"/>
    <n v="0"/>
    <n v="0"/>
    <s v="8/14/2021"/>
    <s v="8/14/2021"/>
    <d v="2026-02-11T00:00:00"/>
    <e v="#VALUE!"/>
    <n v="1"/>
    <n v="64488"/>
    <n v="32244"/>
    <s v=" Not Achieved"/>
    <s v=" Excellent"/>
  </r>
  <r>
    <x v="2414"/>
    <x v="2414"/>
    <s v="EMP_2415"/>
    <x v="1"/>
    <s v="EMP_2415HR"/>
    <x v="0"/>
    <x v="0"/>
    <n v="57579"/>
    <n v="2322"/>
    <n v="0"/>
    <n v="0"/>
    <d v="2022-02-11T00:00:00"/>
    <s v="2022"/>
    <d v="2026-02-11T00:00:00"/>
    <n v="4"/>
    <n v="5"/>
    <n v="59901"/>
    <n v="29950.5"/>
    <s v=" Not Achieved"/>
    <s v=" Excellent"/>
  </r>
  <r>
    <x v="2415"/>
    <x v="2415"/>
    <s v="EMP_2416"/>
    <x v="0"/>
    <s v="EMP_2416HR"/>
    <x v="0"/>
    <x v="4"/>
    <n v="45301"/>
    <n v="13641"/>
    <n v="0"/>
    <n v="0"/>
    <s v="3/31/2024"/>
    <s v="3/31/2024"/>
    <d v="2026-02-11T00:00:00"/>
    <e v="#VALUE!"/>
    <n v="1"/>
    <n v="58942"/>
    <n v="29471"/>
    <s v=" Not Achieved"/>
    <s v="Good"/>
  </r>
  <r>
    <x v="2416"/>
    <x v="2416"/>
    <s v="EMP_2417"/>
    <x v="1"/>
    <s v="EMP_2417HR"/>
    <x v="0"/>
    <x v="0"/>
    <n v="63551"/>
    <n v="3325"/>
    <n v="0"/>
    <n v="0"/>
    <s v="11/27/2024"/>
    <s v="11/27/2024"/>
    <d v="2026-02-11T00:00:00"/>
    <e v="#VALUE!"/>
    <n v="2"/>
    <n v="66876"/>
    <n v="33438"/>
    <s v=" Not Achieved"/>
    <s v=" Excellent"/>
  </r>
  <r>
    <x v="2417"/>
    <x v="2417"/>
    <s v="EMP_2418"/>
    <x v="0"/>
    <s v="EMP_2418Marketing"/>
    <x v="4"/>
    <x v="4"/>
    <n v="51817"/>
    <n v="13211"/>
    <n v="0"/>
    <n v="0"/>
    <d v="2024-05-08T00:00:00"/>
    <s v="2024"/>
    <d v="2026-02-11T00:00:00"/>
    <n v="1"/>
    <n v="5"/>
    <n v="65028"/>
    <n v="32514"/>
    <s v=" Not Achieved"/>
    <s v=" Excellent"/>
  </r>
  <r>
    <x v="2418"/>
    <x v="2418"/>
    <s v="EMP_2419"/>
    <x v="1"/>
    <s v="EMP_2419Finance"/>
    <x v="2"/>
    <x v="2"/>
    <n v="45891"/>
    <n v="7056"/>
    <n v="0"/>
    <n v="0"/>
    <s v="3/28/2020"/>
    <s v="3/28/2020"/>
    <d v="2026-02-11T00:00:00"/>
    <e v="#VALUE!"/>
    <n v="1"/>
    <n v="52947"/>
    <n v="26473.5"/>
    <s v=" Not Achieved"/>
    <s v="Good"/>
  </r>
  <r>
    <x v="2419"/>
    <x v="2419"/>
    <s v="EMP_2420"/>
    <x v="1"/>
    <s v="EMP_2420HR"/>
    <x v="0"/>
    <x v="4"/>
    <n v="75891"/>
    <n v="8843"/>
    <n v="0"/>
    <n v="0"/>
    <d v="2018-11-02T00:00:00"/>
    <s v="2018"/>
    <d v="2026-02-11T00:00:00"/>
    <n v="7"/>
    <n v="5"/>
    <n v="84734"/>
    <n v="42367"/>
    <s v=" Not Achieved"/>
    <s v=" Excellent"/>
  </r>
  <r>
    <x v="2420"/>
    <x v="2420"/>
    <s v="EMP_2421"/>
    <x v="0"/>
    <s v="EMP_2421Marketing"/>
    <x v="4"/>
    <x v="1"/>
    <n v="44220"/>
    <n v="13028"/>
    <n v="0"/>
    <n v="0"/>
    <s v="3/27/2023"/>
    <s v="3/27/2023"/>
    <d v="2026-02-11T00:00:00"/>
    <e v="#VALUE!"/>
    <n v="1"/>
    <n v="57248"/>
    <n v="28624"/>
    <s v=" Not Achieved"/>
    <s v="Good"/>
  </r>
  <r>
    <x v="2421"/>
    <x v="2421"/>
    <s v="EMP_2422"/>
    <x v="0"/>
    <s v="EMP_2422HR"/>
    <x v="0"/>
    <x v="1"/>
    <n v="76854"/>
    <n v="4046"/>
    <n v="0"/>
    <n v="0"/>
    <s v="3/14/2021"/>
    <s v="3/14/2021"/>
    <d v="2026-02-11T00:00:00"/>
    <e v="#VALUE!"/>
    <n v="2"/>
    <n v="80900"/>
    <n v="40450"/>
    <s v=" Not Achieved"/>
    <s v=" Excellent"/>
  </r>
  <r>
    <x v="2422"/>
    <x v="2422"/>
    <s v="EMP_2423"/>
    <x v="0"/>
    <s v="EMP_2423Sales"/>
    <x v="1"/>
    <x v="3"/>
    <n v="29647"/>
    <n v="11039"/>
    <n v="73571"/>
    <n v="84680"/>
    <s v="3/17/2023"/>
    <s v="3/17/2023"/>
    <d v="2026-02-11T00:00:00"/>
    <e v="#VALUE!"/>
    <n v="4"/>
    <n v="40686"/>
    <n v="20343"/>
    <s v=" Not Achieved"/>
    <s v="poor"/>
  </r>
  <r>
    <x v="2423"/>
    <x v="2423"/>
    <s v="EMP_2424"/>
    <x v="0"/>
    <s v="EMP_2424Sales"/>
    <x v="1"/>
    <x v="4"/>
    <n v="24902"/>
    <n v="11943"/>
    <n v="88365"/>
    <n v="176459"/>
    <d v="2023-07-07T00:00:00"/>
    <s v="2023"/>
    <d v="2026-02-11T00:00:00"/>
    <n v="2"/>
    <n v="3"/>
    <n v="36845"/>
    <n v="18422.5"/>
    <s v=" Not Achieved"/>
    <s v="poor"/>
  </r>
  <r>
    <x v="2424"/>
    <x v="2424"/>
    <s v="EMP_2425"/>
    <x v="0"/>
    <s v="EMP_2425Marketing"/>
    <x v="4"/>
    <x v="2"/>
    <n v="26845"/>
    <n v="8048"/>
    <n v="0"/>
    <n v="0"/>
    <s v="5/27/2022"/>
    <s v="5/27/2022"/>
    <d v="2026-02-11T00:00:00"/>
    <e v="#VALUE!"/>
    <n v="5"/>
    <n v="34893"/>
    <n v="17446.5"/>
    <s v=" Not Achieved"/>
    <s v="poor"/>
  </r>
  <r>
    <x v="2425"/>
    <x v="2425"/>
    <s v="EMP_2426"/>
    <x v="1"/>
    <s v="EMP_2426IT"/>
    <x v="3"/>
    <x v="4"/>
    <n v="45128"/>
    <n v="9413"/>
    <n v="0"/>
    <n v="0"/>
    <s v="2/23/2023"/>
    <s v="2/23/2023"/>
    <d v="2026-02-11T00:00:00"/>
    <e v="#VALUE!"/>
    <n v="5"/>
    <n v="54541"/>
    <n v="27270.5"/>
    <s v=" Not Achieved"/>
    <s v="Good"/>
  </r>
  <r>
    <x v="2426"/>
    <x v="2426"/>
    <s v="EMP_2427"/>
    <x v="1"/>
    <s v="EMP_2427HR"/>
    <x v="0"/>
    <x v="4"/>
    <n v="29694"/>
    <n v="8345"/>
    <n v="0"/>
    <n v="0"/>
    <s v="9/20/2019"/>
    <s v="9/20/2019"/>
    <d v="2026-02-11T00:00:00"/>
    <e v="#VALUE!"/>
    <n v="1"/>
    <n v="38039"/>
    <n v="19019.5"/>
    <s v=" Not Achieved"/>
    <s v="poor"/>
  </r>
  <r>
    <x v="2427"/>
    <x v="2427"/>
    <s v="EMP_2428"/>
    <x v="1"/>
    <s v="EMP_2428IT"/>
    <x v="3"/>
    <x v="0"/>
    <n v="47666"/>
    <n v="7396"/>
    <n v="0"/>
    <n v="0"/>
    <d v="2020-06-05T00:00:00"/>
    <s v="2020"/>
    <d v="2026-02-11T00:00:00"/>
    <n v="5"/>
    <n v="4"/>
    <n v="55062"/>
    <n v="27531"/>
    <s v=" Not Achieved"/>
    <s v="Good"/>
  </r>
  <r>
    <x v="2428"/>
    <x v="2428"/>
    <s v="EMP_2429"/>
    <x v="0"/>
    <s v="EMP_2429HR"/>
    <x v="0"/>
    <x v="3"/>
    <n v="79777"/>
    <n v="13421"/>
    <n v="0"/>
    <n v="0"/>
    <s v="1/24/2019"/>
    <s v="1/24/2019"/>
    <d v="2026-02-11T00:00:00"/>
    <e v="#VALUE!"/>
    <n v="5"/>
    <n v="93198"/>
    <n v="46599"/>
    <s v=" Not Achieved"/>
    <s v=" Excellent"/>
  </r>
  <r>
    <x v="2429"/>
    <x v="2429"/>
    <s v="EMP_2430"/>
    <x v="0"/>
    <s v="EMP_2430IT"/>
    <x v="3"/>
    <x v="0"/>
    <n v="78786"/>
    <n v="12957"/>
    <n v="0"/>
    <n v="0"/>
    <d v="2022-02-03T00:00:00"/>
    <s v="2022"/>
    <d v="2026-02-11T00:00:00"/>
    <n v="4"/>
    <n v="1"/>
    <n v="91743"/>
    <n v="45871.5"/>
    <s v=" Not Achieved"/>
    <s v=" Excellent"/>
  </r>
  <r>
    <x v="2430"/>
    <x v="2430"/>
    <s v="EMP_2431"/>
    <x v="0"/>
    <s v="EMP_2431HR"/>
    <x v="0"/>
    <x v="1"/>
    <n v="64852"/>
    <n v="8775"/>
    <n v="0"/>
    <n v="0"/>
    <s v="5/29/2021"/>
    <s v="5/29/2021"/>
    <d v="2026-02-11T00:00:00"/>
    <e v="#VALUE!"/>
    <n v="3"/>
    <n v="73627"/>
    <n v="36813.5"/>
    <s v=" Not Achieved"/>
    <s v=" Excellent"/>
  </r>
  <r>
    <x v="2431"/>
    <x v="2431"/>
    <s v="EMP_2432"/>
    <x v="0"/>
    <s v="EMP_2432Sales"/>
    <x v="1"/>
    <x v="0"/>
    <n v="33675"/>
    <n v="12287"/>
    <n v="86689"/>
    <n v="118865"/>
    <d v="2023-09-11T00:00:00"/>
    <s v="2023"/>
    <d v="2026-02-11T00:00:00"/>
    <n v="2"/>
    <n v="1"/>
    <n v="45962"/>
    <n v="22981"/>
    <s v=" Not Achieved"/>
    <s v="Average"/>
  </r>
  <r>
    <x v="2432"/>
    <x v="2432"/>
    <s v="EMP_2433"/>
    <x v="1"/>
    <s v="EMP_2433Sales"/>
    <x v="1"/>
    <x v="4"/>
    <n v="36420"/>
    <n v="13935"/>
    <n v="199329"/>
    <n v="221375"/>
    <d v="2022-05-02T00:00:00"/>
    <s v="2022"/>
    <d v="2026-02-11T00:00:00"/>
    <n v="3"/>
    <n v="1"/>
    <n v="50355"/>
    <n v="25177.5"/>
    <s v=" Not Achieved"/>
    <s v="Average"/>
  </r>
  <r>
    <x v="2433"/>
    <x v="2433"/>
    <s v="EMP_2434"/>
    <x v="1"/>
    <s v="EMP_2434HR"/>
    <x v="0"/>
    <x v="0"/>
    <n v="22257"/>
    <n v="6353"/>
    <n v="0"/>
    <n v="0"/>
    <s v="9/17/2023"/>
    <s v="9/17/2023"/>
    <d v="2026-02-11T00:00:00"/>
    <e v="#VALUE!"/>
    <n v="1"/>
    <n v="28610"/>
    <n v="14305"/>
    <s v=" Not Achieved"/>
    <s v="poor"/>
  </r>
  <r>
    <x v="2434"/>
    <x v="2434"/>
    <s v="EMP_2435"/>
    <x v="0"/>
    <s v="EMP_2435Finance"/>
    <x v="2"/>
    <x v="1"/>
    <n v="31245"/>
    <n v="14430"/>
    <n v="0"/>
    <n v="0"/>
    <s v="2/28/2024"/>
    <s v="2/28/2024"/>
    <d v="2026-02-11T00:00:00"/>
    <e v="#VALUE!"/>
    <n v="4"/>
    <n v="45675"/>
    <n v="22837.5"/>
    <s v=" Not Achieved"/>
    <s v="Average"/>
  </r>
  <r>
    <x v="2435"/>
    <x v="2435"/>
    <s v="EMP_2436"/>
    <x v="0"/>
    <s v="EMP_2436IT"/>
    <x v="3"/>
    <x v="4"/>
    <n v="31023"/>
    <n v="12264"/>
    <n v="0"/>
    <n v="0"/>
    <s v="12/15/2022"/>
    <s v="12/15/2022"/>
    <d v="2026-02-11T00:00:00"/>
    <e v="#VALUE!"/>
    <n v="5"/>
    <n v="43287"/>
    <n v="21643.5"/>
    <s v=" Not Achieved"/>
    <s v="Average"/>
  </r>
  <r>
    <x v="2436"/>
    <x v="2436"/>
    <s v="EMP_2437"/>
    <x v="1"/>
    <s v="EMP_2437IT"/>
    <x v="3"/>
    <x v="4"/>
    <n v="51042"/>
    <n v="13046"/>
    <n v="0"/>
    <n v="0"/>
    <s v="6/19/2021"/>
    <s v="6/19/2021"/>
    <d v="2026-02-11T00:00:00"/>
    <e v="#VALUE!"/>
    <n v="4"/>
    <n v="64088"/>
    <n v="32044"/>
    <s v=" Not Achieved"/>
    <s v=" Excellent"/>
  </r>
  <r>
    <x v="2437"/>
    <x v="2437"/>
    <s v="EMP_2438"/>
    <x v="0"/>
    <s v="EMP_2438HR"/>
    <x v="0"/>
    <x v="3"/>
    <n v="33396"/>
    <n v="9902"/>
    <n v="0"/>
    <n v="0"/>
    <s v="6/25/2024"/>
    <s v="6/25/2024"/>
    <d v="2026-02-11T00:00:00"/>
    <e v="#VALUE!"/>
    <n v="5"/>
    <n v="43298"/>
    <n v="21649"/>
    <s v=" Not Achieved"/>
    <s v="Average"/>
  </r>
  <r>
    <x v="2438"/>
    <x v="2438"/>
    <s v="EMP_2439"/>
    <x v="1"/>
    <s v="EMP_2439IT"/>
    <x v="3"/>
    <x v="4"/>
    <n v="64233"/>
    <n v="10960"/>
    <n v="0"/>
    <n v="0"/>
    <d v="2019-08-07T00:00:00"/>
    <s v="2019"/>
    <d v="2026-02-11T00:00:00"/>
    <n v="6"/>
    <n v="4"/>
    <n v="75193"/>
    <n v="37596.5"/>
    <s v=" Not Achieved"/>
    <s v=" Excellent"/>
  </r>
  <r>
    <x v="2439"/>
    <x v="2439"/>
    <s v="EMP_2440"/>
    <x v="0"/>
    <s v="EMP_2440Marketing"/>
    <x v="4"/>
    <x v="3"/>
    <n v="65450"/>
    <n v="12884"/>
    <n v="0"/>
    <n v="0"/>
    <d v="2021-05-10T00:00:00"/>
    <s v="2021"/>
    <d v="2026-02-11T00:00:00"/>
    <n v="4"/>
    <n v="2"/>
    <n v="78334"/>
    <n v="39167"/>
    <s v=" Not Achieved"/>
    <s v=" Excellent"/>
  </r>
  <r>
    <x v="2440"/>
    <x v="2440"/>
    <s v="EMP_2441"/>
    <x v="0"/>
    <s v="EMP_2441Marketing"/>
    <x v="4"/>
    <x v="3"/>
    <n v="34281"/>
    <n v="13345"/>
    <n v="0"/>
    <n v="0"/>
    <s v="3/18/2022"/>
    <s v="3/18/2022"/>
    <d v="2026-02-11T00:00:00"/>
    <e v="#VALUE!"/>
    <n v="1"/>
    <n v="47626"/>
    <n v="23813"/>
    <s v=" Not Achieved"/>
    <s v="Average"/>
  </r>
  <r>
    <x v="2441"/>
    <x v="2441"/>
    <s v="EMP_2442"/>
    <x v="1"/>
    <s v="EMP_2442HR"/>
    <x v="0"/>
    <x v="3"/>
    <n v="29191"/>
    <n v="4597"/>
    <n v="0"/>
    <n v="0"/>
    <d v="2024-05-01T00:00:00"/>
    <s v="2024"/>
    <d v="2026-02-11T00:00:00"/>
    <n v="1"/>
    <n v="3"/>
    <n v="33788"/>
    <n v="16894"/>
    <s v=" Not Achieved"/>
    <s v="poor"/>
  </r>
  <r>
    <x v="2442"/>
    <x v="2442"/>
    <s v="EMP_2443"/>
    <x v="0"/>
    <s v="EMP_2443Marketing"/>
    <x v="4"/>
    <x v="3"/>
    <n v="54188"/>
    <n v="8377"/>
    <n v="0"/>
    <n v="0"/>
    <s v="1/14/2020"/>
    <s v="1/14/2020"/>
    <d v="2026-02-11T00:00:00"/>
    <e v="#VALUE!"/>
    <n v="4"/>
    <n v="62565"/>
    <n v="31282.5"/>
    <s v=" Not Achieved"/>
    <s v=" Excellent"/>
  </r>
  <r>
    <x v="2443"/>
    <x v="2443"/>
    <s v="EMP_2444"/>
    <x v="0"/>
    <s v="EMP_2444Sales"/>
    <x v="1"/>
    <x v="1"/>
    <n v="72934"/>
    <n v="7951"/>
    <n v="192082"/>
    <n v="119613"/>
    <s v="6/27/2024"/>
    <s v="6/27/2024"/>
    <d v="2026-02-11T00:00:00"/>
    <e v="#VALUE!"/>
    <n v="1"/>
    <n v="80885"/>
    <n v="40442.5"/>
    <s v="Achieved"/>
    <s v=" Excellent"/>
  </r>
  <r>
    <x v="2444"/>
    <x v="2444"/>
    <s v="EMP_2445"/>
    <x v="0"/>
    <s v="EMP_2445IT"/>
    <x v="3"/>
    <x v="4"/>
    <n v="35951"/>
    <n v="9415"/>
    <n v="0"/>
    <n v="0"/>
    <d v="2018-12-08T00:00:00"/>
    <s v="2018"/>
    <d v="2026-02-11T00:00:00"/>
    <n v="7"/>
    <n v="1"/>
    <n v="45366"/>
    <n v="22683"/>
    <s v=" Not Achieved"/>
    <s v="Average"/>
  </r>
  <r>
    <x v="2445"/>
    <x v="2445"/>
    <s v="EMP_2446"/>
    <x v="1"/>
    <s v="EMP_2446IT"/>
    <x v="3"/>
    <x v="2"/>
    <n v="68001"/>
    <n v="2723"/>
    <n v="0"/>
    <n v="0"/>
    <s v="11/14/2021"/>
    <s v="11/14/2021"/>
    <d v="2026-02-11T00:00:00"/>
    <e v="#VALUE!"/>
    <n v="2"/>
    <n v="70724"/>
    <n v="35362"/>
    <s v=" Not Achieved"/>
    <s v=" Excellent"/>
  </r>
  <r>
    <x v="2446"/>
    <x v="2446"/>
    <s v="EMP_2447"/>
    <x v="1"/>
    <s v="EMP_2447Sales"/>
    <x v="1"/>
    <x v="0"/>
    <n v="27085"/>
    <n v="13493"/>
    <n v="58636"/>
    <n v="228718"/>
    <s v="10/30/2020"/>
    <s v="10/30/2020"/>
    <d v="2026-02-11T00:00:00"/>
    <e v="#VALUE!"/>
    <n v="4"/>
    <n v="40578"/>
    <n v="20289"/>
    <s v=" Not Achieved"/>
    <s v="poor"/>
  </r>
  <r>
    <x v="2447"/>
    <x v="2447"/>
    <s v="EMP_2448"/>
    <x v="1"/>
    <s v="EMP_2448Marketing"/>
    <x v="4"/>
    <x v="2"/>
    <n v="26299"/>
    <n v="8920"/>
    <n v="0"/>
    <n v="0"/>
    <s v="4/27/2022"/>
    <s v="4/27/2022"/>
    <d v="2026-02-11T00:00:00"/>
    <e v="#VALUE!"/>
    <n v="2"/>
    <n v="35219"/>
    <n v="17609.5"/>
    <s v=" Not Achieved"/>
    <s v="poor"/>
  </r>
  <r>
    <x v="2448"/>
    <x v="2448"/>
    <s v="EMP_2449"/>
    <x v="1"/>
    <s v="EMP_2449Finance"/>
    <x v="2"/>
    <x v="0"/>
    <n v="55798"/>
    <n v="7453"/>
    <n v="0"/>
    <n v="0"/>
    <s v="9/30/2020"/>
    <s v="9/30/2020"/>
    <d v="2026-02-11T00:00:00"/>
    <e v="#VALUE!"/>
    <n v="5"/>
    <n v="63251"/>
    <n v="31625.5"/>
    <s v=" Not Achieved"/>
    <s v=" Excellent"/>
  </r>
  <r>
    <x v="2449"/>
    <x v="2449"/>
    <s v="EMP_2450"/>
    <x v="0"/>
    <s v="EMP_2450IT"/>
    <x v="3"/>
    <x v="0"/>
    <n v="42754"/>
    <n v="2430"/>
    <n v="0"/>
    <n v="0"/>
    <s v="10/30/2024"/>
    <s v="10/30/2024"/>
    <d v="2026-02-11T00:00:00"/>
    <e v="#VALUE!"/>
    <n v="4"/>
    <n v="45184"/>
    <n v="22592"/>
    <s v=" Not Achieved"/>
    <s v="Good"/>
  </r>
  <r>
    <x v="2450"/>
    <x v="2450"/>
    <s v="EMP_2451"/>
    <x v="0"/>
    <s v="EMP_2451Marketing"/>
    <x v="4"/>
    <x v="3"/>
    <n v="42861"/>
    <n v="9277"/>
    <n v="0"/>
    <n v="0"/>
    <s v="11/13/2020"/>
    <s v="11/13/2020"/>
    <d v="2026-02-11T00:00:00"/>
    <e v="#VALUE!"/>
    <n v="4"/>
    <n v="52138"/>
    <n v="26069"/>
    <s v=" Not Achieved"/>
    <s v="Good"/>
  </r>
  <r>
    <x v="2451"/>
    <x v="2451"/>
    <s v="EMP_2452"/>
    <x v="0"/>
    <s v="EMP_2452IT"/>
    <x v="3"/>
    <x v="2"/>
    <n v="28357"/>
    <n v="14007"/>
    <n v="0"/>
    <n v="0"/>
    <s v="11/23/2021"/>
    <s v="11/23/2021"/>
    <d v="2026-02-11T00:00:00"/>
    <e v="#VALUE!"/>
    <n v="5"/>
    <n v="42364"/>
    <n v="21182"/>
    <s v=" Not Achieved"/>
    <s v="poor"/>
  </r>
  <r>
    <x v="2452"/>
    <x v="2452"/>
    <s v="EMP_2453"/>
    <x v="1"/>
    <s v="EMP_2453HR"/>
    <x v="0"/>
    <x v="2"/>
    <n v="44463"/>
    <n v="4761"/>
    <n v="0"/>
    <n v="0"/>
    <s v="11/18/2024"/>
    <s v="11/18/2024"/>
    <d v="2026-02-11T00:00:00"/>
    <e v="#VALUE!"/>
    <n v="3"/>
    <n v="49224"/>
    <n v="24612"/>
    <s v=" Not Achieved"/>
    <s v="Good"/>
  </r>
  <r>
    <x v="2453"/>
    <x v="2453"/>
    <s v="EMP_2454"/>
    <x v="0"/>
    <s v="EMP_2454Sales"/>
    <x v="1"/>
    <x v="3"/>
    <n v="48728"/>
    <n v="2736"/>
    <n v="158124"/>
    <n v="146279"/>
    <s v="8/17/2018"/>
    <s v="8/17/2018"/>
    <d v="2026-02-11T00:00:00"/>
    <e v="#VALUE!"/>
    <n v="2"/>
    <n v="51464"/>
    <n v="25732"/>
    <s v="Achieved"/>
    <s v="Good"/>
  </r>
  <r>
    <x v="2454"/>
    <x v="2454"/>
    <s v="EMP_2455"/>
    <x v="1"/>
    <s v="EMP_2455Sales"/>
    <x v="1"/>
    <x v="0"/>
    <n v="71390"/>
    <n v="8580"/>
    <n v="272563"/>
    <n v="151902"/>
    <s v="5/13/2021"/>
    <s v="5/13/2021"/>
    <d v="2026-02-11T00:00:00"/>
    <e v="#VALUE!"/>
    <n v="4"/>
    <n v="79970"/>
    <n v="39985"/>
    <s v="Achieved"/>
    <s v=" Excellent"/>
  </r>
  <r>
    <x v="2455"/>
    <x v="2455"/>
    <s v="EMP_2456"/>
    <x v="0"/>
    <s v="EMP_2456HR"/>
    <x v="0"/>
    <x v="3"/>
    <n v="31850"/>
    <n v="6030"/>
    <n v="0"/>
    <n v="0"/>
    <s v="3/24/2022"/>
    <s v="3/24/2022"/>
    <d v="2026-02-11T00:00:00"/>
    <e v="#VALUE!"/>
    <n v="2"/>
    <n v="37880"/>
    <n v="18940"/>
    <s v=" Not Achieved"/>
    <s v="Average"/>
  </r>
  <r>
    <x v="2456"/>
    <x v="2456"/>
    <s v="EMP_2457"/>
    <x v="0"/>
    <s v="EMP_2457Finance"/>
    <x v="2"/>
    <x v="2"/>
    <n v="79877"/>
    <n v="14155"/>
    <n v="0"/>
    <n v="0"/>
    <s v="8/16/2020"/>
    <s v="8/16/2020"/>
    <d v="2026-02-11T00:00:00"/>
    <e v="#VALUE!"/>
    <n v="2"/>
    <n v="94032"/>
    <n v="47016"/>
    <s v=" Not Achieved"/>
    <s v=" Excellent"/>
  </r>
  <r>
    <x v="2457"/>
    <x v="2457"/>
    <s v="EMP_2458"/>
    <x v="1"/>
    <s v="EMP_2458HR"/>
    <x v="0"/>
    <x v="0"/>
    <n v="39917"/>
    <n v="10156"/>
    <n v="0"/>
    <n v="0"/>
    <d v="2020-12-09T00:00:00"/>
    <s v="2020"/>
    <d v="2026-02-11T00:00:00"/>
    <n v="5"/>
    <n v="2"/>
    <n v="50073"/>
    <n v="25036.5"/>
    <s v=" Not Achieved"/>
    <s v="Average"/>
  </r>
  <r>
    <x v="2458"/>
    <x v="2458"/>
    <s v="EMP_2459"/>
    <x v="1"/>
    <s v="EMP_2459Finance"/>
    <x v="2"/>
    <x v="3"/>
    <n v="54185"/>
    <n v="7558"/>
    <n v="0"/>
    <n v="0"/>
    <d v="2022-06-07T00:00:00"/>
    <s v="2022"/>
    <d v="2026-02-11T00:00:00"/>
    <n v="3"/>
    <n v="1"/>
    <n v="61743"/>
    <n v="30871.5"/>
    <s v=" Not Achieved"/>
    <s v=" Excellent"/>
  </r>
  <r>
    <x v="2459"/>
    <x v="2459"/>
    <s v="EMP_2460"/>
    <x v="0"/>
    <s v="EMP_2460Marketing"/>
    <x v="4"/>
    <x v="1"/>
    <n v="30327"/>
    <n v="10889"/>
    <n v="0"/>
    <n v="0"/>
    <s v="2/18/2024"/>
    <s v="2/18/2024"/>
    <d v="2026-02-11T00:00:00"/>
    <e v="#VALUE!"/>
    <n v="1"/>
    <n v="41216"/>
    <n v="20608"/>
    <s v=" Not Achieved"/>
    <s v="Average"/>
  </r>
  <r>
    <x v="2460"/>
    <x v="2460"/>
    <s v="EMP_2461"/>
    <x v="0"/>
    <s v="EMP_2461Sales"/>
    <x v="1"/>
    <x v="1"/>
    <n v="30843"/>
    <n v="12560"/>
    <n v="67135"/>
    <n v="91361"/>
    <s v="10/13/2018"/>
    <s v="10/13/2018"/>
    <d v="2026-02-11T00:00:00"/>
    <e v="#VALUE!"/>
    <n v="5"/>
    <n v="43403"/>
    <n v="21701.5"/>
    <s v=" Not Achieved"/>
    <s v="Average"/>
  </r>
  <r>
    <x v="2461"/>
    <x v="2461"/>
    <s v="EMP_2462"/>
    <x v="0"/>
    <s v="EMP_2462IT"/>
    <x v="3"/>
    <x v="2"/>
    <n v="53688"/>
    <n v="7426"/>
    <n v="0"/>
    <n v="0"/>
    <d v="2023-10-12T00:00:00"/>
    <s v="2023"/>
    <d v="2026-02-11T00:00:00"/>
    <n v="2"/>
    <n v="3"/>
    <n v="61114"/>
    <n v="30557"/>
    <s v=" Not Achieved"/>
    <s v=" Excellent"/>
  </r>
  <r>
    <x v="2462"/>
    <x v="2462"/>
    <s v="EMP_2463"/>
    <x v="0"/>
    <s v="EMP_2463Finance"/>
    <x v="2"/>
    <x v="2"/>
    <n v="49323"/>
    <n v="12605"/>
    <n v="0"/>
    <n v="0"/>
    <d v="2018-11-01T00:00:00"/>
    <s v="2018"/>
    <d v="2026-02-11T00:00:00"/>
    <n v="7"/>
    <n v="3"/>
    <n v="61928"/>
    <n v="30964"/>
    <s v=" Not Achieved"/>
    <s v="Good"/>
  </r>
  <r>
    <x v="2463"/>
    <x v="2463"/>
    <s v="EMP_2464"/>
    <x v="0"/>
    <s v="EMP_2464IT"/>
    <x v="3"/>
    <x v="4"/>
    <n v="59397"/>
    <n v="14547"/>
    <n v="0"/>
    <n v="0"/>
    <s v="5/29/2018"/>
    <s v="5/29/2018"/>
    <d v="2026-02-11T00:00:00"/>
    <e v="#VALUE!"/>
    <n v="3"/>
    <n v="73944"/>
    <n v="36972"/>
    <s v=" Not Achieved"/>
    <s v=" Excellent"/>
  </r>
  <r>
    <x v="2464"/>
    <x v="2464"/>
    <s v="EMP_2465"/>
    <x v="1"/>
    <s v="EMP_2465Sales"/>
    <x v="1"/>
    <x v="1"/>
    <n v="25821"/>
    <n v="7215"/>
    <n v="284864"/>
    <n v="140784"/>
    <d v="2020-01-09T00:00:00"/>
    <s v="2020"/>
    <d v="2026-02-11T00:00:00"/>
    <n v="6"/>
    <n v="5"/>
    <n v="33036"/>
    <n v="16518"/>
    <s v="Achieved"/>
    <s v="poor"/>
  </r>
  <r>
    <x v="2465"/>
    <x v="2465"/>
    <s v="EMP_2466"/>
    <x v="0"/>
    <s v="EMP_2466Marketing"/>
    <x v="4"/>
    <x v="4"/>
    <n v="60070"/>
    <n v="14272"/>
    <n v="0"/>
    <n v="0"/>
    <s v="6/30/2021"/>
    <s v="6/30/2021"/>
    <d v="2026-02-11T00:00:00"/>
    <e v="#VALUE!"/>
    <n v="1"/>
    <n v="74342"/>
    <n v="37171"/>
    <s v=" Not Achieved"/>
    <s v=" Excellent"/>
  </r>
  <r>
    <x v="2466"/>
    <x v="2466"/>
    <s v="EMP_2467"/>
    <x v="1"/>
    <s v="EMP_2467Finance"/>
    <x v="2"/>
    <x v="2"/>
    <n v="73107"/>
    <n v="9220"/>
    <n v="0"/>
    <n v="0"/>
    <d v="2022-10-05T00:00:00"/>
    <s v="2022"/>
    <d v="2026-02-11T00:00:00"/>
    <n v="3"/>
    <n v="1"/>
    <n v="82327"/>
    <n v="41163.5"/>
    <s v=" Not Achieved"/>
    <s v=" Excellent"/>
  </r>
  <r>
    <x v="2467"/>
    <x v="2467"/>
    <s v="EMP_2468"/>
    <x v="0"/>
    <s v="EMP_2468Marketing"/>
    <x v="4"/>
    <x v="0"/>
    <n v="21287"/>
    <n v="7741"/>
    <n v="0"/>
    <n v="0"/>
    <d v="2021-06-06T00:00:00"/>
    <s v="2021"/>
    <d v="2026-02-11T00:00:00"/>
    <n v="4"/>
    <n v="5"/>
    <n v="29028"/>
    <n v="14514"/>
    <s v=" Not Achieved"/>
    <s v="poor"/>
  </r>
  <r>
    <x v="2468"/>
    <x v="2468"/>
    <s v="EMP_2469"/>
    <x v="1"/>
    <s v="EMP_2469Finance"/>
    <x v="2"/>
    <x v="4"/>
    <n v="50356"/>
    <n v="9429"/>
    <n v="0"/>
    <n v="0"/>
    <s v="2/21/2019"/>
    <s v="2/21/2019"/>
    <d v="2026-02-11T00:00:00"/>
    <e v="#VALUE!"/>
    <n v="5"/>
    <n v="59785"/>
    <n v="29892.5"/>
    <s v=" Not Achieved"/>
    <s v=" Excellent"/>
  </r>
  <r>
    <x v="2469"/>
    <x v="2469"/>
    <s v="EMP_2470"/>
    <x v="1"/>
    <s v="EMP_2470Marketing"/>
    <x v="4"/>
    <x v="0"/>
    <n v="66398"/>
    <n v="12556"/>
    <n v="0"/>
    <n v="0"/>
    <s v="10/20/2023"/>
    <s v="10/20/2023"/>
    <d v="2026-02-11T00:00:00"/>
    <e v="#VALUE!"/>
    <n v="5"/>
    <n v="78954"/>
    <n v="39477"/>
    <s v=" Not Achieved"/>
    <s v=" Excellent"/>
  </r>
  <r>
    <x v="2470"/>
    <x v="2470"/>
    <s v="EMP_2471"/>
    <x v="0"/>
    <s v="EMP_2471Marketing"/>
    <x v="4"/>
    <x v="0"/>
    <n v="51023"/>
    <n v="12705"/>
    <n v="0"/>
    <n v="0"/>
    <d v="2018-03-02T00:00:00"/>
    <s v="2018"/>
    <d v="2026-02-11T00:00:00"/>
    <n v="7"/>
    <n v="5"/>
    <n v="63728"/>
    <n v="31864"/>
    <s v=" Not Achieved"/>
    <s v=" Excellent"/>
  </r>
  <r>
    <x v="2471"/>
    <x v="2471"/>
    <s v="EMP_2472"/>
    <x v="0"/>
    <s v="EMP_2472HR"/>
    <x v="0"/>
    <x v="3"/>
    <n v="20847"/>
    <n v="13603"/>
    <n v="0"/>
    <n v="0"/>
    <d v="2021-04-12T00:00:00"/>
    <s v="2021"/>
    <d v="2026-02-11T00:00:00"/>
    <n v="4"/>
    <n v="1"/>
    <n v="34450"/>
    <n v="17225"/>
    <s v=" Not Achieved"/>
    <s v="poor"/>
  </r>
  <r>
    <x v="2472"/>
    <x v="2472"/>
    <s v="EMP_2473"/>
    <x v="0"/>
    <s v="EMP_2473Sales"/>
    <x v="1"/>
    <x v="4"/>
    <n v="72361"/>
    <n v="10458"/>
    <n v="146434"/>
    <n v="150763"/>
    <d v="2022-11-09T00:00:00"/>
    <s v="2022"/>
    <d v="2026-02-11T00:00:00"/>
    <n v="3"/>
    <n v="4"/>
    <n v="82819"/>
    <n v="41409.5"/>
    <s v=" Not Achieved"/>
    <s v=" Excellent"/>
  </r>
  <r>
    <x v="2473"/>
    <x v="2473"/>
    <s v="EMP_2474"/>
    <x v="1"/>
    <s v="EMP_2474HR"/>
    <x v="0"/>
    <x v="4"/>
    <n v="74482"/>
    <n v="13317"/>
    <n v="0"/>
    <n v="0"/>
    <d v="2019-06-03T00:00:00"/>
    <s v="2019"/>
    <d v="2026-02-11T00:00:00"/>
    <n v="6"/>
    <n v="2"/>
    <n v="87799"/>
    <n v="43899.5"/>
    <s v=" Not Achieved"/>
    <s v=" Excellent"/>
  </r>
  <r>
    <x v="2474"/>
    <x v="2474"/>
    <s v="EMP_2475"/>
    <x v="1"/>
    <s v="EMP_2475HR"/>
    <x v="0"/>
    <x v="1"/>
    <n v="55290"/>
    <n v="2242"/>
    <n v="0"/>
    <n v="0"/>
    <s v="10/21/2024"/>
    <s v="10/21/2024"/>
    <d v="2026-02-11T00:00:00"/>
    <e v="#VALUE!"/>
    <n v="5"/>
    <n v="57532"/>
    <n v="28766"/>
    <s v=" Not Achieved"/>
    <s v=" Excellent"/>
  </r>
  <r>
    <x v="2475"/>
    <x v="2475"/>
    <s v="EMP_2476"/>
    <x v="1"/>
    <s v="EMP_2476Sales"/>
    <x v="1"/>
    <x v="2"/>
    <n v="61242"/>
    <n v="12150"/>
    <n v="262776"/>
    <n v="85740"/>
    <s v="8/19/2023"/>
    <s v="8/19/2023"/>
    <d v="2026-02-11T00:00:00"/>
    <e v="#VALUE!"/>
    <n v="3"/>
    <n v="73392"/>
    <n v="36696"/>
    <s v="Achieved"/>
    <s v=" Excellent"/>
  </r>
  <r>
    <x v="2476"/>
    <x v="2476"/>
    <s v="EMP_2477"/>
    <x v="1"/>
    <s v="EMP_2477IT"/>
    <x v="3"/>
    <x v="4"/>
    <n v="45235"/>
    <n v="4223"/>
    <n v="0"/>
    <n v="0"/>
    <d v="2023-09-04T00:00:00"/>
    <s v="2023"/>
    <d v="2026-02-11T00:00:00"/>
    <n v="2"/>
    <n v="5"/>
    <n v="49458"/>
    <n v="24729"/>
    <s v=" Not Achieved"/>
    <s v="Good"/>
  </r>
  <r>
    <x v="2477"/>
    <x v="2477"/>
    <s v="EMP_2478"/>
    <x v="1"/>
    <s v="EMP_2478HR"/>
    <x v="0"/>
    <x v="4"/>
    <n v="68901"/>
    <n v="11671"/>
    <n v="0"/>
    <n v="0"/>
    <d v="2020-02-12T00:00:00"/>
    <s v="2020"/>
    <d v="2026-02-11T00:00:00"/>
    <n v="5"/>
    <n v="2"/>
    <n v="80572"/>
    <n v="40286"/>
    <s v=" Not Achieved"/>
    <s v=" Excellent"/>
  </r>
  <r>
    <x v="2478"/>
    <x v="2478"/>
    <s v="EMP_2479"/>
    <x v="0"/>
    <s v="EMP_2479Finance"/>
    <x v="2"/>
    <x v="0"/>
    <n v="52748"/>
    <n v="7487"/>
    <n v="0"/>
    <n v="0"/>
    <d v="2024-11-05T00:00:00"/>
    <s v="2024"/>
    <d v="2026-02-11T00:00:00"/>
    <n v="1"/>
    <n v="3"/>
    <n v="60235"/>
    <n v="30117.5"/>
    <s v=" Not Achieved"/>
    <s v=" Excellent"/>
  </r>
  <r>
    <x v="2479"/>
    <x v="2479"/>
    <s v="EMP_2480"/>
    <x v="0"/>
    <s v="EMP_2480Marketing"/>
    <x v="4"/>
    <x v="4"/>
    <n v="35766"/>
    <n v="13093"/>
    <n v="0"/>
    <n v="0"/>
    <s v="3/23/2018"/>
    <s v="3/23/2018"/>
    <d v="2026-02-11T00:00:00"/>
    <e v="#VALUE!"/>
    <n v="2"/>
    <n v="48859"/>
    <n v="24429.5"/>
    <s v=" Not Achieved"/>
    <s v="Average"/>
  </r>
  <r>
    <x v="2480"/>
    <x v="2480"/>
    <s v="EMP_2481"/>
    <x v="1"/>
    <s v="EMP_2481IT"/>
    <x v="3"/>
    <x v="2"/>
    <n v="53896"/>
    <n v="14894"/>
    <n v="0"/>
    <n v="0"/>
    <d v="2020-03-10T00:00:00"/>
    <s v="2020"/>
    <d v="2026-02-11T00:00:00"/>
    <n v="5"/>
    <n v="4"/>
    <n v="68790"/>
    <n v="34395"/>
    <s v=" Not Achieved"/>
    <s v=" Excellent"/>
  </r>
  <r>
    <x v="2481"/>
    <x v="2481"/>
    <s v="EMP_2482"/>
    <x v="0"/>
    <s v="EMP_2482Sales"/>
    <x v="1"/>
    <x v="2"/>
    <n v="76995"/>
    <n v="2488"/>
    <n v="150601"/>
    <n v="137237"/>
    <d v="2019-08-09T00:00:00"/>
    <s v="2019"/>
    <d v="2026-02-11T00:00:00"/>
    <n v="6"/>
    <n v="1"/>
    <n v="79483"/>
    <n v="39741.5"/>
    <s v="Achieved"/>
    <s v=" Excellent"/>
  </r>
  <r>
    <x v="2482"/>
    <x v="2482"/>
    <s v="EMP_2483"/>
    <x v="0"/>
    <s v="EMP_2483Marketing"/>
    <x v="4"/>
    <x v="0"/>
    <n v="36476"/>
    <n v="14922"/>
    <n v="0"/>
    <n v="0"/>
    <s v="6/25/2022"/>
    <s v="6/25/2022"/>
    <d v="2026-02-11T00:00:00"/>
    <e v="#VALUE!"/>
    <n v="4"/>
    <n v="51398"/>
    <n v="25699"/>
    <s v=" Not Achieved"/>
    <s v="Average"/>
  </r>
  <r>
    <x v="2483"/>
    <x v="2483"/>
    <s v="EMP_2484"/>
    <x v="1"/>
    <s v="EMP_2484Sales"/>
    <x v="1"/>
    <x v="0"/>
    <n v="32544"/>
    <n v="14740"/>
    <n v="95251"/>
    <n v="247353"/>
    <d v="2018-10-02T00:00:00"/>
    <s v="2018"/>
    <d v="2026-02-11T00:00:00"/>
    <n v="7"/>
    <n v="3"/>
    <n v="47284"/>
    <n v="23642"/>
    <s v=" Not Achieved"/>
    <s v="Average"/>
  </r>
  <r>
    <x v="2484"/>
    <x v="2484"/>
    <s v="EMP_2485"/>
    <x v="0"/>
    <s v="EMP_2485IT"/>
    <x v="3"/>
    <x v="3"/>
    <n v="45026"/>
    <n v="13947"/>
    <n v="0"/>
    <n v="0"/>
    <s v="8/13/2023"/>
    <s v="8/13/2023"/>
    <d v="2026-02-11T00:00:00"/>
    <e v="#VALUE!"/>
    <n v="3"/>
    <n v="58973"/>
    <n v="29486.5"/>
    <s v=" Not Achieved"/>
    <s v="Good"/>
  </r>
  <r>
    <x v="2485"/>
    <x v="2485"/>
    <s v="EMP_2486"/>
    <x v="0"/>
    <s v="EMP_2486IT"/>
    <x v="3"/>
    <x v="4"/>
    <n v="40681"/>
    <n v="3936"/>
    <n v="0"/>
    <n v="0"/>
    <s v="9/23/2022"/>
    <s v="9/23/2022"/>
    <d v="2026-02-11T00:00:00"/>
    <e v="#VALUE!"/>
    <n v="3"/>
    <n v="44617"/>
    <n v="22308.5"/>
    <s v=" Not Achieved"/>
    <s v="Good"/>
  </r>
  <r>
    <x v="2486"/>
    <x v="2486"/>
    <s v="EMP_2487"/>
    <x v="0"/>
    <s v="EMP_2487Marketing"/>
    <x v="4"/>
    <x v="0"/>
    <n v="45850"/>
    <n v="11945"/>
    <n v="0"/>
    <n v="0"/>
    <d v="2022-02-09T00:00:00"/>
    <s v="2022"/>
    <d v="2026-02-11T00:00:00"/>
    <n v="4"/>
    <n v="4"/>
    <n v="57795"/>
    <n v="28897.5"/>
    <s v=" Not Achieved"/>
    <s v="Good"/>
  </r>
  <r>
    <x v="2487"/>
    <x v="2487"/>
    <s v="EMP_2488"/>
    <x v="0"/>
    <s v="EMP_2488Finance"/>
    <x v="2"/>
    <x v="0"/>
    <n v="31294"/>
    <n v="2737"/>
    <n v="0"/>
    <n v="0"/>
    <d v="2023-09-08T00:00:00"/>
    <s v="2023"/>
    <d v="2026-02-11T00:00:00"/>
    <n v="2"/>
    <n v="3"/>
    <n v="34031"/>
    <n v="17015.5"/>
    <s v=" Not Achieved"/>
    <s v="Average"/>
  </r>
  <r>
    <x v="2488"/>
    <x v="2488"/>
    <s v="EMP_2489"/>
    <x v="0"/>
    <s v="EMP_2489Finance"/>
    <x v="2"/>
    <x v="4"/>
    <n v="43522"/>
    <n v="7141"/>
    <n v="0"/>
    <n v="0"/>
    <s v="3/21/2021"/>
    <s v="3/21/2021"/>
    <d v="2026-02-11T00:00:00"/>
    <e v="#VALUE!"/>
    <n v="4"/>
    <n v="50663"/>
    <n v="25331.5"/>
    <s v=" Not Achieved"/>
    <s v="Good"/>
  </r>
  <r>
    <x v="2489"/>
    <x v="2489"/>
    <s v="EMP_2490"/>
    <x v="0"/>
    <s v="EMP_2490HR"/>
    <x v="0"/>
    <x v="3"/>
    <n v="47643"/>
    <n v="9818"/>
    <n v="0"/>
    <n v="0"/>
    <s v="3/22/2021"/>
    <s v="3/22/2021"/>
    <d v="2026-02-11T00:00:00"/>
    <e v="#VALUE!"/>
    <n v="2"/>
    <n v="57461"/>
    <n v="28730.5"/>
    <s v=" Not Achieved"/>
    <s v="Good"/>
  </r>
  <r>
    <x v="2490"/>
    <x v="2490"/>
    <s v="EMP_2491"/>
    <x v="1"/>
    <s v="EMP_2491IT"/>
    <x v="3"/>
    <x v="0"/>
    <n v="57602"/>
    <n v="11094"/>
    <n v="0"/>
    <n v="0"/>
    <s v="5/30/2022"/>
    <s v="5/30/2022"/>
    <d v="2026-02-11T00:00:00"/>
    <e v="#VALUE!"/>
    <n v="3"/>
    <n v="68696"/>
    <n v="34348"/>
    <s v=" Not Achieved"/>
    <s v=" Excellent"/>
  </r>
  <r>
    <x v="2491"/>
    <x v="2491"/>
    <s v="EMP_2492"/>
    <x v="1"/>
    <s v="EMP_2492Finance"/>
    <x v="2"/>
    <x v="2"/>
    <n v="46614"/>
    <n v="2109"/>
    <n v="0"/>
    <n v="0"/>
    <d v="2018-01-02T00:00:00"/>
    <s v="2018"/>
    <d v="2026-02-11T00:00:00"/>
    <n v="8"/>
    <n v="2"/>
    <n v="48723"/>
    <n v="24361.5"/>
    <s v=" Not Achieved"/>
    <s v="Good"/>
  </r>
  <r>
    <x v="2492"/>
    <x v="2492"/>
    <s v="EMP_2493"/>
    <x v="0"/>
    <s v="EMP_2493Finance"/>
    <x v="2"/>
    <x v="0"/>
    <n v="58273"/>
    <n v="12654"/>
    <n v="0"/>
    <n v="0"/>
    <s v="9/19/2023"/>
    <s v="9/19/2023"/>
    <d v="2026-02-11T00:00:00"/>
    <e v="#VALUE!"/>
    <n v="2"/>
    <n v="70927"/>
    <n v="35463.5"/>
    <s v=" Not Achieved"/>
    <s v=" Excellent"/>
  </r>
  <r>
    <x v="2493"/>
    <x v="2493"/>
    <s v="EMP_2494"/>
    <x v="0"/>
    <s v="EMP_2494Marketing"/>
    <x v="4"/>
    <x v="0"/>
    <n v="39064"/>
    <n v="13816"/>
    <n v="0"/>
    <n v="0"/>
    <s v="1/14/2022"/>
    <s v="1/14/2022"/>
    <d v="2026-02-11T00:00:00"/>
    <e v="#VALUE!"/>
    <n v="2"/>
    <n v="52880"/>
    <n v="26440"/>
    <s v=" Not Achieved"/>
    <s v="Average"/>
  </r>
  <r>
    <x v="2494"/>
    <x v="2494"/>
    <s v="EMP_2495"/>
    <x v="1"/>
    <s v="EMP_2495IT"/>
    <x v="3"/>
    <x v="2"/>
    <n v="50668"/>
    <n v="10755"/>
    <n v="0"/>
    <n v="0"/>
    <s v="11/20/2021"/>
    <s v="11/20/2021"/>
    <d v="2026-02-11T00:00:00"/>
    <e v="#VALUE!"/>
    <n v="4"/>
    <n v="61423"/>
    <n v="30711.5"/>
    <s v=" Not Achieved"/>
    <s v=" Excellent"/>
  </r>
  <r>
    <x v="2495"/>
    <x v="2495"/>
    <s v="EMP_2496"/>
    <x v="1"/>
    <s v="EMP_2496Finance"/>
    <x v="2"/>
    <x v="3"/>
    <n v="57478"/>
    <n v="10919"/>
    <n v="0"/>
    <n v="0"/>
    <d v="2024-06-05T00:00:00"/>
    <s v="2024"/>
    <d v="2026-02-11T00:00:00"/>
    <n v="1"/>
    <n v="2"/>
    <n v="68397"/>
    <n v="34198.5"/>
    <s v=" Not Achieved"/>
    <s v=" Excellent"/>
  </r>
  <r>
    <x v="2496"/>
    <x v="2496"/>
    <s v="EMP_2497"/>
    <x v="0"/>
    <s v="EMP_2497Finance"/>
    <x v="2"/>
    <x v="2"/>
    <n v="24323"/>
    <n v="3459"/>
    <n v="0"/>
    <n v="0"/>
    <d v="2024-01-08T00:00:00"/>
    <s v="2024"/>
    <d v="2026-02-11T00:00:00"/>
    <n v="2"/>
    <n v="5"/>
    <n v="27782"/>
    <n v="13891"/>
    <s v=" Not Achieved"/>
    <s v="poor"/>
  </r>
  <r>
    <x v="2497"/>
    <x v="2497"/>
    <s v="EMP_2498"/>
    <x v="1"/>
    <s v="EMP_2498Marketing"/>
    <x v="4"/>
    <x v="4"/>
    <n v="26408"/>
    <n v="4097"/>
    <n v="0"/>
    <n v="0"/>
    <s v="8/15/2022"/>
    <s v="8/15/2022"/>
    <d v="2026-02-11T00:00:00"/>
    <e v="#VALUE!"/>
    <n v="2"/>
    <n v="30505"/>
    <n v="15252.5"/>
    <s v=" Not Achieved"/>
    <s v="poor"/>
  </r>
  <r>
    <x v="2498"/>
    <x v="2498"/>
    <s v="EMP_2499"/>
    <x v="0"/>
    <s v="EMP_2499Marketing"/>
    <x v="4"/>
    <x v="2"/>
    <n v="38742"/>
    <n v="13962"/>
    <n v="0"/>
    <n v="0"/>
    <s v="12/24/2021"/>
    <s v="12/24/2021"/>
    <d v="2026-02-11T00:00:00"/>
    <e v="#VALUE!"/>
    <n v="2"/>
    <n v="52704"/>
    <n v="26352"/>
    <s v=" Not Achieved"/>
    <s v="Average"/>
  </r>
  <r>
    <x v="2499"/>
    <x v="2499"/>
    <s v="EMP_2500"/>
    <x v="0"/>
    <s v="EMP_2500Sales"/>
    <x v="1"/>
    <x v="3"/>
    <n v="63383"/>
    <n v="2109"/>
    <n v="167845"/>
    <n v="197035"/>
    <s v="9/17/2019"/>
    <s v="9/17/2019"/>
    <d v="2026-02-11T00:00:00"/>
    <e v="#VALUE!"/>
    <n v="1"/>
    <n v="65492"/>
    <n v="32746"/>
    <s v=" Not Achieved"/>
    <s v=" Excellent"/>
  </r>
  <r>
    <x v="2500"/>
    <x v="2500"/>
    <s v="EMP_2501"/>
    <x v="1"/>
    <s v="EMP_2501Marketing"/>
    <x v="4"/>
    <x v="0"/>
    <n v="25028"/>
    <n v="2044"/>
    <n v="0"/>
    <n v="0"/>
    <d v="2021-04-03T00:00:00"/>
    <s v="2021"/>
    <d v="2026-02-11T00:00:00"/>
    <n v="4"/>
    <n v="5"/>
    <n v="27072"/>
    <n v="13536"/>
    <s v=" Not Achieved"/>
    <s v="poor"/>
  </r>
  <r>
    <x v="2501"/>
    <x v="2501"/>
    <s v="EMP_2502"/>
    <x v="0"/>
    <s v="EMP_2502Marketing"/>
    <x v="4"/>
    <x v="0"/>
    <n v="21577"/>
    <n v="14296"/>
    <n v="0"/>
    <n v="0"/>
    <s v="3/14/2024"/>
    <s v="3/14/2024"/>
    <d v="2026-02-11T00:00:00"/>
    <e v="#VALUE!"/>
    <n v="5"/>
    <n v="35873"/>
    <n v="17936.5"/>
    <s v=" Not Achieved"/>
    <s v="poor"/>
  </r>
  <r>
    <x v="2502"/>
    <x v="2502"/>
    <s v="EMP_2503"/>
    <x v="0"/>
    <s v="EMP_2503HR"/>
    <x v="0"/>
    <x v="2"/>
    <n v="40671"/>
    <n v="4029"/>
    <n v="0"/>
    <n v="0"/>
    <s v="9/28/2022"/>
    <s v="9/28/2022"/>
    <d v="2026-02-11T00:00:00"/>
    <e v="#VALUE!"/>
    <n v="3"/>
    <n v="44700"/>
    <n v="22350"/>
    <s v=" Not Achieved"/>
    <s v="Good"/>
  </r>
  <r>
    <x v="2503"/>
    <x v="2503"/>
    <s v="EMP_2504"/>
    <x v="0"/>
    <s v="EMP_2504Finance"/>
    <x v="2"/>
    <x v="0"/>
    <n v="50330"/>
    <n v="2301"/>
    <n v="0"/>
    <n v="0"/>
    <s v="1/25/2024"/>
    <s v="1/25/2024"/>
    <d v="2026-02-11T00:00:00"/>
    <e v="#VALUE!"/>
    <n v="1"/>
    <n v="52631"/>
    <n v="26315.5"/>
    <s v=" Not Achieved"/>
    <s v=" Excellent"/>
  </r>
  <r>
    <x v="2504"/>
    <x v="2504"/>
    <s v="EMP_2505"/>
    <x v="1"/>
    <s v="EMP_2505HR"/>
    <x v="0"/>
    <x v="0"/>
    <n v="62430"/>
    <n v="5588"/>
    <n v="0"/>
    <n v="0"/>
    <s v="9/21/2021"/>
    <s v="9/21/2021"/>
    <d v="2026-02-11T00:00:00"/>
    <e v="#VALUE!"/>
    <n v="1"/>
    <n v="68018"/>
    <n v="34009"/>
    <s v=" Not Achieved"/>
    <s v=" Excellent"/>
  </r>
  <r>
    <x v="2505"/>
    <x v="2505"/>
    <s v="EMP_2506"/>
    <x v="0"/>
    <s v="EMP_2506Marketing"/>
    <x v="4"/>
    <x v="2"/>
    <n v="41255"/>
    <n v="10863"/>
    <n v="0"/>
    <n v="0"/>
    <s v="11/30/2018"/>
    <s v="11/30/2018"/>
    <d v="2026-02-11T00:00:00"/>
    <e v="#VALUE!"/>
    <n v="2"/>
    <n v="52118"/>
    <n v="26059"/>
    <s v=" Not Achieved"/>
    <s v="Good"/>
  </r>
  <r>
    <x v="2506"/>
    <x v="2506"/>
    <s v="EMP_2507"/>
    <x v="0"/>
    <s v="EMP_2507Finance"/>
    <x v="2"/>
    <x v="1"/>
    <n v="30899"/>
    <n v="5081"/>
    <n v="0"/>
    <n v="0"/>
    <s v="9/15/2022"/>
    <s v="9/15/2022"/>
    <d v="2026-02-11T00:00:00"/>
    <e v="#VALUE!"/>
    <n v="4"/>
    <n v="35980"/>
    <n v="17990"/>
    <s v=" Not Achieved"/>
    <s v="Average"/>
  </r>
  <r>
    <x v="2507"/>
    <x v="2507"/>
    <s v="EMP_2508"/>
    <x v="0"/>
    <s v="EMP_2508HR"/>
    <x v="0"/>
    <x v="4"/>
    <n v="71392"/>
    <n v="12110"/>
    <n v="0"/>
    <n v="0"/>
    <s v="7/19/2024"/>
    <s v="7/19/2024"/>
    <d v="2026-02-11T00:00:00"/>
    <e v="#VALUE!"/>
    <n v="4"/>
    <n v="83502"/>
    <n v="41751"/>
    <s v=" Not Achieved"/>
    <s v=" Excellent"/>
  </r>
  <r>
    <x v="2508"/>
    <x v="2508"/>
    <s v="EMP_2509"/>
    <x v="0"/>
    <s v="EMP_2509HR"/>
    <x v="0"/>
    <x v="3"/>
    <n v="67276"/>
    <n v="2888"/>
    <n v="0"/>
    <n v="0"/>
    <s v="3/13/2021"/>
    <s v="3/13/2021"/>
    <d v="2026-02-11T00:00:00"/>
    <e v="#VALUE!"/>
    <n v="1"/>
    <n v="70164"/>
    <n v="35082"/>
    <s v=" Not Achieved"/>
    <s v=" Excellent"/>
  </r>
  <r>
    <x v="2509"/>
    <x v="2509"/>
    <s v="EMP_2510"/>
    <x v="0"/>
    <s v="EMP_2510Marketing"/>
    <x v="4"/>
    <x v="0"/>
    <n v="74715"/>
    <n v="8956"/>
    <n v="0"/>
    <n v="0"/>
    <s v="5/25/2019"/>
    <s v="5/25/2019"/>
    <d v="2026-02-11T00:00:00"/>
    <e v="#VALUE!"/>
    <n v="1"/>
    <n v="83671"/>
    <n v="41835.5"/>
    <s v=" Not Achieved"/>
    <s v=" Excellent"/>
  </r>
  <r>
    <x v="2510"/>
    <x v="2510"/>
    <s v="EMP_2511"/>
    <x v="0"/>
    <s v="EMP_2511Marketing"/>
    <x v="4"/>
    <x v="0"/>
    <n v="48769"/>
    <n v="2515"/>
    <n v="0"/>
    <n v="0"/>
    <s v="9/20/2022"/>
    <s v="9/20/2022"/>
    <d v="2026-02-11T00:00:00"/>
    <e v="#VALUE!"/>
    <n v="2"/>
    <n v="51284"/>
    <n v="25642"/>
    <s v=" Not Achieved"/>
    <s v="Good"/>
  </r>
  <r>
    <x v="2511"/>
    <x v="2511"/>
    <s v="EMP_2512"/>
    <x v="0"/>
    <s v="EMP_2512Sales"/>
    <x v="1"/>
    <x v="1"/>
    <n v="32000"/>
    <n v="8384"/>
    <n v="114321"/>
    <n v="131624"/>
    <s v="2/20/2024"/>
    <s v="2/20/2024"/>
    <d v="2026-02-11T00:00:00"/>
    <e v="#VALUE!"/>
    <n v="1"/>
    <n v="40384"/>
    <n v="20192"/>
    <s v=" Not Achieved"/>
    <s v="Average"/>
  </r>
  <r>
    <x v="2512"/>
    <x v="2512"/>
    <s v="EMP_2513"/>
    <x v="1"/>
    <s v="EMP_2513Sales"/>
    <x v="1"/>
    <x v="3"/>
    <n v="43621"/>
    <n v="8182"/>
    <n v="105132"/>
    <n v="218359"/>
    <s v="9/25/2020"/>
    <s v="9/25/2020"/>
    <d v="2026-02-11T00:00:00"/>
    <e v="#VALUE!"/>
    <n v="2"/>
    <n v="51803"/>
    <n v="25901.5"/>
    <s v=" Not Achieved"/>
    <s v="Good"/>
  </r>
  <r>
    <x v="2513"/>
    <x v="2513"/>
    <s v="EMP_2514"/>
    <x v="0"/>
    <s v="EMP_2514Marketing"/>
    <x v="4"/>
    <x v="0"/>
    <n v="78669"/>
    <n v="12726"/>
    <n v="0"/>
    <n v="0"/>
    <d v="2023-05-03T00:00:00"/>
    <s v="2023"/>
    <d v="2026-02-11T00:00:00"/>
    <n v="2"/>
    <n v="1"/>
    <n v="91395"/>
    <n v="45697.5"/>
    <s v=" Not Achieved"/>
    <s v=" Excellent"/>
  </r>
  <r>
    <x v="2514"/>
    <x v="2514"/>
    <s v="EMP_2515"/>
    <x v="0"/>
    <s v="EMP_2515HR"/>
    <x v="0"/>
    <x v="2"/>
    <n v="79715"/>
    <n v="14825"/>
    <n v="0"/>
    <n v="0"/>
    <s v="7/13/2021"/>
    <s v="7/13/2021"/>
    <d v="2026-02-11T00:00:00"/>
    <e v="#VALUE!"/>
    <n v="4"/>
    <n v="94540"/>
    <n v="47270"/>
    <s v=" Not Achieved"/>
    <s v=" Excellent"/>
  </r>
  <r>
    <x v="2515"/>
    <x v="2515"/>
    <s v="EMP_2516"/>
    <x v="1"/>
    <s v="EMP_2516HR"/>
    <x v="0"/>
    <x v="3"/>
    <n v="47384"/>
    <n v="6386"/>
    <n v="0"/>
    <n v="0"/>
    <s v="2/20/2018"/>
    <s v="2/20/2018"/>
    <d v="2026-02-11T00:00:00"/>
    <e v="#VALUE!"/>
    <n v="1"/>
    <n v="53770"/>
    <n v="26885"/>
    <s v=" Not Achieved"/>
    <s v="Good"/>
  </r>
  <r>
    <x v="2516"/>
    <x v="2516"/>
    <s v="EMP_2517"/>
    <x v="0"/>
    <s v="EMP_2517Finance"/>
    <x v="2"/>
    <x v="0"/>
    <n v="27984"/>
    <n v="2733"/>
    <n v="0"/>
    <n v="0"/>
    <s v="4/19/2019"/>
    <s v="4/19/2019"/>
    <d v="2026-02-11T00:00:00"/>
    <e v="#VALUE!"/>
    <n v="4"/>
    <n v="30717"/>
    <n v="15358.5"/>
    <s v=" Not Achieved"/>
    <s v="poor"/>
  </r>
  <r>
    <x v="2517"/>
    <x v="2517"/>
    <s v="EMP_2518"/>
    <x v="0"/>
    <s v="EMP_2518Finance"/>
    <x v="2"/>
    <x v="0"/>
    <n v="41033"/>
    <n v="5728"/>
    <n v="0"/>
    <n v="0"/>
    <s v="10/16/2024"/>
    <s v="10/16/2024"/>
    <d v="2026-02-11T00:00:00"/>
    <e v="#VALUE!"/>
    <n v="3"/>
    <n v="46761"/>
    <n v="23380.5"/>
    <s v=" Not Achieved"/>
    <s v="Good"/>
  </r>
  <r>
    <x v="2518"/>
    <x v="2518"/>
    <s v="EMP_2519"/>
    <x v="0"/>
    <s v="EMP_2519HR"/>
    <x v="0"/>
    <x v="0"/>
    <n v="78336"/>
    <n v="11364"/>
    <n v="0"/>
    <n v="0"/>
    <s v="5/14/2022"/>
    <s v="5/14/2022"/>
    <d v="2026-02-11T00:00:00"/>
    <e v="#VALUE!"/>
    <n v="1"/>
    <n v="89700"/>
    <n v="44850"/>
    <s v=" Not Achieved"/>
    <s v=" Excellent"/>
  </r>
  <r>
    <x v="2519"/>
    <x v="2519"/>
    <s v="EMP_2520"/>
    <x v="1"/>
    <s v="EMP_2520IT"/>
    <x v="3"/>
    <x v="4"/>
    <n v="65028"/>
    <n v="14102"/>
    <n v="0"/>
    <n v="0"/>
    <s v="11/16/2019"/>
    <s v="11/16/2019"/>
    <d v="2026-02-11T00:00:00"/>
    <e v="#VALUE!"/>
    <n v="4"/>
    <n v="79130"/>
    <n v="39565"/>
    <s v=" Not Achieved"/>
    <s v=" Excellent"/>
  </r>
  <r>
    <x v="2520"/>
    <x v="2520"/>
    <s v="EMP_2521"/>
    <x v="1"/>
    <s v="EMP_2521IT"/>
    <x v="3"/>
    <x v="1"/>
    <n v="23220"/>
    <n v="12931"/>
    <n v="0"/>
    <n v="0"/>
    <d v="2018-03-05T00:00:00"/>
    <s v="2018"/>
    <d v="2026-02-11T00:00:00"/>
    <n v="7"/>
    <n v="3"/>
    <n v="36151"/>
    <n v="18075.5"/>
    <s v=" Not Achieved"/>
    <s v="poor"/>
  </r>
  <r>
    <x v="2521"/>
    <x v="2521"/>
    <s v="EMP_2522"/>
    <x v="1"/>
    <s v="EMP_2522HR"/>
    <x v="0"/>
    <x v="1"/>
    <n v="32908"/>
    <n v="12876"/>
    <n v="0"/>
    <n v="0"/>
    <s v="6/21/2022"/>
    <s v="6/21/2022"/>
    <d v="2026-02-11T00:00:00"/>
    <e v="#VALUE!"/>
    <n v="1"/>
    <n v="45784"/>
    <n v="22892"/>
    <s v=" Not Achieved"/>
    <s v="Average"/>
  </r>
  <r>
    <x v="2522"/>
    <x v="2522"/>
    <s v="EMP_2523"/>
    <x v="1"/>
    <s v="EMP_2523HR"/>
    <x v="0"/>
    <x v="2"/>
    <n v="32792"/>
    <n v="13414"/>
    <n v="0"/>
    <n v="0"/>
    <s v="12/28/2018"/>
    <s v="12/28/2018"/>
    <d v="2026-02-11T00:00:00"/>
    <e v="#VALUE!"/>
    <n v="4"/>
    <n v="46206"/>
    <n v="23103"/>
    <s v=" Not Achieved"/>
    <s v="Average"/>
  </r>
  <r>
    <x v="2523"/>
    <x v="2523"/>
    <s v="EMP_2524"/>
    <x v="1"/>
    <s v="EMP_2524Finance"/>
    <x v="2"/>
    <x v="3"/>
    <n v="63945"/>
    <n v="8222"/>
    <n v="0"/>
    <n v="0"/>
    <s v="5/29/2024"/>
    <s v="5/29/2024"/>
    <d v="2026-02-11T00:00:00"/>
    <e v="#VALUE!"/>
    <n v="2"/>
    <n v="72167"/>
    <n v="36083.5"/>
    <s v=" Not Achieved"/>
    <s v=" Excellent"/>
  </r>
  <r>
    <x v="2524"/>
    <x v="2524"/>
    <s v="EMP_2525"/>
    <x v="0"/>
    <s v="EMP_2525IT"/>
    <x v="3"/>
    <x v="0"/>
    <n v="49032"/>
    <n v="2624"/>
    <n v="0"/>
    <n v="0"/>
    <d v="2020-02-10T00:00:00"/>
    <s v="2020"/>
    <d v="2026-02-11T00:00:00"/>
    <n v="6"/>
    <n v="1"/>
    <n v="51656"/>
    <n v="25828"/>
    <s v=" Not Achieved"/>
    <s v="Good"/>
  </r>
  <r>
    <x v="2525"/>
    <x v="2525"/>
    <s v="EMP_2526"/>
    <x v="0"/>
    <s v="EMP_2526IT"/>
    <x v="3"/>
    <x v="1"/>
    <n v="47753"/>
    <n v="9952"/>
    <n v="0"/>
    <n v="0"/>
    <s v="8/23/2020"/>
    <s v="8/23/2020"/>
    <d v="2026-02-11T00:00:00"/>
    <e v="#VALUE!"/>
    <n v="5"/>
    <n v="57705"/>
    <n v="28852.5"/>
    <s v=" Not Achieved"/>
    <s v="Good"/>
  </r>
  <r>
    <x v="2526"/>
    <x v="2526"/>
    <s v="EMP_2527"/>
    <x v="1"/>
    <s v="EMP_2527Sales"/>
    <x v="1"/>
    <x v="0"/>
    <n v="59881"/>
    <n v="13544"/>
    <n v="238955"/>
    <n v="106562"/>
    <d v="2021-06-12T00:00:00"/>
    <s v="2021"/>
    <d v="2026-02-11T00:00:00"/>
    <n v="4"/>
    <n v="5"/>
    <n v="73425"/>
    <n v="36712.5"/>
    <s v="Achieved"/>
    <s v=" Excellent"/>
  </r>
  <r>
    <x v="2527"/>
    <x v="2527"/>
    <s v="EMP_2528"/>
    <x v="0"/>
    <s v="EMP_2528IT"/>
    <x v="3"/>
    <x v="3"/>
    <n v="76474"/>
    <n v="10640"/>
    <n v="0"/>
    <n v="0"/>
    <s v="7/16/2021"/>
    <s v="7/16/2021"/>
    <d v="2026-02-11T00:00:00"/>
    <e v="#VALUE!"/>
    <n v="1"/>
    <n v="87114"/>
    <n v="43557"/>
    <s v=" Not Achieved"/>
    <s v=" Excellent"/>
  </r>
  <r>
    <x v="2528"/>
    <x v="2528"/>
    <s v="EMP_2529"/>
    <x v="1"/>
    <s v="EMP_2529Sales"/>
    <x v="1"/>
    <x v="4"/>
    <n v="23212"/>
    <n v="8448"/>
    <n v="91912"/>
    <n v="244758"/>
    <d v="2024-11-06T00:00:00"/>
    <s v="2024"/>
    <d v="2026-02-11T00:00:00"/>
    <n v="1"/>
    <n v="2"/>
    <n v="31660"/>
    <n v="15830"/>
    <s v=" Not Achieved"/>
    <s v="poor"/>
  </r>
  <r>
    <x v="2529"/>
    <x v="2529"/>
    <s v="EMP_2530"/>
    <x v="1"/>
    <s v="EMP_2530Finance"/>
    <x v="2"/>
    <x v="3"/>
    <n v="54102"/>
    <n v="7130"/>
    <n v="0"/>
    <n v="0"/>
    <s v="1/31/2021"/>
    <s v="1/31/2021"/>
    <d v="2026-02-11T00:00:00"/>
    <e v="#VALUE!"/>
    <n v="1"/>
    <n v="61232"/>
    <n v="30616"/>
    <s v=" Not Achieved"/>
    <s v=" Excellent"/>
  </r>
  <r>
    <x v="2530"/>
    <x v="2530"/>
    <s v="EMP_2531"/>
    <x v="1"/>
    <s v="EMP_2531Finance"/>
    <x v="2"/>
    <x v="0"/>
    <n v="30964"/>
    <n v="5838"/>
    <n v="0"/>
    <n v="0"/>
    <d v="2022-05-03T00:00:00"/>
    <s v="2022"/>
    <d v="2026-02-11T00:00:00"/>
    <n v="3"/>
    <n v="5"/>
    <n v="36802"/>
    <n v="18401"/>
    <s v=" Not Achieved"/>
    <s v="Average"/>
  </r>
  <r>
    <x v="2531"/>
    <x v="2531"/>
    <s v="EMP_2532"/>
    <x v="0"/>
    <s v="EMP_2532IT"/>
    <x v="3"/>
    <x v="3"/>
    <n v="69273"/>
    <n v="8556"/>
    <n v="0"/>
    <n v="0"/>
    <d v="2021-07-12T00:00:00"/>
    <s v="2021"/>
    <d v="2026-02-11T00:00:00"/>
    <n v="4"/>
    <n v="2"/>
    <n v="77829"/>
    <n v="38914.5"/>
    <s v=" Not Achieved"/>
    <s v=" Excellent"/>
  </r>
  <r>
    <x v="2532"/>
    <x v="2532"/>
    <s v="EMP_2533"/>
    <x v="1"/>
    <s v="EMP_2533Sales"/>
    <x v="1"/>
    <x v="3"/>
    <n v="77056"/>
    <n v="8655"/>
    <n v="74595"/>
    <n v="211137"/>
    <d v="2024-06-02T00:00:00"/>
    <s v="2024"/>
    <d v="2026-02-11T00:00:00"/>
    <n v="1"/>
    <n v="1"/>
    <n v="85711"/>
    <n v="42855.5"/>
    <s v=" Not Achieved"/>
    <s v=" Excellent"/>
  </r>
  <r>
    <x v="2533"/>
    <x v="2533"/>
    <s v="EMP_2534"/>
    <x v="0"/>
    <s v="EMP_2534Finance"/>
    <x v="2"/>
    <x v="2"/>
    <n v="54766"/>
    <n v="6390"/>
    <n v="0"/>
    <n v="0"/>
    <s v="1/30/2020"/>
    <s v="1/30/2020"/>
    <d v="2026-02-11T00:00:00"/>
    <e v="#VALUE!"/>
    <n v="3"/>
    <n v="61156"/>
    <n v="30578"/>
    <s v=" Not Achieved"/>
    <s v=" Excellent"/>
  </r>
  <r>
    <x v="2534"/>
    <x v="2534"/>
    <s v="EMP_2535"/>
    <x v="0"/>
    <s v="EMP_2535Finance"/>
    <x v="2"/>
    <x v="2"/>
    <n v="59653"/>
    <n v="5965"/>
    <n v="0"/>
    <n v="0"/>
    <s v="10/16/2019"/>
    <s v="10/16/2019"/>
    <d v="2026-02-11T00:00:00"/>
    <e v="#VALUE!"/>
    <n v="3"/>
    <n v="65618"/>
    <n v="32809"/>
    <s v=" Not Achieved"/>
    <s v=" Excellent"/>
  </r>
  <r>
    <x v="2535"/>
    <x v="2535"/>
    <s v="EMP_2536"/>
    <x v="1"/>
    <s v="EMP_2536HR"/>
    <x v="0"/>
    <x v="0"/>
    <n v="40894"/>
    <n v="9437"/>
    <n v="0"/>
    <n v="0"/>
    <s v="11/25/2024"/>
    <s v="11/25/2024"/>
    <d v="2026-02-11T00:00:00"/>
    <e v="#VALUE!"/>
    <n v="5"/>
    <n v="50331"/>
    <n v="25165.5"/>
    <s v=" Not Achieved"/>
    <s v="Good"/>
  </r>
  <r>
    <x v="2536"/>
    <x v="2536"/>
    <s v="EMP_2537"/>
    <x v="0"/>
    <s v="EMP_2537Finance"/>
    <x v="2"/>
    <x v="3"/>
    <n v="41968"/>
    <n v="14786"/>
    <n v="0"/>
    <n v="0"/>
    <s v="12/14/2020"/>
    <s v="12/14/2020"/>
    <d v="2026-02-11T00:00:00"/>
    <e v="#VALUE!"/>
    <n v="3"/>
    <n v="56754"/>
    <n v="28377"/>
    <s v=" Not Achieved"/>
    <s v="Good"/>
  </r>
  <r>
    <x v="2537"/>
    <x v="2537"/>
    <s v="EMP_2538"/>
    <x v="1"/>
    <s v="EMP_2538Sales"/>
    <x v="1"/>
    <x v="2"/>
    <n v="78266"/>
    <n v="10264"/>
    <n v="272677"/>
    <n v="202705"/>
    <d v="2019-11-06T00:00:00"/>
    <s v="2019"/>
    <d v="2026-02-11T00:00:00"/>
    <n v="6"/>
    <n v="5"/>
    <n v="88530"/>
    <n v="44265"/>
    <s v="Achieved"/>
    <s v=" Excellent"/>
  </r>
  <r>
    <x v="2538"/>
    <x v="2538"/>
    <s v="EMP_2539"/>
    <x v="1"/>
    <s v="EMP_2539Finance"/>
    <x v="2"/>
    <x v="4"/>
    <n v="41075"/>
    <n v="8998"/>
    <n v="0"/>
    <n v="0"/>
    <d v="2019-03-09T00:00:00"/>
    <s v="2019"/>
    <d v="2026-02-11T00:00:00"/>
    <n v="6"/>
    <n v="3"/>
    <n v="50073"/>
    <n v="25036.5"/>
    <s v=" Not Achieved"/>
    <s v="Good"/>
  </r>
  <r>
    <x v="2539"/>
    <x v="2539"/>
    <s v="EMP_2540"/>
    <x v="0"/>
    <s v="EMP_2540IT"/>
    <x v="3"/>
    <x v="4"/>
    <n v="38799"/>
    <n v="10879"/>
    <n v="0"/>
    <n v="0"/>
    <s v="2/16/2022"/>
    <s v="2/16/2022"/>
    <d v="2026-02-11T00:00:00"/>
    <e v="#VALUE!"/>
    <n v="5"/>
    <n v="49678"/>
    <n v="24839"/>
    <s v=" Not Achieved"/>
    <s v="Average"/>
  </r>
  <r>
    <x v="2540"/>
    <x v="2540"/>
    <s v="EMP_2541"/>
    <x v="1"/>
    <s v="EMP_2541HR"/>
    <x v="0"/>
    <x v="4"/>
    <n v="37256"/>
    <n v="11303"/>
    <n v="0"/>
    <n v="0"/>
    <s v="2/21/2018"/>
    <s v="2/21/2018"/>
    <d v="2026-02-11T00:00:00"/>
    <e v="#VALUE!"/>
    <n v="4"/>
    <n v="48559"/>
    <n v="24279.5"/>
    <s v=" Not Achieved"/>
    <s v="Average"/>
  </r>
  <r>
    <x v="2541"/>
    <x v="2541"/>
    <s v="EMP_2542"/>
    <x v="0"/>
    <s v="EMP_2542IT"/>
    <x v="3"/>
    <x v="2"/>
    <n v="46518"/>
    <n v="5154"/>
    <n v="0"/>
    <n v="0"/>
    <d v="2018-02-07T00:00:00"/>
    <s v="2018"/>
    <d v="2026-02-11T00:00:00"/>
    <n v="8"/>
    <n v="3"/>
    <n v="51672"/>
    <n v="25836"/>
    <s v=" Not Achieved"/>
    <s v="Good"/>
  </r>
  <r>
    <x v="2542"/>
    <x v="2542"/>
    <s v="EMP_2543"/>
    <x v="1"/>
    <s v="EMP_2543Marketing"/>
    <x v="4"/>
    <x v="4"/>
    <n v="64261"/>
    <n v="7288"/>
    <n v="0"/>
    <n v="0"/>
    <d v="2018-10-03T00:00:00"/>
    <s v="2018"/>
    <d v="2026-02-11T00:00:00"/>
    <n v="7"/>
    <n v="3"/>
    <n v="71549"/>
    <n v="35774.5"/>
    <s v=" Not Achieved"/>
    <s v=" Excellent"/>
  </r>
  <r>
    <x v="2543"/>
    <x v="2543"/>
    <s v="EMP_2544"/>
    <x v="1"/>
    <s v="EMP_2544IT"/>
    <x v="3"/>
    <x v="1"/>
    <n v="45185"/>
    <n v="10755"/>
    <n v="0"/>
    <n v="0"/>
    <s v="12/29/2019"/>
    <s v="12/29/2019"/>
    <d v="2026-02-11T00:00:00"/>
    <e v="#VALUE!"/>
    <n v="5"/>
    <n v="55940"/>
    <n v="27970"/>
    <s v=" Not Achieved"/>
    <s v="Good"/>
  </r>
  <r>
    <x v="2544"/>
    <x v="2544"/>
    <s v="EMP_2545"/>
    <x v="0"/>
    <s v="EMP_2545Sales"/>
    <x v="1"/>
    <x v="3"/>
    <n v="75011"/>
    <n v="6412"/>
    <n v="202542"/>
    <n v="203827"/>
    <s v="5/19/2024"/>
    <s v="5/19/2024"/>
    <d v="2026-02-11T00:00:00"/>
    <e v="#VALUE!"/>
    <n v="5"/>
    <n v="81423"/>
    <n v="40711.5"/>
    <s v=" Not Achieved"/>
    <s v=" Excellent"/>
  </r>
  <r>
    <x v="2545"/>
    <x v="2545"/>
    <s v="EMP_2546"/>
    <x v="0"/>
    <s v="EMP_2546Marketing"/>
    <x v="4"/>
    <x v="2"/>
    <n v="61238"/>
    <n v="10364"/>
    <n v="0"/>
    <n v="0"/>
    <s v="6/28/2023"/>
    <s v="6/28/2023"/>
    <d v="2026-02-11T00:00:00"/>
    <e v="#VALUE!"/>
    <n v="2"/>
    <n v="71602"/>
    <n v="35801"/>
    <s v=" Not Achieved"/>
    <s v=" Excellent"/>
  </r>
  <r>
    <x v="2546"/>
    <x v="2546"/>
    <s v="EMP_2547"/>
    <x v="1"/>
    <s v="EMP_2547Sales"/>
    <x v="1"/>
    <x v="3"/>
    <n v="79028"/>
    <n v="4920"/>
    <n v="172219"/>
    <n v="148395"/>
    <s v="9/23/2020"/>
    <s v="9/23/2020"/>
    <d v="2026-02-11T00:00:00"/>
    <e v="#VALUE!"/>
    <n v="2"/>
    <n v="83948"/>
    <n v="41974"/>
    <s v="Achieved"/>
    <s v=" Excellent"/>
  </r>
  <r>
    <x v="2547"/>
    <x v="2547"/>
    <s v="EMP_2548"/>
    <x v="0"/>
    <s v="EMP_2548IT"/>
    <x v="3"/>
    <x v="3"/>
    <n v="49088"/>
    <n v="13139"/>
    <n v="0"/>
    <n v="0"/>
    <d v="2018-07-05T00:00:00"/>
    <s v="2018"/>
    <d v="2026-02-11T00:00:00"/>
    <n v="7"/>
    <n v="5"/>
    <n v="62227"/>
    <n v="31113.5"/>
    <s v=" Not Achieved"/>
    <s v="Good"/>
  </r>
  <r>
    <x v="2548"/>
    <x v="2548"/>
    <s v="EMP_2549"/>
    <x v="0"/>
    <s v="EMP_2549Marketing"/>
    <x v="4"/>
    <x v="0"/>
    <n v="76759"/>
    <n v="10615"/>
    <n v="0"/>
    <n v="0"/>
    <s v="6/16/2020"/>
    <s v="6/16/2020"/>
    <d v="2026-02-11T00:00:00"/>
    <e v="#VALUE!"/>
    <n v="5"/>
    <n v="87374"/>
    <n v="43687"/>
    <s v=" Not Achieved"/>
    <s v=" Excellent"/>
  </r>
  <r>
    <x v="2549"/>
    <x v="2549"/>
    <s v="EMP_2550"/>
    <x v="1"/>
    <s v="EMP_2550Sales"/>
    <x v="1"/>
    <x v="0"/>
    <n v="76106"/>
    <n v="2782"/>
    <n v="86643"/>
    <n v="132119"/>
    <s v="9/29/2022"/>
    <s v="9/29/2022"/>
    <d v="2026-02-11T00:00:00"/>
    <e v="#VALUE!"/>
    <n v="2"/>
    <n v="78888"/>
    <n v="39444"/>
    <s v=" Not Achieved"/>
    <s v=" Excellent"/>
  </r>
  <r>
    <x v="2550"/>
    <x v="2550"/>
    <s v="EMP_2551"/>
    <x v="1"/>
    <s v="EMP_2551Finance"/>
    <x v="2"/>
    <x v="1"/>
    <n v="41375"/>
    <n v="12840"/>
    <n v="0"/>
    <n v="0"/>
    <s v="9/16/2024"/>
    <s v="9/16/2024"/>
    <d v="2026-02-11T00:00:00"/>
    <e v="#VALUE!"/>
    <n v="3"/>
    <n v="54215"/>
    <n v="27107.5"/>
    <s v=" Not Achieved"/>
    <s v="Good"/>
  </r>
  <r>
    <x v="2551"/>
    <x v="2551"/>
    <s v="EMP_2552"/>
    <x v="0"/>
    <s v="EMP_2552Sales"/>
    <x v="1"/>
    <x v="1"/>
    <n v="68874"/>
    <n v="14981"/>
    <n v="287723"/>
    <n v="198464"/>
    <s v="1/14/2021"/>
    <s v="1/14/2021"/>
    <d v="2026-02-11T00:00:00"/>
    <e v="#VALUE!"/>
    <n v="1"/>
    <n v="83855"/>
    <n v="41927.5"/>
    <s v="Achieved"/>
    <s v=" Excellent"/>
  </r>
  <r>
    <x v="2552"/>
    <x v="2552"/>
    <s v="EMP_2553"/>
    <x v="0"/>
    <s v="EMP_2553Finance"/>
    <x v="2"/>
    <x v="4"/>
    <n v="31461"/>
    <n v="9073"/>
    <n v="0"/>
    <n v="0"/>
    <s v="12/14/2021"/>
    <s v="12/14/2021"/>
    <d v="2026-02-11T00:00:00"/>
    <e v="#VALUE!"/>
    <n v="2"/>
    <n v="40534"/>
    <n v="20267"/>
    <s v=" Not Achieved"/>
    <s v="Average"/>
  </r>
  <r>
    <x v="2553"/>
    <x v="2553"/>
    <s v="EMP_2554"/>
    <x v="1"/>
    <s v="EMP_2554HR"/>
    <x v="0"/>
    <x v="0"/>
    <n v="48559"/>
    <n v="13267"/>
    <n v="0"/>
    <n v="0"/>
    <s v="12/31/2024"/>
    <s v="12/31/2024"/>
    <d v="2026-02-11T00:00:00"/>
    <e v="#VALUE!"/>
    <n v="2"/>
    <n v="61826"/>
    <n v="30913"/>
    <s v=" Not Achieved"/>
    <s v="Good"/>
  </r>
  <r>
    <x v="2554"/>
    <x v="2554"/>
    <s v="EMP_2555"/>
    <x v="1"/>
    <s v="EMP_2555Finance"/>
    <x v="2"/>
    <x v="0"/>
    <n v="31028"/>
    <n v="6531"/>
    <n v="0"/>
    <n v="0"/>
    <s v="4/21/2024"/>
    <s v="4/21/2024"/>
    <d v="2026-02-11T00:00:00"/>
    <e v="#VALUE!"/>
    <n v="2"/>
    <n v="37559"/>
    <n v="18779.5"/>
    <s v=" Not Achieved"/>
    <s v="Average"/>
  </r>
  <r>
    <x v="2555"/>
    <x v="2555"/>
    <s v="EMP_2556"/>
    <x v="1"/>
    <s v="EMP_2556Sales"/>
    <x v="1"/>
    <x v="2"/>
    <n v="58093"/>
    <n v="2444"/>
    <n v="248925"/>
    <n v="244725"/>
    <s v="7/30/2024"/>
    <s v="7/30/2024"/>
    <d v="2026-02-11T00:00:00"/>
    <e v="#VALUE!"/>
    <n v="3"/>
    <n v="60537"/>
    <n v="30268.5"/>
    <s v="Achieved"/>
    <s v=" Excellent"/>
  </r>
  <r>
    <x v="2556"/>
    <x v="2556"/>
    <s v="EMP_2557"/>
    <x v="1"/>
    <s v="EMP_2557Marketing"/>
    <x v="4"/>
    <x v="1"/>
    <n v="47794"/>
    <n v="11161"/>
    <n v="0"/>
    <n v="0"/>
    <s v="1/17/2018"/>
    <s v="1/17/2018"/>
    <d v="2026-02-11T00:00:00"/>
    <e v="#VALUE!"/>
    <n v="1"/>
    <n v="58955"/>
    <n v="29477.5"/>
    <s v=" Not Achieved"/>
    <s v="Good"/>
  </r>
  <r>
    <x v="2557"/>
    <x v="2557"/>
    <s v="EMP_2558"/>
    <x v="1"/>
    <s v="EMP_2558Sales"/>
    <x v="1"/>
    <x v="1"/>
    <n v="38155"/>
    <n v="7548"/>
    <n v="80414"/>
    <n v="221996"/>
    <s v="1/24/2022"/>
    <s v="1/24/2022"/>
    <d v="2026-02-11T00:00:00"/>
    <e v="#VALUE!"/>
    <n v="2"/>
    <n v="45703"/>
    <n v="22851.5"/>
    <s v=" Not Achieved"/>
    <s v="Average"/>
  </r>
  <r>
    <x v="2558"/>
    <x v="2558"/>
    <s v="EMP_2559"/>
    <x v="1"/>
    <s v="EMP_2559Marketing"/>
    <x v="4"/>
    <x v="1"/>
    <n v="23245"/>
    <n v="11737"/>
    <n v="0"/>
    <n v="0"/>
    <d v="2023-12-01T00:00:00"/>
    <s v="2023"/>
    <d v="2026-02-11T00:00:00"/>
    <n v="2"/>
    <n v="4"/>
    <n v="34982"/>
    <n v="17491"/>
    <s v=" Not Achieved"/>
    <s v="poor"/>
  </r>
  <r>
    <x v="2559"/>
    <x v="2559"/>
    <s v="EMP_2560"/>
    <x v="1"/>
    <s v="EMP_2560Sales"/>
    <x v="1"/>
    <x v="3"/>
    <n v="49170"/>
    <n v="4612"/>
    <n v="196211"/>
    <n v="136324"/>
    <d v="2023-09-02T00:00:00"/>
    <s v="2023"/>
    <d v="2026-02-11T00:00:00"/>
    <n v="2"/>
    <n v="5"/>
    <n v="53782"/>
    <n v="26891"/>
    <s v="Achieved"/>
    <s v="Good"/>
  </r>
  <r>
    <x v="2560"/>
    <x v="2560"/>
    <s v="EMP_2561"/>
    <x v="0"/>
    <s v="EMP_2561IT"/>
    <x v="3"/>
    <x v="1"/>
    <n v="50025"/>
    <n v="5936"/>
    <n v="0"/>
    <n v="0"/>
    <s v="6/24/2022"/>
    <s v="6/24/2022"/>
    <d v="2026-02-11T00:00:00"/>
    <e v="#VALUE!"/>
    <n v="3"/>
    <n v="55961"/>
    <n v="27980.5"/>
    <s v=" Not Achieved"/>
    <s v=" Excellent"/>
  </r>
  <r>
    <x v="2561"/>
    <x v="2561"/>
    <s v="EMP_2562"/>
    <x v="1"/>
    <s v="EMP_2562HR"/>
    <x v="0"/>
    <x v="3"/>
    <n v="72898"/>
    <n v="13459"/>
    <n v="0"/>
    <n v="0"/>
    <d v="2023-05-10T00:00:00"/>
    <s v="2023"/>
    <d v="2026-02-11T00:00:00"/>
    <n v="2"/>
    <n v="2"/>
    <n v="86357"/>
    <n v="43178.5"/>
    <s v=" Not Achieved"/>
    <s v=" Excellent"/>
  </r>
  <r>
    <x v="2562"/>
    <x v="2562"/>
    <s v="EMP_2563"/>
    <x v="1"/>
    <s v="EMP_2563IT"/>
    <x v="3"/>
    <x v="3"/>
    <n v="77311"/>
    <n v="4579"/>
    <n v="0"/>
    <n v="0"/>
    <d v="2021-05-01T00:00:00"/>
    <s v="2021"/>
    <d v="2026-02-11T00:00:00"/>
    <n v="4"/>
    <n v="4"/>
    <n v="81890"/>
    <n v="40945"/>
    <s v=" Not Achieved"/>
    <s v=" Excellent"/>
  </r>
  <r>
    <x v="2563"/>
    <x v="2563"/>
    <s v="EMP_2564"/>
    <x v="1"/>
    <s v="EMP_2564Sales"/>
    <x v="1"/>
    <x v="2"/>
    <n v="43812"/>
    <n v="2266"/>
    <n v="150091"/>
    <n v="111584"/>
    <d v="2021-08-10T00:00:00"/>
    <s v="2021"/>
    <d v="2026-02-11T00:00:00"/>
    <n v="4"/>
    <n v="4"/>
    <n v="46078"/>
    <n v="23039"/>
    <s v="Achieved"/>
    <s v="Good"/>
  </r>
  <r>
    <x v="2564"/>
    <x v="2564"/>
    <s v="EMP_2565"/>
    <x v="0"/>
    <s v="EMP_2565HR"/>
    <x v="0"/>
    <x v="4"/>
    <n v="29796"/>
    <n v="6120"/>
    <n v="0"/>
    <n v="0"/>
    <s v="10/22/2024"/>
    <s v="10/22/2024"/>
    <d v="2026-02-11T00:00:00"/>
    <e v="#VALUE!"/>
    <n v="4"/>
    <n v="35916"/>
    <n v="17958"/>
    <s v=" Not Achieved"/>
    <s v="poor"/>
  </r>
  <r>
    <x v="2565"/>
    <x v="2565"/>
    <s v="EMP_2566"/>
    <x v="1"/>
    <s v="EMP_2566Marketing"/>
    <x v="4"/>
    <x v="4"/>
    <n v="50948"/>
    <n v="8337"/>
    <n v="0"/>
    <n v="0"/>
    <s v="4/30/2019"/>
    <s v="4/30/2019"/>
    <d v="2026-02-11T00:00:00"/>
    <e v="#VALUE!"/>
    <n v="3"/>
    <n v="59285"/>
    <n v="29642.5"/>
    <s v=" Not Achieved"/>
    <s v=" Excellent"/>
  </r>
  <r>
    <x v="2566"/>
    <x v="2566"/>
    <s v="EMP_2567"/>
    <x v="1"/>
    <s v="EMP_2567IT"/>
    <x v="3"/>
    <x v="3"/>
    <n v="47617"/>
    <n v="13226"/>
    <n v="0"/>
    <n v="0"/>
    <d v="2022-10-04T00:00:00"/>
    <s v="2022"/>
    <d v="2026-02-11T00:00:00"/>
    <n v="3"/>
    <n v="3"/>
    <n v="60843"/>
    <n v="30421.5"/>
    <s v=" Not Achieved"/>
    <s v="Good"/>
  </r>
  <r>
    <x v="2567"/>
    <x v="2567"/>
    <s v="EMP_2568"/>
    <x v="0"/>
    <s v="EMP_2568Sales"/>
    <x v="1"/>
    <x v="2"/>
    <n v="78209"/>
    <n v="12824"/>
    <n v="201124"/>
    <n v="114616"/>
    <s v="7/15/2018"/>
    <s v="7/15/2018"/>
    <d v="2026-02-11T00:00:00"/>
    <e v="#VALUE!"/>
    <n v="3"/>
    <n v="91033"/>
    <n v="45516.5"/>
    <s v="Achieved"/>
    <s v=" Excellent"/>
  </r>
  <r>
    <x v="2568"/>
    <x v="2568"/>
    <s v="EMP_2569"/>
    <x v="1"/>
    <s v="EMP_2569IT"/>
    <x v="3"/>
    <x v="1"/>
    <n v="26244"/>
    <n v="13535"/>
    <n v="0"/>
    <n v="0"/>
    <s v="2/22/2021"/>
    <s v="2/22/2021"/>
    <d v="2026-02-11T00:00:00"/>
    <e v="#VALUE!"/>
    <n v="5"/>
    <n v="39779"/>
    <n v="19889.5"/>
    <s v=" Not Achieved"/>
    <s v="poor"/>
  </r>
  <r>
    <x v="2569"/>
    <x v="2569"/>
    <s v="EMP_2570"/>
    <x v="1"/>
    <s v="EMP_2570Finance"/>
    <x v="2"/>
    <x v="0"/>
    <n v="54101"/>
    <n v="5779"/>
    <n v="0"/>
    <n v="0"/>
    <s v="1/15/2024"/>
    <s v="1/15/2024"/>
    <d v="2026-02-11T00:00:00"/>
    <e v="#VALUE!"/>
    <n v="3"/>
    <n v="59880"/>
    <n v="29940"/>
    <s v=" Not Achieved"/>
    <s v=" Excellent"/>
  </r>
  <r>
    <x v="2570"/>
    <x v="2570"/>
    <s v="EMP_2571"/>
    <x v="0"/>
    <s v="EMP_2571IT"/>
    <x v="3"/>
    <x v="3"/>
    <n v="51858"/>
    <n v="13202"/>
    <n v="0"/>
    <n v="0"/>
    <s v="4/22/2021"/>
    <s v="4/22/2021"/>
    <d v="2026-02-11T00:00:00"/>
    <e v="#VALUE!"/>
    <n v="2"/>
    <n v="65060"/>
    <n v="32530"/>
    <s v=" Not Achieved"/>
    <s v=" Excellent"/>
  </r>
  <r>
    <x v="2571"/>
    <x v="2571"/>
    <s v="EMP_2572"/>
    <x v="1"/>
    <s v="EMP_2572HR"/>
    <x v="0"/>
    <x v="2"/>
    <n v="40931"/>
    <n v="2141"/>
    <n v="0"/>
    <n v="0"/>
    <d v="2020-03-08T00:00:00"/>
    <s v="2020"/>
    <d v="2026-02-11T00:00:00"/>
    <n v="5"/>
    <n v="5"/>
    <n v="43072"/>
    <n v="21536"/>
    <s v=" Not Achieved"/>
    <s v="Good"/>
  </r>
  <r>
    <x v="2572"/>
    <x v="2572"/>
    <s v="EMP_2573"/>
    <x v="0"/>
    <s v="EMP_2573IT"/>
    <x v="3"/>
    <x v="4"/>
    <n v="67004"/>
    <n v="11996"/>
    <n v="0"/>
    <n v="0"/>
    <d v="2023-10-07T00:00:00"/>
    <s v="2023"/>
    <d v="2026-02-11T00:00:00"/>
    <n v="2"/>
    <n v="3"/>
    <n v="79000"/>
    <n v="39500"/>
    <s v=" Not Achieved"/>
    <s v=" Excellent"/>
  </r>
  <r>
    <x v="2573"/>
    <x v="2573"/>
    <s v="EMP_2574"/>
    <x v="1"/>
    <s v="EMP_2574IT"/>
    <x v="3"/>
    <x v="4"/>
    <n v="27783"/>
    <n v="8291"/>
    <n v="0"/>
    <n v="0"/>
    <s v="11/15/2019"/>
    <s v="11/15/2019"/>
    <d v="2026-02-11T00:00:00"/>
    <e v="#VALUE!"/>
    <n v="1"/>
    <n v="36074"/>
    <n v="18037"/>
    <s v=" Not Achieved"/>
    <s v="poor"/>
  </r>
  <r>
    <x v="2574"/>
    <x v="2574"/>
    <s v="EMP_2575"/>
    <x v="1"/>
    <s v="EMP_2575IT"/>
    <x v="3"/>
    <x v="3"/>
    <n v="65551"/>
    <n v="14958"/>
    <n v="0"/>
    <n v="0"/>
    <s v="5/14/2023"/>
    <s v="5/14/2023"/>
    <d v="2026-02-11T00:00:00"/>
    <e v="#VALUE!"/>
    <n v="2"/>
    <n v="80509"/>
    <n v="40254.5"/>
    <s v=" Not Achieved"/>
    <s v=" Excellent"/>
  </r>
  <r>
    <x v="2575"/>
    <x v="2575"/>
    <s v="EMP_2576"/>
    <x v="0"/>
    <s v="EMP_2576Sales"/>
    <x v="1"/>
    <x v="4"/>
    <n v="62171"/>
    <n v="12824"/>
    <n v="120396"/>
    <n v="82255"/>
    <s v="11/16/2019"/>
    <s v="11/16/2019"/>
    <d v="2026-02-11T00:00:00"/>
    <e v="#VALUE!"/>
    <n v="1"/>
    <n v="74995"/>
    <n v="37497.5"/>
    <s v="Achieved"/>
    <s v=" Excellent"/>
  </r>
  <r>
    <x v="2576"/>
    <x v="2576"/>
    <s v="EMP_2577"/>
    <x v="1"/>
    <s v="EMP_2577Sales"/>
    <x v="1"/>
    <x v="0"/>
    <n v="40093"/>
    <n v="8818"/>
    <n v="134923"/>
    <n v="228261"/>
    <d v="2019-05-09T00:00:00"/>
    <s v="2019"/>
    <d v="2026-02-11T00:00:00"/>
    <n v="6"/>
    <n v="3"/>
    <n v="48911"/>
    <n v="24455.5"/>
    <s v=" Not Achieved"/>
    <s v="Good"/>
  </r>
  <r>
    <x v="2577"/>
    <x v="2577"/>
    <s v="EMP_2578"/>
    <x v="1"/>
    <s v="EMP_2578IT"/>
    <x v="3"/>
    <x v="4"/>
    <n v="59205"/>
    <n v="10541"/>
    <n v="0"/>
    <n v="0"/>
    <s v="11/19/2019"/>
    <s v="11/19/2019"/>
    <d v="2026-02-11T00:00:00"/>
    <e v="#VALUE!"/>
    <n v="3"/>
    <n v="69746"/>
    <n v="34873"/>
    <s v=" Not Achieved"/>
    <s v=" Excellent"/>
  </r>
  <r>
    <x v="2578"/>
    <x v="2578"/>
    <s v="EMP_2579"/>
    <x v="0"/>
    <s v="EMP_2579HR"/>
    <x v="0"/>
    <x v="4"/>
    <n v="48495"/>
    <n v="3349"/>
    <n v="0"/>
    <n v="0"/>
    <d v="2020-03-09T00:00:00"/>
    <s v="2020"/>
    <d v="2026-02-11T00:00:00"/>
    <n v="5"/>
    <n v="5"/>
    <n v="51844"/>
    <n v="25922"/>
    <s v=" Not Achieved"/>
    <s v="Good"/>
  </r>
  <r>
    <x v="2579"/>
    <x v="2579"/>
    <s v="EMP_2580"/>
    <x v="1"/>
    <s v="EMP_2580Marketing"/>
    <x v="4"/>
    <x v="0"/>
    <n v="56444"/>
    <n v="11027"/>
    <n v="0"/>
    <n v="0"/>
    <s v="7/14/2018"/>
    <s v="7/14/2018"/>
    <d v="2026-02-11T00:00:00"/>
    <e v="#VALUE!"/>
    <n v="2"/>
    <n v="67471"/>
    <n v="33735.5"/>
    <s v=" Not Achieved"/>
    <s v=" Excellent"/>
  </r>
  <r>
    <x v="2580"/>
    <x v="2580"/>
    <s v="EMP_2581"/>
    <x v="0"/>
    <s v="EMP_2581Marketing"/>
    <x v="4"/>
    <x v="1"/>
    <n v="38135"/>
    <n v="2473"/>
    <n v="0"/>
    <n v="0"/>
    <s v="2/19/2019"/>
    <s v="2/19/2019"/>
    <d v="2026-02-11T00:00:00"/>
    <e v="#VALUE!"/>
    <n v="5"/>
    <n v="40608"/>
    <n v="20304"/>
    <s v=" Not Achieved"/>
    <s v="Average"/>
  </r>
  <r>
    <x v="2581"/>
    <x v="2581"/>
    <s v="EMP_2582"/>
    <x v="0"/>
    <s v="EMP_2582HR"/>
    <x v="0"/>
    <x v="3"/>
    <n v="57443"/>
    <n v="7241"/>
    <n v="0"/>
    <n v="0"/>
    <d v="2023-10-02T00:00:00"/>
    <s v="2023"/>
    <d v="2026-02-11T00:00:00"/>
    <n v="2"/>
    <n v="4"/>
    <n v="64684"/>
    <n v="32342"/>
    <s v=" Not Achieved"/>
    <s v=" Excellent"/>
  </r>
  <r>
    <x v="2582"/>
    <x v="2582"/>
    <s v="EMP_2583"/>
    <x v="0"/>
    <s v="EMP_2583HR"/>
    <x v="0"/>
    <x v="4"/>
    <n v="58327"/>
    <n v="2319"/>
    <n v="0"/>
    <n v="0"/>
    <d v="2020-09-04T00:00:00"/>
    <s v="2020"/>
    <d v="2026-02-11T00:00:00"/>
    <n v="5"/>
    <n v="4"/>
    <n v="60646"/>
    <n v="30323"/>
    <s v=" Not Achieved"/>
    <s v=" Excellent"/>
  </r>
  <r>
    <x v="2583"/>
    <x v="2583"/>
    <s v="EMP_2584"/>
    <x v="0"/>
    <s v="EMP_2584Marketing"/>
    <x v="4"/>
    <x v="2"/>
    <n v="29645"/>
    <n v="13802"/>
    <n v="0"/>
    <n v="0"/>
    <s v="8/21/2020"/>
    <s v="8/21/2020"/>
    <d v="2026-02-11T00:00:00"/>
    <e v="#VALUE!"/>
    <n v="2"/>
    <n v="43447"/>
    <n v="21723.5"/>
    <s v=" Not Achieved"/>
    <s v="poor"/>
  </r>
  <r>
    <x v="2584"/>
    <x v="2584"/>
    <s v="EMP_2585"/>
    <x v="0"/>
    <s v="EMP_2585Marketing"/>
    <x v="4"/>
    <x v="0"/>
    <n v="71727"/>
    <n v="3580"/>
    <n v="0"/>
    <n v="0"/>
    <s v="8/18/2022"/>
    <s v="8/18/2022"/>
    <d v="2026-02-11T00:00:00"/>
    <e v="#VALUE!"/>
    <n v="5"/>
    <n v="75307"/>
    <n v="37653.5"/>
    <s v=" Not Achieved"/>
    <s v=" Excellent"/>
  </r>
  <r>
    <x v="2585"/>
    <x v="2585"/>
    <s v="EMP_2586"/>
    <x v="0"/>
    <s v="EMP_2586HR"/>
    <x v="0"/>
    <x v="1"/>
    <n v="70476"/>
    <n v="13551"/>
    <n v="0"/>
    <n v="0"/>
    <s v="11/27/2024"/>
    <s v="11/27/2024"/>
    <d v="2026-02-11T00:00:00"/>
    <e v="#VALUE!"/>
    <n v="5"/>
    <n v="84027"/>
    <n v="42013.5"/>
    <s v=" Not Achieved"/>
    <s v=" Excellent"/>
  </r>
  <r>
    <x v="2586"/>
    <x v="2586"/>
    <s v="EMP_2587"/>
    <x v="0"/>
    <s v="EMP_2587IT"/>
    <x v="3"/>
    <x v="4"/>
    <n v="58433"/>
    <n v="11143"/>
    <n v="0"/>
    <n v="0"/>
    <d v="2024-10-04T00:00:00"/>
    <s v="2024"/>
    <d v="2026-02-11T00:00:00"/>
    <n v="1"/>
    <n v="5"/>
    <n v="69576"/>
    <n v="34788"/>
    <s v=" Not Achieved"/>
    <s v=" Excellent"/>
  </r>
  <r>
    <x v="2587"/>
    <x v="2587"/>
    <s v="EMP_2588"/>
    <x v="0"/>
    <s v="EMP_2588Marketing"/>
    <x v="4"/>
    <x v="0"/>
    <n v="73440"/>
    <n v="10310"/>
    <n v="0"/>
    <n v="0"/>
    <s v="4/24/2021"/>
    <s v="4/24/2021"/>
    <d v="2026-02-11T00:00:00"/>
    <e v="#VALUE!"/>
    <n v="1"/>
    <n v="83750"/>
    <n v="41875"/>
    <s v=" Not Achieved"/>
    <s v=" Excellent"/>
  </r>
  <r>
    <x v="2588"/>
    <x v="2588"/>
    <s v="EMP_2589"/>
    <x v="1"/>
    <s v="EMP_2589Sales"/>
    <x v="1"/>
    <x v="0"/>
    <n v="73185"/>
    <n v="11886"/>
    <n v="267904"/>
    <n v="141839"/>
    <d v="2020-05-11T00:00:00"/>
    <s v="2020"/>
    <d v="2026-02-11T00:00:00"/>
    <n v="5"/>
    <n v="3"/>
    <n v="85071"/>
    <n v="42535.5"/>
    <s v="Achieved"/>
    <s v=" Excellent"/>
  </r>
  <r>
    <x v="2589"/>
    <x v="2589"/>
    <s v="EMP_2590"/>
    <x v="0"/>
    <s v="EMP_2590Finance"/>
    <x v="2"/>
    <x v="1"/>
    <n v="41466"/>
    <n v="6119"/>
    <n v="0"/>
    <n v="0"/>
    <d v="2020-09-08T00:00:00"/>
    <s v="2020"/>
    <d v="2026-02-11T00:00:00"/>
    <n v="5"/>
    <n v="1"/>
    <n v="47585"/>
    <n v="23792.5"/>
    <s v=" Not Achieved"/>
    <s v="Good"/>
  </r>
  <r>
    <x v="2590"/>
    <x v="2590"/>
    <s v="EMP_2591"/>
    <x v="0"/>
    <s v="EMP_2591Marketing"/>
    <x v="4"/>
    <x v="2"/>
    <n v="28280"/>
    <n v="6653"/>
    <n v="0"/>
    <n v="0"/>
    <s v="2/20/2024"/>
    <s v="2/20/2024"/>
    <d v="2026-02-11T00:00:00"/>
    <e v="#VALUE!"/>
    <n v="5"/>
    <n v="34933"/>
    <n v="17466.5"/>
    <s v=" Not Achieved"/>
    <s v="poor"/>
  </r>
  <r>
    <x v="2591"/>
    <x v="2591"/>
    <s v="EMP_2592"/>
    <x v="1"/>
    <s v="EMP_2592Finance"/>
    <x v="2"/>
    <x v="4"/>
    <n v="73569"/>
    <n v="2803"/>
    <n v="0"/>
    <n v="0"/>
    <s v="5/30/2022"/>
    <s v="5/30/2022"/>
    <d v="2026-02-11T00:00:00"/>
    <e v="#VALUE!"/>
    <n v="5"/>
    <n v="76372"/>
    <n v="38186"/>
    <s v=" Not Achieved"/>
    <s v=" Excellent"/>
  </r>
  <r>
    <x v="2592"/>
    <x v="2592"/>
    <s v="EMP_2593"/>
    <x v="1"/>
    <s v="EMP_2593Marketing"/>
    <x v="4"/>
    <x v="1"/>
    <n v="67927"/>
    <n v="13645"/>
    <n v="0"/>
    <n v="0"/>
    <d v="2024-05-11T00:00:00"/>
    <s v="2024"/>
    <d v="2026-02-11T00:00:00"/>
    <n v="1"/>
    <n v="2"/>
    <n v="81572"/>
    <n v="40786"/>
    <s v=" Not Achieved"/>
    <s v=" Excellent"/>
  </r>
  <r>
    <x v="2593"/>
    <x v="2593"/>
    <s v="EMP_2594"/>
    <x v="0"/>
    <s v="EMP_2594Finance"/>
    <x v="2"/>
    <x v="2"/>
    <n v="21831"/>
    <n v="8060"/>
    <n v="0"/>
    <n v="0"/>
    <s v="9/15/2018"/>
    <s v="9/15/2018"/>
    <d v="2026-02-11T00:00:00"/>
    <e v="#VALUE!"/>
    <n v="5"/>
    <n v="29891"/>
    <n v="14945.5"/>
    <s v=" Not Achieved"/>
    <s v="poor"/>
  </r>
  <r>
    <x v="2594"/>
    <x v="2594"/>
    <s v="EMP_2595"/>
    <x v="0"/>
    <s v="EMP_2595IT"/>
    <x v="3"/>
    <x v="0"/>
    <n v="63692"/>
    <n v="3705"/>
    <n v="0"/>
    <n v="0"/>
    <s v="9/29/2021"/>
    <s v="9/29/2021"/>
    <d v="2026-02-11T00:00:00"/>
    <e v="#VALUE!"/>
    <n v="2"/>
    <n v="67397"/>
    <n v="33698.5"/>
    <s v=" Not Achieved"/>
    <s v=" Excellent"/>
  </r>
  <r>
    <x v="2595"/>
    <x v="2595"/>
    <s v="EMP_2596"/>
    <x v="0"/>
    <s v="EMP_2596Finance"/>
    <x v="2"/>
    <x v="0"/>
    <n v="76933"/>
    <n v="12185"/>
    <n v="0"/>
    <n v="0"/>
    <d v="2019-12-06T00:00:00"/>
    <s v="2019"/>
    <d v="2026-02-11T00:00:00"/>
    <n v="6"/>
    <n v="5"/>
    <n v="89118"/>
    <n v="44559"/>
    <s v=" Not Achieved"/>
    <s v=" Excellent"/>
  </r>
  <r>
    <x v="2596"/>
    <x v="2596"/>
    <s v="EMP_2597"/>
    <x v="0"/>
    <s v="EMP_2597IT"/>
    <x v="3"/>
    <x v="4"/>
    <n v="43398"/>
    <n v="13710"/>
    <n v="0"/>
    <n v="0"/>
    <d v="2021-05-09T00:00:00"/>
    <s v="2021"/>
    <d v="2026-02-11T00:00:00"/>
    <n v="4"/>
    <n v="3"/>
    <n v="57108"/>
    <n v="28554"/>
    <s v=" Not Achieved"/>
    <s v="Good"/>
  </r>
  <r>
    <x v="2597"/>
    <x v="2597"/>
    <s v="EMP_2598"/>
    <x v="0"/>
    <s v="EMP_2598Sales"/>
    <x v="1"/>
    <x v="1"/>
    <n v="62285"/>
    <n v="3685"/>
    <n v="132539"/>
    <n v="82272"/>
    <d v="2022-11-04T00:00:00"/>
    <s v="2022"/>
    <d v="2026-02-11T00:00:00"/>
    <n v="3"/>
    <n v="2"/>
    <n v="65970"/>
    <n v="32985"/>
    <s v="Achieved"/>
    <s v=" Excellent"/>
  </r>
  <r>
    <x v="2598"/>
    <x v="2598"/>
    <s v="EMP_2599"/>
    <x v="0"/>
    <s v="EMP_2599Finance"/>
    <x v="2"/>
    <x v="1"/>
    <n v="64247"/>
    <n v="11047"/>
    <n v="0"/>
    <n v="0"/>
    <s v="5/14/2020"/>
    <s v="5/14/2020"/>
    <d v="2026-02-11T00:00:00"/>
    <e v="#VALUE!"/>
    <n v="4"/>
    <n v="75294"/>
    <n v="37647"/>
    <s v=" Not Achieved"/>
    <s v=" Excellent"/>
  </r>
  <r>
    <x v="2599"/>
    <x v="2599"/>
    <s v="EMP_2600"/>
    <x v="1"/>
    <s v="EMP_2600Marketing"/>
    <x v="4"/>
    <x v="2"/>
    <n v="27590"/>
    <n v="9152"/>
    <n v="0"/>
    <n v="0"/>
    <d v="2019-10-02T00:00:00"/>
    <s v="2019"/>
    <d v="2026-02-11T00:00:00"/>
    <n v="6"/>
    <n v="1"/>
    <n v="36742"/>
    <n v="18371"/>
    <s v=" Not Achieved"/>
    <s v="poor"/>
  </r>
  <r>
    <x v="2600"/>
    <x v="2600"/>
    <s v="EMP_2601"/>
    <x v="1"/>
    <s v="EMP_2601HR"/>
    <x v="0"/>
    <x v="0"/>
    <n v="29628"/>
    <n v="7173"/>
    <n v="0"/>
    <n v="0"/>
    <s v="12/25/2023"/>
    <s v="12/25/2023"/>
    <d v="2026-02-11T00:00:00"/>
    <e v="#VALUE!"/>
    <n v="3"/>
    <n v="36801"/>
    <n v="18400.5"/>
    <s v=" Not Achieved"/>
    <s v="poor"/>
  </r>
  <r>
    <x v="2601"/>
    <x v="2601"/>
    <s v="EMP_2602"/>
    <x v="0"/>
    <s v="EMP_2602IT"/>
    <x v="3"/>
    <x v="4"/>
    <n v="65705"/>
    <n v="10876"/>
    <n v="0"/>
    <n v="0"/>
    <d v="2021-09-06T00:00:00"/>
    <s v="2021"/>
    <d v="2026-02-11T00:00:00"/>
    <n v="4"/>
    <n v="2"/>
    <n v="76581"/>
    <n v="38290.5"/>
    <s v=" Not Achieved"/>
    <s v=" Excellent"/>
  </r>
  <r>
    <x v="2602"/>
    <x v="2602"/>
    <s v="EMP_2603"/>
    <x v="1"/>
    <s v="EMP_2603Finance"/>
    <x v="2"/>
    <x v="2"/>
    <n v="35833"/>
    <n v="3359"/>
    <n v="0"/>
    <n v="0"/>
    <s v="1/14/2021"/>
    <s v="1/14/2021"/>
    <d v="2026-02-11T00:00:00"/>
    <e v="#VALUE!"/>
    <n v="5"/>
    <n v="39192"/>
    <n v="19596"/>
    <s v=" Not Achieved"/>
    <s v="Average"/>
  </r>
  <r>
    <x v="2603"/>
    <x v="2603"/>
    <s v="EMP_2604"/>
    <x v="0"/>
    <s v="EMP_2604Marketing"/>
    <x v="4"/>
    <x v="3"/>
    <n v="39452"/>
    <n v="3785"/>
    <n v="0"/>
    <n v="0"/>
    <s v="6/20/2023"/>
    <s v="6/20/2023"/>
    <d v="2026-02-11T00:00:00"/>
    <e v="#VALUE!"/>
    <n v="4"/>
    <n v="43237"/>
    <n v="21618.5"/>
    <s v=" Not Achieved"/>
    <s v="Average"/>
  </r>
  <r>
    <x v="2604"/>
    <x v="2604"/>
    <s v="EMP_2605"/>
    <x v="1"/>
    <s v="EMP_2605Sales"/>
    <x v="1"/>
    <x v="1"/>
    <n v="48908"/>
    <n v="9075"/>
    <n v="78199"/>
    <n v="192606"/>
    <d v="2024-02-04T00:00:00"/>
    <s v="2024"/>
    <d v="2026-02-11T00:00:00"/>
    <n v="2"/>
    <n v="1"/>
    <n v="57983"/>
    <n v="28991.5"/>
    <s v=" Not Achieved"/>
    <s v="Good"/>
  </r>
  <r>
    <x v="2605"/>
    <x v="2605"/>
    <s v="EMP_2606"/>
    <x v="1"/>
    <s v="EMP_2606Sales"/>
    <x v="1"/>
    <x v="1"/>
    <n v="59805"/>
    <n v="2610"/>
    <n v="123501"/>
    <n v="147936"/>
    <s v="6/19/2021"/>
    <s v="6/19/2021"/>
    <d v="2026-02-11T00:00:00"/>
    <e v="#VALUE!"/>
    <n v="4"/>
    <n v="62415"/>
    <n v="31207.5"/>
    <s v=" Not Achieved"/>
    <s v=" Excellent"/>
  </r>
  <r>
    <x v="2606"/>
    <x v="2606"/>
    <s v="EMP_2607"/>
    <x v="1"/>
    <s v="EMP_2607Marketing"/>
    <x v="4"/>
    <x v="4"/>
    <n v="54080"/>
    <n v="12346"/>
    <n v="0"/>
    <n v="0"/>
    <s v="6/20/2020"/>
    <s v="6/20/2020"/>
    <d v="2026-02-11T00:00:00"/>
    <e v="#VALUE!"/>
    <n v="1"/>
    <n v="66426"/>
    <n v="33213"/>
    <s v=" Not Achieved"/>
    <s v=" Excellent"/>
  </r>
  <r>
    <x v="2607"/>
    <x v="2607"/>
    <s v="EMP_2608"/>
    <x v="1"/>
    <s v="EMP_2608HR"/>
    <x v="0"/>
    <x v="4"/>
    <n v="66747"/>
    <n v="6501"/>
    <n v="0"/>
    <n v="0"/>
    <s v="7/23/2019"/>
    <s v="7/23/2019"/>
    <d v="2026-02-11T00:00:00"/>
    <e v="#VALUE!"/>
    <n v="4"/>
    <n v="73248"/>
    <n v="36624"/>
    <s v=" Not Achieved"/>
    <s v=" Excellent"/>
  </r>
  <r>
    <x v="2608"/>
    <x v="2608"/>
    <s v="EMP_2609"/>
    <x v="0"/>
    <s v="EMP_2609Finance"/>
    <x v="2"/>
    <x v="2"/>
    <n v="20814"/>
    <n v="3470"/>
    <n v="0"/>
    <n v="0"/>
    <d v="2022-09-11T00:00:00"/>
    <s v="2022"/>
    <d v="2026-02-11T00:00:00"/>
    <n v="3"/>
    <n v="2"/>
    <n v="24284"/>
    <n v="12142"/>
    <s v=" Not Achieved"/>
    <s v="poor"/>
  </r>
  <r>
    <x v="2609"/>
    <x v="2609"/>
    <s v="EMP_2610"/>
    <x v="0"/>
    <s v="EMP_2610Finance"/>
    <x v="2"/>
    <x v="0"/>
    <n v="38273"/>
    <n v="13843"/>
    <n v="0"/>
    <n v="0"/>
    <d v="2023-07-05T00:00:00"/>
    <s v="2023"/>
    <d v="2026-02-11T00:00:00"/>
    <n v="2"/>
    <n v="2"/>
    <n v="52116"/>
    <n v="26058"/>
    <s v=" Not Achieved"/>
    <s v="Average"/>
  </r>
  <r>
    <x v="2610"/>
    <x v="2610"/>
    <s v="EMP_2611"/>
    <x v="1"/>
    <s v="EMP_2611Marketing"/>
    <x v="4"/>
    <x v="0"/>
    <n v="23871"/>
    <n v="11848"/>
    <n v="0"/>
    <n v="0"/>
    <d v="2021-05-02T00:00:00"/>
    <s v="2021"/>
    <d v="2026-02-11T00:00:00"/>
    <n v="4"/>
    <n v="1"/>
    <n v="35719"/>
    <n v="17859.5"/>
    <s v=" Not Achieved"/>
    <s v="poor"/>
  </r>
  <r>
    <x v="2611"/>
    <x v="2611"/>
    <s v="EMP_2612"/>
    <x v="1"/>
    <s v="EMP_2612IT"/>
    <x v="3"/>
    <x v="3"/>
    <n v="27144"/>
    <n v="8924"/>
    <n v="0"/>
    <n v="0"/>
    <s v="3/21/2023"/>
    <s v="3/21/2023"/>
    <d v="2026-02-11T00:00:00"/>
    <e v="#VALUE!"/>
    <n v="2"/>
    <n v="36068"/>
    <n v="18034"/>
    <s v=" Not Achieved"/>
    <s v="poor"/>
  </r>
  <r>
    <x v="2612"/>
    <x v="2612"/>
    <s v="EMP_2613"/>
    <x v="1"/>
    <s v="EMP_2613Marketing"/>
    <x v="4"/>
    <x v="2"/>
    <n v="65523"/>
    <n v="2500"/>
    <n v="0"/>
    <n v="0"/>
    <d v="2019-01-12T00:00:00"/>
    <s v="2019"/>
    <d v="2026-02-11T00:00:00"/>
    <n v="7"/>
    <n v="3"/>
    <n v="68023"/>
    <n v="34011.5"/>
    <s v=" Not Achieved"/>
    <s v=" Excellent"/>
  </r>
  <r>
    <x v="2613"/>
    <x v="2613"/>
    <s v="EMP_2614"/>
    <x v="1"/>
    <s v="EMP_2614Sales"/>
    <x v="1"/>
    <x v="1"/>
    <n v="42984"/>
    <n v="13852"/>
    <n v="219757"/>
    <n v="129332"/>
    <d v="2022-09-04T00:00:00"/>
    <s v="2022"/>
    <d v="2026-02-11T00:00:00"/>
    <n v="3"/>
    <n v="5"/>
    <n v="56836"/>
    <n v="28418"/>
    <s v="Achieved"/>
    <s v="Good"/>
  </r>
  <r>
    <x v="2614"/>
    <x v="2614"/>
    <s v="EMP_2615"/>
    <x v="0"/>
    <s v="EMP_2615Sales"/>
    <x v="1"/>
    <x v="0"/>
    <n v="23343"/>
    <n v="10415"/>
    <n v="159675"/>
    <n v="202407"/>
    <d v="2022-10-06T00:00:00"/>
    <s v="2022"/>
    <d v="2026-02-11T00:00:00"/>
    <n v="3"/>
    <n v="5"/>
    <n v="33758"/>
    <n v="16879"/>
    <s v=" Not Achieved"/>
    <s v="poor"/>
  </r>
  <r>
    <x v="2615"/>
    <x v="2615"/>
    <s v="EMP_2616"/>
    <x v="0"/>
    <s v="EMP_2616Sales"/>
    <x v="1"/>
    <x v="0"/>
    <n v="65390"/>
    <n v="13061"/>
    <n v="58529"/>
    <n v="137277"/>
    <s v="3/15/2020"/>
    <s v="3/15/2020"/>
    <d v="2026-02-11T00:00:00"/>
    <e v="#VALUE!"/>
    <n v="1"/>
    <n v="78451"/>
    <n v="39225.5"/>
    <s v=" Not Achieved"/>
    <s v=" Excellent"/>
  </r>
  <r>
    <x v="2616"/>
    <x v="2616"/>
    <s v="EMP_2617"/>
    <x v="0"/>
    <s v="EMP_2617Sales"/>
    <x v="1"/>
    <x v="4"/>
    <n v="64607"/>
    <n v="4940"/>
    <n v="259797"/>
    <n v="140082"/>
    <d v="2019-02-07T00:00:00"/>
    <s v="2019"/>
    <d v="2026-02-11T00:00:00"/>
    <n v="7"/>
    <n v="1"/>
    <n v="69547"/>
    <n v="34773.5"/>
    <s v="Achieved"/>
    <s v=" Excellent"/>
  </r>
  <r>
    <x v="2617"/>
    <x v="2617"/>
    <s v="EMP_2618"/>
    <x v="0"/>
    <s v="EMP_2618HR"/>
    <x v="0"/>
    <x v="3"/>
    <n v="22633"/>
    <n v="6573"/>
    <n v="0"/>
    <n v="0"/>
    <s v="8/21/2024"/>
    <s v="8/21/2024"/>
    <d v="2026-02-11T00:00:00"/>
    <e v="#VALUE!"/>
    <n v="3"/>
    <n v="29206"/>
    <n v="14603"/>
    <s v=" Not Achieved"/>
    <s v="poor"/>
  </r>
  <r>
    <x v="2618"/>
    <x v="2618"/>
    <s v="EMP_2619"/>
    <x v="0"/>
    <s v="EMP_2619Marketing"/>
    <x v="4"/>
    <x v="4"/>
    <n v="30889"/>
    <n v="13927"/>
    <n v="0"/>
    <n v="0"/>
    <d v="2023-12-12T00:00:00"/>
    <s v="2023"/>
    <d v="2026-02-11T00:00:00"/>
    <n v="2"/>
    <n v="4"/>
    <n v="44816"/>
    <n v="22408"/>
    <s v=" Not Achieved"/>
    <s v="Average"/>
  </r>
  <r>
    <x v="2619"/>
    <x v="2619"/>
    <s v="EMP_2620"/>
    <x v="0"/>
    <s v="EMP_2620IT"/>
    <x v="3"/>
    <x v="1"/>
    <n v="78121"/>
    <n v="10405"/>
    <n v="0"/>
    <n v="0"/>
    <s v="5/16/2019"/>
    <s v="5/16/2019"/>
    <d v="2026-02-11T00:00:00"/>
    <e v="#VALUE!"/>
    <n v="5"/>
    <n v="88526"/>
    <n v="44263"/>
    <s v=" Not Achieved"/>
    <s v=" Excellent"/>
  </r>
  <r>
    <x v="2620"/>
    <x v="2620"/>
    <s v="EMP_2621"/>
    <x v="0"/>
    <s v="EMP_2621Finance"/>
    <x v="2"/>
    <x v="3"/>
    <n v="73602"/>
    <n v="2335"/>
    <n v="0"/>
    <n v="0"/>
    <s v="11/26/2023"/>
    <s v="11/26/2023"/>
    <d v="2026-02-11T00:00:00"/>
    <e v="#VALUE!"/>
    <n v="1"/>
    <n v="75937"/>
    <n v="37968.5"/>
    <s v=" Not Achieved"/>
    <s v=" Excellent"/>
  </r>
  <r>
    <x v="2621"/>
    <x v="2621"/>
    <s v="EMP_2622"/>
    <x v="0"/>
    <s v="EMP_2622Finance"/>
    <x v="2"/>
    <x v="4"/>
    <n v="33977"/>
    <n v="3025"/>
    <n v="0"/>
    <n v="0"/>
    <d v="2021-01-04T00:00:00"/>
    <s v="2021"/>
    <d v="2026-02-11T00:00:00"/>
    <n v="5"/>
    <n v="5"/>
    <n v="37002"/>
    <n v="18501"/>
    <s v=" Not Achieved"/>
    <s v="Average"/>
  </r>
  <r>
    <x v="2622"/>
    <x v="2622"/>
    <s v="EMP_2623"/>
    <x v="0"/>
    <s v="EMP_2623Marketing"/>
    <x v="4"/>
    <x v="3"/>
    <n v="36053"/>
    <n v="14689"/>
    <n v="0"/>
    <n v="0"/>
    <s v="10/31/2020"/>
    <s v="10/31/2020"/>
    <d v="2026-02-11T00:00:00"/>
    <e v="#VALUE!"/>
    <n v="2"/>
    <n v="50742"/>
    <n v="25371"/>
    <s v=" Not Achieved"/>
    <s v="Average"/>
  </r>
  <r>
    <x v="2623"/>
    <x v="2623"/>
    <s v="EMP_2624"/>
    <x v="0"/>
    <s v="EMP_2624Finance"/>
    <x v="2"/>
    <x v="1"/>
    <n v="78027"/>
    <n v="2385"/>
    <n v="0"/>
    <n v="0"/>
    <d v="2023-02-12T00:00:00"/>
    <s v="2023"/>
    <d v="2026-02-11T00:00:00"/>
    <n v="2"/>
    <n v="1"/>
    <n v="80412"/>
    <n v="40206"/>
    <s v=" Not Achieved"/>
    <s v=" Excellent"/>
  </r>
  <r>
    <x v="2624"/>
    <x v="2624"/>
    <s v="EMP_2625"/>
    <x v="1"/>
    <s v="EMP_2625Marketing"/>
    <x v="4"/>
    <x v="2"/>
    <n v="49097"/>
    <n v="4451"/>
    <n v="0"/>
    <n v="0"/>
    <s v="1/29/2019"/>
    <s v="1/29/2019"/>
    <d v="2026-02-11T00:00:00"/>
    <e v="#VALUE!"/>
    <n v="1"/>
    <n v="53548"/>
    <n v="26774"/>
    <s v=" Not Achieved"/>
    <s v="Good"/>
  </r>
  <r>
    <x v="2625"/>
    <x v="2625"/>
    <s v="EMP_2626"/>
    <x v="1"/>
    <s v="EMP_2626IT"/>
    <x v="3"/>
    <x v="0"/>
    <n v="49211"/>
    <n v="4707"/>
    <n v="0"/>
    <n v="0"/>
    <d v="2024-01-02T00:00:00"/>
    <s v="2024"/>
    <d v="2026-02-11T00:00:00"/>
    <n v="2"/>
    <n v="1"/>
    <n v="53918"/>
    <n v="26959"/>
    <s v=" Not Achieved"/>
    <s v="Good"/>
  </r>
  <r>
    <x v="2626"/>
    <x v="2626"/>
    <s v="EMP_2627"/>
    <x v="0"/>
    <s v="EMP_2627Marketing"/>
    <x v="4"/>
    <x v="4"/>
    <n v="77923"/>
    <n v="14954"/>
    <n v="0"/>
    <n v="0"/>
    <d v="2018-08-09T00:00:00"/>
    <s v="2018"/>
    <d v="2026-02-11T00:00:00"/>
    <n v="7"/>
    <n v="3"/>
    <n v="92877"/>
    <n v="46438.5"/>
    <s v=" Not Achieved"/>
    <s v=" Excellent"/>
  </r>
  <r>
    <x v="2627"/>
    <x v="2627"/>
    <s v="EMP_2628"/>
    <x v="0"/>
    <s v="EMP_2628Marketing"/>
    <x v="4"/>
    <x v="0"/>
    <n v="54001"/>
    <n v="8320"/>
    <n v="0"/>
    <n v="0"/>
    <s v="2/14/2023"/>
    <s v="2/14/2023"/>
    <d v="2026-02-11T00:00:00"/>
    <e v="#VALUE!"/>
    <n v="3"/>
    <n v="62321"/>
    <n v="31160.5"/>
    <s v=" Not Achieved"/>
    <s v=" Excellent"/>
  </r>
  <r>
    <x v="2628"/>
    <x v="2628"/>
    <s v="EMP_2629"/>
    <x v="1"/>
    <s v="EMP_2629Sales"/>
    <x v="1"/>
    <x v="4"/>
    <n v="26657"/>
    <n v="14856"/>
    <n v="168930"/>
    <n v="156524"/>
    <s v="11/13/2018"/>
    <s v="11/13/2018"/>
    <d v="2026-02-11T00:00:00"/>
    <e v="#VALUE!"/>
    <n v="2"/>
    <n v="41513"/>
    <n v="20756.5"/>
    <s v="Achieved"/>
    <s v="poor"/>
  </r>
  <r>
    <x v="2629"/>
    <x v="2629"/>
    <s v="EMP_2630"/>
    <x v="1"/>
    <s v="EMP_2630Marketing"/>
    <x v="4"/>
    <x v="2"/>
    <n v="68906"/>
    <n v="3564"/>
    <n v="0"/>
    <n v="0"/>
    <s v="1/27/2018"/>
    <s v="1/27/2018"/>
    <d v="2026-02-11T00:00:00"/>
    <e v="#VALUE!"/>
    <n v="4"/>
    <n v="72470"/>
    <n v="36235"/>
    <s v=" Not Achieved"/>
    <s v=" Excellent"/>
  </r>
  <r>
    <x v="2630"/>
    <x v="2630"/>
    <s v="EMP_2631"/>
    <x v="0"/>
    <s v="EMP_2631HR"/>
    <x v="0"/>
    <x v="1"/>
    <n v="47050"/>
    <n v="5349"/>
    <n v="0"/>
    <n v="0"/>
    <s v="3/30/2023"/>
    <s v="3/30/2023"/>
    <d v="2026-02-11T00:00:00"/>
    <e v="#VALUE!"/>
    <n v="1"/>
    <n v="52399"/>
    <n v="26199.5"/>
    <s v=" Not Achieved"/>
    <s v="Good"/>
  </r>
  <r>
    <x v="2631"/>
    <x v="2631"/>
    <s v="EMP_2632"/>
    <x v="0"/>
    <s v="EMP_2632HR"/>
    <x v="0"/>
    <x v="2"/>
    <n v="21362"/>
    <n v="11439"/>
    <n v="0"/>
    <n v="0"/>
    <d v="2019-10-02T00:00:00"/>
    <s v="2019"/>
    <d v="2026-02-11T00:00:00"/>
    <n v="6"/>
    <n v="4"/>
    <n v="32801"/>
    <n v="16400.5"/>
    <s v=" Not Achieved"/>
    <s v="poor"/>
  </r>
  <r>
    <x v="2632"/>
    <x v="2632"/>
    <s v="EMP_2633"/>
    <x v="0"/>
    <s v="EMP_2633Finance"/>
    <x v="2"/>
    <x v="2"/>
    <n v="37263"/>
    <n v="9163"/>
    <n v="0"/>
    <n v="0"/>
    <d v="2018-02-12T00:00:00"/>
    <s v="2018"/>
    <d v="2026-02-11T00:00:00"/>
    <n v="7"/>
    <n v="4"/>
    <n v="46426"/>
    <n v="23213"/>
    <s v=" Not Achieved"/>
    <s v="Average"/>
  </r>
  <r>
    <x v="2633"/>
    <x v="2633"/>
    <s v="EMP_2634"/>
    <x v="0"/>
    <s v="EMP_2634Sales"/>
    <x v="1"/>
    <x v="0"/>
    <n v="35607"/>
    <n v="8698"/>
    <n v="246362"/>
    <n v="111562"/>
    <d v="2018-05-08T00:00:00"/>
    <s v="2018"/>
    <d v="2026-02-11T00:00:00"/>
    <n v="7"/>
    <n v="2"/>
    <n v="44305"/>
    <n v="22152.5"/>
    <s v="Achieved"/>
    <s v="Average"/>
  </r>
  <r>
    <x v="2634"/>
    <x v="2634"/>
    <s v="EMP_2635"/>
    <x v="0"/>
    <s v="EMP_2635IT"/>
    <x v="3"/>
    <x v="4"/>
    <n v="79041"/>
    <n v="13813"/>
    <n v="0"/>
    <n v="0"/>
    <d v="2021-03-03T00:00:00"/>
    <s v="2021"/>
    <d v="2026-02-11T00:00:00"/>
    <n v="4"/>
    <n v="5"/>
    <n v="92854"/>
    <n v="46427"/>
    <s v=" Not Achieved"/>
    <s v=" Excellent"/>
  </r>
  <r>
    <x v="2635"/>
    <x v="2635"/>
    <s v="EMP_2636"/>
    <x v="1"/>
    <s v="EMP_2636Finance"/>
    <x v="2"/>
    <x v="0"/>
    <n v="68620"/>
    <n v="8451"/>
    <n v="0"/>
    <n v="0"/>
    <d v="2023-07-07T00:00:00"/>
    <s v="2023"/>
    <d v="2026-02-11T00:00:00"/>
    <n v="2"/>
    <n v="4"/>
    <n v="77071"/>
    <n v="38535.5"/>
    <s v=" Not Achieved"/>
    <s v=" Excellent"/>
  </r>
  <r>
    <x v="2636"/>
    <x v="2636"/>
    <s v="EMP_2637"/>
    <x v="0"/>
    <s v="EMP_2637IT"/>
    <x v="3"/>
    <x v="1"/>
    <n v="72469"/>
    <n v="9062"/>
    <n v="0"/>
    <n v="0"/>
    <s v="2/16/2018"/>
    <s v="2/16/2018"/>
    <d v="2026-02-11T00:00:00"/>
    <e v="#VALUE!"/>
    <n v="4"/>
    <n v="81531"/>
    <n v="40765.5"/>
    <s v=" Not Achieved"/>
    <s v=" Excellent"/>
  </r>
  <r>
    <x v="2637"/>
    <x v="2637"/>
    <s v="EMP_2638"/>
    <x v="0"/>
    <s v="EMP_2638Marketing"/>
    <x v="4"/>
    <x v="1"/>
    <n v="71999"/>
    <n v="8344"/>
    <n v="0"/>
    <n v="0"/>
    <d v="2024-11-08T00:00:00"/>
    <s v="2024"/>
    <d v="2026-02-11T00:00:00"/>
    <n v="1"/>
    <n v="3"/>
    <n v="80343"/>
    <n v="40171.5"/>
    <s v=" Not Achieved"/>
    <s v=" Excellent"/>
  </r>
  <r>
    <x v="2638"/>
    <x v="2638"/>
    <s v="EMP_2639"/>
    <x v="0"/>
    <s v="EMP_2639IT"/>
    <x v="3"/>
    <x v="4"/>
    <n v="29180"/>
    <n v="3131"/>
    <n v="0"/>
    <n v="0"/>
    <s v="1/27/2024"/>
    <s v="1/27/2024"/>
    <d v="2026-02-11T00:00:00"/>
    <e v="#VALUE!"/>
    <n v="3"/>
    <n v="32311"/>
    <n v="16155.5"/>
    <s v=" Not Achieved"/>
    <s v="poor"/>
  </r>
  <r>
    <x v="2639"/>
    <x v="2639"/>
    <s v="EMP_2640"/>
    <x v="1"/>
    <s v="EMP_2640IT"/>
    <x v="3"/>
    <x v="0"/>
    <n v="64226"/>
    <n v="5910"/>
    <n v="0"/>
    <n v="0"/>
    <d v="2021-04-08T00:00:00"/>
    <s v="2021"/>
    <d v="2026-02-11T00:00:00"/>
    <n v="4"/>
    <n v="3"/>
    <n v="70136"/>
    <n v="35068"/>
    <s v=" Not Achieved"/>
    <s v=" Excellent"/>
  </r>
  <r>
    <x v="2640"/>
    <x v="2640"/>
    <s v="EMP_2641"/>
    <x v="1"/>
    <s v="EMP_2641IT"/>
    <x v="3"/>
    <x v="3"/>
    <n v="59297"/>
    <n v="6985"/>
    <n v="0"/>
    <n v="0"/>
    <s v="3/26/2021"/>
    <s v="3/26/2021"/>
    <d v="2026-02-11T00:00:00"/>
    <e v="#VALUE!"/>
    <n v="1"/>
    <n v="66282"/>
    <n v="33141"/>
    <s v=" Not Achieved"/>
    <s v=" Excellent"/>
  </r>
  <r>
    <x v="2641"/>
    <x v="2641"/>
    <s v="EMP_2642"/>
    <x v="0"/>
    <s v="EMP_2642HR"/>
    <x v="0"/>
    <x v="1"/>
    <n v="27146"/>
    <n v="4555"/>
    <n v="0"/>
    <n v="0"/>
    <d v="2018-01-03T00:00:00"/>
    <s v="2018"/>
    <d v="2026-02-11T00:00:00"/>
    <n v="8"/>
    <n v="4"/>
    <n v="31701"/>
    <n v="15850.5"/>
    <s v=" Not Achieved"/>
    <s v="poor"/>
  </r>
  <r>
    <x v="2642"/>
    <x v="2642"/>
    <s v="EMP_2643"/>
    <x v="1"/>
    <s v="EMP_2643IT"/>
    <x v="3"/>
    <x v="1"/>
    <n v="55433"/>
    <n v="11564"/>
    <n v="0"/>
    <n v="0"/>
    <s v="6/13/2023"/>
    <s v="6/13/2023"/>
    <d v="2026-02-11T00:00:00"/>
    <e v="#VALUE!"/>
    <n v="3"/>
    <n v="66997"/>
    <n v="33498.5"/>
    <s v=" Not Achieved"/>
    <s v=" Excellent"/>
  </r>
  <r>
    <x v="2643"/>
    <x v="2643"/>
    <s v="EMP_2644"/>
    <x v="1"/>
    <s v="EMP_2644Finance"/>
    <x v="2"/>
    <x v="1"/>
    <n v="20340"/>
    <n v="2114"/>
    <n v="0"/>
    <n v="0"/>
    <s v="5/14/2020"/>
    <s v="5/14/2020"/>
    <d v="2026-02-11T00:00:00"/>
    <e v="#VALUE!"/>
    <n v="3"/>
    <n v="22454"/>
    <n v="11227"/>
    <s v=" Not Achieved"/>
    <s v="poor"/>
  </r>
  <r>
    <x v="2644"/>
    <x v="2644"/>
    <s v="EMP_2645"/>
    <x v="1"/>
    <s v="EMP_2645Finance"/>
    <x v="2"/>
    <x v="4"/>
    <n v="55596"/>
    <n v="13343"/>
    <n v="0"/>
    <n v="0"/>
    <d v="2023-07-05T00:00:00"/>
    <s v="2023"/>
    <d v="2026-02-11T00:00:00"/>
    <n v="2"/>
    <n v="2"/>
    <n v="68939"/>
    <n v="34469.5"/>
    <s v=" Not Achieved"/>
    <s v=" Excellent"/>
  </r>
  <r>
    <x v="2645"/>
    <x v="2645"/>
    <s v="EMP_2646"/>
    <x v="0"/>
    <s v="EMP_2646HR"/>
    <x v="0"/>
    <x v="1"/>
    <n v="73550"/>
    <n v="10301"/>
    <n v="0"/>
    <n v="0"/>
    <s v="7/21/2019"/>
    <s v="7/21/2019"/>
    <d v="2026-02-11T00:00:00"/>
    <e v="#VALUE!"/>
    <n v="4"/>
    <n v="83851"/>
    <n v="41925.5"/>
    <s v=" Not Achieved"/>
    <s v=" Excellent"/>
  </r>
  <r>
    <x v="2646"/>
    <x v="2646"/>
    <s v="EMP_2647"/>
    <x v="1"/>
    <s v="EMP_2647IT"/>
    <x v="3"/>
    <x v="3"/>
    <n v="51219"/>
    <n v="14485"/>
    <n v="0"/>
    <n v="0"/>
    <s v="11/16/2022"/>
    <s v="11/16/2022"/>
    <d v="2026-02-11T00:00:00"/>
    <e v="#VALUE!"/>
    <n v="4"/>
    <n v="65704"/>
    <n v="32852"/>
    <s v=" Not Achieved"/>
    <s v=" Excellent"/>
  </r>
  <r>
    <x v="2647"/>
    <x v="2647"/>
    <s v="EMP_2648"/>
    <x v="1"/>
    <s v="EMP_2648Finance"/>
    <x v="2"/>
    <x v="4"/>
    <n v="69853"/>
    <n v="7303"/>
    <n v="0"/>
    <n v="0"/>
    <s v="1/31/2018"/>
    <s v="1/31/2018"/>
    <d v="2026-02-11T00:00:00"/>
    <e v="#VALUE!"/>
    <n v="2"/>
    <n v="77156"/>
    <n v="38578"/>
    <s v=" Not Achieved"/>
    <s v=" Excellent"/>
  </r>
  <r>
    <x v="2648"/>
    <x v="2648"/>
    <s v="EMP_2649"/>
    <x v="0"/>
    <s v="EMP_2649Finance"/>
    <x v="2"/>
    <x v="2"/>
    <n v="73783"/>
    <n v="5761"/>
    <n v="0"/>
    <n v="0"/>
    <s v="10/21/2023"/>
    <s v="10/21/2023"/>
    <d v="2026-02-11T00:00:00"/>
    <e v="#VALUE!"/>
    <n v="2"/>
    <n v="79544"/>
    <n v="39772"/>
    <s v=" Not Achieved"/>
    <s v=" Excellent"/>
  </r>
  <r>
    <x v="2649"/>
    <x v="2649"/>
    <s v="EMP_2650"/>
    <x v="1"/>
    <s v="EMP_2650Finance"/>
    <x v="2"/>
    <x v="4"/>
    <n v="60823"/>
    <n v="12039"/>
    <n v="0"/>
    <n v="0"/>
    <s v="9/18/2023"/>
    <s v="9/18/2023"/>
    <d v="2026-02-11T00:00:00"/>
    <e v="#VALUE!"/>
    <n v="1"/>
    <n v="72862"/>
    <n v="36431"/>
    <s v=" Not Achieved"/>
    <s v=" Excellent"/>
  </r>
  <r>
    <x v="2650"/>
    <x v="2650"/>
    <s v="EMP_2651"/>
    <x v="0"/>
    <s v="EMP_2651Sales"/>
    <x v="1"/>
    <x v="0"/>
    <n v="31967"/>
    <n v="12895"/>
    <n v="69712"/>
    <n v="237945"/>
    <s v="6/19/2022"/>
    <s v="6/19/2022"/>
    <d v="2026-02-11T00:00:00"/>
    <e v="#VALUE!"/>
    <n v="2"/>
    <n v="44862"/>
    <n v="22431"/>
    <s v=" Not Achieved"/>
    <s v="Average"/>
  </r>
  <r>
    <x v="2651"/>
    <x v="2651"/>
    <s v="EMP_2652"/>
    <x v="1"/>
    <s v="EMP_2652HR"/>
    <x v="0"/>
    <x v="4"/>
    <n v="55053"/>
    <n v="9745"/>
    <n v="0"/>
    <n v="0"/>
    <d v="2023-01-05T00:00:00"/>
    <s v="2023"/>
    <d v="2026-02-11T00:00:00"/>
    <n v="3"/>
    <n v="2"/>
    <n v="64798"/>
    <n v="32399"/>
    <s v=" Not Achieved"/>
    <s v=" Excellent"/>
  </r>
  <r>
    <x v="2652"/>
    <x v="2652"/>
    <s v="EMP_2653"/>
    <x v="1"/>
    <s v="EMP_2653HR"/>
    <x v="0"/>
    <x v="4"/>
    <n v="45061"/>
    <n v="3481"/>
    <n v="0"/>
    <n v="0"/>
    <d v="2018-04-02T00:00:00"/>
    <s v="2018"/>
    <d v="2026-02-11T00:00:00"/>
    <n v="7"/>
    <n v="3"/>
    <n v="48542"/>
    <n v="24271"/>
    <s v=" Not Achieved"/>
    <s v="Good"/>
  </r>
  <r>
    <x v="2653"/>
    <x v="2653"/>
    <s v="EMP_2654"/>
    <x v="0"/>
    <s v="EMP_2654Finance"/>
    <x v="2"/>
    <x v="2"/>
    <n v="36153"/>
    <n v="3844"/>
    <n v="0"/>
    <n v="0"/>
    <s v="5/24/2019"/>
    <s v="5/24/2019"/>
    <d v="2026-02-11T00:00:00"/>
    <e v="#VALUE!"/>
    <n v="1"/>
    <n v="39997"/>
    <n v="19998.5"/>
    <s v=" Not Achieved"/>
    <s v="Average"/>
  </r>
  <r>
    <x v="2654"/>
    <x v="2654"/>
    <s v="EMP_2655"/>
    <x v="0"/>
    <s v="EMP_2655HR"/>
    <x v="0"/>
    <x v="2"/>
    <n v="20236"/>
    <n v="14781"/>
    <n v="0"/>
    <n v="0"/>
    <d v="2020-03-12T00:00:00"/>
    <s v="2020"/>
    <d v="2026-02-11T00:00:00"/>
    <n v="5"/>
    <n v="4"/>
    <n v="35017"/>
    <n v="17508.5"/>
    <s v=" Not Achieved"/>
    <s v="poor"/>
  </r>
  <r>
    <x v="2655"/>
    <x v="2655"/>
    <s v="EMP_2656"/>
    <x v="1"/>
    <s v="EMP_2656Sales"/>
    <x v="1"/>
    <x v="2"/>
    <n v="44359"/>
    <n v="14834"/>
    <n v="247616"/>
    <n v="176361"/>
    <s v="9/26/2022"/>
    <s v="9/26/2022"/>
    <d v="2026-02-11T00:00:00"/>
    <e v="#VALUE!"/>
    <n v="4"/>
    <n v="59193"/>
    <n v="29596.5"/>
    <s v="Achieved"/>
    <s v="Good"/>
  </r>
  <r>
    <x v="2656"/>
    <x v="2656"/>
    <s v="EMP_2657"/>
    <x v="1"/>
    <s v="EMP_2657IT"/>
    <x v="3"/>
    <x v="1"/>
    <n v="31505"/>
    <n v="9090"/>
    <n v="0"/>
    <n v="0"/>
    <s v="7/25/2019"/>
    <s v="7/25/2019"/>
    <d v="2026-02-11T00:00:00"/>
    <e v="#VALUE!"/>
    <n v="2"/>
    <n v="40595"/>
    <n v="20297.5"/>
    <s v=" Not Achieved"/>
    <s v="Average"/>
  </r>
  <r>
    <x v="2657"/>
    <x v="2657"/>
    <s v="EMP_2658"/>
    <x v="1"/>
    <s v="EMP_2658HR"/>
    <x v="0"/>
    <x v="1"/>
    <n v="42835"/>
    <n v="3660"/>
    <n v="0"/>
    <n v="0"/>
    <s v="1/17/2023"/>
    <s v="1/17/2023"/>
    <d v="2026-02-11T00:00:00"/>
    <e v="#VALUE!"/>
    <n v="1"/>
    <n v="46495"/>
    <n v="23247.5"/>
    <s v=" Not Achieved"/>
    <s v="Good"/>
  </r>
  <r>
    <x v="2658"/>
    <x v="2658"/>
    <s v="EMP_2659"/>
    <x v="1"/>
    <s v="EMP_2659Marketing"/>
    <x v="4"/>
    <x v="1"/>
    <n v="49450"/>
    <n v="3721"/>
    <n v="0"/>
    <n v="0"/>
    <d v="2022-08-11T00:00:00"/>
    <s v="2022"/>
    <d v="2026-02-11T00:00:00"/>
    <n v="3"/>
    <n v="1"/>
    <n v="53171"/>
    <n v="26585.5"/>
    <s v=" Not Achieved"/>
    <s v="Good"/>
  </r>
  <r>
    <x v="2659"/>
    <x v="2659"/>
    <s v="EMP_2660"/>
    <x v="0"/>
    <s v="EMP_2660Finance"/>
    <x v="2"/>
    <x v="4"/>
    <n v="54806"/>
    <n v="7840"/>
    <n v="0"/>
    <n v="0"/>
    <s v="10/17/2024"/>
    <s v="10/17/2024"/>
    <d v="2026-02-11T00:00:00"/>
    <e v="#VALUE!"/>
    <n v="4"/>
    <n v="62646"/>
    <n v="31323"/>
    <s v=" Not Achieved"/>
    <s v=" Excellent"/>
  </r>
  <r>
    <x v="2660"/>
    <x v="2660"/>
    <s v="EMP_2661"/>
    <x v="0"/>
    <s v="EMP_2661IT"/>
    <x v="3"/>
    <x v="4"/>
    <n v="47149"/>
    <n v="7605"/>
    <n v="0"/>
    <n v="0"/>
    <s v="5/13/2021"/>
    <s v="5/13/2021"/>
    <d v="2026-02-11T00:00:00"/>
    <e v="#VALUE!"/>
    <n v="4"/>
    <n v="54754"/>
    <n v="27377"/>
    <s v=" Not Achieved"/>
    <s v="Good"/>
  </r>
  <r>
    <x v="2661"/>
    <x v="2661"/>
    <s v="EMP_2662"/>
    <x v="0"/>
    <s v="EMP_2662IT"/>
    <x v="3"/>
    <x v="0"/>
    <n v="58016"/>
    <n v="7309"/>
    <n v="0"/>
    <n v="0"/>
    <d v="2021-04-10T00:00:00"/>
    <s v="2021"/>
    <d v="2026-02-11T00:00:00"/>
    <n v="4"/>
    <n v="5"/>
    <n v="65325"/>
    <n v="32662.5"/>
    <s v=" Not Achieved"/>
    <s v=" Excellent"/>
  </r>
  <r>
    <x v="2662"/>
    <x v="2662"/>
    <s v="EMP_2663"/>
    <x v="0"/>
    <s v="EMP_2663Sales"/>
    <x v="1"/>
    <x v="1"/>
    <n v="20026"/>
    <n v="12397"/>
    <n v="118118"/>
    <n v="213184"/>
    <d v="2020-09-06T00:00:00"/>
    <s v="2020"/>
    <d v="2026-02-11T00:00:00"/>
    <n v="5"/>
    <n v="1"/>
    <n v="32423"/>
    <n v="16211.5"/>
    <s v=" Not Achieved"/>
    <s v="poor"/>
  </r>
  <r>
    <x v="2663"/>
    <x v="2663"/>
    <s v="EMP_2664"/>
    <x v="1"/>
    <s v="EMP_2664HR"/>
    <x v="0"/>
    <x v="2"/>
    <n v="57401"/>
    <n v="13026"/>
    <n v="0"/>
    <n v="0"/>
    <d v="2023-02-04T00:00:00"/>
    <s v="2023"/>
    <d v="2026-02-11T00:00:00"/>
    <n v="3"/>
    <n v="2"/>
    <n v="70427"/>
    <n v="35213.5"/>
    <s v=" Not Achieved"/>
    <s v=" Excellent"/>
  </r>
  <r>
    <x v="2664"/>
    <x v="2664"/>
    <s v="EMP_2665"/>
    <x v="1"/>
    <s v="EMP_2665Finance"/>
    <x v="2"/>
    <x v="0"/>
    <n v="74451"/>
    <n v="12451"/>
    <n v="0"/>
    <n v="0"/>
    <s v="5/16/2019"/>
    <s v="5/16/2019"/>
    <d v="2026-02-11T00:00:00"/>
    <e v="#VALUE!"/>
    <n v="4"/>
    <n v="86902"/>
    <n v="43451"/>
    <s v=" Not Achieved"/>
    <s v=" Excellent"/>
  </r>
  <r>
    <x v="2665"/>
    <x v="2665"/>
    <s v="EMP_2666"/>
    <x v="0"/>
    <s v="EMP_2666Sales"/>
    <x v="1"/>
    <x v="1"/>
    <n v="58693"/>
    <n v="2340"/>
    <n v="139795"/>
    <n v="159457"/>
    <s v="4/25/2021"/>
    <s v="4/25/2021"/>
    <d v="2026-02-11T00:00:00"/>
    <e v="#VALUE!"/>
    <n v="4"/>
    <n v="61033"/>
    <n v="30516.5"/>
    <s v=" Not Achieved"/>
    <s v=" Excellent"/>
  </r>
  <r>
    <x v="2666"/>
    <x v="2666"/>
    <s v="EMP_2667"/>
    <x v="1"/>
    <s v="EMP_2667Finance"/>
    <x v="2"/>
    <x v="2"/>
    <n v="64952"/>
    <n v="12531"/>
    <n v="0"/>
    <n v="0"/>
    <d v="2020-03-06T00:00:00"/>
    <s v="2020"/>
    <d v="2026-02-11T00:00:00"/>
    <n v="5"/>
    <n v="3"/>
    <n v="77483"/>
    <n v="38741.5"/>
    <s v=" Not Achieved"/>
    <s v=" Excellent"/>
  </r>
  <r>
    <x v="2667"/>
    <x v="2667"/>
    <s v="EMP_2668"/>
    <x v="1"/>
    <s v="EMP_2668HR"/>
    <x v="0"/>
    <x v="4"/>
    <n v="20751"/>
    <n v="11653"/>
    <n v="0"/>
    <n v="0"/>
    <d v="2024-01-02T00:00:00"/>
    <s v="2024"/>
    <d v="2026-02-11T00:00:00"/>
    <n v="2"/>
    <n v="1"/>
    <n v="32404"/>
    <n v="16202"/>
    <s v=" Not Achieved"/>
    <s v="poor"/>
  </r>
  <r>
    <x v="2668"/>
    <x v="2668"/>
    <s v="EMP_2669"/>
    <x v="1"/>
    <s v="EMP_2669IT"/>
    <x v="3"/>
    <x v="0"/>
    <n v="61540"/>
    <n v="10370"/>
    <n v="0"/>
    <n v="0"/>
    <d v="2018-10-09T00:00:00"/>
    <s v="2018"/>
    <d v="2026-02-11T00:00:00"/>
    <n v="7"/>
    <n v="5"/>
    <n v="71910"/>
    <n v="35955"/>
    <s v=" Not Achieved"/>
    <s v=" Excellent"/>
  </r>
  <r>
    <x v="2669"/>
    <x v="2669"/>
    <s v="EMP_2670"/>
    <x v="0"/>
    <s v="EMP_2670Finance"/>
    <x v="2"/>
    <x v="1"/>
    <n v="26123"/>
    <n v="9516"/>
    <n v="0"/>
    <n v="0"/>
    <d v="2022-12-06T00:00:00"/>
    <s v="2022"/>
    <d v="2026-02-11T00:00:00"/>
    <n v="3"/>
    <n v="4"/>
    <n v="35639"/>
    <n v="17819.5"/>
    <s v=" Not Achieved"/>
    <s v="poor"/>
  </r>
  <r>
    <x v="2670"/>
    <x v="2670"/>
    <s v="EMP_2671"/>
    <x v="0"/>
    <s v="EMP_2671Marketing"/>
    <x v="4"/>
    <x v="3"/>
    <n v="39792"/>
    <n v="12680"/>
    <n v="0"/>
    <n v="0"/>
    <d v="2022-07-03T00:00:00"/>
    <s v="2022"/>
    <d v="2026-02-11T00:00:00"/>
    <n v="3"/>
    <n v="5"/>
    <n v="52472"/>
    <n v="26236"/>
    <s v=" Not Achieved"/>
    <s v="Average"/>
  </r>
  <r>
    <x v="2671"/>
    <x v="2671"/>
    <s v="EMP_2672"/>
    <x v="0"/>
    <s v="EMP_2672IT"/>
    <x v="3"/>
    <x v="1"/>
    <n v="44701"/>
    <n v="14156"/>
    <n v="0"/>
    <n v="0"/>
    <d v="2021-12-07T00:00:00"/>
    <s v="2021"/>
    <d v="2026-02-11T00:00:00"/>
    <n v="4"/>
    <n v="2"/>
    <n v="58857"/>
    <n v="29428.5"/>
    <s v=" Not Achieved"/>
    <s v="Good"/>
  </r>
  <r>
    <x v="2672"/>
    <x v="2672"/>
    <s v="EMP_2673"/>
    <x v="1"/>
    <s v="EMP_2673HR"/>
    <x v="0"/>
    <x v="0"/>
    <n v="59243"/>
    <n v="4816"/>
    <n v="0"/>
    <n v="0"/>
    <d v="2018-11-04T00:00:00"/>
    <s v="2018"/>
    <d v="2026-02-11T00:00:00"/>
    <n v="7"/>
    <n v="2"/>
    <n v="64059"/>
    <n v="32029.5"/>
    <s v=" Not Achieved"/>
    <s v=" Excellent"/>
  </r>
  <r>
    <x v="2673"/>
    <x v="2673"/>
    <s v="EMP_2674"/>
    <x v="1"/>
    <s v="EMP_2674Marketing"/>
    <x v="4"/>
    <x v="2"/>
    <n v="61354"/>
    <n v="7552"/>
    <n v="0"/>
    <n v="0"/>
    <s v="5/16/2019"/>
    <s v="5/16/2019"/>
    <d v="2026-02-11T00:00:00"/>
    <e v="#VALUE!"/>
    <n v="3"/>
    <n v="68906"/>
    <n v="34453"/>
    <s v=" Not Achieved"/>
    <s v=" Excellent"/>
  </r>
  <r>
    <x v="2674"/>
    <x v="2674"/>
    <s v="EMP_2675"/>
    <x v="1"/>
    <s v="EMP_2675IT"/>
    <x v="3"/>
    <x v="1"/>
    <n v="69966"/>
    <n v="7132"/>
    <n v="0"/>
    <n v="0"/>
    <s v="2/16/2019"/>
    <s v="2/16/2019"/>
    <d v="2026-02-11T00:00:00"/>
    <e v="#VALUE!"/>
    <n v="5"/>
    <n v="77098"/>
    <n v="38549"/>
    <s v=" Not Achieved"/>
    <s v=" Excellent"/>
  </r>
  <r>
    <x v="2675"/>
    <x v="2675"/>
    <s v="EMP_2676"/>
    <x v="1"/>
    <s v="EMP_2676IT"/>
    <x v="3"/>
    <x v="2"/>
    <n v="48807"/>
    <n v="4140"/>
    <n v="0"/>
    <n v="0"/>
    <s v="2/17/2021"/>
    <s v="2/17/2021"/>
    <d v="2026-02-11T00:00:00"/>
    <e v="#VALUE!"/>
    <n v="5"/>
    <n v="52947"/>
    <n v="26473.5"/>
    <s v=" Not Achieved"/>
    <s v="Good"/>
  </r>
  <r>
    <x v="2676"/>
    <x v="2676"/>
    <s v="EMP_2677"/>
    <x v="0"/>
    <s v="EMP_2677Marketing"/>
    <x v="4"/>
    <x v="2"/>
    <n v="66879"/>
    <n v="9216"/>
    <n v="0"/>
    <n v="0"/>
    <s v="6/25/2020"/>
    <s v="6/25/2020"/>
    <d v="2026-02-11T00:00:00"/>
    <e v="#VALUE!"/>
    <n v="1"/>
    <n v="76095"/>
    <n v="38047.5"/>
    <s v=" Not Achieved"/>
    <s v=" Excellent"/>
  </r>
  <r>
    <x v="2677"/>
    <x v="2677"/>
    <s v="EMP_2678"/>
    <x v="0"/>
    <s v="EMP_2678HR"/>
    <x v="0"/>
    <x v="3"/>
    <n v="52964"/>
    <n v="10168"/>
    <n v="0"/>
    <n v="0"/>
    <s v="7/23/2024"/>
    <s v="7/23/2024"/>
    <d v="2026-02-11T00:00:00"/>
    <e v="#VALUE!"/>
    <n v="4"/>
    <n v="63132"/>
    <n v="31566"/>
    <s v=" Not Achieved"/>
    <s v=" Excellent"/>
  </r>
  <r>
    <x v="2678"/>
    <x v="2678"/>
    <s v="EMP_2679"/>
    <x v="0"/>
    <s v="EMP_2679HR"/>
    <x v="0"/>
    <x v="1"/>
    <n v="51799"/>
    <n v="13058"/>
    <n v="0"/>
    <n v="0"/>
    <s v="2/18/2024"/>
    <s v="2/18/2024"/>
    <d v="2026-02-11T00:00:00"/>
    <e v="#VALUE!"/>
    <n v="3"/>
    <n v="64857"/>
    <n v="32428.5"/>
    <s v=" Not Achieved"/>
    <s v=" Excellent"/>
  </r>
  <r>
    <x v="2679"/>
    <x v="2679"/>
    <s v="EMP_2680"/>
    <x v="1"/>
    <s v="EMP_2680Marketing"/>
    <x v="4"/>
    <x v="0"/>
    <n v="52837"/>
    <n v="13337"/>
    <n v="0"/>
    <n v="0"/>
    <d v="2022-06-05T00:00:00"/>
    <s v="2022"/>
    <d v="2026-02-11T00:00:00"/>
    <n v="3"/>
    <n v="3"/>
    <n v="66174"/>
    <n v="33087"/>
    <s v=" Not Achieved"/>
    <s v=" Excellent"/>
  </r>
  <r>
    <x v="2680"/>
    <x v="2680"/>
    <s v="EMP_2681"/>
    <x v="1"/>
    <s v="EMP_2681Marketing"/>
    <x v="4"/>
    <x v="2"/>
    <n v="64341"/>
    <n v="13794"/>
    <n v="0"/>
    <n v="0"/>
    <s v="7/30/2019"/>
    <s v="7/30/2019"/>
    <d v="2026-02-11T00:00:00"/>
    <e v="#VALUE!"/>
    <n v="4"/>
    <n v="78135"/>
    <n v="39067.5"/>
    <s v=" Not Achieved"/>
    <s v=" Excellent"/>
  </r>
  <r>
    <x v="2681"/>
    <x v="2681"/>
    <s v="EMP_2682"/>
    <x v="0"/>
    <s v="EMP_2682IT"/>
    <x v="3"/>
    <x v="3"/>
    <n v="67354"/>
    <n v="3077"/>
    <n v="0"/>
    <n v="0"/>
    <s v="2/17/2021"/>
    <s v="2/17/2021"/>
    <d v="2026-02-11T00:00:00"/>
    <e v="#VALUE!"/>
    <n v="1"/>
    <n v="70431"/>
    <n v="35215.5"/>
    <s v=" Not Achieved"/>
    <s v=" Excellent"/>
  </r>
  <r>
    <x v="2682"/>
    <x v="2682"/>
    <s v="EMP_2683"/>
    <x v="1"/>
    <s v="EMP_2683IT"/>
    <x v="3"/>
    <x v="4"/>
    <n v="51179"/>
    <n v="14213"/>
    <n v="0"/>
    <n v="0"/>
    <s v="12/28/2024"/>
    <s v="12/28/2024"/>
    <d v="2026-02-11T00:00:00"/>
    <e v="#VALUE!"/>
    <n v="3"/>
    <n v="65392"/>
    <n v="32696"/>
    <s v=" Not Achieved"/>
    <s v=" Excellent"/>
  </r>
  <r>
    <x v="2683"/>
    <x v="2683"/>
    <s v="EMP_2684"/>
    <x v="1"/>
    <s v="EMP_2684Marketing"/>
    <x v="4"/>
    <x v="4"/>
    <n v="66213"/>
    <n v="6734"/>
    <n v="0"/>
    <n v="0"/>
    <s v="11/27/2019"/>
    <s v="11/27/2019"/>
    <d v="2026-02-11T00:00:00"/>
    <e v="#VALUE!"/>
    <n v="4"/>
    <n v="72947"/>
    <n v="36473.5"/>
    <s v=" Not Achieved"/>
    <s v=" Excellent"/>
  </r>
  <r>
    <x v="2684"/>
    <x v="2684"/>
    <s v="EMP_2685"/>
    <x v="0"/>
    <s v="EMP_2685Marketing"/>
    <x v="4"/>
    <x v="3"/>
    <n v="65533"/>
    <n v="10203"/>
    <n v="0"/>
    <n v="0"/>
    <s v="7/28/2022"/>
    <s v="7/28/2022"/>
    <d v="2026-02-11T00:00:00"/>
    <e v="#VALUE!"/>
    <n v="1"/>
    <n v="75736"/>
    <n v="37868"/>
    <s v=" Not Achieved"/>
    <s v=" Excellent"/>
  </r>
  <r>
    <x v="2685"/>
    <x v="2685"/>
    <s v="EMP_2686"/>
    <x v="1"/>
    <s v="EMP_2686IT"/>
    <x v="3"/>
    <x v="4"/>
    <n v="50740"/>
    <n v="5621"/>
    <n v="0"/>
    <n v="0"/>
    <s v="6/15/2018"/>
    <s v="6/15/2018"/>
    <d v="2026-02-11T00:00:00"/>
    <e v="#VALUE!"/>
    <n v="1"/>
    <n v="56361"/>
    <n v="28180.5"/>
    <s v=" Not Achieved"/>
    <s v=" Excellent"/>
  </r>
  <r>
    <x v="2686"/>
    <x v="2686"/>
    <s v="EMP_2687"/>
    <x v="0"/>
    <s v="EMP_2687Finance"/>
    <x v="2"/>
    <x v="0"/>
    <n v="22402"/>
    <n v="8826"/>
    <n v="0"/>
    <n v="0"/>
    <s v="4/13/2022"/>
    <s v="4/13/2022"/>
    <d v="2026-02-11T00:00:00"/>
    <e v="#VALUE!"/>
    <n v="4"/>
    <n v="31228"/>
    <n v="15614"/>
    <s v=" Not Achieved"/>
    <s v="poor"/>
  </r>
  <r>
    <x v="2687"/>
    <x v="2687"/>
    <s v="EMP_2688"/>
    <x v="1"/>
    <s v="EMP_2688IT"/>
    <x v="3"/>
    <x v="1"/>
    <n v="79795"/>
    <n v="5948"/>
    <n v="0"/>
    <n v="0"/>
    <d v="2022-04-03T00:00:00"/>
    <s v="2022"/>
    <d v="2026-02-11T00:00:00"/>
    <n v="3"/>
    <n v="3"/>
    <n v="85743"/>
    <n v="42871.5"/>
    <s v=" Not Achieved"/>
    <s v=" Excellent"/>
  </r>
  <r>
    <x v="2688"/>
    <x v="2688"/>
    <s v="EMP_2689"/>
    <x v="0"/>
    <s v="EMP_2689Sales"/>
    <x v="1"/>
    <x v="2"/>
    <n v="44461"/>
    <n v="9168"/>
    <n v="205746"/>
    <n v="205744"/>
    <s v="6/21/2021"/>
    <s v="6/21/2021"/>
    <d v="2026-02-11T00:00:00"/>
    <e v="#VALUE!"/>
    <n v="5"/>
    <n v="53629"/>
    <n v="26814.5"/>
    <s v="Achieved"/>
    <s v="Good"/>
  </r>
  <r>
    <x v="2689"/>
    <x v="2689"/>
    <s v="EMP_2690"/>
    <x v="0"/>
    <s v="EMP_2690Sales"/>
    <x v="1"/>
    <x v="0"/>
    <n v="33189"/>
    <n v="4268"/>
    <n v="204949"/>
    <n v="150742"/>
    <s v="11/20/2020"/>
    <s v="11/20/2020"/>
    <d v="2026-02-11T00:00:00"/>
    <e v="#VALUE!"/>
    <n v="3"/>
    <n v="37457"/>
    <n v="18728.5"/>
    <s v="Achieved"/>
    <s v="Average"/>
  </r>
  <r>
    <x v="2690"/>
    <x v="2690"/>
    <s v="EMP_2691"/>
    <x v="1"/>
    <s v="EMP_2691Finance"/>
    <x v="2"/>
    <x v="1"/>
    <n v="67292"/>
    <n v="7135"/>
    <n v="0"/>
    <n v="0"/>
    <s v="7/24/2022"/>
    <s v="7/24/2022"/>
    <d v="2026-02-11T00:00:00"/>
    <e v="#VALUE!"/>
    <n v="3"/>
    <n v="74427"/>
    <n v="37213.5"/>
    <s v=" Not Achieved"/>
    <s v=" Excellent"/>
  </r>
  <r>
    <x v="2691"/>
    <x v="2691"/>
    <s v="EMP_2692"/>
    <x v="0"/>
    <s v="EMP_2692Sales"/>
    <x v="1"/>
    <x v="2"/>
    <n v="29014"/>
    <n v="4029"/>
    <n v="95547"/>
    <n v="212174"/>
    <d v="2019-05-03T00:00:00"/>
    <s v="2019"/>
    <d v="2026-02-11T00:00:00"/>
    <n v="6"/>
    <n v="1"/>
    <n v="33043"/>
    <n v="16521.5"/>
    <s v=" Not Achieved"/>
    <s v="poor"/>
  </r>
  <r>
    <x v="2692"/>
    <x v="2692"/>
    <s v="EMP_2693"/>
    <x v="1"/>
    <s v="EMP_2693HR"/>
    <x v="0"/>
    <x v="0"/>
    <n v="32200"/>
    <n v="9767"/>
    <n v="0"/>
    <n v="0"/>
    <s v="5/21/2019"/>
    <s v="5/21/2019"/>
    <d v="2026-02-11T00:00:00"/>
    <e v="#VALUE!"/>
    <n v="4"/>
    <n v="41967"/>
    <n v="20983.5"/>
    <s v=" Not Achieved"/>
    <s v="Average"/>
  </r>
  <r>
    <x v="2693"/>
    <x v="2693"/>
    <s v="EMP_2694"/>
    <x v="1"/>
    <s v="EMP_2694Finance"/>
    <x v="2"/>
    <x v="4"/>
    <n v="34368"/>
    <n v="3436"/>
    <n v="0"/>
    <n v="0"/>
    <s v="7/23/2022"/>
    <s v="7/23/2022"/>
    <d v="2026-02-11T00:00:00"/>
    <e v="#VALUE!"/>
    <n v="5"/>
    <n v="37804"/>
    <n v="18902"/>
    <s v=" Not Achieved"/>
    <s v="Average"/>
  </r>
  <r>
    <x v="2694"/>
    <x v="2694"/>
    <s v="EMP_2695"/>
    <x v="0"/>
    <s v="EMP_2695IT"/>
    <x v="3"/>
    <x v="4"/>
    <n v="55429"/>
    <n v="8407"/>
    <n v="0"/>
    <n v="0"/>
    <d v="2022-06-08T00:00:00"/>
    <s v="2022"/>
    <d v="2026-02-11T00:00:00"/>
    <n v="3"/>
    <n v="2"/>
    <n v="63836"/>
    <n v="31918"/>
    <s v=" Not Achieved"/>
    <s v=" Excellent"/>
  </r>
  <r>
    <x v="2695"/>
    <x v="2695"/>
    <s v="EMP_2696"/>
    <x v="1"/>
    <s v="EMP_2696HR"/>
    <x v="0"/>
    <x v="0"/>
    <n v="35404"/>
    <n v="5215"/>
    <n v="0"/>
    <n v="0"/>
    <s v="11/15/2024"/>
    <s v="11/15/2024"/>
    <d v="2026-02-11T00:00:00"/>
    <e v="#VALUE!"/>
    <n v="3"/>
    <n v="40619"/>
    <n v="20309.5"/>
    <s v=" Not Achieved"/>
    <s v="Average"/>
  </r>
  <r>
    <x v="2696"/>
    <x v="2696"/>
    <s v="EMP_2697"/>
    <x v="1"/>
    <s v="EMP_2697Marketing"/>
    <x v="4"/>
    <x v="3"/>
    <n v="33139"/>
    <n v="9578"/>
    <n v="0"/>
    <n v="0"/>
    <s v="8/13/2021"/>
    <s v="8/13/2021"/>
    <d v="2026-02-11T00:00:00"/>
    <e v="#VALUE!"/>
    <n v="1"/>
    <n v="42717"/>
    <n v="21358.5"/>
    <s v=" Not Achieved"/>
    <s v="Average"/>
  </r>
  <r>
    <x v="2697"/>
    <x v="2697"/>
    <s v="EMP_2698"/>
    <x v="0"/>
    <s v="EMP_2698Marketing"/>
    <x v="4"/>
    <x v="1"/>
    <n v="78477"/>
    <n v="13653"/>
    <n v="0"/>
    <n v="0"/>
    <s v="1/23/2018"/>
    <s v="1/23/2018"/>
    <d v="2026-02-11T00:00:00"/>
    <e v="#VALUE!"/>
    <n v="4"/>
    <n v="92130"/>
    <n v="46065"/>
    <s v=" Not Achieved"/>
    <s v=" Excellent"/>
  </r>
  <r>
    <x v="2698"/>
    <x v="2698"/>
    <s v="EMP_2699"/>
    <x v="1"/>
    <s v="EMP_2699HR"/>
    <x v="0"/>
    <x v="3"/>
    <n v="60578"/>
    <n v="7842"/>
    <n v="0"/>
    <n v="0"/>
    <d v="2018-11-02T00:00:00"/>
    <s v="2018"/>
    <d v="2026-02-11T00:00:00"/>
    <n v="7"/>
    <n v="1"/>
    <n v="68420"/>
    <n v="34210"/>
    <s v=" Not Achieved"/>
    <s v=" Excellent"/>
  </r>
  <r>
    <x v="2699"/>
    <x v="2699"/>
    <s v="EMP_2700"/>
    <x v="1"/>
    <s v="EMP_2700HR"/>
    <x v="0"/>
    <x v="4"/>
    <n v="39652"/>
    <n v="2049"/>
    <n v="0"/>
    <n v="0"/>
    <s v="4/20/2019"/>
    <s v="4/20/2019"/>
    <d v="2026-02-11T00:00:00"/>
    <e v="#VALUE!"/>
    <n v="2"/>
    <n v="41701"/>
    <n v="20850.5"/>
    <s v=" Not Achieved"/>
    <s v="Average"/>
  </r>
  <r>
    <x v="2700"/>
    <x v="2700"/>
    <s v="EMP_2701"/>
    <x v="0"/>
    <s v="EMP_2701IT"/>
    <x v="3"/>
    <x v="2"/>
    <n v="34372"/>
    <n v="10926"/>
    <n v="0"/>
    <n v="0"/>
    <d v="2024-06-04T00:00:00"/>
    <s v="2024"/>
    <d v="2026-02-11T00:00:00"/>
    <n v="1"/>
    <n v="5"/>
    <n v="45298"/>
    <n v="22649"/>
    <s v=" Not Achieved"/>
    <s v="Average"/>
  </r>
  <r>
    <x v="2701"/>
    <x v="2701"/>
    <s v="EMP_2702"/>
    <x v="1"/>
    <s v="EMP_2702Marketing"/>
    <x v="4"/>
    <x v="2"/>
    <n v="21822"/>
    <n v="13068"/>
    <n v="0"/>
    <n v="0"/>
    <s v="3/24/2020"/>
    <s v="3/24/2020"/>
    <d v="2026-02-11T00:00:00"/>
    <e v="#VALUE!"/>
    <n v="5"/>
    <n v="34890"/>
    <n v="17445"/>
    <s v=" Not Achieved"/>
    <s v="poor"/>
  </r>
  <r>
    <x v="2702"/>
    <x v="2702"/>
    <s v="EMP_2703"/>
    <x v="1"/>
    <s v="EMP_2703Marketing"/>
    <x v="4"/>
    <x v="1"/>
    <n v="45276"/>
    <n v="9304"/>
    <n v="0"/>
    <n v="0"/>
    <d v="2018-01-02T00:00:00"/>
    <s v="2018"/>
    <d v="2026-02-11T00:00:00"/>
    <n v="8"/>
    <n v="4"/>
    <n v="54580"/>
    <n v="27290"/>
    <s v=" Not Achieved"/>
    <s v="Good"/>
  </r>
  <r>
    <x v="2703"/>
    <x v="2703"/>
    <s v="EMP_2704"/>
    <x v="0"/>
    <s v="EMP_2704IT"/>
    <x v="3"/>
    <x v="3"/>
    <n v="72564"/>
    <n v="9650"/>
    <n v="0"/>
    <n v="0"/>
    <s v="12/19/2021"/>
    <s v="12/19/2021"/>
    <d v="2026-02-11T00:00:00"/>
    <e v="#VALUE!"/>
    <n v="2"/>
    <n v="82214"/>
    <n v="41107"/>
    <s v=" Not Achieved"/>
    <s v=" Excellent"/>
  </r>
  <r>
    <x v="2704"/>
    <x v="2704"/>
    <s v="EMP_2705"/>
    <x v="1"/>
    <s v="EMP_2705Sales"/>
    <x v="1"/>
    <x v="1"/>
    <n v="35706"/>
    <n v="13647"/>
    <n v="224670"/>
    <n v="188242"/>
    <s v="4/18/2019"/>
    <s v="4/18/2019"/>
    <d v="2026-02-11T00:00:00"/>
    <e v="#VALUE!"/>
    <n v="2"/>
    <n v="49353"/>
    <n v="24676.5"/>
    <s v="Achieved"/>
    <s v="Average"/>
  </r>
  <r>
    <x v="2705"/>
    <x v="2705"/>
    <s v="EMP_2706"/>
    <x v="0"/>
    <s v="EMP_2706Sales"/>
    <x v="1"/>
    <x v="0"/>
    <n v="27094"/>
    <n v="8460"/>
    <n v="201623"/>
    <n v="110297"/>
    <s v="3/26/2022"/>
    <s v="3/26/2022"/>
    <d v="2026-02-11T00:00:00"/>
    <e v="#VALUE!"/>
    <n v="4"/>
    <n v="35554"/>
    <n v="17777"/>
    <s v="Achieved"/>
    <s v="poor"/>
  </r>
  <r>
    <x v="2706"/>
    <x v="2706"/>
    <s v="EMP_2707"/>
    <x v="0"/>
    <s v="EMP_2707IT"/>
    <x v="3"/>
    <x v="3"/>
    <n v="25302"/>
    <n v="12851"/>
    <n v="0"/>
    <n v="0"/>
    <s v="4/20/2023"/>
    <s v="4/20/2023"/>
    <d v="2026-02-11T00:00:00"/>
    <e v="#VALUE!"/>
    <n v="5"/>
    <n v="38153"/>
    <n v="19076.5"/>
    <s v=" Not Achieved"/>
    <s v="poor"/>
  </r>
  <r>
    <x v="2707"/>
    <x v="2707"/>
    <s v="EMP_2708"/>
    <x v="0"/>
    <s v="EMP_2708Finance"/>
    <x v="2"/>
    <x v="4"/>
    <n v="65029"/>
    <n v="11965"/>
    <n v="0"/>
    <n v="0"/>
    <d v="2019-09-11T00:00:00"/>
    <s v="2019"/>
    <d v="2026-02-11T00:00:00"/>
    <n v="6"/>
    <n v="5"/>
    <n v="76994"/>
    <n v="38497"/>
    <s v=" Not Achieved"/>
    <s v=" Excellent"/>
  </r>
  <r>
    <x v="2708"/>
    <x v="2708"/>
    <s v="EMP_2709"/>
    <x v="1"/>
    <s v="EMP_2709Sales"/>
    <x v="1"/>
    <x v="1"/>
    <n v="49933"/>
    <n v="5382"/>
    <n v="147665"/>
    <n v="165971"/>
    <s v="11/29/2023"/>
    <s v="11/29/2023"/>
    <d v="2026-02-11T00:00:00"/>
    <e v="#VALUE!"/>
    <n v="3"/>
    <n v="55315"/>
    <n v="27657.5"/>
    <s v=" Not Achieved"/>
    <s v="Good"/>
  </r>
  <r>
    <x v="2709"/>
    <x v="2709"/>
    <s v="EMP_2710"/>
    <x v="1"/>
    <s v="EMP_2710Sales"/>
    <x v="1"/>
    <x v="4"/>
    <n v="60133"/>
    <n v="11102"/>
    <n v="240267"/>
    <n v="194587"/>
    <s v="5/29/2018"/>
    <s v="5/29/2018"/>
    <d v="2026-02-11T00:00:00"/>
    <e v="#VALUE!"/>
    <n v="4"/>
    <n v="71235"/>
    <n v="35617.5"/>
    <s v="Achieved"/>
    <s v=" Excellent"/>
  </r>
  <r>
    <x v="2710"/>
    <x v="2710"/>
    <s v="EMP_2711"/>
    <x v="0"/>
    <s v="EMP_2711IT"/>
    <x v="3"/>
    <x v="3"/>
    <n v="28203"/>
    <n v="12853"/>
    <n v="0"/>
    <n v="0"/>
    <d v="2020-01-11T00:00:00"/>
    <s v="2020"/>
    <d v="2026-02-11T00:00:00"/>
    <n v="6"/>
    <n v="5"/>
    <n v="41056"/>
    <n v="20528"/>
    <s v=" Not Achieved"/>
    <s v="poor"/>
  </r>
  <r>
    <x v="2711"/>
    <x v="2711"/>
    <s v="EMP_2712"/>
    <x v="1"/>
    <s v="EMP_2712Finance"/>
    <x v="2"/>
    <x v="4"/>
    <n v="70315"/>
    <n v="7797"/>
    <n v="0"/>
    <n v="0"/>
    <d v="2019-10-10T00:00:00"/>
    <s v="2019"/>
    <d v="2026-02-11T00:00:00"/>
    <n v="6"/>
    <n v="1"/>
    <n v="78112"/>
    <n v="39056"/>
    <s v=" Not Achieved"/>
    <s v=" Excellent"/>
  </r>
  <r>
    <x v="2712"/>
    <x v="2712"/>
    <s v="EMP_2713"/>
    <x v="0"/>
    <s v="EMP_2713IT"/>
    <x v="3"/>
    <x v="3"/>
    <n v="24300"/>
    <n v="4545"/>
    <n v="0"/>
    <n v="0"/>
    <s v="12/31/2019"/>
    <s v="12/31/2019"/>
    <d v="2026-02-11T00:00:00"/>
    <e v="#VALUE!"/>
    <n v="4"/>
    <n v="28845"/>
    <n v="14422.5"/>
    <s v=" Not Achieved"/>
    <s v="poor"/>
  </r>
  <r>
    <x v="2713"/>
    <x v="2713"/>
    <s v="EMP_2714"/>
    <x v="1"/>
    <s v="EMP_2714IT"/>
    <x v="3"/>
    <x v="1"/>
    <n v="62635"/>
    <n v="13247"/>
    <n v="0"/>
    <n v="0"/>
    <s v="8/13/2019"/>
    <s v="8/13/2019"/>
    <d v="2026-02-11T00:00:00"/>
    <e v="#VALUE!"/>
    <n v="5"/>
    <n v="75882"/>
    <n v="37941"/>
    <s v=" Not Achieved"/>
    <s v=" Excellent"/>
  </r>
  <r>
    <x v="2714"/>
    <x v="2714"/>
    <s v="EMP_2715"/>
    <x v="1"/>
    <s v="EMP_2715Sales"/>
    <x v="1"/>
    <x v="4"/>
    <n v="54904"/>
    <n v="12674"/>
    <n v="65238"/>
    <n v="157465"/>
    <s v="7/29/2020"/>
    <s v="7/29/2020"/>
    <d v="2026-02-11T00:00:00"/>
    <e v="#VALUE!"/>
    <n v="3"/>
    <n v="67578"/>
    <n v="33789"/>
    <s v=" Not Achieved"/>
    <s v=" Excellent"/>
  </r>
  <r>
    <x v="2715"/>
    <x v="2715"/>
    <s v="EMP_2716"/>
    <x v="1"/>
    <s v="EMP_2716HR"/>
    <x v="0"/>
    <x v="2"/>
    <n v="34092"/>
    <n v="4505"/>
    <n v="0"/>
    <n v="0"/>
    <s v="10/25/2019"/>
    <s v="10/25/2019"/>
    <d v="2026-02-11T00:00:00"/>
    <e v="#VALUE!"/>
    <n v="4"/>
    <n v="38597"/>
    <n v="19298.5"/>
    <s v=" Not Achieved"/>
    <s v="Average"/>
  </r>
  <r>
    <x v="2716"/>
    <x v="2716"/>
    <s v="EMP_2717"/>
    <x v="0"/>
    <s v="EMP_2717Sales"/>
    <x v="1"/>
    <x v="1"/>
    <n v="63117"/>
    <n v="13227"/>
    <n v="171377"/>
    <n v="94232"/>
    <d v="2024-05-01T00:00:00"/>
    <s v="2024"/>
    <d v="2026-02-11T00:00:00"/>
    <n v="1"/>
    <n v="2"/>
    <n v="76344"/>
    <n v="38172"/>
    <s v="Achieved"/>
    <s v=" Excellent"/>
  </r>
  <r>
    <x v="2717"/>
    <x v="2717"/>
    <s v="EMP_2718"/>
    <x v="1"/>
    <s v="EMP_2718Marketing"/>
    <x v="4"/>
    <x v="0"/>
    <n v="42327"/>
    <n v="3120"/>
    <n v="0"/>
    <n v="0"/>
    <s v="7/15/2018"/>
    <s v="7/15/2018"/>
    <d v="2026-02-11T00:00:00"/>
    <e v="#VALUE!"/>
    <n v="2"/>
    <n v="45447"/>
    <n v="22723.5"/>
    <s v=" Not Achieved"/>
    <s v="Good"/>
  </r>
  <r>
    <x v="2718"/>
    <x v="2718"/>
    <s v="EMP_2719"/>
    <x v="1"/>
    <s v="EMP_2719Marketing"/>
    <x v="4"/>
    <x v="3"/>
    <n v="22736"/>
    <n v="7669"/>
    <n v="0"/>
    <n v="0"/>
    <s v="2/25/2023"/>
    <s v="2/25/2023"/>
    <d v="2026-02-11T00:00:00"/>
    <e v="#VALUE!"/>
    <n v="2"/>
    <n v="30405"/>
    <n v="15202.5"/>
    <s v=" Not Achieved"/>
    <s v="poor"/>
  </r>
  <r>
    <x v="2719"/>
    <x v="2719"/>
    <s v="EMP_2720"/>
    <x v="1"/>
    <s v="EMP_2720IT"/>
    <x v="3"/>
    <x v="4"/>
    <n v="38577"/>
    <n v="5492"/>
    <n v="0"/>
    <n v="0"/>
    <s v="3/22/2024"/>
    <s v="3/22/2024"/>
    <d v="2026-02-11T00:00:00"/>
    <e v="#VALUE!"/>
    <n v="5"/>
    <n v="44069"/>
    <n v="22034.5"/>
    <s v=" Not Achieved"/>
    <s v="Average"/>
  </r>
  <r>
    <x v="2720"/>
    <x v="2720"/>
    <s v="EMP_2721"/>
    <x v="1"/>
    <s v="EMP_2721Finance"/>
    <x v="2"/>
    <x v="0"/>
    <n v="27614"/>
    <n v="4895"/>
    <n v="0"/>
    <n v="0"/>
    <s v="9/26/2018"/>
    <s v="9/26/2018"/>
    <d v="2026-02-11T00:00:00"/>
    <e v="#VALUE!"/>
    <n v="2"/>
    <n v="32509"/>
    <n v="16254.5"/>
    <s v=" Not Achieved"/>
    <s v="poor"/>
  </r>
  <r>
    <x v="2721"/>
    <x v="2721"/>
    <s v="EMP_2722"/>
    <x v="1"/>
    <s v="EMP_2722HR"/>
    <x v="0"/>
    <x v="0"/>
    <n v="54786"/>
    <n v="11307"/>
    <n v="0"/>
    <n v="0"/>
    <d v="2023-05-03T00:00:00"/>
    <s v="2023"/>
    <d v="2026-02-11T00:00:00"/>
    <n v="2"/>
    <n v="5"/>
    <n v="66093"/>
    <n v="33046.5"/>
    <s v=" Not Achieved"/>
    <s v=" Excellent"/>
  </r>
  <r>
    <x v="2722"/>
    <x v="2722"/>
    <s v="EMP_2723"/>
    <x v="1"/>
    <s v="EMP_2723Finance"/>
    <x v="2"/>
    <x v="1"/>
    <n v="79064"/>
    <n v="2924"/>
    <n v="0"/>
    <n v="0"/>
    <s v="5/29/2023"/>
    <s v="5/29/2023"/>
    <d v="2026-02-11T00:00:00"/>
    <e v="#VALUE!"/>
    <n v="5"/>
    <n v="81988"/>
    <n v="40994"/>
    <s v=" Not Achieved"/>
    <s v=" Excellent"/>
  </r>
  <r>
    <x v="2723"/>
    <x v="2723"/>
    <s v="EMP_2724"/>
    <x v="0"/>
    <s v="EMP_2724Finance"/>
    <x v="2"/>
    <x v="1"/>
    <n v="60184"/>
    <n v="3332"/>
    <n v="0"/>
    <n v="0"/>
    <d v="2018-09-10T00:00:00"/>
    <s v="2018"/>
    <d v="2026-02-11T00:00:00"/>
    <n v="7"/>
    <n v="5"/>
    <n v="63516"/>
    <n v="31758"/>
    <s v=" Not Achieved"/>
    <s v=" Excellent"/>
  </r>
  <r>
    <x v="2724"/>
    <x v="2724"/>
    <s v="EMP_2725"/>
    <x v="1"/>
    <s v="EMP_2725Sales"/>
    <x v="1"/>
    <x v="0"/>
    <n v="45987"/>
    <n v="13176"/>
    <n v="293812"/>
    <n v="162799"/>
    <s v="11/16/2018"/>
    <s v="11/16/2018"/>
    <d v="2026-02-11T00:00:00"/>
    <e v="#VALUE!"/>
    <n v="4"/>
    <n v="59163"/>
    <n v="29581.5"/>
    <s v="Achieved"/>
    <s v="Good"/>
  </r>
  <r>
    <x v="2725"/>
    <x v="2725"/>
    <s v="EMP_2726"/>
    <x v="0"/>
    <s v="EMP_2726Marketing"/>
    <x v="4"/>
    <x v="3"/>
    <n v="25181"/>
    <n v="3713"/>
    <n v="0"/>
    <n v="0"/>
    <s v="9/23/2018"/>
    <s v="9/23/2018"/>
    <d v="2026-02-11T00:00:00"/>
    <e v="#VALUE!"/>
    <n v="2"/>
    <n v="28894"/>
    <n v="14447"/>
    <s v=" Not Achieved"/>
    <s v="poor"/>
  </r>
  <r>
    <x v="2726"/>
    <x v="2726"/>
    <s v="EMP_2727"/>
    <x v="1"/>
    <s v="EMP_2727HR"/>
    <x v="0"/>
    <x v="1"/>
    <n v="46409"/>
    <n v="3866"/>
    <n v="0"/>
    <n v="0"/>
    <d v="2023-08-05T00:00:00"/>
    <s v="2023"/>
    <d v="2026-02-11T00:00:00"/>
    <n v="2"/>
    <n v="2"/>
    <n v="50275"/>
    <n v="25137.5"/>
    <s v=" Not Achieved"/>
    <s v="Good"/>
  </r>
  <r>
    <x v="2727"/>
    <x v="2727"/>
    <s v="EMP_2728"/>
    <x v="0"/>
    <s v="EMP_2728Marketing"/>
    <x v="4"/>
    <x v="3"/>
    <n v="20715"/>
    <n v="7590"/>
    <n v="0"/>
    <n v="0"/>
    <d v="2022-10-05T00:00:00"/>
    <s v="2022"/>
    <d v="2026-02-11T00:00:00"/>
    <n v="3"/>
    <n v="3"/>
    <n v="28305"/>
    <n v="14152.5"/>
    <s v=" Not Achieved"/>
    <s v="poor"/>
  </r>
  <r>
    <x v="2728"/>
    <x v="2728"/>
    <s v="EMP_2729"/>
    <x v="1"/>
    <s v="EMP_2729IT"/>
    <x v="3"/>
    <x v="2"/>
    <n v="36977"/>
    <n v="9170"/>
    <n v="0"/>
    <n v="0"/>
    <d v="2024-09-05T00:00:00"/>
    <s v="2024"/>
    <d v="2026-02-11T00:00:00"/>
    <n v="1"/>
    <n v="4"/>
    <n v="46147"/>
    <n v="23073.5"/>
    <s v=" Not Achieved"/>
    <s v="Average"/>
  </r>
  <r>
    <x v="2729"/>
    <x v="2729"/>
    <s v="EMP_2730"/>
    <x v="1"/>
    <s v="EMP_2730Sales"/>
    <x v="1"/>
    <x v="3"/>
    <n v="78054"/>
    <n v="3371"/>
    <n v="288098"/>
    <n v="145090"/>
    <s v="5/17/2023"/>
    <s v="5/17/2023"/>
    <d v="2026-02-11T00:00:00"/>
    <e v="#VALUE!"/>
    <n v="3"/>
    <n v="81425"/>
    <n v="40712.5"/>
    <s v="Achieved"/>
    <s v=" Excellent"/>
  </r>
  <r>
    <x v="2730"/>
    <x v="2730"/>
    <s v="EMP_2731"/>
    <x v="0"/>
    <s v="EMP_2731Marketing"/>
    <x v="4"/>
    <x v="2"/>
    <n v="62909"/>
    <n v="13696"/>
    <n v="0"/>
    <n v="0"/>
    <s v="3/17/2019"/>
    <s v="3/17/2019"/>
    <d v="2026-02-11T00:00:00"/>
    <e v="#VALUE!"/>
    <n v="4"/>
    <n v="76605"/>
    <n v="38302.5"/>
    <s v=" Not Achieved"/>
    <s v=" Excellent"/>
  </r>
  <r>
    <x v="2731"/>
    <x v="2731"/>
    <s v="EMP_2732"/>
    <x v="1"/>
    <s v="EMP_2732IT"/>
    <x v="3"/>
    <x v="2"/>
    <n v="31163"/>
    <n v="12981"/>
    <n v="0"/>
    <n v="0"/>
    <d v="2019-05-11T00:00:00"/>
    <s v="2019"/>
    <d v="2026-02-11T00:00:00"/>
    <n v="6"/>
    <n v="3"/>
    <n v="44144"/>
    <n v="22072"/>
    <s v=" Not Achieved"/>
    <s v="Average"/>
  </r>
  <r>
    <x v="2732"/>
    <x v="2732"/>
    <s v="EMP_2733"/>
    <x v="0"/>
    <s v="EMP_2733IT"/>
    <x v="3"/>
    <x v="2"/>
    <n v="45990"/>
    <n v="11817"/>
    <n v="0"/>
    <n v="0"/>
    <s v="10/29/2024"/>
    <s v="10/29/2024"/>
    <d v="2026-02-11T00:00:00"/>
    <e v="#VALUE!"/>
    <n v="4"/>
    <n v="57807"/>
    <n v="28903.5"/>
    <s v=" Not Achieved"/>
    <s v="Good"/>
  </r>
  <r>
    <x v="2733"/>
    <x v="2733"/>
    <s v="EMP_2734"/>
    <x v="0"/>
    <s v="EMP_2734Finance"/>
    <x v="2"/>
    <x v="2"/>
    <n v="70415"/>
    <n v="5561"/>
    <n v="0"/>
    <n v="0"/>
    <d v="2019-07-09T00:00:00"/>
    <s v="2019"/>
    <d v="2026-02-11T00:00:00"/>
    <n v="6"/>
    <n v="5"/>
    <n v="75976"/>
    <n v="37988"/>
    <s v=" Not Achieved"/>
    <s v=" Excellent"/>
  </r>
  <r>
    <x v="2734"/>
    <x v="2734"/>
    <s v="EMP_2735"/>
    <x v="0"/>
    <s v="EMP_2735HR"/>
    <x v="0"/>
    <x v="3"/>
    <n v="55521"/>
    <n v="3592"/>
    <n v="0"/>
    <n v="0"/>
    <s v="11/22/2023"/>
    <s v="11/22/2023"/>
    <d v="2026-02-11T00:00:00"/>
    <e v="#VALUE!"/>
    <n v="1"/>
    <n v="59113"/>
    <n v="29556.5"/>
    <s v=" Not Achieved"/>
    <s v=" Excellent"/>
  </r>
  <r>
    <x v="2735"/>
    <x v="2735"/>
    <s v="EMP_2736"/>
    <x v="1"/>
    <s v="EMP_2736HR"/>
    <x v="0"/>
    <x v="2"/>
    <n v="30417"/>
    <n v="11471"/>
    <n v="0"/>
    <n v="0"/>
    <s v="7/30/2023"/>
    <s v="7/30/2023"/>
    <d v="2026-02-11T00:00:00"/>
    <e v="#VALUE!"/>
    <n v="3"/>
    <n v="41888"/>
    <n v="20944"/>
    <s v=" Not Achieved"/>
    <s v="Average"/>
  </r>
  <r>
    <x v="2736"/>
    <x v="2736"/>
    <s v="EMP_2737"/>
    <x v="1"/>
    <s v="EMP_2737Marketing"/>
    <x v="4"/>
    <x v="3"/>
    <n v="26133"/>
    <n v="5799"/>
    <n v="0"/>
    <n v="0"/>
    <s v="9/28/2018"/>
    <s v="9/28/2018"/>
    <d v="2026-02-11T00:00:00"/>
    <e v="#VALUE!"/>
    <n v="1"/>
    <n v="31932"/>
    <n v="15966"/>
    <s v=" Not Achieved"/>
    <s v="poor"/>
  </r>
  <r>
    <x v="2737"/>
    <x v="2737"/>
    <s v="EMP_2738"/>
    <x v="1"/>
    <s v="EMP_2738HR"/>
    <x v="0"/>
    <x v="3"/>
    <n v="60190"/>
    <n v="13123"/>
    <n v="0"/>
    <n v="0"/>
    <s v="3/19/2022"/>
    <s v="3/19/2022"/>
    <d v="2026-02-11T00:00:00"/>
    <e v="#VALUE!"/>
    <n v="1"/>
    <n v="73313"/>
    <n v="36656.5"/>
    <s v=" Not Achieved"/>
    <s v=" Excellent"/>
  </r>
  <r>
    <x v="2738"/>
    <x v="2738"/>
    <s v="EMP_2739"/>
    <x v="1"/>
    <s v="EMP_2739IT"/>
    <x v="3"/>
    <x v="2"/>
    <n v="71477"/>
    <n v="14967"/>
    <n v="0"/>
    <n v="0"/>
    <d v="2024-05-02T00:00:00"/>
    <s v="2024"/>
    <d v="2026-02-11T00:00:00"/>
    <n v="1"/>
    <n v="2"/>
    <n v="86444"/>
    <n v="43222"/>
    <s v=" Not Achieved"/>
    <s v=" Excellent"/>
  </r>
  <r>
    <x v="2739"/>
    <x v="2739"/>
    <s v="EMP_2740"/>
    <x v="1"/>
    <s v="EMP_2740Sales"/>
    <x v="1"/>
    <x v="1"/>
    <n v="67383"/>
    <n v="12610"/>
    <n v="236175"/>
    <n v="104048"/>
    <d v="2020-11-02T00:00:00"/>
    <s v="2020"/>
    <d v="2026-02-11T00:00:00"/>
    <n v="5"/>
    <n v="1"/>
    <n v="79993"/>
    <n v="39996.5"/>
    <s v="Achieved"/>
    <s v=" Excellent"/>
  </r>
  <r>
    <x v="2740"/>
    <x v="2740"/>
    <s v="EMP_2741"/>
    <x v="1"/>
    <s v="EMP_2741IT"/>
    <x v="3"/>
    <x v="4"/>
    <n v="53787"/>
    <n v="4911"/>
    <n v="0"/>
    <n v="0"/>
    <d v="2024-03-02T00:00:00"/>
    <s v="2024"/>
    <d v="2026-02-11T00:00:00"/>
    <n v="1"/>
    <n v="2"/>
    <n v="58698"/>
    <n v="29349"/>
    <s v=" Not Achieved"/>
    <s v=" Excellent"/>
  </r>
  <r>
    <x v="2741"/>
    <x v="2741"/>
    <s v="EMP_2742"/>
    <x v="0"/>
    <s v="EMP_2742Marketing"/>
    <x v="4"/>
    <x v="4"/>
    <n v="36855"/>
    <n v="3843"/>
    <n v="0"/>
    <n v="0"/>
    <s v="8/15/2019"/>
    <s v="8/15/2019"/>
    <d v="2026-02-11T00:00:00"/>
    <e v="#VALUE!"/>
    <n v="1"/>
    <n v="40698"/>
    <n v="20349"/>
    <s v=" Not Achieved"/>
    <s v="Average"/>
  </r>
  <r>
    <x v="2742"/>
    <x v="2742"/>
    <s v="EMP_2743"/>
    <x v="1"/>
    <s v="EMP_2743Finance"/>
    <x v="2"/>
    <x v="0"/>
    <n v="77665"/>
    <n v="2032"/>
    <n v="0"/>
    <n v="0"/>
    <d v="2021-04-08T00:00:00"/>
    <s v="2021"/>
    <d v="2026-02-11T00:00:00"/>
    <n v="4"/>
    <n v="2"/>
    <n v="79697"/>
    <n v="39848.5"/>
    <s v=" Not Achieved"/>
    <s v=" Excellent"/>
  </r>
  <r>
    <x v="2743"/>
    <x v="2743"/>
    <s v="EMP_2744"/>
    <x v="1"/>
    <s v="EMP_2744Marketing"/>
    <x v="4"/>
    <x v="3"/>
    <n v="79862"/>
    <n v="9725"/>
    <n v="0"/>
    <n v="0"/>
    <d v="2020-04-09T00:00:00"/>
    <s v="2020"/>
    <d v="2026-02-11T00:00:00"/>
    <n v="5"/>
    <n v="4"/>
    <n v="89587"/>
    <n v="44793.5"/>
    <s v=" Not Achieved"/>
    <s v=" Excellent"/>
  </r>
  <r>
    <x v="2744"/>
    <x v="2744"/>
    <s v="EMP_2745"/>
    <x v="1"/>
    <s v="EMP_2745HR"/>
    <x v="0"/>
    <x v="3"/>
    <n v="78418"/>
    <n v="13478"/>
    <n v="0"/>
    <n v="0"/>
    <d v="2020-08-09T00:00:00"/>
    <s v="2020"/>
    <d v="2026-02-11T00:00:00"/>
    <n v="5"/>
    <n v="1"/>
    <n v="91896"/>
    <n v="45948"/>
    <s v=" Not Achieved"/>
    <s v=" Excellent"/>
  </r>
  <r>
    <x v="2745"/>
    <x v="2745"/>
    <s v="EMP_2746"/>
    <x v="0"/>
    <s v="EMP_2746IT"/>
    <x v="3"/>
    <x v="4"/>
    <n v="22356"/>
    <n v="8714"/>
    <n v="0"/>
    <n v="0"/>
    <s v="9/23/2022"/>
    <s v="9/23/2022"/>
    <d v="2026-02-11T00:00:00"/>
    <e v="#VALUE!"/>
    <n v="1"/>
    <n v="31070"/>
    <n v="15535"/>
    <s v=" Not Achieved"/>
    <s v="poor"/>
  </r>
  <r>
    <x v="2746"/>
    <x v="2746"/>
    <s v="EMP_2747"/>
    <x v="0"/>
    <s v="EMP_2747HR"/>
    <x v="0"/>
    <x v="3"/>
    <n v="47597"/>
    <n v="14414"/>
    <n v="0"/>
    <n v="0"/>
    <s v="10/13/2024"/>
    <s v="10/13/2024"/>
    <d v="2026-02-11T00:00:00"/>
    <e v="#VALUE!"/>
    <n v="2"/>
    <n v="62011"/>
    <n v="31005.5"/>
    <s v=" Not Achieved"/>
    <s v="Good"/>
  </r>
  <r>
    <x v="2747"/>
    <x v="2747"/>
    <s v="EMP_2748"/>
    <x v="1"/>
    <s v="EMP_2748HR"/>
    <x v="0"/>
    <x v="4"/>
    <n v="68414"/>
    <n v="11909"/>
    <n v="0"/>
    <n v="0"/>
    <s v="4/30/2024"/>
    <s v="4/30/2024"/>
    <d v="2026-02-11T00:00:00"/>
    <e v="#VALUE!"/>
    <n v="5"/>
    <n v="80323"/>
    <n v="40161.5"/>
    <s v=" Not Achieved"/>
    <s v=" Excellent"/>
  </r>
  <r>
    <x v="2748"/>
    <x v="2748"/>
    <s v="EMP_2749"/>
    <x v="1"/>
    <s v="EMP_2749HR"/>
    <x v="0"/>
    <x v="3"/>
    <n v="34814"/>
    <n v="6949"/>
    <n v="0"/>
    <n v="0"/>
    <s v="10/13/2018"/>
    <s v="10/13/2018"/>
    <d v="2026-02-11T00:00:00"/>
    <e v="#VALUE!"/>
    <n v="5"/>
    <n v="41763"/>
    <n v="20881.5"/>
    <s v=" Not Achieved"/>
    <s v="Average"/>
  </r>
  <r>
    <x v="2749"/>
    <x v="2749"/>
    <s v="EMP_2750"/>
    <x v="1"/>
    <s v="EMP_2750Marketing"/>
    <x v="4"/>
    <x v="0"/>
    <n v="69668"/>
    <n v="6397"/>
    <n v="0"/>
    <n v="0"/>
    <s v="9/30/2019"/>
    <s v="9/30/2019"/>
    <d v="2026-02-11T00:00:00"/>
    <e v="#VALUE!"/>
    <n v="5"/>
    <n v="76065"/>
    <n v="38032.5"/>
    <s v=" Not Achieved"/>
    <s v=" Excellent"/>
  </r>
  <r>
    <x v="2750"/>
    <x v="2750"/>
    <s v="EMP_2751"/>
    <x v="0"/>
    <s v="EMP_2751HR"/>
    <x v="0"/>
    <x v="1"/>
    <n v="65833"/>
    <n v="14599"/>
    <n v="0"/>
    <n v="0"/>
    <d v="2019-01-09T00:00:00"/>
    <s v="2019"/>
    <d v="2026-02-11T00:00:00"/>
    <n v="7"/>
    <n v="4"/>
    <n v="80432"/>
    <n v="40216"/>
    <s v=" Not Achieved"/>
    <s v=" Excellent"/>
  </r>
  <r>
    <x v="2751"/>
    <x v="2751"/>
    <s v="EMP_2752"/>
    <x v="1"/>
    <s v="EMP_2752Finance"/>
    <x v="2"/>
    <x v="1"/>
    <n v="44810"/>
    <n v="12037"/>
    <n v="0"/>
    <n v="0"/>
    <s v="12/21/2020"/>
    <s v="12/21/2020"/>
    <d v="2026-02-11T00:00:00"/>
    <e v="#VALUE!"/>
    <n v="3"/>
    <n v="56847"/>
    <n v="28423.5"/>
    <s v=" Not Achieved"/>
    <s v="Good"/>
  </r>
  <r>
    <x v="2752"/>
    <x v="2752"/>
    <s v="EMP_2753"/>
    <x v="1"/>
    <s v="EMP_2753IT"/>
    <x v="3"/>
    <x v="1"/>
    <n v="38147"/>
    <n v="11090"/>
    <n v="0"/>
    <n v="0"/>
    <d v="2023-12-10T00:00:00"/>
    <s v="2023"/>
    <d v="2026-02-11T00:00:00"/>
    <n v="2"/>
    <n v="1"/>
    <n v="49237"/>
    <n v="24618.5"/>
    <s v=" Not Achieved"/>
    <s v="Average"/>
  </r>
  <r>
    <x v="2753"/>
    <x v="2753"/>
    <s v="EMP_2754"/>
    <x v="0"/>
    <s v="EMP_2754Marketing"/>
    <x v="4"/>
    <x v="0"/>
    <n v="78541"/>
    <n v="9658"/>
    <n v="0"/>
    <n v="0"/>
    <s v="2/26/2024"/>
    <s v="2/26/2024"/>
    <d v="2026-02-11T00:00:00"/>
    <e v="#VALUE!"/>
    <n v="3"/>
    <n v="88199"/>
    <n v="44099.5"/>
    <s v=" Not Achieved"/>
    <s v=" Excellent"/>
  </r>
  <r>
    <x v="2754"/>
    <x v="2754"/>
    <s v="EMP_2755"/>
    <x v="1"/>
    <s v="EMP_2755Finance"/>
    <x v="2"/>
    <x v="4"/>
    <n v="58387"/>
    <n v="13945"/>
    <n v="0"/>
    <n v="0"/>
    <d v="2019-04-01T00:00:00"/>
    <s v="2019"/>
    <d v="2026-02-11T00:00:00"/>
    <n v="6"/>
    <n v="4"/>
    <n v="72332"/>
    <n v="36166"/>
    <s v=" Not Achieved"/>
    <s v=" Excellent"/>
  </r>
  <r>
    <x v="2755"/>
    <x v="2755"/>
    <s v="EMP_2756"/>
    <x v="0"/>
    <s v="EMP_2756IT"/>
    <x v="3"/>
    <x v="1"/>
    <n v="51099"/>
    <n v="10480"/>
    <n v="0"/>
    <n v="0"/>
    <s v="2/28/2018"/>
    <s v="2/28/2018"/>
    <d v="2026-02-11T00:00:00"/>
    <e v="#VALUE!"/>
    <n v="2"/>
    <n v="61579"/>
    <n v="30789.5"/>
    <s v=" Not Achieved"/>
    <s v=" Excellent"/>
  </r>
  <r>
    <x v="2756"/>
    <x v="2756"/>
    <s v="EMP_2757"/>
    <x v="0"/>
    <s v="EMP_2757Sales"/>
    <x v="1"/>
    <x v="2"/>
    <n v="77539"/>
    <n v="6985"/>
    <n v="233893"/>
    <n v="237600"/>
    <s v="3/30/2024"/>
    <s v="3/30/2024"/>
    <d v="2026-02-11T00:00:00"/>
    <e v="#VALUE!"/>
    <n v="5"/>
    <n v="84524"/>
    <n v="42262"/>
    <s v=" Not Achieved"/>
    <s v=" Excellent"/>
  </r>
  <r>
    <x v="2757"/>
    <x v="2757"/>
    <s v="EMP_2758"/>
    <x v="0"/>
    <s v="EMP_2758Marketing"/>
    <x v="4"/>
    <x v="4"/>
    <n v="44078"/>
    <n v="7499"/>
    <n v="0"/>
    <n v="0"/>
    <s v="10/27/2023"/>
    <s v="10/27/2023"/>
    <d v="2026-02-11T00:00:00"/>
    <e v="#VALUE!"/>
    <n v="4"/>
    <n v="51577"/>
    <n v="25788.5"/>
    <s v=" Not Achieved"/>
    <s v="Good"/>
  </r>
  <r>
    <x v="2758"/>
    <x v="2758"/>
    <s v="EMP_2759"/>
    <x v="1"/>
    <s v="EMP_2759Sales"/>
    <x v="1"/>
    <x v="3"/>
    <n v="25375"/>
    <n v="13974"/>
    <n v="152613"/>
    <n v="132634"/>
    <d v="2023-02-01T00:00:00"/>
    <s v="2023"/>
    <d v="2026-02-11T00:00:00"/>
    <n v="3"/>
    <n v="3"/>
    <n v="39349"/>
    <n v="19674.5"/>
    <s v="Achieved"/>
    <s v="poor"/>
  </r>
  <r>
    <x v="2759"/>
    <x v="2759"/>
    <s v="EMP_2760"/>
    <x v="1"/>
    <s v="EMP_2760Sales"/>
    <x v="1"/>
    <x v="4"/>
    <n v="49579"/>
    <n v="5383"/>
    <n v="125728"/>
    <n v="163248"/>
    <s v="3/27/2022"/>
    <s v="3/27/2022"/>
    <d v="2026-02-11T00:00:00"/>
    <e v="#VALUE!"/>
    <n v="3"/>
    <n v="54962"/>
    <n v="27481"/>
    <s v=" Not Achieved"/>
    <s v="Good"/>
  </r>
  <r>
    <x v="2760"/>
    <x v="2760"/>
    <s v="EMP_2761"/>
    <x v="0"/>
    <s v="EMP_2761Sales"/>
    <x v="1"/>
    <x v="4"/>
    <n v="34965"/>
    <n v="10713"/>
    <n v="296178"/>
    <n v="187485"/>
    <s v="12/14/2020"/>
    <s v="12/14/2020"/>
    <d v="2026-02-11T00:00:00"/>
    <e v="#VALUE!"/>
    <n v="5"/>
    <n v="45678"/>
    <n v="22839"/>
    <s v="Achieved"/>
    <s v="Average"/>
  </r>
  <r>
    <x v="2761"/>
    <x v="2761"/>
    <s v="EMP_2762"/>
    <x v="1"/>
    <s v="EMP_2762HR"/>
    <x v="0"/>
    <x v="1"/>
    <n v="21988"/>
    <n v="3049"/>
    <n v="0"/>
    <n v="0"/>
    <d v="2024-11-11T00:00:00"/>
    <s v="2024"/>
    <d v="2026-02-11T00:00:00"/>
    <n v="1"/>
    <n v="4"/>
    <n v="25037"/>
    <n v="12518.5"/>
    <s v=" Not Achieved"/>
    <s v="poor"/>
  </r>
  <r>
    <x v="2762"/>
    <x v="2762"/>
    <s v="EMP_2763"/>
    <x v="1"/>
    <s v="EMP_2763IT"/>
    <x v="3"/>
    <x v="3"/>
    <n v="27914"/>
    <n v="5159"/>
    <n v="0"/>
    <n v="0"/>
    <s v="7/21/2023"/>
    <s v="7/21/2023"/>
    <d v="2026-02-11T00:00:00"/>
    <e v="#VALUE!"/>
    <n v="1"/>
    <n v="33073"/>
    <n v="16536.5"/>
    <s v=" Not Achieved"/>
    <s v="poor"/>
  </r>
  <r>
    <x v="2763"/>
    <x v="2763"/>
    <s v="EMP_2764"/>
    <x v="1"/>
    <s v="EMP_2764IT"/>
    <x v="3"/>
    <x v="1"/>
    <n v="44350"/>
    <n v="2297"/>
    <n v="0"/>
    <n v="0"/>
    <s v="1/18/2019"/>
    <s v="1/18/2019"/>
    <d v="2026-02-11T00:00:00"/>
    <e v="#VALUE!"/>
    <n v="1"/>
    <n v="46647"/>
    <n v="23323.5"/>
    <s v=" Not Achieved"/>
    <s v="Good"/>
  </r>
  <r>
    <x v="2764"/>
    <x v="2764"/>
    <s v="EMP_2765"/>
    <x v="1"/>
    <s v="EMP_2765IT"/>
    <x v="3"/>
    <x v="3"/>
    <n v="34673"/>
    <n v="14648"/>
    <n v="0"/>
    <n v="0"/>
    <s v="1/17/2021"/>
    <s v="1/17/2021"/>
    <d v="2026-02-11T00:00:00"/>
    <e v="#VALUE!"/>
    <n v="5"/>
    <n v="49321"/>
    <n v="24660.5"/>
    <s v=" Not Achieved"/>
    <s v="Average"/>
  </r>
  <r>
    <x v="2765"/>
    <x v="2765"/>
    <s v="EMP_2766"/>
    <x v="0"/>
    <s v="EMP_2766Sales"/>
    <x v="1"/>
    <x v="0"/>
    <n v="71561"/>
    <n v="3886"/>
    <n v="200439"/>
    <n v="178941"/>
    <s v="12/24/2021"/>
    <s v="12/24/2021"/>
    <d v="2026-02-11T00:00:00"/>
    <e v="#VALUE!"/>
    <n v="3"/>
    <n v="75447"/>
    <n v="37723.5"/>
    <s v="Achieved"/>
    <s v=" Excellent"/>
  </r>
  <r>
    <x v="2766"/>
    <x v="2766"/>
    <s v="EMP_2767"/>
    <x v="1"/>
    <s v="EMP_2767Marketing"/>
    <x v="4"/>
    <x v="1"/>
    <n v="79864"/>
    <n v="4344"/>
    <n v="0"/>
    <n v="0"/>
    <d v="2019-01-12T00:00:00"/>
    <s v="2019"/>
    <d v="2026-02-11T00:00:00"/>
    <n v="7"/>
    <n v="1"/>
    <n v="84208"/>
    <n v="42104"/>
    <s v=" Not Achieved"/>
    <s v=" Excellent"/>
  </r>
  <r>
    <x v="2767"/>
    <x v="2767"/>
    <s v="EMP_2768"/>
    <x v="1"/>
    <s v="EMP_2768IT"/>
    <x v="3"/>
    <x v="2"/>
    <n v="65842"/>
    <n v="3269"/>
    <n v="0"/>
    <n v="0"/>
    <s v="5/17/2024"/>
    <s v="5/17/2024"/>
    <d v="2026-02-11T00:00:00"/>
    <e v="#VALUE!"/>
    <n v="2"/>
    <n v="69111"/>
    <n v="34555.5"/>
    <s v=" Not Achieved"/>
    <s v=" Excellent"/>
  </r>
  <r>
    <x v="2768"/>
    <x v="2768"/>
    <s v="EMP_2769"/>
    <x v="0"/>
    <s v="EMP_2769Finance"/>
    <x v="2"/>
    <x v="0"/>
    <n v="66189"/>
    <n v="3192"/>
    <n v="0"/>
    <n v="0"/>
    <s v="11/25/2018"/>
    <s v="11/25/2018"/>
    <d v="2026-02-11T00:00:00"/>
    <e v="#VALUE!"/>
    <n v="3"/>
    <n v="69381"/>
    <n v="34690.5"/>
    <s v=" Not Achieved"/>
    <s v=" Excellent"/>
  </r>
  <r>
    <x v="2769"/>
    <x v="2769"/>
    <s v="EMP_2770"/>
    <x v="1"/>
    <s v="EMP_2770Finance"/>
    <x v="2"/>
    <x v="2"/>
    <n v="51209"/>
    <n v="7751"/>
    <n v="0"/>
    <n v="0"/>
    <d v="2022-07-04T00:00:00"/>
    <s v="2022"/>
    <d v="2026-02-11T00:00:00"/>
    <n v="3"/>
    <n v="1"/>
    <n v="58960"/>
    <n v="29480"/>
    <s v=" Not Achieved"/>
    <s v=" Excellent"/>
  </r>
  <r>
    <x v="2770"/>
    <x v="2770"/>
    <s v="EMP_2771"/>
    <x v="0"/>
    <s v="EMP_2771HR"/>
    <x v="0"/>
    <x v="3"/>
    <n v="45982"/>
    <n v="14194"/>
    <n v="0"/>
    <n v="0"/>
    <d v="2023-09-12T00:00:00"/>
    <s v="2023"/>
    <d v="2026-02-11T00:00:00"/>
    <n v="2"/>
    <n v="5"/>
    <n v="60176"/>
    <n v="30088"/>
    <s v=" Not Achieved"/>
    <s v="Good"/>
  </r>
  <r>
    <x v="2771"/>
    <x v="2771"/>
    <s v="EMP_2772"/>
    <x v="1"/>
    <s v="EMP_2772Finance"/>
    <x v="2"/>
    <x v="2"/>
    <n v="46551"/>
    <n v="14624"/>
    <n v="0"/>
    <n v="0"/>
    <d v="2018-11-03T00:00:00"/>
    <s v="2018"/>
    <d v="2026-02-11T00:00:00"/>
    <n v="7"/>
    <n v="2"/>
    <n v="61175"/>
    <n v="30587.5"/>
    <s v=" Not Achieved"/>
    <s v="Good"/>
  </r>
  <r>
    <x v="2772"/>
    <x v="2772"/>
    <s v="EMP_2773"/>
    <x v="1"/>
    <s v="EMP_2773HR"/>
    <x v="0"/>
    <x v="0"/>
    <n v="63332"/>
    <n v="14908"/>
    <n v="0"/>
    <n v="0"/>
    <s v="2/21/2024"/>
    <s v="2/21/2024"/>
    <d v="2026-02-11T00:00:00"/>
    <e v="#VALUE!"/>
    <n v="1"/>
    <n v="78240"/>
    <n v="39120"/>
    <s v=" Not Achieved"/>
    <s v=" Excellent"/>
  </r>
  <r>
    <x v="2773"/>
    <x v="2773"/>
    <s v="EMP_2774"/>
    <x v="0"/>
    <s v="EMP_2774Marketing"/>
    <x v="4"/>
    <x v="4"/>
    <n v="55942"/>
    <n v="5448"/>
    <n v="0"/>
    <n v="0"/>
    <s v="10/24/2019"/>
    <s v="10/24/2019"/>
    <d v="2026-02-11T00:00:00"/>
    <e v="#VALUE!"/>
    <n v="4"/>
    <n v="61390"/>
    <n v="30695"/>
    <s v=" Not Achieved"/>
    <s v=" Excellent"/>
  </r>
  <r>
    <x v="2774"/>
    <x v="2774"/>
    <s v="EMP_2775"/>
    <x v="1"/>
    <s v="EMP_2775HR"/>
    <x v="0"/>
    <x v="1"/>
    <n v="55593"/>
    <n v="4783"/>
    <n v="0"/>
    <n v="0"/>
    <d v="2021-10-07T00:00:00"/>
    <s v="2021"/>
    <d v="2026-02-11T00:00:00"/>
    <n v="4"/>
    <n v="5"/>
    <n v="60376"/>
    <n v="30188"/>
    <s v=" Not Achieved"/>
    <s v=" Excellent"/>
  </r>
  <r>
    <x v="2775"/>
    <x v="2775"/>
    <s v="EMP_2776"/>
    <x v="1"/>
    <s v="EMP_2776HR"/>
    <x v="0"/>
    <x v="0"/>
    <n v="64022"/>
    <n v="5941"/>
    <n v="0"/>
    <n v="0"/>
    <s v="2/27/2024"/>
    <s v="2/27/2024"/>
    <d v="2026-02-11T00:00:00"/>
    <e v="#VALUE!"/>
    <n v="1"/>
    <n v="69963"/>
    <n v="34981.5"/>
    <s v=" Not Achieved"/>
    <s v=" Excellent"/>
  </r>
  <r>
    <x v="2776"/>
    <x v="2776"/>
    <s v="EMP_2777"/>
    <x v="1"/>
    <s v="EMP_2777Marketing"/>
    <x v="4"/>
    <x v="3"/>
    <n v="39832"/>
    <n v="8837"/>
    <n v="0"/>
    <n v="0"/>
    <d v="2023-11-07T00:00:00"/>
    <s v="2023"/>
    <d v="2026-02-11T00:00:00"/>
    <n v="2"/>
    <n v="1"/>
    <n v="48669"/>
    <n v="24334.5"/>
    <s v=" Not Achieved"/>
    <s v="Average"/>
  </r>
  <r>
    <x v="2777"/>
    <x v="2777"/>
    <s v="EMP_2778"/>
    <x v="0"/>
    <s v="EMP_2778Finance"/>
    <x v="2"/>
    <x v="4"/>
    <n v="38203"/>
    <n v="14070"/>
    <n v="0"/>
    <n v="0"/>
    <d v="2022-10-04T00:00:00"/>
    <s v="2022"/>
    <d v="2026-02-11T00:00:00"/>
    <n v="3"/>
    <n v="5"/>
    <n v="52273"/>
    <n v="26136.5"/>
    <s v=" Not Achieved"/>
    <s v="Average"/>
  </r>
  <r>
    <x v="2778"/>
    <x v="2778"/>
    <s v="EMP_2779"/>
    <x v="0"/>
    <s v="EMP_2779IT"/>
    <x v="3"/>
    <x v="3"/>
    <n v="29823"/>
    <n v="6678"/>
    <n v="0"/>
    <n v="0"/>
    <d v="2019-04-07T00:00:00"/>
    <s v="2019"/>
    <d v="2026-02-11T00:00:00"/>
    <n v="6"/>
    <n v="2"/>
    <n v="36501"/>
    <n v="18250.5"/>
    <s v=" Not Achieved"/>
    <s v="poor"/>
  </r>
  <r>
    <x v="2779"/>
    <x v="2779"/>
    <s v="EMP_2780"/>
    <x v="0"/>
    <s v="EMP_2780Sales"/>
    <x v="1"/>
    <x v="1"/>
    <n v="63372"/>
    <n v="12662"/>
    <n v="249168"/>
    <n v="241977"/>
    <s v="1/15/2019"/>
    <s v="1/15/2019"/>
    <d v="2026-02-11T00:00:00"/>
    <e v="#VALUE!"/>
    <n v="1"/>
    <n v="76034"/>
    <n v="38017"/>
    <s v="Achieved"/>
    <s v=" Excellent"/>
  </r>
  <r>
    <x v="2780"/>
    <x v="2780"/>
    <s v="EMP_2781"/>
    <x v="1"/>
    <s v="EMP_2781IT"/>
    <x v="3"/>
    <x v="1"/>
    <n v="74346"/>
    <n v="3165"/>
    <n v="0"/>
    <n v="0"/>
    <s v="8/26/2018"/>
    <s v="8/26/2018"/>
    <d v="2026-02-11T00:00:00"/>
    <e v="#VALUE!"/>
    <n v="5"/>
    <n v="77511"/>
    <n v="38755.5"/>
    <s v=" Not Achieved"/>
    <s v=" Excellent"/>
  </r>
  <r>
    <x v="2781"/>
    <x v="2781"/>
    <s v="EMP_2782"/>
    <x v="0"/>
    <s v="EMP_2782Marketing"/>
    <x v="4"/>
    <x v="3"/>
    <n v="62323"/>
    <n v="5650"/>
    <n v="0"/>
    <n v="0"/>
    <s v="5/28/2018"/>
    <s v="5/28/2018"/>
    <d v="2026-02-11T00:00:00"/>
    <e v="#VALUE!"/>
    <n v="3"/>
    <n v="67973"/>
    <n v="33986.5"/>
    <s v=" Not Achieved"/>
    <s v=" Excellent"/>
  </r>
  <r>
    <x v="2782"/>
    <x v="2782"/>
    <s v="EMP_2783"/>
    <x v="1"/>
    <s v="EMP_2783Sales"/>
    <x v="1"/>
    <x v="1"/>
    <n v="56733"/>
    <n v="8582"/>
    <n v="94528"/>
    <n v="219285"/>
    <s v="12/27/2020"/>
    <s v="12/27/2020"/>
    <d v="2026-02-11T00:00:00"/>
    <e v="#VALUE!"/>
    <n v="2"/>
    <n v="65315"/>
    <n v="32657.5"/>
    <s v=" Not Achieved"/>
    <s v=" Excellent"/>
  </r>
  <r>
    <x v="2783"/>
    <x v="2783"/>
    <s v="EMP_2784"/>
    <x v="1"/>
    <s v="EMP_2784Sales"/>
    <x v="1"/>
    <x v="0"/>
    <n v="63944"/>
    <n v="2348"/>
    <n v="131933"/>
    <n v="101838"/>
    <s v="1/18/2022"/>
    <s v="1/18/2022"/>
    <d v="2026-02-11T00:00:00"/>
    <e v="#VALUE!"/>
    <n v="1"/>
    <n v="66292"/>
    <n v="33146"/>
    <s v="Achieved"/>
    <s v=" Excellent"/>
  </r>
  <r>
    <x v="2784"/>
    <x v="2784"/>
    <s v="EMP_2785"/>
    <x v="1"/>
    <s v="EMP_2785Finance"/>
    <x v="2"/>
    <x v="2"/>
    <n v="42442"/>
    <n v="13913"/>
    <n v="0"/>
    <n v="0"/>
    <s v="2/25/2024"/>
    <s v="2/25/2024"/>
    <d v="2026-02-11T00:00:00"/>
    <e v="#VALUE!"/>
    <n v="1"/>
    <n v="56355"/>
    <n v="28177.5"/>
    <s v=" Not Achieved"/>
    <s v="Good"/>
  </r>
  <r>
    <x v="2785"/>
    <x v="2785"/>
    <s v="EMP_2786"/>
    <x v="1"/>
    <s v="EMP_2786HR"/>
    <x v="0"/>
    <x v="0"/>
    <n v="50883"/>
    <n v="7286"/>
    <n v="0"/>
    <n v="0"/>
    <d v="2023-05-02T00:00:00"/>
    <s v="2023"/>
    <d v="2026-02-11T00:00:00"/>
    <n v="2"/>
    <n v="2"/>
    <n v="58169"/>
    <n v="29084.5"/>
    <s v=" Not Achieved"/>
    <s v=" Excellent"/>
  </r>
  <r>
    <x v="2786"/>
    <x v="2786"/>
    <s v="EMP_2787"/>
    <x v="0"/>
    <s v="EMP_2787Sales"/>
    <x v="1"/>
    <x v="2"/>
    <n v="42758"/>
    <n v="9495"/>
    <n v="142702"/>
    <n v="82490"/>
    <s v="12/30/2024"/>
    <s v="12/30/2024"/>
    <d v="2026-02-11T00:00:00"/>
    <e v="#VALUE!"/>
    <n v="1"/>
    <n v="52253"/>
    <n v="26126.5"/>
    <s v="Achieved"/>
    <s v="Good"/>
  </r>
  <r>
    <x v="2787"/>
    <x v="2787"/>
    <s v="EMP_2788"/>
    <x v="1"/>
    <s v="EMP_2788Finance"/>
    <x v="2"/>
    <x v="4"/>
    <n v="75361"/>
    <n v="3369"/>
    <n v="0"/>
    <n v="0"/>
    <d v="2024-09-09T00:00:00"/>
    <s v="2024"/>
    <d v="2026-02-11T00:00:00"/>
    <n v="1"/>
    <n v="1"/>
    <n v="78730"/>
    <n v="39365"/>
    <s v=" Not Achieved"/>
    <s v=" Excellent"/>
  </r>
  <r>
    <x v="2788"/>
    <x v="2788"/>
    <s v="EMP_2789"/>
    <x v="0"/>
    <s v="EMP_2789IT"/>
    <x v="3"/>
    <x v="4"/>
    <n v="50130"/>
    <n v="8683"/>
    <n v="0"/>
    <n v="0"/>
    <d v="2020-02-09T00:00:00"/>
    <s v="2020"/>
    <d v="2026-02-11T00:00:00"/>
    <n v="6"/>
    <n v="2"/>
    <n v="58813"/>
    <n v="29406.5"/>
    <s v=" Not Achieved"/>
    <s v=" Excellent"/>
  </r>
  <r>
    <x v="2789"/>
    <x v="2789"/>
    <s v="EMP_2790"/>
    <x v="1"/>
    <s v="EMP_2790Marketing"/>
    <x v="4"/>
    <x v="1"/>
    <n v="79881"/>
    <n v="4311"/>
    <n v="0"/>
    <n v="0"/>
    <s v="3/24/2022"/>
    <s v="3/24/2022"/>
    <d v="2026-02-11T00:00:00"/>
    <e v="#VALUE!"/>
    <n v="1"/>
    <n v="84192"/>
    <n v="42096"/>
    <s v=" Not Achieved"/>
    <s v=" Excellent"/>
  </r>
  <r>
    <x v="2790"/>
    <x v="2790"/>
    <s v="EMP_2791"/>
    <x v="1"/>
    <s v="EMP_2791Finance"/>
    <x v="2"/>
    <x v="1"/>
    <n v="43081"/>
    <n v="7868"/>
    <n v="0"/>
    <n v="0"/>
    <d v="2018-08-10T00:00:00"/>
    <s v="2018"/>
    <d v="2026-02-11T00:00:00"/>
    <n v="7"/>
    <n v="5"/>
    <n v="50949"/>
    <n v="25474.5"/>
    <s v=" Not Achieved"/>
    <s v="Good"/>
  </r>
  <r>
    <x v="2791"/>
    <x v="2791"/>
    <s v="EMP_2792"/>
    <x v="0"/>
    <s v="EMP_2792Sales"/>
    <x v="1"/>
    <x v="1"/>
    <n v="67640"/>
    <n v="8752"/>
    <n v="186304"/>
    <n v="90973"/>
    <s v="7/22/2022"/>
    <s v="7/22/2022"/>
    <d v="2026-02-11T00:00:00"/>
    <e v="#VALUE!"/>
    <n v="4"/>
    <n v="76392"/>
    <n v="38196"/>
    <s v="Achieved"/>
    <s v=" Excellent"/>
  </r>
  <r>
    <x v="2792"/>
    <x v="2792"/>
    <s v="EMP_2793"/>
    <x v="0"/>
    <s v="EMP_2793IT"/>
    <x v="3"/>
    <x v="1"/>
    <n v="47730"/>
    <n v="8170"/>
    <n v="0"/>
    <n v="0"/>
    <s v="8/19/2018"/>
    <s v="8/19/2018"/>
    <d v="2026-02-11T00:00:00"/>
    <e v="#VALUE!"/>
    <n v="2"/>
    <n v="55900"/>
    <n v="27950"/>
    <s v=" Not Achieved"/>
    <s v="Good"/>
  </r>
  <r>
    <x v="2793"/>
    <x v="2793"/>
    <s v="EMP_2794"/>
    <x v="0"/>
    <s v="EMP_2794Marketing"/>
    <x v="4"/>
    <x v="0"/>
    <n v="29908"/>
    <n v="10128"/>
    <n v="0"/>
    <n v="0"/>
    <s v="3/21/2018"/>
    <s v="3/21/2018"/>
    <d v="2026-02-11T00:00:00"/>
    <e v="#VALUE!"/>
    <n v="2"/>
    <n v="40036"/>
    <n v="20018"/>
    <s v=" Not Achieved"/>
    <s v="poor"/>
  </r>
  <r>
    <x v="2794"/>
    <x v="2794"/>
    <s v="EMP_2795"/>
    <x v="1"/>
    <s v="EMP_2795Finance"/>
    <x v="2"/>
    <x v="2"/>
    <n v="42567"/>
    <n v="8052"/>
    <n v="0"/>
    <n v="0"/>
    <d v="2022-09-07T00:00:00"/>
    <s v="2022"/>
    <d v="2026-02-11T00:00:00"/>
    <n v="3"/>
    <n v="3"/>
    <n v="50619"/>
    <n v="25309.5"/>
    <s v=" Not Achieved"/>
    <s v="Good"/>
  </r>
  <r>
    <x v="2795"/>
    <x v="2795"/>
    <s v="EMP_2796"/>
    <x v="0"/>
    <s v="EMP_2796Marketing"/>
    <x v="4"/>
    <x v="0"/>
    <n v="77025"/>
    <n v="13533"/>
    <n v="0"/>
    <n v="0"/>
    <s v="2/19/2020"/>
    <s v="2/19/2020"/>
    <d v="2026-02-11T00:00:00"/>
    <e v="#VALUE!"/>
    <n v="4"/>
    <n v="90558"/>
    <n v="45279"/>
    <s v=" Not Achieved"/>
    <s v=" Excellent"/>
  </r>
  <r>
    <x v="2796"/>
    <x v="2796"/>
    <s v="EMP_2797"/>
    <x v="0"/>
    <s v="EMP_2797HR"/>
    <x v="0"/>
    <x v="3"/>
    <n v="30929"/>
    <n v="7361"/>
    <n v="0"/>
    <n v="0"/>
    <d v="2021-11-09T00:00:00"/>
    <s v="2021"/>
    <d v="2026-02-11T00:00:00"/>
    <n v="4"/>
    <n v="5"/>
    <n v="38290"/>
    <n v="19145"/>
    <s v=" Not Achieved"/>
    <s v="Average"/>
  </r>
  <r>
    <x v="2797"/>
    <x v="2797"/>
    <s v="EMP_2798"/>
    <x v="1"/>
    <s v="EMP_2798Finance"/>
    <x v="2"/>
    <x v="1"/>
    <n v="74383"/>
    <n v="2215"/>
    <n v="0"/>
    <n v="0"/>
    <d v="2019-10-01T00:00:00"/>
    <s v="2019"/>
    <d v="2026-02-11T00:00:00"/>
    <n v="6"/>
    <n v="2"/>
    <n v="76598"/>
    <n v="38299"/>
    <s v=" Not Achieved"/>
    <s v=" Excellent"/>
  </r>
  <r>
    <x v="2798"/>
    <x v="2798"/>
    <s v="EMP_2799"/>
    <x v="1"/>
    <s v="EMP_2799Finance"/>
    <x v="2"/>
    <x v="1"/>
    <n v="35470"/>
    <n v="9495"/>
    <n v="0"/>
    <n v="0"/>
    <s v="9/24/2024"/>
    <s v="9/24/2024"/>
    <d v="2026-02-11T00:00:00"/>
    <e v="#VALUE!"/>
    <n v="1"/>
    <n v="44965"/>
    <n v="22482.5"/>
    <s v=" Not Achieved"/>
    <s v="Average"/>
  </r>
  <r>
    <x v="2799"/>
    <x v="2799"/>
    <s v="EMP_2800"/>
    <x v="0"/>
    <s v="EMP_2800Finance"/>
    <x v="2"/>
    <x v="1"/>
    <n v="72367"/>
    <n v="11601"/>
    <n v="0"/>
    <n v="0"/>
    <s v="2/18/2019"/>
    <s v="2/18/2019"/>
    <d v="2026-02-11T00:00:00"/>
    <e v="#VALUE!"/>
    <n v="1"/>
    <n v="83968"/>
    <n v="41984"/>
    <s v=" Not Achieved"/>
    <s v=" Excellent"/>
  </r>
  <r>
    <x v="2800"/>
    <x v="2800"/>
    <s v="EMP_2801"/>
    <x v="0"/>
    <s v="EMP_2801HR"/>
    <x v="0"/>
    <x v="0"/>
    <n v="28233"/>
    <n v="3354"/>
    <n v="0"/>
    <n v="0"/>
    <s v="2/19/2022"/>
    <s v="2/19/2022"/>
    <d v="2026-02-11T00:00:00"/>
    <e v="#VALUE!"/>
    <n v="5"/>
    <n v="31587"/>
    <n v="15793.5"/>
    <s v=" Not Achieved"/>
    <s v="poor"/>
  </r>
  <r>
    <x v="2801"/>
    <x v="2801"/>
    <s v="EMP_2802"/>
    <x v="1"/>
    <s v="EMP_2802Marketing"/>
    <x v="4"/>
    <x v="3"/>
    <n v="72847"/>
    <n v="12567"/>
    <n v="0"/>
    <n v="0"/>
    <s v="4/24/2019"/>
    <s v="4/24/2019"/>
    <d v="2026-02-11T00:00:00"/>
    <e v="#VALUE!"/>
    <n v="4"/>
    <n v="85414"/>
    <n v="42707"/>
    <s v=" Not Achieved"/>
    <s v=" Excellent"/>
  </r>
  <r>
    <x v="2802"/>
    <x v="2802"/>
    <s v="EMP_2803"/>
    <x v="1"/>
    <s v="EMP_2803Sales"/>
    <x v="1"/>
    <x v="4"/>
    <n v="38695"/>
    <n v="12130"/>
    <n v="253245"/>
    <n v="249673"/>
    <s v="8/16/2022"/>
    <s v="8/16/2022"/>
    <d v="2026-02-11T00:00:00"/>
    <e v="#VALUE!"/>
    <n v="5"/>
    <n v="50825"/>
    <n v="25412.5"/>
    <s v="Achieved"/>
    <s v="Average"/>
  </r>
  <r>
    <x v="2803"/>
    <x v="2803"/>
    <s v="EMP_2804"/>
    <x v="1"/>
    <s v="EMP_2804IT"/>
    <x v="3"/>
    <x v="0"/>
    <n v="58821"/>
    <n v="4773"/>
    <n v="0"/>
    <n v="0"/>
    <s v="1/25/2024"/>
    <s v="1/25/2024"/>
    <d v="2026-02-11T00:00:00"/>
    <e v="#VALUE!"/>
    <n v="2"/>
    <n v="63594"/>
    <n v="31797"/>
    <s v=" Not Achieved"/>
    <s v=" Excellent"/>
  </r>
  <r>
    <x v="2804"/>
    <x v="2804"/>
    <s v="EMP_2805"/>
    <x v="0"/>
    <s v="EMP_2805Finance"/>
    <x v="2"/>
    <x v="2"/>
    <n v="63090"/>
    <n v="6027"/>
    <n v="0"/>
    <n v="0"/>
    <d v="2024-10-11T00:00:00"/>
    <s v="2024"/>
    <d v="2026-02-11T00:00:00"/>
    <n v="1"/>
    <n v="4"/>
    <n v="69117"/>
    <n v="34558.5"/>
    <s v=" Not Achieved"/>
    <s v=" Excellent"/>
  </r>
  <r>
    <x v="2805"/>
    <x v="2805"/>
    <s v="EMP_2806"/>
    <x v="0"/>
    <s v="EMP_2806HR"/>
    <x v="0"/>
    <x v="0"/>
    <n v="46375"/>
    <n v="3001"/>
    <n v="0"/>
    <n v="0"/>
    <d v="2024-10-08T00:00:00"/>
    <s v="2024"/>
    <d v="2026-02-11T00:00:00"/>
    <n v="1"/>
    <n v="5"/>
    <n v="49376"/>
    <n v="24688"/>
    <s v=" Not Achieved"/>
    <s v="Good"/>
  </r>
  <r>
    <x v="2806"/>
    <x v="2806"/>
    <s v="EMP_2807"/>
    <x v="0"/>
    <s v="EMP_2807Finance"/>
    <x v="2"/>
    <x v="3"/>
    <n v="59324"/>
    <n v="12421"/>
    <n v="0"/>
    <n v="0"/>
    <d v="2019-12-05T00:00:00"/>
    <s v="2019"/>
    <d v="2026-02-11T00:00:00"/>
    <n v="6"/>
    <n v="2"/>
    <n v="71745"/>
    <n v="35872.5"/>
    <s v=" Not Achieved"/>
    <s v=" Excellent"/>
  </r>
  <r>
    <x v="2807"/>
    <x v="2807"/>
    <s v="EMP_2808"/>
    <x v="0"/>
    <s v="EMP_2808HR"/>
    <x v="0"/>
    <x v="2"/>
    <n v="53401"/>
    <n v="6806"/>
    <n v="0"/>
    <n v="0"/>
    <s v="7/30/2018"/>
    <s v="7/30/2018"/>
    <d v="2026-02-11T00:00:00"/>
    <e v="#VALUE!"/>
    <n v="4"/>
    <n v="60207"/>
    <n v="30103.5"/>
    <s v=" Not Achieved"/>
    <s v=" Excellent"/>
  </r>
  <r>
    <x v="2808"/>
    <x v="2808"/>
    <s v="EMP_2809"/>
    <x v="1"/>
    <s v="EMP_2809Marketing"/>
    <x v="4"/>
    <x v="1"/>
    <n v="46074"/>
    <n v="2285"/>
    <n v="0"/>
    <n v="0"/>
    <s v="4/16/2020"/>
    <s v="4/16/2020"/>
    <d v="2026-02-11T00:00:00"/>
    <e v="#VALUE!"/>
    <n v="4"/>
    <n v="48359"/>
    <n v="24179.5"/>
    <s v=" Not Achieved"/>
    <s v="Good"/>
  </r>
  <r>
    <x v="2809"/>
    <x v="2809"/>
    <s v="EMP_2810"/>
    <x v="1"/>
    <s v="EMP_2810IT"/>
    <x v="3"/>
    <x v="2"/>
    <n v="49431"/>
    <n v="2595"/>
    <n v="0"/>
    <n v="0"/>
    <s v="2/17/2024"/>
    <s v="2/17/2024"/>
    <d v="2026-02-11T00:00:00"/>
    <e v="#VALUE!"/>
    <n v="2"/>
    <n v="52026"/>
    <n v="26013"/>
    <s v=" Not Achieved"/>
    <s v="Good"/>
  </r>
  <r>
    <x v="2810"/>
    <x v="2810"/>
    <s v="EMP_2811"/>
    <x v="1"/>
    <s v="EMP_2811HR"/>
    <x v="0"/>
    <x v="4"/>
    <n v="37711"/>
    <n v="5759"/>
    <n v="0"/>
    <n v="0"/>
    <s v="5/18/2019"/>
    <s v="5/18/2019"/>
    <d v="2026-02-11T00:00:00"/>
    <e v="#VALUE!"/>
    <n v="1"/>
    <n v="43470"/>
    <n v="21735"/>
    <s v=" Not Achieved"/>
    <s v="Average"/>
  </r>
  <r>
    <x v="2811"/>
    <x v="2811"/>
    <s v="EMP_2812"/>
    <x v="0"/>
    <s v="EMP_2812Marketing"/>
    <x v="4"/>
    <x v="4"/>
    <n v="71873"/>
    <n v="11694"/>
    <n v="0"/>
    <n v="0"/>
    <s v="3/19/2018"/>
    <s v="3/19/2018"/>
    <d v="2026-02-11T00:00:00"/>
    <e v="#VALUE!"/>
    <n v="1"/>
    <n v="83567"/>
    <n v="41783.5"/>
    <s v=" Not Achieved"/>
    <s v=" Excellent"/>
  </r>
  <r>
    <x v="2812"/>
    <x v="2812"/>
    <s v="EMP_2813"/>
    <x v="1"/>
    <s v="EMP_2813Marketing"/>
    <x v="4"/>
    <x v="4"/>
    <n v="20725"/>
    <n v="8190"/>
    <n v="0"/>
    <n v="0"/>
    <d v="2018-02-05T00:00:00"/>
    <s v="2018"/>
    <d v="2026-02-11T00:00:00"/>
    <n v="8"/>
    <n v="3"/>
    <n v="28915"/>
    <n v="14457.5"/>
    <s v=" Not Achieved"/>
    <s v="poor"/>
  </r>
  <r>
    <x v="2813"/>
    <x v="2813"/>
    <s v="EMP_2814"/>
    <x v="1"/>
    <s v="EMP_2814Sales"/>
    <x v="1"/>
    <x v="4"/>
    <n v="39134"/>
    <n v="3807"/>
    <n v="101289"/>
    <n v="138176"/>
    <s v="9/26/2019"/>
    <s v="9/26/2019"/>
    <d v="2026-02-11T00:00:00"/>
    <e v="#VALUE!"/>
    <n v="2"/>
    <n v="42941"/>
    <n v="21470.5"/>
    <s v=" Not Achieved"/>
    <s v="Average"/>
  </r>
  <r>
    <x v="2814"/>
    <x v="2814"/>
    <s v="EMP_2815"/>
    <x v="0"/>
    <s v="EMP_2815HR"/>
    <x v="0"/>
    <x v="2"/>
    <n v="46743"/>
    <n v="9561"/>
    <n v="0"/>
    <n v="0"/>
    <d v="2019-09-10T00:00:00"/>
    <s v="2019"/>
    <d v="2026-02-11T00:00:00"/>
    <n v="6"/>
    <n v="5"/>
    <n v="56304"/>
    <n v="28152"/>
    <s v=" Not Achieved"/>
    <s v="Good"/>
  </r>
  <r>
    <x v="2815"/>
    <x v="2815"/>
    <s v="EMP_2816"/>
    <x v="1"/>
    <s v="EMP_2816Marketing"/>
    <x v="4"/>
    <x v="1"/>
    <n v="35933"/>
    <n v="8800"/>
    <n v="0"/>
    <n v="0"/>
    <d v="2023-11-06T00:00:00"/>
    <s v="2023"/>
    <d v="2026-02-11T00:00:00"/>
    <n v="2"/>
    <n v="5"/>
    <n v="44733"/>
    <n v="22366.5"/>
    <s v=" Not Achieved"/>
    <s v="Average"/>
  </r>
  <r>
    <x v="2816"/>
    <x v="2816"/>
    <s v="EMP_2817"/>
    <x v="0"/>
    <s v="EMP_2817IT"/>
    <x v="3"/>
    <x v="3"/>
    <n v="29529"/>
    <n v="3834"/>
    <n v="0"/>
    <n v="0"/>
    <s v="9/21/2018"/>
    <s v="9/21/2018"/>
    <d v="2026-02-11T00:00:00"/>
    <e v="#VALUE!"/>
    <n v="2"/>
    <n v="33363"/>
    <n v="16681.5"/>
    <s v=" Not Achieved"/>
    <s v="poor"/>
  </r>
  <r>
    <x v="2817"/>
    <x v="2817"/>
    <s v="EMP_2818"/>
    <x v="1"/>
    <s v="EMP_2818Sales"/>
    <x v="1"/>
    <x v="3"/>
    <n v="43219"/>
    <n v="6807"/>
    <n v="287108"/>
    <n v="120369"/>
    <d v="2024-06-06T00:00:00"/>
    <s v="2024"/>
    <d v="2026-02-11T00:00:00"/>
    <n v="1"/>
    <n v="3"/>
    <n v="50026"/>
    <n v="25013"/>
    <s v="Achieved"/>
    <s v="Good"/>
  </r>
  <r>
    <x v="2818"/>
    <x v="2818"/>
    <s v="EMP_2819"/>
    <x v="1"/>
    <s v="EMP_2819IT"/>
    <x v="3"/>
    <x v="1"/>
    <n v="55842"/>
    <n v="9304"/>
    <n v="0"/>
    <n v="0"/>
    <s v="2/17/2022"/>
    <s v="2/17/2022"/>
    <d v="2026-02-11T00:00:00"/>
    <e v="#VALUE!"/>
    <n v="4"/>
    <n v="65146"/>
    <n v="32573"/>
    <s v=" Not Achieved"/>
    <s v=" Excellent"/>
  </r>
  <r>
    <x v="2819"/>
    <x v="2819"/>
    <s v="EMP_2820"/>
    <x v="0"/>
    <s v="EMP_2820IT"/>
    <x v="3"/>
    <x v="3"/>
    <n v="49848"/>
    <n v="7135"/>
    <n v="0"/>
    <n v="0"/>
    <d v="2018-10-07T00:00:00"/>
    <s v="2018"/>
    <d v="2026-02-11T00:00:00"/>
    <n v="7"/>
    <n v="4"/>
    <n v="56983"/>
    <n v="28491.5"/>
    <s v=" Not Achieved"/>
    <s v="Good"/>
  </r>
  <r>
    <x v="2820"/>
    <x v="2820"/>
    <s v="EMP_2821"/>
    <x v="1"/>
    <s v="EMP_2821HR"/>
    <x v="0"/>
    <x v="1"/>
    <n v="66599"/>
    <n v="7884"/>
    <n v="0"/>
    <n v="0"/>
    <s v="10/25/2020"/>
    <s v="10/25/2020"/>
    <d v="2026-02-11T00:00:00"/>
    <e v="#VALUE!"/>
    <n v="5"/>
    <n v="74483"/>
    <n v="37241.5"/>
    <s v=" Not Achieved"/>
    <s v=" Excellent"/>
  </r>
  <r>
    <x v="2821"/>
    <x v="2821"/>
    <s v="EMP_2822"/>
    <x v="0"/>
    <s v="EMP_2822Marketing"/>
    <x v="4"/>
    <x v="1"/>
    <n v="77074"/>
    <n v="10043"/>
    <n v="0"/>
    <n v="0"/>
    <d v="2018-07-07T00:00:00"/>
    <s v="2018"/>
    <d v="2026-02-11T00:00:00"/>
    <n v="7"/>
    <n v="1"/>
    <n v="87117"/>
    <n v="43558.5"/>
    <s v=" Not Achieved"/>
    <s v=" Excellent"/>
  </r>
  <r>
    <x v="2822"/>
    <x v="2822"/>
    <s v="EMP_2823"/>
    <x v="1"/>
    <s v="EMP_2823HR"/>
    <x v="0"/>
    <x v="0"/>
    <n v="79865"/>
    <n v="3677"/>
    <n v="0"/>
    <n v="0"/>
    <d v="2022-10-09T00:00:00"/>
    <s v="2022"/>
    <d v="2026-02-11T00:00:00"/>
    <n v="3"/>
    <n v="5"/>
    <n v="83542"/>
    <n v="41771"/>
    <s v=" Not Achieved"/>
    <s v=" Excellent"/>
  </r>
  <r>
    <x v="2823"/>
    <x v="2823"/>
    <s v="EMP_2824"/>
    <x v="1"/>
    <s v="EMP_2824Marketing"/>
    <x v="4"/>
    <x v="3"/>
    <n v="31456"/>
    <n v="8001"/>
    <n v="0"/>
    <n v="0"/>
    <s v="9/14/2018"/>
    <s v="9/14/2018"/>
    <d v="2026-02-11T00:00:00"/>
    <e v="#VALUE!"/>
    <n v="3"/>
    <n v="39457"/>
    <n v="19728.5"/>
    <s v=" Not Achieved"/>
    <s v="Average"/>
  </r>
  <r>
    <x v="2824"/>
    <x v="2824"/>
    <s v="EMP_2825"/>
    <x v="0"/>
    <s v="EMP_2825Marketing"/>
    <x v="4"/>
    <x v="1"/>
    <n v="74041"/>
    <n v="8067"/>
    <n v="0"/>
    <n v="0"/>
    <s v="12/26/2020"/>
    <s v="12/26/2020"/>
    <d v="2026-02-11T00:00:00"/>
    <e v="#VALUE!"/>
    <n v="4"/>
    <n v="82108"/>
    <n v="41054"/>
    <s v=" Not Achieved"/>
    <s v=" Excellent"/>
  </r>
  <r>
    <x v="2825"/>
    <x v="2825"/>
    <s v="EMP_2826"/>
    <x v="1"/>
    <s v="EMP_2826Finance"/>
    <x v="2"/>
    <x v="0"/>
    <n v="45961"/>
    <n v="8187"/>
    <n v="0"/>
    <n v="0"/>
    <d v="2019-09-11T00:00:00"/>
    <s v="2019"/>
    <d v="2026-02-11T00:00:00"/>
    <n v="6"/>
    <n v="1"/>
    <n v="54148"/>
    <n v="27074"/>
    <s v=" Not Achieved"/>
    <s v="Good"/>
  </r>
  <r>
    <x v="2826"/>
    <x v="2826"/>
    <s v="EMP_2827"/>
    <x v="0"/>
    <s v="EMP_2827IT"/>
    <x v="3"/>
    <x v="0"/>
    <n v="57361"/>
    <n v="13144"/>
    <n v="0"/>
    <n v="0"/>
    <d v="2018-02-07T00:00:00"/>
    <s v="2018"/>
    <d v="2026-02-11T00:00:00"/>
    <n v="8"/>
    <n v="5"/>
    <n v="70505"/>
    <n v="35252.5"/>
    <s v=" Not Achieved"/>
    <s v=" Excellent"/>
  </r>
  <r>
    <x v="2827"/>
    <x v="2827"/>
    <s v="EMP_2828"/>
    <x v="0"/>
    <s v="EMP_2828Finance"/>
    <x v="2"/>
    <x v="0"/>
    <n v="56341"/>
    <n v="5427"/>
    <n v="0"/>
    <n v="0"/>
    <s v="4/23/2024"/>
    <s v="4/23/2024"/>
    <d v="2026-02-11T00:00:00"/>
    <e v="#VALUE!"/>
    <n v="3"/>
    <n v="61768"/>
    <n v="30884"/>
    <s v=" Not Achieved"/>
    <s v=" Excellent"/>
  </r>
  <r>
    <x v="2828"/>
    <x v="2828"/>
    <s v="EMP_2829"/>
    <x v="1"/>
    <s v="EMP_2829IT"/>
    <x v="3"/>
    <x v="4"/>
    <n v="77742"/>
    <n v="9225"/>
    <n v="0"/>
    <n v="0"/>
    <s v="3/16/2023"/>
    <s v="3/16/2023"/>
    <d v="2026-02-11T00:00:00"/>
    <e v="#VALUE!"/>
    <n v="3"/>
    <n v="86967"/>
    <n v="43483.5"/>
    <s v=" Not Achieved"/>
    <s v=" Excellent"/>
  </r>
  <r>
    <x v="2829"/>
    <x v="2829"/>
    <s v="EMP_2830"/>
    <x v="0"/>
    <s v="EMP_2830IT"/>
    <x v="3"/>
    <x v="4"/>
    <n v="71048"/>
    <n v="7314"/>
    <n v="0"/>
    <n v="0"/>
    <s v="10/31/2022"/>
    <s v="10/31/2022"/>
    <d v="2026-02-11T00:00:00"/>
    <e v="#VALUE!"/>
    <n v="3"/>
    <n v="78362"/>
    <n v="39181"/>
    <s v=" Not Achieved"/>
    <s v=" Excellent"/>
  </r>
  <r>
    <x v="2830"/>
    <x v="2830"/>
    <s v="EMP_2831"/>
    <x v="0"/>
    <s v="EMP_2831Sales"/>
    <x v="1"/>
    <x v="1"/>
    <n v="65147"/>
    <n v="7341"/>
    <n v="84149"/>
    <n v="158006"/>
    <s v="11/25/2020"/>
    <s v="11/25/2020"/>
    <d v="2026-02-11T00:00:00"/>
    <e v="#VALUE!"/>
    <n v="2"/>
    <n v="72488"/>
    <n v="36244"/>
    <s v=" Not Achieved"/>
    <s v=" Excellent"/>
  </r>
  <r>
    <x v="2831"/>
    <x v="2831"/>
    <s v="EMP_2832"/>
    <x v="1"/>
    <s v="EMP_2832IT"/>
    <x v="3"/>
    <x v="2"/>
    <n v="75991"/>
    <n v="11297"/>
    <n v="0"/>
    <n v="0"/>
    <d v="2021-08-12T00:00:00"/>
    <s v="2021"/>
    <d v="2026-02-11T00:00:00"/>
    <n v="4"/>
    <n v="1"/>
    <n v="87288"/>
    <n v="43644"/>
    <s v=" Not Achieved"/>
    <s v=" Excellent"/>
  </r>
  <r>
    <x v="2832"/>
    <x v="2832"/>
    <s v="EMP_2833"/>
    <x v="0"/>
    <s v="EMP_2833Finance"/>
    <x v="2"/>
    <x v="1"/>
    <n v="47354"/>
    <n v="6064"/>
    <n v="0"/>
    <n v="0"/>
    <d v="2019-08-11T00:00:00"/>
    <s v="2019"/>
    <d v="2026-02-11T00:00:00"/>
    <n v="6"/>
    <n v="4"/>
    <n v="53418"/>
    <n v="26709"/>
    <s v=" Not Achieved"/>
    <s v="Good"/>
  </r>
  <r>
    <x v="2833"/>
    <x v="2833"/>
    <s v="EMP_2834"/>
    <x v="1"/>
    <s v="EMP_2834Marketing"/>
    <x v="4"/>
    <x v="4"/>
    <n v="40352"/>
    <n v="10409"/>
    <n v="0"/>
    <n v="0"/>
    <s v="2/14/2023"/>
    <s v="2/14/2023"/>
    <d v="2026-02-11T00:00:00"/>
    <e v="#VALUE!"/>
    <n v="2"/>
    <n v="50761"/>
    <n v="25380.5"/>
    <s v=" Not Achieved"/>
    <s v="Good"/>
  </r>
  <r>
    <x v="2834"/>
    <x v="2834"/>
    <s v="EMP_2835"/>
    <x v="1"/>
    <s v="EMP_2835Sales"/>
    <x v="1"/>
    <x v="1"/>
    <n v="56307"/>
    <n v="5593"/>
    <n v="270731"/>
    <n v="123246"/>
    <d v="2019-02-12T00:00:00"/>
    <s v="2019"/>
    <d v="2026-02-11T00:00:00"/>
    <n v="6"/>
    <n v="5"/>
    <n v="61900"/>
    <n v="30950"/>
    <s v="Achieved"/>
    <s v=" Excellent"/>
  </r>
  <r>
    <x v="2835"/>
    <x v="2835"/>
    <s v="EMP_2836"/>
    <x v="0"/>
    <s v="EMP_2836Marketing"/>
    <x v="4"/>
    <x v="2"/>
    <n v="30335"/>
    <n v="11245"/>
    <n v="0"/>
    <n v="0"/>
    <s v="2/21/2022"/>
    <s v="2/21/2022"/>
    <d v="2026-02-11T00:00:00"/>
    <e v="#VALUE!"/>
    <n v="3"/>
    <n v="41580"/>
    <n v="20790"/>
    <s v=" Not Achieved"/>
    <s v="Average"/>
  </r>
  <r>
    <x v="2836"/>
    <x v="2836"/>
    <s v="EMP_2837"/>
    <x v="0"/>
    <s v="EMP_2837HR"/>
    <x v="0"/>
    <x v="2"/>
    <n v="20200"/>
    <n v="10671"/>
    <n v="0"/>
    <n v="0"/>
    <d v="2019-08-11T00:00:00"/>
    <s v="2019"/>
    <d v="2026-02-11T00:00:00"/>
    <n v="6"/>
    <n v="2"/>
    <n v="30871"/>
    <n v="15435.5"/>
    <s v=" Not Achieved"/>
    <s v="poor"/>
  </r>
  <r>
    <x v="2837"/>
    <x v="2837"/>
    <s v="EMP_2838"/>
    <x v="1"/>
    <s v="EMP_2838Finance"/>
    <x v="2"/>
    <x v="2"/>
    <n v="39471"/>
    <n v="14538"/>
    <n v="0"/>
    <n v="0"/>
    <s v="2/17/2022"/>
    <s v="2/17/2022"/>
    <d v="2026-02-11T00:00:00"/>
    <e v="#VALUE!"/>
    <n v="2"/>
    <n v="54009"/>
    <n v="27004.5"/>
    <s v=" Not Achieved"/>
    <s v="Average"/>
  </r>
  <r>
    <x v="2838"/>
    <x v="2838"/>
    <s v="EMP_2839"/>
    <x v="0"/>
    <s v="EMP_2839Marketing"/>
    <x v="4"/>
    <x v="3"/>
    <n v="34258"/>
    <n v="14667"/>
    <n v="0"/>
    <n v="0"/>
    <s v="9/22/2018"/>
    <s v="9/22/2018"/>
    <d v="2026-02-11T00:00:00"/>
    <e v="#VALUE!"/>
    <n v="1"/>
    <n v="48925"/>
    <n v="24462.5"/>
    <s v=" Not Achieved"/>
    <s v="Average"/>
  </r>
  <r>
    <x v="2839"/>
    <x v="2839"/>
    <s v="EMP_2840"/>
    <x v="1"/>
    <s v="EMP_2840Finance"/>
    <x v="2"/>
    <x v="4"/>
    <n v="37273"/>
    <n v="10288"/>
    <n v="0"/>
    <n v="0"/>
    <s v="12/22/2024"/>
    <s v="12/22/2024"/>
    <d v="2026-02-11T00:00:00"/>
    <e v="#VALUE!"/>
    <n v="1"/>
    <n v="47561"/>
    <n v="23780.5"/>
    <s v=" Not Achieved"/>
    <s v="Average"/>
  </r>
  <r>
    <x v="2840"/>
    <x v="2840"/>
    <s v="EMP_2841"/>
    <x v="1"/>
    <s v="EMP_2841Sales"/>
    <x v="1"/>
    <x v="1"/>
    <n v="27601"/>
    <n v="10178"/>
    <n v="254528"/>
    <n v="112030"/>
    <s v="2/15/2022"/>
    <s v="2/15/2022"/>
    <d v="2026-02-11T00:00:00"/>
    <e v="#VALUE!"/>
    <n v="1"/>
    <n v="37779"/>
    <n v="18889.5"/>
    <s v="Achieved"/>
    <s v="poor"/>
  </r>
  <r>
    <x v="2841"/>
    <x v="2841"/>
    <s v="EMP_2842"/>
    <x v="1"/>
    <s v="EMP_2842Finance"/>
    <x v="2"/>
    <x v="4"/>
    <n v="62729"/>
    <n v="11753"/>
    <n v="0"/>
    <n v="0"/>
    <s v="3/19/2019"/>
    <s v="3/19/2019"/>
    <d v="2026-02-11T00:00:00"/>
    <e v="#VALUE!"/>
    <n v="1"/>
    <n v="74482"/>
    <n v="37241"/>
    <s v=" Not Achieved"/>
    <s v=" Excellent"/>
  </r>
  <r>
    <x v="2842"/>
    <x v="2842"/>
    <s v="EMP_2843"/>
    <x v="1"/>
    <s v="EMP_2843Finance"/>
    <x v="2"/>
    <x v="2"/>
    <n v="58464"/>
    <n v="3743"/>
    <n v="0"/>
    <n v="0"/>
    <s v="5/27/2018"/>
    <s v="5/27/2018"/>
    <d v="2026-02-11T00:00:00"/>
    <e v="#VALUE!"/>
    <n v="3"/>
    <n v="62207"/>
    <n v="31103.5"/>
    <s v=" Not Achieved"/>
    <s v=" Excellent"/>
  </r>
  <r>
    <x v="2843"/>
    <x v="2843"/>
    <s v="EMP_2844"/>
    <x v="1"/>
    <s v="EMP_2844HR"/>
    <x v="0"/>
    <x v="1"/>
    <n v="53766"/>
    <n v="2950"/>
    <n v="0"/>
    <n v="0"/>
    <d v="2021-02-02T00:00:00"/>
    <s v="2021"/>
    <d v="2026-02-11T00:00:00"/>
    <n v="5"/>
    <n v="3"/>
    <n v="56716"/>
    <n v="28358"/>
    <s v=" Not Achieved"/>
    <s v=" Excellent"/>
  </r>
  <r>
    <x v="2844"/>
    <x v="2844"/>
    <s v="EMP_2845"/>
    <x v="1"/>
    <s v="EMP_2845Sales"/>
    <x v="1"/>
    <x v="4"/>
    <n v="36561"/>
    <n v="14830"/>
    <n v="99670"/>
    <n v="214990"/>
    <d v="2023-02-01T00:00:00"/>
    <s v="2023"/>
    <d v="2026-02-11T00:00:00"/>
    <n v="3"/>
    <n v="5"/>
    <n v="51391"/>
    <n v="25695.5"/>
    <s v=" Not Achieved"/>
    <s v="Average"/>
  </r>
  <r>
    <x v="2845"/>
    <x v="2845"/>
    <s v="EMP_2846"/>
    <x v="1"/>
    <s v="EMP_2846Sales"/>
    <x v="1"/>
    <x v="1"/>
    <n v="27269"/>
    <n v="12862"/>
    <n v="258308"/>
    <n v="107874"/>
    <d v="2024-02-09T00:00:00"/>
    <s v="2024"/>
    <d v="2026-02-11T00:00:00"/>
    <n v="2"/>
    <n v="3"/>
    <n v="40131"/>
    <n v="20065.5"/>
    <s v="Achieved"/>
    <s v="poor"/>
  </r>
  <r>
    <x v="2846"/>
    <x v="2846"/>
    <s v="EMP_2847"/>
    <x v="1"/>
    <s v="EMP_2847Finance"/>
    <x v="2"/>
    <x v="3"/>
    <n v="33898"/>
    <n v="3318"/>
    <n v="0"/>
    <n v="0"/>
    <s v="10/22/2024"/>
    <s v="10/22/2024"/>
    <d v="2026-02-11T00:00:00"/>
    <e v="#VALUE!"/>
    <n v="3"/>
    <n v="37216"/>
    <n v="18608"/>
    <s v=" Not Achieved"/>
    <s v="Average"/>
  </r>
  <r>
    <x v="2847"/>
    <x v="2847"/>
    <s v="EMP_2848"/>
    <x v="0"/>
    <s v="EMP_2848IT"/>
    <x v="3"/>
    <x v="3"/>
    <n v="33443"/>
    <n v="5255"/>
    <n v="0"/>
    <n v="0"/>
    <s v="11/17/2020"/>
    <s v="11/17/2020"/>
    <d v="2026-02-11T00:00:00"/>
    <e v="#VALUE!"/>
    <n v="1"/>
    <n v="38698"/>
    <n v="19349"/>
    <s v=" Not Achieved"/>
    <s v="Average"/>
  </r>
  <r>
    <x v="2848"/>
    <x v="2848"/>
    <s v="EMP_2849"/>
    <x v="1"/>
    <s v="EMP_2849Sales"/>
    <x v="1"/>
    <x v="3"/>
    <n v="73430"/>
    <n v="8977"/>
    <n v="109851"/>
    <n v="85688"/>
    <d v="2022-09-03T00:00:00"/>
    <s v="2022"/>
    <d v="2026-02-11T00:00:00"/>
    <n v="3"/>
    <n v="2"/>
    <n v="82407"/>
    <n v="41203.5"/>
    <s v="Achieved"/>
    <s v=" Excellent"/>
  </r>
  <r>
    <x v="2849"/>
    <x v="2849"/>
    <s v="EMP_2850"/>
    <x v="1"/>
    <s v="EMP_2850Finance"/>
    <x v="2"/>
    <x v="2"/>
    <n v="23786"/>
    <n v="12483"/>
    <n v="0"/>
    <n v="0"/>
    <d v="2020-08-07T00:00:00"/>
    <s v="2020"/>
    <d v="2026-02-11T00:00:00"/>
    <n v="5"/>
    <n v="1"/>
    <n v="36269"/>
    <n v="18134.5"/>
    <s v=" Not Achieved"/>
    <s v="poor"/>
  </r>
  <r>
    <x v="2850"/>
    <x v="2850"/>
    <s v="EMP_2851"/>
    <x v="0"/>
    <s v="EMP_2851HR"/>
    <x v="0"/>
    <x v="1"/>
    <n v="60812"/>
    <n v="3257"/>
    <n v="0"/>
    <n v="0"/>
    <s v="6/24/2023"/>
    <s v="6/24/2023"/>
    <d v="2026-02-11T00:00:00"/>
    <e v="#VALUE!"/>
    <n v="3"/>
    <n v="64069"/>
    <n v="32034.5"/>
    <s v=" Not Achieved"/>
    <s v=" Excellent"/>
  </r>
  <r>
    <x v="2851"/>
    <x v="2851"/>
    <s v="EMP_2852"/>
    <x v="0"/>
    <s v="EMP_2852Finance"/>
    <x v="2"/>
    <x v="3"/>
    <n v="76161"/>
    <n v="10222"/>
    <n v="0"/>
    <n v="0"/>
    <s v="2/22/2024"/>
    <s v="2/22/2024"/>
    <d v="2026-02-11T00:00:00"/>
    <e v="#VALUE!"/>
    <n v="1"/>
    <n v="86383"/>
    <n v="43191.5"/>
    <s v=" Not Achieved"/>
    <s v=" Excellent"/>
  </r>
  <r>
    <x v="2852"/>
    <x v="2852"/>
    <s v="EMP_2853"/>
    <x v="1"/>
    <s v="EMP_2853IT"/>
    <x v="3"/>
    <x v="0"/>
    <n v="74505"/>
    <n v="6662"/>
    <n v="0"/>
    <n v="0"/>
    <d v="2021-09-07T00:00:00"/>
    <s v="2021"/>
    <d v="2026-02-11T00:00:00"/>
    <n v="4"/>
    <n v="3"/>
    <n v="81167"/>
    <n v="40583.5"/>
    <s v=" Not Achieved"/>
    <s v=" Excellent"/>
  </r>
  <r>
    <x v="2853"/>
    <x v="2853"/>
    <s v="EMP_2854"/>
    <x v="1"/>
    <s v="EMP_2854IT"/>
    <x v="3"/>
    <x v="4"/>
    <n v="26708"/>
    <n v="9592"/>
    <n v="0"/>
    <n v="0"/>
    <s v="5/17/2019"/>
    <s v="5/17/2019"/>
    <d v="2026-02-11T00:00:00"/>
    <e v="#VALUE!"/>
    <n v="5"/>
    <n v="36300"/>
    <n v="18150"/>
    <s v=" Not Achieved"/>
    <s v="poor"/>
  </r>
  <r>
    <x v="2854"/>
    <x v="2854"/>
    <s v="EMP_2855"/>
    <x v="0"/>
    <s v="EMP_2855Sales"/>
    <x v="1"/>
    <x v="4"/>
    <n v="54284"/>
    <n v="6591"/>
    <n v="174595"/>
    <n v="114059"/>
    <d v="2023-09-03T00:00:00"/>
    <s v="2023"/>
    <d v="2026-02-11T00:00:00"/>
    <n v="2"/>
    <n v="3"/>
    <n v="60875"/>
    <n v="30437.5"/>
    <s v="Achieved"/>
    <s v=" Excellent"/>
  </r>
  <r>
    <x v="2855"/>
    <x v="2855"/>
    <s v="EMP_2856"/>
    <x v="1"/>
    <s v="EMP_2856Finance"/>
    <x v="2"/>
    <x v="4"/>
    <n v="64752"/>
    <n v="4586"/>
    <n v="0"/>
    <n v="0"/>
    <d v="2023-07-11T00:00:00"/>
    <s v="2023"/>
    <d v="2026-02-11T00:00:00"/>
    <n v="2"/>
    <n v="5"/>
    <n v="69338"/>
    <n v="34669"/>
    <s v=" Not Achieved"/>
    <s v=" Excellent"/>
  </r>
  <r>
    <x v="2856"/>
    <x v="2856"/>
    <s v="EMP_2857"/>
    <x v="0"/>
    <s v="EMP_2857Finance"/>
    <x v="2"/>
    <x v="1"/>
    <n v="68920"/>
    <n v="10234"/>
    <n v="0"/>
    <n v="0"/>
    <d v="2019-03-10T00:00:00"/>
    <s v="2019"/>
    <d v="2026-02-11T00:00:00"/>
    <n v="6"/>
    <n v="3"/>
    <n v="79154"/>
    <n v="39577"/>
    <s v=" Not Achieved"/>
    <s v=" Excellent"/>
  </r>
  <r>
    <x v="2857"/>
    <x v="2857"/>
    <s v="EMP_2858"/>
    <x v="0"/>
    <s v="EMP_2858Marketing"/>
    <x v="4"/>
    <x v="1"/>
    <n v="35807"/>
    <n v="9418"/>
    <n v="0"/>
    <n v="0"/>
    <s v="8/25/2021"/>
    <s v="8/25/2021"/>
    <d v="2026-02-11T00:00:00"/>
    <e v="#VALUE!"/>
    <n v="2"/>
    <n v="45225"/>
    <n v="22612.5"/>
    <s v=" Not Achieved"/>
    <s v="Average"/>
  </r>
  <r>
    <x v="2858"/>
    <x v="2858"/>
    <s v="EMP_2859"/>
    <x v="0"/>
    <s v="EMP_2859IT"/>
    <x v="3"/>
    <x v="3"/>
    <n v="39823"/>
    <n v="10695"/>
    <n v="0"/>
    <n v="0"/>
    <d v="2024-10-01T00:00:00"/>
    <s v="2024"/>
    <d v="2026-02-11T00:00:00"/>
    <n v="1"/>
    <n v="5"/>
    <n v="50518"/>
    <n v="25259"/>
    <s v=" Not Achieved"/>
    <s v="Average"/>
  </r>
  <r>
    <x v="2859"/>
    <x v="2859"/>
    <s v="EMP_2860"/>
    <x v="0"/>
    <s v="EMP_2860Sales"/>
    <x v="1"/>
    <x v="1"/>
    <n v="61402"/>
    <n v="5626"/>
    <n v="266707"/>
    <n v="81830"/>
    <s v="8/14/2020"/>
    <s v="8/14/2020"/>
    <d v="2026-02-11T00:00:00"/>
    <e v="#VALUE!"/>
    <n v="4"/>
    <n v="67028"/>
    <n v="33514"/>
    <s v="Achieved"/>
    <s v=" Excellent"/>
  </r>
  <r>
    <x v="2860"/>
    <x v="2860"/>
    <s v="EMP_2861"/>
    <x v="1"/>
    <s v="EMP_2861Finance"/>
    <x v="2"/>
    <x v="1"/>
    <n v="30461"/>
    <n v="10877"/>
    <n v="0"/>
    <n v="0"/>
    <d v="2018-03-12T00:00:00"/>
    <s v="2018"/>
    <d v="2026-02-11T00:00:00"/>
    <n v="7"/>
    <n v="5"/>
    <n v="41338"/>
    <n v="20669"/>
    <s v=" Not Achieved"/>
    <s v="Average"/>
  </r>
  <r>
    <x v="2861"/>
    <x v="2861"/>
    <s v="EMP_2862"/>
    <x v="1"/>
    <s v="EMP_2862IT"/>
    <x v="3"/>
    <x v="0"/>
    <n v="66705"/>
    <n v="9286"/>
    <n v="0"/>
    <n v="0"/>
    <s v="8/26/2018"/>
    <s v="8/26/2018"/>
    <d v="2026-02-11T00:00:00"/>
    <e v="#VALUE!"/>
    <n v="1"/>
    <n v="75991"/>
    <n v="37995.5"/>
    <s v=" Not Achieved"/>
    <s v=" Excellent"/>
  </r>
  <r>
    <x v="2862"/>
    <x v="2862"/>
    <s v="EMP_2863"/>
    <x v="0"/>
    <s v="EMP_2863Marketing"/>
    <x v="4"/>
    <x v="0"/>
    <n v="47957"/>
    <n v="6235"/>
    <n v="0"/>
    <n v="0"/>
    <d v="2024-12-04T00:00:00"/>
    <s v="2024"/>
    <d v="2026-02-11T00:00:00"/>
    <n v="1"/>
    <n v="3"/>
    <n v="54192"/>
    <n v="27096"/>
    <s v=" Not Achieved"/>
    <s v="Good"/>
  </r>
  <r>
    <x v="2863"/>
    <x v="2863"/>
    <s v="EMP_2864"/>
    <x v="1"/>
    <s v="EMP_2864Sales"/>
    <x v="1"/>
    <x v="0"/>
    <n v="49109"/>
    <n v="9536"/>
    <n v="255097"/>
    <n v="201379"/>
    <s v="3/22/2024"/>
    <s v="3/22/2024"/>
    <d v="2026-02-11T00:00:00"/>
    <e v="#VALUE!"/>
    <n v="1"/>
    <n v="58645"/>
    <n v="29322.5"/>
    <s v="Achieved"/>
    <s v="Good"/>
  </r>
  <r>
    <x v="2864"/>
    <x v="2864"/>
    <s v="EMP_2865"/>
    <x v="0"/>
    <s v="EMP_2865Marketing"/>
    <x v="4"/>
    <x v="3"/>
    <n v="35203"/>
    <n v="9057"/>
    <n v="0"/>
    <n v="0"/>
    <s v="9/25/2023"/>
    <s v="9/25/2023"/>
    <d v="2026-02-11T00:00:00"/>
    <e v="#VALUE!"/>
    <n v="4"/>
    <n v="44260"/>
    <n v="22130"/>
    <s v=" Not Achieved"/>
    <s v="Average"/>
  </r>
  <r>
    <x v="2865"/>
    <x v="2865"/>
    <s v="EMP_2866"/>
    <x v="0"/>
    <s v="EMP_2866HR"/>
    <x v="0"/>
    <x v="1"/>
    <n v="74751"/>
    <n v="5587"/>
    <n v="0"/>
    <n v="0"/>
    <s v="10/19/2022"/>
    <s v="10/19/2022"/>
    <d v="2026-02-11T00:00:00"/>
    <e v="#VALUE!"/>
    <n v="2"/>
    <n v="80338"/>
    <n v="40169"/>
    <s v=" Not Achieved"/>
    <s v=" Excellent"/>
  </r>
  <r>
    <x v="2866"/>
    <x v="2866"/>
    <s v="EMP_2867"/>
    <x v="1"/>
    <s v="EMP_2867HR"/>
    <x v="0"/>
    <x v="0"/>
    <n v="55639"/>
    <n v="13751"/>
    <n v="0"/>
    <n v="0"/>
    <s v="6/26/2021"/>
    <s v="6/26/2021"/>
    <d v="2026-02-11T00:00:00"/>
    <e v="#VALUE!"/>
    <n v="2"/>
    <n v="69390"/>
    <n v="34695"/>
    <s v=" Not Achieved"/>
    <s v=" Excellent"/>
  </r>
  <r>
    <x v="2867"/>
    <x v="2867"/>
    <s v="EMP_2868"/>
    <x v="1"/>
    <s v="EMP_2868HR"/>
    <x v="0"/>
    <x v="0"/>
    <n v="55977"/>
    <n v="12330"/>
    <n v="0"/>
    <n v="0"/>
    <d v="2024-01-11T00:00:00"/>
    <s v="2024"/>
    <d v="2026-02-11T00:00:00"/>
    <n v="2"/>
    <n v="1"/>
    <n v="68307"/>
    <n v="34153.5"/>
    <s v=" Not Achieved"/>
    <s v=" Excellent"/>
  </r>
  <r>
    <x v="2868"/>
    <x v="2868"/>
    <s v="EMP_2869"/>
    <x v="0"/>
    <s v="EMP_2869Sales"/>
    <x v="1"/>
    <x v="1"/>
    <n v="57035"/>
    <n v="10861"/>
    <n v="51000"/>
    <n v="216158"/>
    <d v="2023-09-01T00:00:00"/>
    <s v="2023"/>
    <d v="2026-02-11T00:00:00"/>
    <n v="2"/>
    <n v="2"/>
    <n v="67896"/>
    <n v="33948"/>
    <s v=" Not Achieved"/>
    <s v=" Excellent"/>
  </r>
  <r>
    <x v="2869"/>
    <x v="2869"/>
    <s v="EMP_2870"/>
    <x v="0"/>
    <s v="EMP_2870Sales"/>
    <x v="1"/>
    <x v="0"/>
    <n v="48212"/>
    <n v="10195"/>
    <n v="243668"/>
    <n v="133922"/>
    <d v="2019-09-10T00:00:00"/>
    <s v="2019"/>
    <d v="2026-02-11T00:00:00"/>
    <n v="6"/>
    <n v="3"/>
    <n v="58407"/>
    <n v="29203.5"/>
    <s v="Achieved"/>
    <s v="Good"/>
  </r>
  <r>
    <x v="2870"/>
    <x v="2870"/>
    <s v="EMP_2871"/>
    <x v="0"/>
    <s v="EMP_2871Finance"/>
    <x v="2"/>
    <x v="4"/>
    <n v="39045"/>
    <n v="7767"/>
    <n v="0"/>
    <n v="0"/>
    <s v="5/15/2020"/>
    <s v="5/15/2020"/>
    <d v="2026-02-11T00:00:00"/>
    <e v="#VALUE!"/>
    <n v="4"/>
    <n v="46812"/>
    <n v="23406"/>
    <s v=" Not Achieved"/>
    <s v="Average"/>
  </r>
  <r>
    <x v="2871"/>
    <x v="2871"/>
    <s v="EMP_2872"/>
    <x v="1"/>
    <s v="EMP_2872Marketing"/>
    <x v="4"/>
    <x v="3"/>
    <n v="30772"/>
    <n v="11613"/>
    <n v="0"/>
    <n v="0"/>
    <d v="2021-09-07T00:00:00"/>
    <s v="2021"/>
    <d v="2026-02-11T00:00:00"/>
    <n v="4"/>
    <n v="5"/>
    <n v="42385"/>
    <n v="21192.5"/>
    <s v=" Not Achieved"/>
    <s v="Average"/>
  </r>
  <r>
    <x v="2872"/>
    <x v="2872"/>
    <s v="EMP_2873"/>
    <x v="1"/>
    <s v="EMP_2873Marketing"/>
    <x v="4"/>
    <x v="0"/>
    <n v="62224"/>
    <n v="13905"/>
    <n v="0"/>
    <n v="0"/>
    <d v="2023-09-09T00:00:00"/>
    <s v="2023"/>
    <d v="2026-02-11T00:00:00"/>
    <n v="2"/>
    <n v="1"/>
    <n v="76129"/>
    <n v="38064.5"/>
    <s v=" Not Achieved"/>
    <s v=" Excellent"/>
  </r>
  <r>
    <x v="2873"/>
    <x v="2873"/>
    <s v="EMP_2874"/>
    <x v="0"/>
    <s v="EMP_2874Marketing"/>
    <x v="4"/>
    <x v="0"/>
    <n v="22777"/>
    <n v="12938"/>
    <n v="0"/>
    <n v="0"/>
    <s v="7/24/2024"/>
    <s v="7/24/2024"/>
    <d v="2026-02-11T00:00:00"/>
    <e v="#VALUE!"/>
    <n v="1"/>
    <n v="35715"/>
    <n v="17857.5"/>
    <s v=" Not Achieved"/>
    <s v="poor"/>
  </r>
  <r>
    <x v="2874"/>
    <x v="2874"/>
    <s v="EMP_2875"/>
    <x v="1"/>
    <s v="EMP_2875Marketing"/>
    <x v="4"/>
    <x v="3"/>
    <n v="38208"/>
    <n v="13778"/>
    <n v="0"/>
    <n v="0"/>
    <s v="7/22/2021"/>
    <s v="7/22/2021"/>
    <d v="2026-02-11T00:00:00"/>
    <e v="#VALUE!"/>
    <n v="1"/>
    <n v="51986"/>
    <n v="25993"/>
    <s v=" Not Achieved"/>
    <s v="Average"/>
  </r>
  <r>
    <x v="2875"/>
    <x v="2875"/>
    <s v="EMP_2876"/>
    <x v="1"/>
    <s v="EMP_2876Marketing"/>
    <x v="4"/>
    <x v="1"/>
    <n v="33226"/>
    <n v="13159"/>
    <n v="0"/>
    <n v="0"/>
    <d v="2018-06-10T00:00:00"/>
    <s v="2018"/>
    <d v="2026-02-11T00:00:00"/>
    <n v="7"/>
    <n v="3"/>
    <n v="46385"/>
    <n v="23192.5"/>
    <s v=" Not Achieved"/>
    <s v="Average"/>
  </r>
  <r>
    <x v="2876"/>
    <x v="2876"/>
    <s v="EMP_2877"/>
    <x v="0"/>
    <s v="EMP_2877Sales"/>
    <x v="1"/>
    <x v="2"/>
    <n v="64479"/>
    <n v="2804"/>
    <n v="226932"/>
    <n v="219060"/>
    <s v="11/30/2018"/>
    <s v="11/30/2018"/>
    <d v="2026-02-11T00:00:00"/>
    <e v="#VALUE!"/>
    <n v="4"/>
    <n v="67283"/>
    <n v="33641.5"/>
    <s v="Achieved"/>
    <s v=" Excellent"/>
  </r>
  <r>
    <x v="2877"/>
    <x v="2877"/>
    <s v="EMP_2878"/>
    <x v="0"/>
    <s v="EMP_2878IT"/>
    <x v="3"/>
    <x v="0"/>
    <n v="36169"/>
    <n v="7771"/>
    <n v="0"/>
    <n v="0"/>
    <d v="2019-11-04T00:00:00"/>
    <s v="2019"/>
    <d v="2026-02-11T00:00:00"/>
    <n v="6"/>
    <n v="5"/>
    <n v="43940"/>
    <n v="21970"/>
    <s v=" Not Achieved"/>
    <s v="Average"/>
  </r>
  <r>
    <x v="2878"/>
    <x v="2878"/>
    <s v="EMP_2879"/>
    <x v="0"/>
    <s v="EMP_2879IT"/>
    <x v="3"/>
    <x v="4"/>
    <n v="69264"/>
    <n v="13254"/>
    <n v="0"/>
    <n v="0"/>
    <s v="3/15/2021"/>
    <s v="3/15/2021"/>
    <d v="2026-02-11T00:00:00"/>
    <e v="#VALUE!"/>
    <n v="3"/>
    <n v="82518"/>
    <n v="41259"/>
    <s v=" Not Achieved"/>
    <s v=" Excellent"/>
  </r>
  <r>
    <x v="2879"/>
    <x v="2879"/>
    <s v="EMP_2880"/>
    <x v="0"/>
    <s v="EMP_2880HR"/>
    <x v="0"/>
    <x v="4"/>
    <n v="23795"/>
    <n v="7724"/>
    <n v="0"/>
    <n v="0"/>
    <d v="2021-05-07T00:00:00"/>
    <s v="2021"/>
    <d v="2026-02-11T00:00:00"/>
    <n v="4"/>
    <n v="3"/>
    <n v="31519"/>
    <n v="15759.5"/>
    <s v=" Not Achieved"/>
    <s v="poor"/>
  </r>
  <r>
    <x v="2880"/>
    <x v="2880"/>
    <s v="EMP_2881"/>
    <x v="0"/>
    <s v="EMP_2881Marketing"/>
    <x v="4"/>
    <x v="2"/>
    <n v="61545"/>
    <n v="12802"/>
    <n v="0"/>
    <n v="0"/>
    <d v="2022-03-04T00:00:00"/>
    <s v="2022"/>
    <d v="2026-02-11T00:00:00"/>
    <n v="3"/>
    <n v="2"/>
    <n v="74347"/>
    <n v="37173.5"/>
    <s v=" Not Achieved"/>
    <s v=" Excellent"/>
  </r>
  <r>
    <x v="2881"/>
    <x v="2881"/>
    <s v="EMP_2882"/>
    <x v="0"/>
    <s v="EMP_2882Sales"/>
    <x v="1"/>
    <x v="2"/>
    <n v="37596"/>
    <n v="12080"/>
    <n v="104505"/>
    <n v="107299"/>
    <d v="2021-11-07T00:00:00"/>
    <s v="2021"/>
    <d v="2026-02-11T00:00:00"/>
    <n v="4"/>
    <n v="1"/>
    <n v="49676"/>
    <n v="24838"/>
    <s v=" Not Achieved"/>
    <s v="Average"/>
  </r>
  <r>
    <x v="2882"/>
    <x v="2882"/>
    <s v="EMP_2883"/>
    <x v="1"/>
    <s v="EMP_2883IT"/>
    <x v="3"/>
    <x v="2"/>
    <n v="40137"/>
    <n v="14575"/>
    <n v="0"/>
    <n v="0"/>
    <s v="12/26/2018"/>
    <s v="12/26/2018"/>
    <d v="2026-02-11T00:00:00"/>
    <e v="#VALUE!"/>
    <n v="3"/>
    <n v="54712"/>
    <n v="27356"/>
    <s v=" Not Achieved"/>
    <s v="Good"/>
  </r>
  <r>
    <x v="2883"/>
    <x v="2883"/>
    <s v="EMP_2884"/>
    <x v="1"/>
    <s v="EMP_2884Marketing"/>
    <x v="4"/>
    <x v="3"/>
    <n v="53875"/>
    <n v="3314"/>
    <n v="0"/>
    <n v="0"/>
    <s v="2/13/2024"/>
    <s v="2/13/2024"/>
    <d v="2026-02-11T00:00:00"/>
    <e v="#VALUE!"/>
    <n v="2"/>
    <n v="57189"/>
    <n v="28594.5"/>
    <s v=" Not Achieved"/>
    <s v=" Excellent"/>
  </r>
  <r>
    <x v="2884"/>
    <x v="2884"/>
    <s v="EMP_2885"/>
    <x v="1"/>
    <s v="EMP_2885Sales"/>
    <x v="1"/>
    <x v="0"/>
    <n v="40679"/>
    <n v="12054"/>
    <n v="239826"/>
    <n v="108791"/>
    <s v="3/20/2022"/>
    <s v="3/20/2022"/>
    <d v="2026-02-11T00:00:00"/>
    <e v="#VALUE!"/>
    <n v="5"/>
    <n v="52733"/>
    <n v="26366.5"/>
    <s v="Achieved"/>
    <s v="Good"/>
  </r>
  <r>
    <x v="2885"/>
    <x v="2885"/>
    <s v="EMP_2886"/>
    <x v="0"/>
    <s v="EMP_2886HR"/>
    <x v="0"/>
    <x v="0"/>
    <n v="43167"/>
    <n v="8993"/>
    <n v="0"/>
    <n v="0"/>
    <s v="3/20/2018"/>
    <s v="3/20/2018"/>
    <d v="2026-02-11T00:00:00"/>
    <e v="#VALUE!"/>
    <n v="5"/>
    <n v="52160"/>
    <n v="26080"/>
    <s v=" Not Achieved"/>
    <s v="Good"/>
  </r>
  <r>
    <x v="2886"/>
    <x v="2886"/>
    <s v="EMP_2887"/>
    <x v="1"/>
    <s v="EMP_2887Sales"/>
    <x v="1"/>
    <x v="0"/>
    <n v="55382"/>
    <n v="10429"/>
    <n v="293830"/>
    <n v="81966"/>
    <s v="9/16/2023"/>
    <s v="9/16/2023"/>
    <d v="2026-02-11T00:00:00"/>
    <e v="#VALUE!"/>
    <n v="1"/>
    <n v="65811"/>
    <n v="32905.5"/>
    <s v="Achieved"/>
    <s v=" Excellent"/>
  </r>
  <r>
    <x v="2887"/>
    <x v="2887"/>
    <s v="EMP_2888"/>
    <x v="1"/>
    <s v="EMP_2888Sales"/>
    <x v="1"/>
    <x v="2"/>
    <n v="75244"/>
    <n v="7409"/>
    <n v="244580"/>
    <n v="153622"/>
    <d v="2020-01-07T00:00:00"/>
    <s v="2020"/>
    <d v="2026-02-11T00:00:00"/>
    <n v="6"/>
    <n v="1"/>
    <n v="82653"/>
    <n v="41326.5"/>
    <s v="Achieved"/>
    <s v=" Excellent"/>
  </r>
  <r>
    <x v="2888"/>
    <x v="2888"/>
    <s v="EMP_2889"/>
    <x v="0"/>
    <s v="EMP_2889Finance"/>
    <x v="2"/>
    <x v="2"/>
    <n v="63945"/>
    <n v="12787"/>
    <n v="0"/>
    <n v="0"/>
    <s v="3/23/2019"/>
    <s v="3/23/2019"/>
    <d v="2026-02-11T00:00:00"/>
    <e v="#VALUE!"/>
    <n v="5"/>
    <n v="76732"/>
    <n v="38366"/>
    <s v=" Not Achieved"/>
    <s v=" Excellent"/>
  </r>
  <r>
    <x v="2889"/>
    <x v="2889"/>
    <s v="EMP_2890"/>
    <x v="1"/>
    <s v="EMP_2890HR"/>
    <x v="0"/>
    <x v="0"/>
    <n v="36692"/>
    <n v="9983"/>
    <n v="0"/>
    <n v="0"/>
    <d v="2022-02-07T00:00:00"/>
    <s v="2022"/>
    <d v="2026-02-11T00:00:00"/>
    <n v="4"/>
    <n v="4"/>
    <n v="46675"/>
    <n v="23337.5"/>
    <s v=" Not Achieved"/>
    <s v="Average"/>
  </r>
  <r>
    <x v="2890"/>
    <x v="2890"/>
    <s v="EMP_2891"/>
    <x v="0"/>
    <s v="EMP_2891IT"/>
    <x v="3"/>
    <x v="4"/>
    <n v="74026"/>
    <n v="6897"/>
    <n v="0"/>
    <n v="0"/>
    <s v="9/30/2024"/>
    <s v="9/30/2024"/>
    <d v="2026-02-11T00:00:00"/>
    <e v="#VALUE!"/>
    <n v="2"/>
    <n v="80923"/>
    <n v="40461.5"/>
    <s v=" Not Achieved"/>
    <s v=" Excellent"/>
  </r>
  <r>
    <x v="2891"/>
    <x v="2891"/>
    <s v="EMP_2892"/>
    <x v="0"/>
    <s v="EMP_2892IT"/>
    <x v="3"/>
    <x v="4"/>
    <n v="35787"/>
    <n v="9663"/>
    <n v="0"/>
    <n v="0"/>
    <s v="5/21/2019"/>
    <s v="5/21/2019"/>
    <d v="2026-02-11T00:00:00"/>
    <e v="#VALUE!"/>
    <n v="3"/>
    <n v="45450"/>
    <n v="22725"/>
    <s v=" Not Achieved"/>
    <s v="Average"/>
  </r>
  <r>
    <x v="2892"/>
    <x v="2892"/>
    <s v="EMP_2893"/>
    <x v="1"/>
    <s v="EMP_2893HR"/>
    <x v="0"/>
    <x v="1"/>
    <n v="41762"/>
    <n v="5379"/>
    <n v="0"/>
    <n v="0"/>
    <s v="10/18/2024"/>
    <s v="10/18/2024"/>
    <d v="2026-02-11T00:00:00"/>
    <e v="#VALUE!"/>
    <n v="3"/>
    <n v="47141"/>
    <n v="23570.5"/>
    <s v=" Not Achieved"/>
    <s v="Good"/>
  </r>
  <r>
    <x v="2893"/>
    <x v="2893"/>
    <s v="EMP_2894"/>
    <x v="0"/>
    <s v="EMP_2894Finance"/>
    <x v="2"/>
    <x v="1"/>
    <n v="22835"/>
    <n v="12509"/>
    <n v="0"/>
    <n v="0"/>
    <d v="2018-05-03T00:00:00"/>
    <s v="2018"/>
    <d v="2026-02-11T00:00:00"/>
    <n v="7"/>
    <n v="4"/>
    <n v="35344"/>
    <n v="17672"/>
    <s v=" Not Achieved"/>
    <s v="poor"/>
  </r>
  <r>
    <x v="2894"/>
    <x v="2894"/>
    <s v="EMP_2895"/>
    <x v="1"/>
    <s v="EMP_2895IT"/>
    <x v="3"/>
    <x v="2"/>
    <n v="63948"/>
    <n v="13085"/>
    <n v="0"/>
    <n v="0"/>
    <s v="4/15/2023"/>
    <s v="4/15/2023"/>
    <d v="2026-02-11T00:00:00"/>
    <e v="#VALUE!"/>
    <n v="3"/>
    <n v="77033"/>
    <n v="38516.5"/>
    <s v=" Not Achieved"/>
    <s v=" Excellent"/>
  </r>
  <r>
    <x v="2895"/>
    <x v="2895"/>
    <s v="EMP_2896"/>
    <x v="1"/>
    <s v="EMP_2896Sales"/>
    <x v="1"/>
    <x v="1"/>
    <n v="78559"/>
    <n v="3171"/>
    <n v="212383"/>
    <n v="180649"/>
    <d v="2021-12-07T00:00:00"/>
    <s v="2021"/>
    <d v="2026-02-11T00:00:00"/>
    <n v="4"/>
    <n v="1"/>
    <n v="81730"/>
    <n v="40865"/>
    <s v="Achieved"/>
    <s v=" Excellent"/>
  </r>
  <r>
    <x v="2896"/>
    <x v="2896"/>
    <s v="EMP_2897"/>
    <x v="1"/>
    <s v="EMP_2897Finance"/>
    <x v="2"/>
    <x v="3"/>
    <n v="20864"/>
    <n v="6155"/>
    <n v="0"/>
    <n v="0"/>
    <s v="3/21/2018"/>
    <s v="3/21/2018"/>
    <d v="2026-02-11T00:00:00"/>
    <e v="#VALUE!"/>
    <n v="2"/>
    <n v="27019"/>
    <n v="13509.5"/>
    <s v=" Not Achieved"/>
    <s v="poor"/>
  </r>
  <r>
    <x v="2897"/>
    <x v="2897"/>
    <s v="EMP_2898"/>
    <x v="0"/>
    <s v="EMP_2898Marketing"/>
    <x v="4"/>
    <x v="3"/>
    <n v="72684"/>
    <n v="7966"/>
    <n v="0"/>
    <n v="0"/>
    <s v="11/27/2021"/>
    <s v="11/27/2021"/>
    <d v="2026-02-11T00:00:00"/>
    <e v="#VALUE!"/>
    <n v="3"/>
    <n v="80650"/>
    <n v="40325"/>
    <s v=" Not Achieved"/>
    <s v=" Excellent"/>
  </r>
  <r>
    <x v="2898"/>
    <x v="2898"/>
    <s v="EMP_2899"/>
    <x v="0"/>
    <s v="EMP_2899Marketing"/>
    <x v="4"/>
    <x v="0"/>
    <n v="65498"/>
    <n v="9572"/>
    <n v="0"/>
    <n v="0"/>
    <s v="11/15/2022"/>
    <s v="11/15/2022"/>
    <d v="2026-02-11T00:00:00"/>
    <e v="#VALUE!"/>
    <n v="1"/>
    <n v="75070"/>
    <n v="37535"/>
    <s v=" Not Achieved"/>
    <s v=" Excellent"/>
  </r>
  <r>
    <x v="2899"/>
    <x v="2899"/>
    <s v="EMP_2900"/>
    <x v="1"/>
    <s v="EMP_2900IT"/>
    <x v="3"/>
    <x v="3"/>
    <n v="35749"/>
    <n v="7059"/>
    <n v="0"/>
    <n v="0"/>
    <d v="2023-12-09T00:00:00"/>
    <s v="2023"/>
    <d v="2026-02-11T00:00:00"/>
    <n v="2"/>
    <n v="3"/>
    <n v="42808"/>
    <n v="21404"/>
    <s v=" Not Achieved"/>
    <s v="Average"/>
  </r>
  <r>
    <x v="2900"/>
    <x v="2900"/>
    <s v="EMP_2901"/>
    <x v="0"/>
    <s v="EMP_2901HR"/>
    <x v="0"/>
    <x v="2"/>
    <n v="52331"/>
    <n v="13926"/>
    <n v="0"/>
    <n v="0"/>
    <s v="1/25/2023"/>
    <s v="1/25/2023"/>
    <d v="2026-02-11T00:00:00"/>
    <e v="#VALUE!"/>
    <n v="4"/>
    <n v="66257"/>
    <n v="33128.5"/>
    <s v=" Not Achieved"/>
    <s v=" Excellent"/>
  </r>
  <r>
    <x v="2901"/>
    <x v="2901"/>
    <s v="EMP_2902"/>
    <x v="0"/>
    <s v="EMP_2902Sales"/>
    <x v="1"/>
    <x v="1"/>
    <n v="57429"/>
    <n v="2749"/>
    <n v="146270"/>
    <n v="167197"/>
    <s v="12/15/2021"/>
    <s v="12/15/2021"/>
    <d v="2026-02-11T00:00:00"/>
    <e v="#VALUE!"/>
    <n v="3"/>
    <n v="60178"/>
    <n v="30089"/>
    <s v=" Not Achieved"/>
    <s v=" Excellent"/>
  </r>
  <r>
    <x v="2902"/>
    <x v="2902"/>
    <s v="EMP_2903"/>
    <x v="0"/>
    <s v="EMP_2903Marketing"/>
    <x v="4"/>
    <x v="3"/>
    <n v="62071"/>
    <n v="9537"/>
    <n v="0"/>
    <n v="0"/>
    <s v="6/26/2021"/>
    <s v="6/26/2021"/>
    <d v="2026-02-11T00:00:00"/>
    <e v="#VALUE!"/>
    <n v="4"/>
    <n v="71608"/>
    <n v="35804"/>
    <s v=" Not Achieved"/>
    <s v=" Excellent"/>
  </r>
  <r>
    <x v="2903"/>
    <x v="2903"/>
    <s v="EMP_2904"/>
    <x v="1"/>
    <s v="EMP_2904IT"/>
    <x v="3"/>
    <x v="4"/>
    <n v="51953"/>
    <n v="8232"/>
    <n v="0"/>
    <n v="0"/>
    <s v="5/14/2022"/>
    <s v="5/14/2022"/>
    <d v="2026-02-11T00:00:00"/>
    <e v="#VALUE!"/>
    <n v="3"/>
    <n v="60185"/>
    <n v="30092.5"/>
    <s v=" Not Achieved"/>
    <s v=" Excellent"/>
  </r>
  <r>
    <x v="2904"/>
    <x v="2904"/>
    <s v="EMP_2905"/>
    <x v="0"/>
    <s v="EMP_2905Sales"/>
    <x v="1"/>
    <x v="1"/>
    <n v="76743"/>
    <n v="11007"/>
    <n v="297560"/>
    <n v="160440"/>
    <s v="7/23/2020"/>
    <s v="7/23/2020"/>
    <d v="2026-02-11T00:00:00"/>
    <e v="#VALUE!"/>
    <n v="5"/>
    <n v="87750"/>
    <n v="43875"/>
    <s v="Achieved"/>
    <s v=" Excellent"/>
  </r>
  <r>
    <x v="2905"/>
    <x v="2905"/>
    <s v="EMP_2906"/>
    <x v="0"/>
    <s v="EMP_2906Marketing"/>
    <x v="4"/>
    <x v="3"/>
    <n v="50336"/>
    <n v="8059"/>
    <n v="0"/>
    <n v="0"/>
    <d v="2018-04-12T00:00:00"/>
    <s v="2018"/>
    <d v="2026-02-11T00:00:00"/>
    <n v="7"/>
    <n v="5"/>
    <n v="58395"/>
    <n v="29197.5"/>
    <s v=" Not Achieved"/>
    <s v=" Excellent"/>
  </r>
  <r>
    <x v="2906"/>
    <x v="2906"/>
    <s v="EMP_2907"/>
    <x v="0"/>
    <s v="EMP_2907Sales"/>
    <x v="1"/>
    <x v="4"/>
    <n v="38459"/>
    <n v="9616"/>
    <n v="183443"/>
    <n v="165955"/>
    <s v="3/14/2022"/>
    <s v="3/14/2022"/>
    <d v="2026-02-11T00:00:00"/>
    <e v="#VALUE!"/>
    <n v="2"/>
    <n v="48075"/>
    <n v="24037.5"/>
    <s v="Achieved"/>
    <s v="Average"/>
  </r>
  <r>
    <x v="2907"/>
    <x v="2907"/>
    <s v="EMP_2908"/>
    <x v="1"/>
    <s v="EMP_2908Finance"/>
    <x v="2"/>
    <x v="1"/>
    <n v="33069"/>
    <n v="14552"/>
    <n v="0"/>
    <n v="0"/>
    <s v="4/28/2022"/>
    <s v="4/28/2022"/>
    <d v="2026-02-11T00:00:00"/>
    <e v="#VALUE!"/>
    <n v="3"/>
    <n v="47621"/>
    <n v="23810.5"/>
    <s v=" Not Achieved"/>
    <s v="Average"/>
  </r>
  <r>
    <x v="2908"/>
    <x v="2908"/>
    <s v="EMP_2909"/>
    <x v="1"/>
    <s v="EMP_2909HR"/>
    <x v="0"/>
    <x v="2"/>
    <n v="37388"/>
    <n v="4765"/>
    <n v="0"/>
    <n v="0"/>
    <s v="8/24/2018"/>
    <s v="8/24/2018"/>
    <d v="2026-02-11T00:00:00"/>
    <e v="#VALUE!"/>
    <n v="2"/>
    <n v="42153"/>
    <n v="21076.5"/>
    <s v=" Not Achieved"/>
    <s v="Average"/>
  </r>
  <r>
    <x v="2909"/>
    <x v="2909"/>
    <s v="EMP_2910"/>
    <x v="0"/>
    <s v="EMP_2910IT"/>
    <x v="3"/>
    <x v="3"/>
    <n v="37370"/>
    <n v="8386"/>
    <n v="0"/>
    <n v="0"/>
    <d v="2018-08-03T00:00:00"/>
    <s v="2018"/>
    <d v="2026-02-11T00:00:00"/>
    <n v="7"/>
    <n v="3"/>
    <n v="45756"/>
    <n v="22878"/>
    <s v=" Not Achieved"/>
    <s v="Average"/>
  </r>
  <r>
    <x v="2910"/>
    <x v="2910"/>
    <s v="EMP_2911"/>
    <x v="1"/>
    <s v="EMP_2911Sales"/>
    <x v="1"/>
    <x v="4"/>
    <n v="30145"/>
    <n v="6723"/>
    <n v="159767"/>
    <n v="174368"/>
    <s v="1/24/2023"/>
    <s v="1/24/2023"/>
    <d v="2026-02-11T00:00:00"/>
    <e v="#VALUE!"/>
    <n v="1"/>
    <n v="36868"/>
    <n v="18434"/>
    <s v=" Not Achieved"/>
    <s v="Average"/>
  </r>
  <r>
    <x v="2911"/>
    <x v="2911"/>
    <s v="EMP_2912"/>
    <x v="1"/>
    <s v="EMP_2912Sales"/>
    <x v="1"/>
    <x v="1"/>
    <n v="30737"/>
    <n v="6413"/>
    <n v="110600"/>
    <n v="197837"/>
    <d v="2018-03-04T00:00:00"/>
    <s v="2018"/>
    <d v="2026-02-11T00:00:00"/>
    <n v="7"/>
    <n v="5"/>
    <n v="37150"/>
    <n v="18575"/>
    <s v=" Not Achieved"/>
    <s v="Average"/>
  </r>
  <r>
    <x v="2912"/>
    <x v="2912"/>
    <s v="EMP_2913"/>
    <x v="0"/>
    <s v="EMP_2913Finance"/>
    <x v="2"/>
    <x v="3"/>
    <n v="24966"/>
    <n v="12964"/>
    <n v="0"/>
    <n v="0"/>
    <d v="2022-04-10T00:00:00"/>
    <s v="2022"/>
    <d v="2026-02-11T00:00:00"/>
    <n v="3"/>
    <n v="4"/>
    <n v="37930"/>
    <n v="18965"/>
    <s v=" Not Achieved"/>
    <s v="poor"/>
  </r>
  <r>
    <x v="2913"/>
    <x v="2913"/>
    <s v="EMP_2914"/>
    <x v="1"/>
    <s v="EMP_2914Marketing"/>
    <x v="4"/>
    <x v="3"/>
    <n v="72289"/>
    <n v="4859"/>
    <n v="0"/>
    <n v="0"/>
    <s v="2/26/2019"/>
    <s v="2/26/2019"/>
    <d v="2026-02-11T00:00:00"/>
    <e v="#VALUE!"/>
    <n v="5"/>
    <n v="77148"/>
    <n v="38574"/>
    <s v=" Not Achieved"/>
    <s v=" Excellent"/>
  </r>
  <r>
    <x v="2914"/>
    <x v="2914"/>
    <s v="EMP_2915"/>
    <x v="1"/>
    <s v="EMP_2915HR"/>
    <x v="0"/>
    <x v="3"/>
    <n v="26494"/>
    <n v="7464"/>
    <n v="0"/>
    <n v="0"/>
    <s v="9/29/2019"/>
    <s v="9/29/2019"/>
    <d v="2026-02-11T00:00:00"/>
    <e v="#VALUE!"/>
    <n v="2"/>
    <n v="33958"/>
    <n v="16979"/>
    <s v=" Not Achieved"/>
    <s v="poor"/>
  </r>
  <r>
    <x v="2915"/>
    <x v="2915"/>
    <s v="EMP_2916"/>
    <x v="1"/>
    <s v="EMP_2916Sales"/>
    <x v="1"/>
    <x v="2"/>
    <n v="25417"/>
    <n v="14452"/>
    <n v="212652"/>
    <n v="196404"/>
    <s v="10/16/2020"/>
    <s v="10/16/2020"/>
    <d v="2026-02-11T00:00:00"/>
    <e v="#VALUE!"/>
    <n v="1"/>
    <n v="39869"/>
    <n v="19934.5"/>
    <s v="Achieved"/>
    <s v="poor"/>
  </r>
  <r>
    <x v="2916"/>
    <x v="2916"/>
    <s v="EMP_2917"/>
    <x v="1"/>
    <s v="EMP_2917Sales"/>
    <x v="1"/>
    <x v="2"/>
    <n v="55440"/>
    <n v="9993"/>
    <n v="122133"/>
    <n v="196135"/>
    <d v="2018-08-09T00:00:00"/>
    <s v="2018"/>
    <d v="2026-02-11T00:00:00"/>
    <n v="7"/>
    <n v="4"/>
    <n v="65433"/>
    <n v="32716.5"/>
    <s v=" Not Achieved"/>
    <s v=" Excellent"/>
  </r>
  <r>
    <x v="2917"/>
    <x v="2917"/>
    <s v="EMP_2918"/>
    <x v="1"/>
    <s v="EMP_2918Finance"/>
    <x v="2"/>
    <x v="4"/>
    <n v="79429"/>
    <n v="2920"/>
    <n v="0"/>
    <n v="0"/>
    <s v="6/16/2020"/>
    <s v="6/16/2020"/>
    <d v="2026-02-11T00:00:00"/>
    <e v="#VALUE!"/>
    <n v="4"/>
    <n v="82349"/>
    <n v="41174.5"/>
    <s v=" Not Achieved"/>
    <s v=" Excellent"/>
  </r>
  <r>
    <x v="2918"/>
    <x v="2918"/>
    <s v="EMP_2919"/>
    <x v="0"/>
    <s v="EMP_2919IT"/>
    <x v="3"/>
    <x v="4"/>
    <n v="40523"/>
    <n v="13562"/>
    <n v="0"/>
    <n v="0"/>
    <d v="2020-02-07T00:00:00"/>
    <s v="2020"/>
    <d v="2026-02-11T00:00:00"/>
    <n v="6"/>
    <n v="3"/>
    <n v="54085"/>
    <n v="27042.5"/>
    <s v=" Not Achieved"/>
    <s v="Good"/>
  </r>
  <r>
    <x v="2919"/>
    <x v="2919"/>
    <s v="EMP_2920"/>
    <x v="0"/>
    <s v="EMP_2920Finance"/>
    <x v="2"/>
    <x v="1"/>
    <n v="52139"/>
    <n v="14354"/>
    <n v="0"/>
    <n v="0"/>
    <s v="12/26/2023"/>
    <s v="12/26/2023"/>
    <d v="2026-02-11T00:00:00"/>
    <e v="#VALUE!"/>
    <n v="5"/>
    <n v="66493"/>
    <n v="33246.5"/>
    <s v=" Not Achieved"/>
    <s v=" Excellent"/>
  </r>
  <r>
    <x v="2920"/>
    <x v="2920"/>
    <s v="EMP_2921"/>
    <x v="1"/>
    <s v="EMP_2921Sales"/>
    <x v="1"/>
    <x v="1"/>
    <n v="23610"/>
    <n v="8661"/>
    <n v="171161"/>
    <n v="123410"/>
    <s v="6/28/2019"/>
    <s v="6/28/2019"/>
    <d v="2026-02-11T00:00:00"/>
    <e v="#VALUE!"/>
    <n v="5"/>
    <n v="32271"/>
    <n v="16135.5"/>
    <s v="Achieved"/>
    <s v="poor"/>
  </r>
  <r>
    <x v="2921"/>
    <x v="2921"/>
    <s v="EMP_2922"/>
    <x v="1"/>
    <s v="EMP_2922Finance"/>
    <x v="2"/>
    <x v="1"/>
    <n v="59993"/>
    <n v="9869"/>
    <n v="0"/>
    <n v="0"/>
    <s v="4/13/2020"/>
    <s v="4/13/2020"/>
    <d v="2026-02-11T00:00:00"/>
    <e v="#VALUE!"/>
    <n v="4"/>
    <n v="69862"/>
    <n v="34931"/>
    <s v=" Not Achieved"/>
    <s v=" Excellent"/>
  </r>
  <r>
    <x v="2922"/>
    <x v="2922"/>
    <s v="EMP_2923"/>
    <x v="0"/>
    <s v="EMP_2923Sales"/>
    <x v="1"/>
    <x v="0"/>
    <n v="42545"/>
    <n v="12397"/>
    <n v="145360"/>
    <n v="195719"/>
    <d v="2024-09-01T00:00:00"/>
    <s v="2024"/>
    <d v="2026-02-11T00:00:00"/>
    <n v="1"/>
    <n v="5"/>
    <n v="54942"/>
    <n v="27471"/>
    <s v=" Not Achieved"/>
    <s v="Good"/>
  </r>
  <r>
    <x v="2923"/>
    <x v="2923"/>
    <s v="EMP_2924"/>
    <x v="1"/>
    <s v="EMP_2924Marketing"/>
    <x v="4"/>
    <x v="1"/>
    <n v="45907"/>
    <n v="13440"/>
    <n v="0"/>
    <n v="0"/>
    <d v="2020-01-08T00:00:00"/>
    <s v="2020"/>
    <d v="2026-02-11T00:00:00"/>
    <n v="6"/>
    <n v="1"/>
    <n v="59347"/>
    <n v="29673.5"/>
    <s v=" Not Achieved"/>
    <s v="Good"/>
  </r>
  <r>
    <x v="2924"/>
    <x v="2924"/>
    <s v="EMP_2925"/>
    <x v="1"/>
    <s v="EMP_2925IT"/>
    <x v="3"/>
    <x v="3"/>
    <n v="58342"/>
    <n v="6960"/>
    <n v="0"/>
    <n v="0"/>
    <d v="2023-11-12T00:00:00"/>
    <s v="2023"/>
    <d v="2026-02-11T00:00:00"/>
    <n v="2"/>
    <n v="1"/>
    <n v="65302"/>
    <n v="32651"/>
    <s v=" Not Achieved"/>
    <s v=" Excellent"/>
  </r>
  <r>
    <x v="2925"/>
    <x v="2925"/>
    <s v="EMP_2926"/>
    <x v="1"/>
    <s v="EMP_2926HR"/>
    <x v="0"/>
    <x v="2"/>
    <n v="68925"/>
    <n v="5080"/>
    <n v="0"/>
    <n v="0"/>
    <s v="8/16/2022"/>
    <s v="8/16/2022"/>
    <d v="2026-02-11T00:00:00"/>
    <e v="#VALUE!"/>
    <n v="1"/>
    <n v="74005"/>
    <n v="37002.5"/>
    <s v=" Not Achieved"/>
    <s v=" Excellent"/>
  </r>
  <r>
    <x v="2926"/>
    <x v="2926"/>
    <s v="EMP_2927"/>
    <x v="1"/>
    <s v="EMP_2927Marketing"/>
    <x v="4"/>
    <x v="2"/>
    <n v="23290"/>
    <n v="10807"/>
    <n v="0"/>
    <n v="0"/>
    <s v="1/18/2022"/>
    <s v="1/18/2022"/>
    <d v="2026-02-11T00:00:00"/>
    <e v="#VALUE!"/>
    <n v="5"/>
    <n v="34097"/>
    <n v="17048.5"/>
    <s v=" Not Achieved"/>
    <s v="poor"/>
  </r>
  <r>
    <x v="2927"/>
    <x v="2927"/>
    <s v="EMP_2928"/>
    <x v="1"/>
    <s v="EMP_2928IT"/>
    <x v="3"/>
    <x v="4"/>
    <n v="74047"/>
    <n v="5838"/>
    <n v="0"/>
    <n v="0"/>
    <d v="2022-08-06T00:00:00"/>
    <s v="2022"/>
    <d v="2026-02-11T00:00:00"/>
    <n v="3"/>
    <n v="1"/>
    <n v="79885"/>
    <n v="39942.5"/>
    <s v=" Not Achieved"/>
    <s v=" Excellent"/>
  </r>
  <r>
    <x v="2928"/>
    <x v="2928"/>
    <s v="EMP_2929"/>
    <x v="1"/>
    <s v="EMP_2929Finance"/>
    <x v="2"/>
    <x v="0"/>
    <n v="43611"/>
    <n v="7412"/>
    <n v="0"/>
    <n v="0"/>
    <s v="6/24/2018"/>
    <s v="6/24/2018"/>
    <d v="2026-02-11T00:00:00"/>
    <e v="#VALUE!"/>
    <n v="3"/>
    <n v="51023"/>
    <n v="25511.5"/>
    <s v=" Not Achieved"/>
    <s v="Good"/>
  </r>
  <r>
    <x v="2929"/>
    <x v="2929"/>
    <s v="EMP_2930"/>
    <x v="0"/>
    <s v="EMP_2930IT"/>
    <x v="3"/>
    <x v="3"/>
    <n v="36376"/>
    <n v="7474"/>
    <n v="0"/>
    <n v="0"/>
    <s v="6/13/2024"/>
    <s v="6/13/2024"/>
    <d v="2026-02-11T00:00:00"/>
    <e v="#VALUE!"/>
    <n v="4"/>
    <n v="43850"/>
    <n v="21925"/>
    <s v=" Not Achieved"/>
    <s v="Average"/>
  </r>
  <r>
    <x v="2930"/>
    <x v="2930"/>
    <s v="EMP_2931"/>
    <x v="1"/>
    <s v="EMP_2931Sales"/>
    <x v="1"/>
    <x v="0"/>
    <n v="76880"/>
    <n v="14501"/>
    <n v="168929"/>
    <n v="232845"/>
    <s v="8/26/2021"/>
    <s v="8/26/2021"/>
    <d v="2026-02-11T00:00:00"/>
    <e v="#VALUE!"/>
    <n v="5"/>
    <n v="91381"/>
    <n v="45690.5"/>
    <s v=" Not Achieved"/>
    <s v=" Excellent"/>
  </r>
  <r>
    <x v="2931"/>
    <x v="2931"/>
    <s v="EMP_2932"/>
    <x v="0"/>
    <s v="EMP_2932IT"/>
    <x v="3"/>
    <x v="3"/>
    <n v="75424"/>
    <n v="4649"/>
    <n v="0"/>
    <n v="0"/>
    <d v="2022-06-01T00:00:00"/>
    <s v="2022"/>
    <d v="2026-02-11T00:00:00"/>
    <n v="3"/>
    <n v="1"/>
    <n v="80073"/>
    <n v="40036.5"/>
    <s v=" Not Achieved"/>
    <s v=" Excellent"/>
  </r>
  <r>
    <x v="2932"/>
    <x v="2932"/>
    <s v="EMP_2933"/>
    <x v="0"/>
    <s v="EMP_2933Marketing"/>
    <x v="4"/>
    <x v="3"/>
    <n v="51752"/>
    <n v="4041"/>
    <n v="0"/>
    <n v="0"/>
    <d v="2024-12-11T00:00:00"/>
    <s v="2024"/>
    <d v="2026-02-11T00:00:00"/>
    <n v="1"/>
    <n v="1"/>
    <n v="55793"/>
    <n v="27896.5"/>
    <s v=" Not Achieved"/>
    <s v=" Excellent"/>
  </r>
  <r>
    <x v="2933"/>
    <x v="2933"/>
    <s v="EMP_2934"/>
    <x v="1"/>
    <s v="EMP_2934Marketing"/>
    <x v="4"/>
    <x v="3"/>
    <n v="27011"/>
    <n v="10227"/>
    <n v="0"/>
    <n v="0"/>
    <s v="7/30/2018"/>
    <s v="7/30/2018"/>
    <d v="2026-02-11T00:00:00"/>
    <e v="#VALUE!"/>
    <n v="4"/>
    <n v="37238"/>
    <n v="18619"/>
    <s v=" Not Achieved"/>
    <s v="poor"/>
  </r>
  <r>
    <x v="2934"/>
    <x v="2934"/>
    <s v="EMP_2935"/>
    <x v="1"/>
    <s v="EMP_2935HR"/>
    <x v="0"/>
    <x v="0"/>
    <n v="44753"/>
    <n v="11644"/>
    <n v="0"/>
    <n v="0"/>
    <s v="9/21/2021"/>
    <s v="9/21/2021"/>
    <d v="2026-02-11T00:00:00"/>
    <e v="#VALUE!"/>
    <n v="2"/>
    <n v="56397"/>
    <n v="28198.5"/>
    <s v=" Not Achieved"/>
    <s v="Good"/>
  </r>
  <r>
    <x v="2935"/>
    <x v="2935"/>
    <s v="EMP_2936"/>
    <x v="0"/>
    <s v="EMP_2936IT"/>
    <x v="3"/>
    <x v="0"/>
    <n v="56957"/>
    <n v="2675"/>
    <n v="0"/>
    <n v="0"/>
    <s v="6/28/2023"/>
    <s v="6/28/2023"/>
    <d v="2026-02-11T00:00:00"/>
    <e v="#VALUE!"/>
    <n v="2"/>
    <n v="59632"/>
    <n v="29816"/>
    <s v=" Not Achieved"/>
    <s v=" Excellent"/>
  </r>
  <r>
    <x v="2936"/>
    <x v="2936"/>
    <s v="EMP_2937"/>
    <x v="1"/>
    <s v="EMP_2937HR"/>
    <x v="0"/>
    <x v="1"/>
    <n v="60501"/>
    <n v="10827"/>
    <n v="0"/>
    <n v="0"/>
    <s v="1/30/2018"/>
    <s v="1/30/2018"/>
    <d v="2026-02-11T00:00:00"/>
    <e v="#VALUE!"/>
    <n v="2"/>
    <n v="71328"/>
    <n v="35664"/>
    <s v=" Not Achieved"/>
    <s v=" Excellent"/>
  </r>
  <r>
    <x v="2937"/>
    <x v="2937"/>
    <s v="EMP_2938"/>
    <x v="0"/>
    <s v="EMP_2938Sales"/>
    <x v="1"/>
    <x v="1"/>
    <n v="74073"/>
    <n v="2778"/>
    <n v="145350"/>
    <n v="115686"/>
    <s v="5/16/2018"/>
    <s v="5/16/2018"/>
    <d v="2026-02-11T00:00:00"/>
    <e v="#VALUE!"/>
    <n v="3"/>
    <n v="76851"/>
    <n v="38425.5"/>
    <s v="Achieved"/>
    <s v=" Excellent"/>
  </r>
  <r>
    <x v="2938"/>
    <x v="2938"/>
    <s v="EMP_2939"/>
    <x v="1"/>
    <s v="EMP_2939Sales"/>
    <x v="1"/>
    <x v="0"/>
    <n v="47135"/>
    <n v="10445"/>
    <n v="186489"/>
    <n v="170227"/>
    <d v="2024-07-09T00:00:00"/>
    <s v="2024"/>
    <d v="2026-02-11T00:00:00"/>
    <n v="1"/>
    <n v="2"/>
    <n v="57580"/>
    <n v="28790"/>
    <s v="Achieved"/>
    <s v="Good"/>
  </r>
  <r>
    <x v="2939"/>
    <x v="2939"/>
    <s v="EMP_2940"/>
    <x v="0"/>
    <s v="EMP_2940Marketing"/>
    <x v="4"/>
    <x v="4"/>
    <n v="66999"/>
    <n v="8938"/>
    <n v="0"/>
    <n v="0"/>
    <s v="5/28/2019"/>
    <s v="5/28/2019"/>
    <d v="2026-02-11T00:00:00"/>
    <e v="#VALUE!"/>
    <n v="1"/>
    <n v="75937"/>
    <n v="37968.5"/>
    <s v=" Not Achieved"/>
    <s v=" Excellent"/>
  </r>
  <r>
    <x v="2940"/>
    <x v="2940"/>
    <s v="EMP_2941"/>
    <x v="1"/>
    <s v="EMP_2941HR"/>
    <x v="0"/>
    <x v="1"/>
    <n v="36259"/>
    <n v="6977"/>
    <n v="0"/>
    <n v="0"/>
    <s v="12/31/2019"/>
    <s v="12/31/2019"/>
    <d v="2026-02-11T00:00:00"/>
    <e v="#VALUE!"/>
    <n v="1"/>
    <n v="43236"/>
    <n v="21618"/>
    <s v=" Not Achieved"/>
    <s v="Average"/>
  </r>
  <r>
    <x v="2941"/>
    <x v="2941"/>
    <s v="EMP_2942"/>
    <x v="1"/>
    <s v="EMP_2942IT"/>
    <x v="3"/>
    <x v="1"/>
    <n v="76895"/>
    <n v="7431"/>
    <n v="0"/>
    <n v="0"/>
    <s v="12/15/2018"/>
    <s v="12/15/2018"/>
    <d v="2026-02-11T00:00:00"/>
    <e v="#VALUE!"/>
    <n v="3"/>
    <n v="84326"/>
    <n v="42163"/>
    <s v=" Not Achieved"/>
    <s v=" Excellent"/>
  </r>
  <r>
    <x v="2942"/>
    <x v="2942"/>
    <s v="EMP_2943"/>
    <x v="0"/>
    <s v="EMP_2943Marketing"/>
    <x v="4"/>
    <x v="0"/>
    <n v="34428"/>
    <n v="7090"/>
    <n v="0"/>
    <n v="0"/>
    <s v="5/14/2018"/>
    <s v="5/14/2018"/>
    <d v="2026-02-11T00:00:00"/>
    <e v="#VALUE!"/>
    <n v="3"/>
    <n v="41518"/>
    <n v="20759"/>
    <s v=" Not Achieved"/>
    <s v="Average"/>
  </r>
  <r>
    <x v="2943"/>
    <x v="2943"/>
    <s v="EMP_2944"/>
    <x v="1"/>
    <s v="EMP_2944Marketing"/>
    <x v="4"/>
    <x v="3"/>
    <n v="31467"/>
    <n v="14727"/>
    <n v="0"/>
    <n v="0"/>
    <s v="1/25/2020"/>
    <s v="1/25/2020"/>
    <d v="2026-02-11T00:00:00"/>
    <e v="#VALUE!"/>
    <n v="4"/>
    <n v="46194"/>
    <n v="23097"/>
    <s v=" Not Achieved"/>
    <s v="Average"/>
  </r>
  <r>
    <x v="2944"/>
    <x v="2944"/>
    <s v="EMP_2945"/>
    <x v="1"/>
    <s v="EMP_2945Marketing"/>
    <x v="4"/>
    <x v="1"/>
    <n v="20920"/>
    <n v="14524"/>
    <n v="0"/>
    <n v="0"/>
    <s v="4/22/2021"/>
    <s v="4/22/2021"/>
    <d v="2026-02-11T00:00:00"/>
    <e v="#VALUE!"/>
    <n v="3"/>
    <n v="35444"/>
    <n v="17722"/>
    <s v=" Not Achieved"/>
    <s v="poor"/>
  </r>
  <r>
    <x v="2945"/>
    <x v="2945"/>
    <s v="EMP_2946"/>
    <x v="1"/>
    <s v="EMP_2946HR"/>
    <x v="0"/>
    <x v="0"/>
    <n v="78550"/>
    <n v="7503"/>
    <n v="0"/>
    <n v="0"/>
    <s v="3/16/2023"/>
    <s v="3/16/2023"/>
    <d v="2026-02-11T00:00:00"/>
    <e v="#VALUE!"/>
    <n v="1"/>
    <n v="86053"/>
    <n v="43026.5"/>
    <s v=" Not Achieved"/>
    <s v=" Excellent"/>
  </r>
  <r>
    <x v="2946"/>
    <x v="2946"/>
    <s v="EMP_2947"/>
    <x v="0"/>
    <s v="EMP_2947IT"/>
    <x v="3"/>
    <x v="0"/>
    <n v="72856"/>
    <n v="3428"/>
    <n v="0"/>
    <n v="0"/>
    <s v="8/28/2023"/>
    <s v="8/28/2023"/>
    <d v="2026-02-11T00:00:00"/>
    <e v="#VALUE!"/>
    <n v="5"/>
    <n v="76284"/>
    <n v="38142"/>
    <s v=" Not Achieved"/>
    <s v=" Excellent"/>
  </r>
  <r>
    <x v="2947"/>
    <x v="2947"/>
    <s v="EMP_2948"/>
    <x v="0"/>
    <s v="EMP_2948Marketing"/>
    <x v="4"/>
    <x v="2"/>
    <n v="67457"/>
    <n v="6026"/>
    <n v="0"/>
    <n v="0"/>
    <s v="7/27/2019"/>
    <s v="7/27/2019"/>
    <d v="2026-02-11T00:00:00"/>
    <e v="#VALUE!"/>
    <n v="2"/>
    <n v="73483"/>
    <n v="36741.5"/>
    <s v=" Not Achieved"/>
    <s v=" Excellent"/>
  </r>
  <r>
    <x v="2948"/>
    <x v="2948"/>
    <s v="EMP_2949"/>
    <x v="1"/>
    <s v="EMP_2949Finance"/>
    <x v="2"/>
    <x v="1"/>
    <n v="57269"/>
    <n v="2024"/>
    <n v="0"/>
    <n v="0"/>
    <s v="7/18/2020"/>
    <s v="7/18/2020"/>
    <d v="2026-02-11T00:00:00"/>
    <e v="#VALUE!"/>
    <n v="4"/>
    <n v="59293"/>
    <n v="29646.5"/>
    <s v=" Not Achieved"/>
    <s v=" Excellent"/>
  </r>
  <r>
    <x v="2949"/>
    <x v="2949"/>
    <s v="EMP_2950"/>
    <x v="1"/>
    <s v="EMP_2950Finance"/>
    <x v="2"/>
    <x v="0"/>
    <n v="62581"/>
    <n v="4905"/>
    <n v="0"/>
    <n v="0"/>
    <d v="2018-10-04T00:00:00"/>
    <s v="2018"/>
    <d v="2026-02-11T00:00:00"/>
    <n v="7"/>
    <n v="3"/>
    <n v="67486"/>
    <n v="33743"/>
    <s v=" Not Achieved"/>
    <s v=" Excellent"/>
  </r>
  <r>
    <x v="2950"/>
    <x v="2950"/>
    <s v="EMP_2951"/>
    <x v="0"/>
    <s v="EMP_2951IT"/>
    <x v="3"/>
    <x v="4"/>
    <n v="23734"/>
    <n v="13335"/>
    <n v="0"/>
    <n v="0"/>
    <s v="8/14/2023"/>
    <s v="8/14/2023"/>
    <d v="2026-02-11T00:00:00"/>
    <e v="#VALUE!"/>
    <n v="5"/>
    <n v="37069"/>
    <n v="18534.5"/>
    <s v=" Not Achieved"/>
    <s v="poor"/>
  </r>
  <r>
    <x v="2951"/>
    <x v="2951"/>
    <s v="EMP_2952"/>
    <x v="0"/>
    <s v="EMP_2952Sales"/>
    <x v="1"/>
    <x v="4"/>
    <n v="38916"/>
    <n v="2883"/>
    <n v="166745"/>
    <n v="157772"/>
    <d v="2018-11-05T00:00:00"/>
    <s v="2018"/>
    <d v="2026-02-11T00:00:00"/>
    <n v="7"/>
    <n v="5"/>
    <n v="41799"/>
    <n v="20899.5"/>
    <s v="Achieved"/>
    <s v="Average"/>
  </r>
  <r>
    <x v="2952"/>
    <x v="2952"/>
    <s v="EMP_2953"/>
    <x v="0"/>
    <s v="EMP_2953HR"/>
    <x v="0"/>
    <x v="2"/>
    <n v="46924"/>
    <n v="10825"/>
    <n v="0"/>
    <n v="0"/>
    <s v="9/29/2022"/>
    <s v="9/29/2022"/>
    <d v="2026-02-11T00:00:00"/>
    <e v="#VALUE!"/>
    <n v="4"/>
    <n v="57749"/>
    <n v="28874.5"/>
    <s v=" Not Achieved"/>
    <s v="Good"/>
  </r>
  <r>
    <x v="2953"/>
    <x v="2953"/>
    <s v="EMP_2954"/>
    <x v="0"/>
    <s v="EMP_2954Finance"/>
    <x v="2"/>
    <x v="2"/>
    <n v="62971"/>
    <n v="10096"/>
    <n v="0"/>
    <n v="0"/>
    <d v="2024-11-06T00:00:00"/>
    <s v="2024"/>
    <d v="2026-02-11T00:00:00"/>
    <n v="1"/>
    <n v="5"/>
    <n v="73067"/>
    <n v="36533.5"/>
    <s v=" Not Achieved"/>
    <s v=" Excellent"/>
  </r>
  <r>
    <x v="2954"/>
    <x v="2954"/>
    <s v="EMP_2955"/>
    <x v="0"/>
    <s v="EMP_2955HR"/>
    <x v="0"/>
    <x v="3"/>
    <n v="60426"/>
    <n v="5823"/>
    <n v="0"/>
    <n v="0"/>
    <s v="1/24/2024"/>
    <s v="1/24/2024"/>
    <d v="2026-02-11T00:00:00"/>
    <e v="#VALUE!"/>
    <n v="2"/>
    <n v="66249"/>
    <n v="33124.5"/>
    <s v=" Not Achieved"/>
    <s v=" Excellent"/>
  </r>
  <r>
    <x v="2955"/>
    <x v="2955"/>
    <s v="EMP_2956"/>
    <x v="0"/>
    <s v="EMP_2956Sales"/>
    <x v="1"/>
    <x v="0"/>
    <n v="26904"/>
    <n v="7669"/>
    <n v="180441"/>
    <n v="158389"/>
    <s v="12/13/2018"/>
    <s v="12/13/2018"/>
    <d v="2026-02-11T00:00:00"/>
    <e v="#VALUE!"/>
    <n v="3"/>
    <n v="34573"/>
    <n v="17286.5"/>
    <s v="Achieved"/>
    <s v="poor"/>
  </r>
  <r>
    <x v="2956"/>
    <x v="2956"/>
    <s v="EMP_2957"/>
    <x v="0"/>
    <s v="EMP_2957Finance"/>
    <x v="2"/>
    <x v="2"/>
    <n v="23276"/>
    <n v="10093"/>
    <n v="0"/>
    <n v="0"/>
    <s v="6/16/2019"/>
    <s v="6/16/2019"/>
    <d v="2026-02-11T00:00:00"/>
    <e v="#VALUE!"/>
    <n v="2"/>
    <n v="33369"/>
    <n v="16684.5"/>
    <s v=" Not Achieved"/>
    <s v="poor"/>
  </r>
  <r>
    <x v="2957"/>
    <x v="2957"/>
    <s v="EMP_2958"/>
    <x v="1"/>
    <s v="EMP_2958Finance"/>
    <x v="2"/>
    <x v="0"/>
    <n v="63269"/>
    <n v="7009"/>
    <n v="0"/>
    <n v="0"/>
    <s v="3/29/2019"/>
    <s v="3/29/2019"/>
    <d v="2026-02-11T00:00:00"/>
    <e v="#VALUE!"/>
    <n v="1"/>
    <n v="70278"/>
    <n v="35139"/>
    <s v=" Not Achieved"/>
    <s v=" Excellent"/>
  </r>
  <r>
    <x v="2958"/>
    <x v="2958"/>
    <s v="EMP_2959"/>
    <x v="0"/>
    <s v="EMP_2959HR"/>
    <x v="0"/>
    <x v="1"/>
    <n v="67947"/>
    <n v="4740"/>
    <n v="0"/>
    <n v="0"/>
    <s v="11/24/2019"/>
    <s v="11/24/2019"/>
    <d v="2026-02-11T00:00:00"/>
    <e v="#VALUE!"/>
    <n v="4"/>
    <n v="72687"/>
    <n v="36343.5"/>
    <s v=" Not Achieved"/>
    <s v=" Excellent"/>
  </r>
  <r>
    <x v="2959"/>
    <x v="2959"/>
    <s v="EMP_2960"/>
    <x v="1"/>
    <s v="EMP_2960HR"/>
    <x v="0"/>
    <x v="1"/>
    <n v="28463"/>
    <n v="4131"/>
    <n v="0"/>
    <n v="0"/>
    <s v="6/20/2023"/>
    <s v="6/20/2023"/>
    <d v="2026-02-11T00:00:00"/>
    <e v="#VALUE!"/>
    <n v="2"/>
    <n v="32594"/>
    <n v="16297"/>
    <s v=" Not Achieved"/>
    <s v="poor"/>
  </r>
  <r>
    <x v="2960"/>
    <x v="2960"/>
    <s v="EMP_2961"/>
    <x v="1"/>
    <s v="EMP_2961Finance"/>
    <x v="2"/>
    <x v="1"/>
    <n v="67587"/>
    <n v="10385"/>
    <n v="0"/>
    <n v="0"/>
    <d v="2021-02-02T00:00:00"/>
    <s v="2021"/>
    <d v="2026-02-11T00:00:00"/>
    <n v="5"/>
    <n v="5"/>
    <n v="77972"/>
    <n v="38986"/>
    <s v=" Not Achieved"/>
    <s v=" Excellent"/>
  </r>
  <r>
    <x v="2961"/>
    <x v="2961"/>
    <s v="EMP_2962"/>
    <x v="0"/>
    <s v="EMP_2962Finance"/>
    <x v="2"/>
    <x v="2"/>
    <n v="25805"/>
    <n v="2150"/>
    <n v="0"/>
    <n v="0"/>
    <d v="2022-09-02T00:00:00"/>
    <s v="2022"/>
    <d v="2026-02-11T00:00:00"/>
    <n v="3"/>
    <n v="5"/>
    <n v="27955"/>
    <n v="13977.5"/>
    <s v=" Not Achieved"/>
    <s v="poor"/>
  </r>
  <r>
    <x v="2962"/>
    <x v="2962"/>
    <s v="EMP_2963"/>
    <x v="0"/>
    <s v="EMP_2963Sales"/>
    <x v="1"/>
    <x v="1"/>
    <n v="76174"/>
    <n v="10445"/>
    <n v="98444"/>
    <n v="184822"/>
    <d v="2023-09-07T00:00:00"/>
    <s v="2023"/>
    <d v="2026-02-11T00:00:00"/>
    <n v="2"/>
    <n v="1"/>
    <n v="86619"/>
    <n v="43309.5"/>
    <s v=" Not Achieved"/>
    <s v=" Excellent"/>
  </r>
  <r>
    <x v="2963"/>
    <x v="2963"/>
    <s v="EMP_2964"/>
    <x v="0"/>
    <s v="EMP_2964Finance"/>
    <x v="2"/>
    <x v="4"/>
    <n v="39553"/>
    <n v="7820"/>
    <n v="0"/>
    <n v="0"/>
    <s v="6/21/2019"/>
    <s v="6/21/2019"/>
    <d v="2026-02-11T00:00:00"/>
    <e v="#VALUE!"/>
    <n v="1"/>
    <n v="47373"/>
    <n v="23686.5"/>
    <s v=" Not Achieved"/>
    <s v="Average"/>
  </r>
  <r>
    <x v="2964"/>
    <x v="2964"/>
    <s v="EMP_2965"/>
    <x v="1"/>
    <s v="EMP_2965Sales"/>
    <x v="1"/>
    <x v="0"/>
    <n v="37446"/>
    <n v="11876"/>
    <n v="143949"/>
    <n v="167034"/>
    <d v="2023-02-03T00:00:00"/>
    <s v="2023"/>
    <d v="2026-02-11T00:00:00"/>
    <n v="3"/>
    <n v="3"/>
    <n v="49322"/>
    <n v="24661"/>
    <s v=" Not Achieved"/>
    <s v="Average"/>
  </r>
  <r>
    <x v="2965"/>
    <x v="2965"/>
    <s v="EMP_2966"/>
    <x v="0"/>
    <s v="EMP_2966Finance"/>
    <x v="2"/>
    <x v="1"/>
    <n v="71886"/>
    <n v="7010"/>
    <n v="0"/>
    <n v="0"/>
    <d v="2019-06-10T00:00:00"/>
    <s v="2019"/>
    <d v="2026-02-11T00:00:00"/>
    <n v="6"/>
    <n v="2"/>
    <n v="78896"/>
    <n v="39448"/>
    <s v=" Not Achieved"/>
    <s v=" Excellent"/>
  </r>
  <r>
    <x v="2966"/>
    <x v="2966"/>
    <s v="EMP_2967"/>
    <x v="1"/>
    <s v="EMP_2967Sales"/>
    <x v="1"/>
    <x v="4"/>
    <n v="30602"/>
    <n v="10147"/>
    <n v="268264"/>
    <n v="120477"/>
    <d v="2019-09-04T00:00:00"/>
    <s v="2019"/>
    <d v="2026-02-11T00:00:00"/>
    <n v="6"/>
    <n v="2"/>
    <n v="40749"/>
    <n v="20374.5"/>
    <s v="Achieved"/>
    <s v="Average"/>
  </r>
  <r>
    <x v="2967"/>
    <x v="2967"/>
    <s v="EMP_2968"/>
    <x v="1"/>
    <s v="EMP_2968Marketing"/>
    <x v="4"/>
    <x v="2"/>
    <n v="45051"/>
    <n v="7028"/>
    <n v="0"/>
    <n v="0"/>
    <s v="4/25/2021"/>
    <s v="4/25/2021"/>
    <d v="2026-02-11T00:00:00"/>
    <e v="#VALUE!"/>
    <n v="3"/>
    <n v="52079"/>
    <n v="26039.5"/>
    <s v=" Not Achieved"/>
    <s v="Good"/>
  </r>
  <r>
    <x v="2968"/>
    <x v="2968"/>
    <s v="EMP_2969"/>
    <x v="1"/>
    <s v="EMP_2969IT"/>
    <x v="3"/>
    <x v="4"/>
    <n v="74874"/>
    <n v="11734"/>
    <n v="0"/>
    <n v="0"/>
    <s v="4/27/2018"/>
    <s v="4/27/2018"/>
    <d v="2026-02-11T00:00:00"/>
    <e v="#VALUE!"/>
    <n v="2"/>
    <n v="86608"/>
    <n v="43304"/>
    <s v=" Not Achieved"/>
    <s v=" Excellent"/>
  </r>
  <r>
    <x v="2969"/>
    <x v="2969"/>
    <s v="EMP_2970"/>
    <x v="0"/>
    <s v="EMP_2970IT"/>
    <x v="3"/>
    <x v="1"/>
    <n v="59191"/>
    <n v="10370"/>
    <n v="0"/>
    <n v="0"/>
    <s v="6/25/2019"/>
    <s v="6/25/2019"/>
    <d v="2026-02-11T00:00:00"/>
    <e v="#VALUE!"/>
    <n v="4"/>
    <n v="69561"/>
    <n v="34780.5"/>
    <s v=" Not Achieved"/>
    <s v=" Excellent"/>
  </r>
  <r>
    <x v="2970"/>
    <x v="2970"/>
    <s v="EMP_2971"/>
    <x v="1"/>
    <s v="EMP_2971Finance"/>
    <x v="2"/>
    <x v="1"/>
    <n v="43468"/>
    <n v="10912"/>
    <n v="0"/>
    <n v="0"/>
    <d v="2021-08-02T00:00:00"/>
    <s v="2021"/>
    <d v="2026-02-11T00:00:00"/>
    <n v="4"/>
    <n v="3"/>
    <n v="54380"/>
    <n v="27190"/>
    <s v=" Not Achieved"/>
    <s v="Good"/>
  </r>
  <r>
    <x v="2971"/>
    <x v="2971"/>
    <s v="EMP_2972"/>
    <x v="0"/>
    <s v="EMP_2972IT"/>
    <x v="3"/>
    <x v="2"/>
    <n v="33233"/>
    <n v="10530"/>
    <n v="0"/>
    <n v="0"/>
    <d v="2020-05-03T00:00:00"/>
    <s v="2020"/>
    <d v="2026-02-11T00:00:00"/>
    <n v="5"/>
    <n v="3"/>
    <n v="43763"/>
    <n v="21881.5"/>
    <s v=" Not Achieved"/>
    <s v="Average"/>
  </r>
  <r>
    <x v="2972"/>
    <x v="2972"/>
    <s v="EMP_2973"/>
    <x v="1"/>
    <s v="EMP_2973HR"/>
    <x v="0"/>
    <x v="1"/>
    <n v="50944"/>
    <n v="14059"/>
    <n v="0"/>
    <n v="0"/>
    <s v="4/17/2018"/>
    <s v="4/17/2018"/>
    <d v="2026-02-11T00:00:00"/>
    <e v="#VALUE!"/>
    <n v="3"/>
    <n v="65003"/>
    <n v="32501.5"/>
    <s v=" Not Achieved"/>
    <s v=" Excellent"/>
  </r>
  <r>
    <x v="2973"/>
    <x v="2973"/>
    <s v="EMP_2974"/>
    <x v="1"/>
    <s v="EMP_2974Finance"/>
    <x v="2"/>
    <x v="2"/>
    <n v="58331"/>
    <n v="9970"/>
    <n v="0"/>
    <n v="0"/>
    <s v="10/27/2019"/>
    <s v="10/27/2019"/>
    <d v="2026-02-11T00:00:00"/>
    <e v="#VALUE!"/>
    <n v="4"/>
    <n v="68301"/>
    <n v="34150.5"/>
    <s v=" Not Achieved"/>
    <s v=" Excellent"/>
  </r>
  <r>
    <x v="2974"/>
    <x v="2974"/>
    <s v="EMP_2975"/>
    <x v="0"/>
    <s v="EMP_2975Sales"/>
    <x v="1"/>
    <x v="1"/>
    <n v="33590"/>
    <n v="7634"/>
    <n v="142984"/>
    <n v="223814"/>
    <s v="5/22/2018"/>
    <s v="5/22/2018"/>
    <d v="2026-02-11T00:00:00"/>
    <e v="#VALUE!"/>
    <n v="4"/>
    <n v="41224"/>
    <n v="20612"/>
    <s v=" Not Achieved"/>
    <s v="Average"/>
  </r>
  <r>
    <x v="2975"/>
    <x v="2975"/>
    <s v="EMP_2976"/>
    <x v="0"/>
    <s v="EMP_2976HR"/>
    <x v="0"/>
    <x v="1"/>
    <n v="42149"/>
    <n v="13662"/>
    <n v="0"/>
    <n v="0"/>
    <s v="1/31/2023"/>
    <s v="1/31/2023"/>
    <d v="2026-02-11T00:00:00"/>
    <e v="#VALUE!"/>
    <n v="2"/>
    <n v="55811"/>
    <n v="27905.5"/>
    <s v=" Not Achieved"/>
    <s v="Good"/>
  </r>
  <r>
    <x v="2976"/>
    <x v="2976"/>
    <s v="EMP_2977"/>
    <x v="1"/>
    <s v="EMP_2977HR"/>
    <x v="0"/>
    <x v="4"/>
    <n v="33983"/>
    <n v="8906"/>
    <n v="0"/>
    <n v="0"/>
    <s v="10/18/2024"/>
    <s v="10/18/2024"/>
    <d v="2026-02-11T00:00:00"/>
    <e v="#VALUE!"/>
    <n v="1"/>
    <n v="42889"/>
    <n v="21444.5"/>
    <s v=" Not Achieved"/>
    <s v="Average"/>
  </r>
  <r>
    <x v="2977"/>
    <x v="2977"/>
    <s v="EMP_2978"/>
    <x v="0"/>
    <s v="EMP_2978HR"/>
    <x v="0"/>
    <x v="1"/>
    <n v="79234"/>
    <n v="7413"/>
    <n v="0"/>
    <n v="0"/>
    <s v="4/25/2021"/>
    <s v="4/25/2021"/>
    <d v="2026-02-11T00:00:00"/>
    <e v="#VALUE!"/>
    <n v="1"/>
    <n v="86647"/>
    <n v="43323.5"/>
    <s v=" Not Achieved"/>
    <s v=" Excellent"/>
  </r>
  <r>
    <x v="2978"/>
    <x v="2978"/>
    <s v="EMP_2979"/>
    <x v="1"/>
    <s v="EMP_2979HR"/>
    <x v="0"/>
    <x v="0"/>
    <n v="52746"/>
    <n v="7413"/>
    <n v="0"/>
    <n v="0"/>
    <d v="2022-05-10T00:00:00"/>
    <s v="2022"/>
    <d v="2026-02-11T00:00:00"/>
    <n v="3"/>
    <n v="2"/>
    <n v="60159"/>
    <n v="30079.5"/>
    <s v=" Not Achieved"/>
    <s v=" Excellent"/>
  </r>
  <r>
    <x v="2979"/>
    <x v="2979"/>
    <s v="EMP_2980"/>
    <x v="1"/>
    <s v="EMP_2980HR"/>
    <x v="0"/>
    <x v="3"/>
    <n v="44301"/>
    <n v="3913"/>
    <n v="0"/>
    <n v="0"/>
    <s v="12/14/2020"/>
    <s v="12/14/2020"/>
    <d v="2026-02-11T00:00:00"/>
    <e v="#VALUE!"/>
    <n v="5"/>
    <n v="48214"/>
    <n v="24107"/>
    <s v=" Not Achieved"/>
    <s v="Good"/>
  </r>
  <r>
    <x v="2980"/>
    <x v="2980"/>
    <s v="EMP_2981"/>
    <x v="1"/>
    <s v="EMP_2981Marketing"/>
    <x v="4"/>
    <x v="0"/>
    <n v="39939"/>
    <n v="9145"/>
    <n v="0"/>
    <n v="0"/>
    <d v="2020-06-12T00:00:00"/>
    <s v="2020"/>
    <d v="2026-02-11T00:00:00"/>
    <n v="5"/>
    <n v="4"/>
    <n v="49084"/>
    <n v="24542"/>
    <s v=" Not Achieved"/>
    <s v="Average"/>
  </r>
  <r>
    <x v="2981"/>
    <x v="2981"/>
    <s v="EMP_2982"/>
    <x v="0"/>
    <s v="EMP_2982Marketing"/>
    <x v="4"/>
    <x v="2"/>
    <n v="58047"/>
    <n v="8248"/>
    <n v="0"/>
    <n v="0"/>
    <s v="9/19/2022"/>
    <s v="9/19/2022"/>
    <d v="2026-02-11T00:00:00"/>
    <e v="#VALUE!"/>
    <n v="1"/>
    <n v="66295"/>
    <n v="33147.5"/>
    <s v=" Not Achieved"/>
    <s v=" Excellent"/>
  </r>
  <r>
    <x v="2982"/>
    <x v="2982"/>
    <s v="EMP_2983"/>
    <x v="1"/>
    <s v="EMP_2983Sales"/>
    <x v="1"/>
    <x v="2"/>
    <n v="34774"/>
    <n v="6141"/>
    <n v="259855"/>
    <n v="227562"/>
    <d v="2019-12-04T00:00:00"/>
    <s v="2019"/>
    <d v="2026-02-11T00:00:00"/>
    <n v="6"/>
    <n v="2"/>
    <n v="40915"/>
    <n v="20457.5"/>
    <s v="Achieved"/>
    <s v="Average"/>
  </r>
  <r>
    <x v="2983"/>
    <x v="2983"/>
    <s v="EMP_2984"/>
    <x v="0"/>
    <s v="EMP_2984Sales"/>
    <x v="1"/>
    <x v="2"/>
    <n v="27010"/>
    <n v="5300"/>
    <n v="274900"/>
    <n v="180841"/>
    <s v="4/13/2024"/>
    <s v="4/13/2024"/>
    <d v="2026-02-11T00:00:00"/>
    <e v="#VALUE!"/>
    <n v="3"/>
    <n v="32310"/>
    <n v="16155"/>
    <s v="Achieved"/>
    <s v="poor"/>
  </r>
  <r>
    <x v="2984"/>
    <x v="2984"/>
    <s v="EMP_2985"/>
    <x v="1"/>
    <s v="EMP_2985IT"/>
    <x v="3"/>
    <x v="0"/>
    <n v="35525"/>
    <n v="10605"/>
    <n v="0"/>
    <n v="0"/>
    <d v="2021-10-02T00:00:00"/>
    <s v="2021"/>
    <d v="2026-02-11T00:00:00"/>
    <n v="4"/>
    <n v="2"/>
    <n v="46130"/>
    <n v="23065"/>
    <s v=" Not Achieved"/>
    <s v="Average"/>
  </r>
  <r>
    <x v="2985"/>
    <x v="2985"/>
    <s v="EMP_2986"/>
    <x v="0"/>
    <s v="EMP_2986Finance"/>
    <x v="2"/>
    <x v="2"/>
    <n v="34644"/>
    <n v="6228"/>
    <n v="0"/>
    <n v="0"/>
    <s v="7/25/2020"/>
    <s v="7/25/2020"/>
    <d v="2026-02-11T00:00:00"/>
    <e v="#VALUE!"/>
    <n v="3"/>
    <n v="40872"/>
    <n v="20436"/>
    <s v=" Not Achieved"/>
    <s v="Average"/>
  </r>
  <r>
    <x v="2986"/>
    <x v="2986"/>
    <s v="EMP_2987"/>
    <x v="0"/>
    <s v="EMP_2987Sales"/>
    <x v="1"/>
    <x v="2"/>
    <n v="42020"/>
    <n v="9920"/>
    <n v="53834"/>
    <n v="220114"/>
    <s v="10/25/2024"/>
    <s v="10/25/2024"/>
    <d v="2026-02-11T00:00:00"/>
    <e v="#VALUE!"/>
    <n v="3"/>
    <n v="51940"/>
    <n v="25970"/>
    <s v=" Not Achieved"/>
    <s v="Good"/>
  </r>
  <r>
    <x v="2987"/>
    <x v="2987"/>
    <s v="EMP_2988"/>
    <x v="1"/>
    <s v="EMP_2988Sales"/>
    <x v="1"/>
    <x v="4"/>
    <n v="55974"/>
    <n v="2847"/>
    <n v="127470"/>
    <n v="122139"/>
    <s v="4/20/2021"/>
    <s v="4/20/2021"/>
    <d v="2026-02-11T00:00:00"/>
    <e v="#VALUE!"/>
    <n v="1"/>
    <n v="58821"/>
    <n v="29410.5"/>
    <s v="Achieved"/>
    <s v=" Excellent"/>
  </r>
  <r>
    <x v="2988"/>
    <x v="2988"/>
    <s v="EMP_2989"/>
    <x v="1"/>
    <s v="EMP_2989Finance"/>
    <x v="2"/>
    <x v="0"/>
    <n v="42881"/>
    <n v="10873"/>
    <n v="0"/>
    <n v="0"/>
    <d v="2019-03-03T00:00:00"/>
    <s v="2019"/>
    <d v="2026-02-11T00:00:00"/>
    <n v="6"/>
    <n v="4"/>
    <n v="53754"/>
    <n v="26877"/>
    <s v=" Not Achieved"/>
    <s v="Good"/>
  </r>
  <r>
    <x v="2989"/>
    <x v="2989"/>
    <s v="EMP_2990"/>
    <x v="0"/>
    <s v="EMP_2990Finance"/>
    <x v="2"/>
    <x v="3"/>
    <n v="46426"/>
    <n v="10246"/>
    <n v="0"/>
    <n v="0"/>
    <d v="2024-06-09T00:00:00"/>
    <s v="2024"/>
    <d v="2026-02-11T00:00:00"/>
    <n v="1"/>
    <n v="3"/>
    <n v="56672"/>
    <n v="28336"/>
    <s v=" Not Achieved"/>
    <s v="Good"/>
  </r>
  <r>
    <x v="2990"/>
    <x v="2990"/>
    <s v="EMP_2991"/>
    <x v="1"/>
    <s v="EMP_2991Finance"/>
    <x v="2"/>
    <x v="4"/>
    <n v="40703"/>
    <n v="7075"/>
    <n v="0"/>
    <n v="0"/>
    <d v="2022-04-09T00:00:00"/>
    <s v="2022"/>
    <d v="2026-02-11T00:00:00"/>
    <n v="3"/>
    <n v="4"/>
    <n v="47778"/>
    <n v="23889"/>
    <s v=" Not Achieved"/>
    <s v="Good"/>
  </r>
  <r>
    <x v="2991"/>
    <x v="2991"/>
    <s v="EMP_2992"/>
    <x v="0"/>
    <s v="EMP_2992Marketing"/>
    <x v="4"/>
    <x v="2"/>
    <n v="40229"/>
    <n v="14094"/>
    <n v="0"/>
    <n v="0"/>
    <d v="2020-10-12T00:00:00"/>
    <s v="2020"/>
    <d v="2026-02-11T00:00:00"/>
    <n v="5"/>
    <n v="1"/>
    <n v="54323"/>
    <n v="27161.5"/>
    <s v=" Not Achieved"/>
    <s v="Good"/>
  </r>
  <r>
    <x v="2992"/>
    <x v="2992"/>
    <s v="EMP_2993"/>
    <x v="0"/>
    <s v="EMP_2993Finance"/>
    <x v="2"/>
    <x v="4"/>
    <n v="34243"/>
    <n v="7970"/>
    <n v="0"/>
    <n v="0"/>
    <s v="4/15/2019"/>
    <s v="4/15/2019"/>
    <d v="2026-02-11T00:00:00"/>
    <e v="#VALUE!"/>
    <n v="5"/>
    <n v="42213"/>
    <n v="21106.5"/>
    <s v=" Not Achieved"/>
    <s v="Average"/>
  </r>
  <r>
    <x v="2993"/>
    <x v="2993"/>
    <s v="EMP_2994"/>
    <x v="0"/>
    <s v="EMP_2994Finance"/>
    <x v="2"/>
    <x v="4"/>
    <n v="74212"/>
    <n v="11072"/>
    <n v="0"/>
    <n v="0"/>
    <d v="2023-12-06T00:00:00"/>
    <s v="2023"/>
    <d v="2026-02-11T00:00:00"/>
    <n v="2"/>
    <n v="4"/>
    <n v="85284"/>
    <n v="42642"/>
    <s v=" Not Achieved"/>
    <s v=" Excellent"/>
  </r>
  <r>
    <x v="2994"/>
    <x v="2994"/>
    <s v="EMP_2995"/>
    <x v="0"/>
    <s v="EMP_2995HR"/>
    <x v="0"/>
    <x v="1"/>
    <n v="28264"/>
    <n v="5641"/>
    <n v="0"/>
    <n v="0"/>
    <s v="11/23/2022"/>
    <s v="11/23/2022"/>
    <d v="2026-02-11T00:00:00"/>
    <e v="#VALUE!"/>
    <n v="1"/>
    <n v="33905"/>
    <n v="16952.5"/>
    <s v=" Not Achieved"/>
    <s v="poor"/>
  </r>
  <r>
    <x v="2995"/>
    <x v="2995"/>
    <s v="EMP_2996"/>
    <x v="1"/>
    <s v="EMP_2996HR"/>
    <x v="0"/>
    <x v="4"/>
    <n v="27569"/>
    <n v="8794"/>
    <n v="0"/>
    <n v="0"/>
    <s v="12/22/2023"/>
    <s v="12/22/2023"/>
    <d v="2026-02-11T00:00:00"/>
    <e v="#VALUE!"/>
    <n v="5"/>
    <n v="36363"/>
    <n v="18181.5"/>
    <s v=" Not Achieved"/>
    <s v="poor"/>
  </r>
  <r>
    <x v="2996"/>
    <x v="2996"/>
    <s v="EMP_2997"/>
    <x v="0"/>
    <s v="EMP_2997IT"/>
    <x v="3"/>
    <x v="1"/>
    <n v="60714"/>
    <n v="4186"/>
    <n v="0"/>
    <n v="0"/>
    <s v="2/21/2020"/>
    <s v="2/21/2020"/>
    <d v="2026-02-11T00:00:00"/>
    <e v="#VALUE!"/>
    <n v="4"/>
    <n v="64900"/>
    <n v="32450"/>
    <s v=" Not Achieved"/>
    <s v=" Excellent"/>
  </r>
  <r>
    <x v="2997"/>
    <x v="2997"/>
    <s v="EMP_2998"/>
    <x v="1"/>
    <s v="EMP_2998HR"/>
    <x v="0"/>
    <x v="3"/>
    <n v="46055"/>
    <n v="11210"/>
    <n v="0"/>
    <n v="0"/>
    <d v="2023-09-08T00:00:00"/>
    <s v="2023"/>
    <d v="2026-02-11T00:00:00"/>
    <n v="2"/>
    <n v="2"/>
    <n v="57265"/>
    <n v="28632.5"/>
    <s v=" Not Achieved"/>
    <s v="Good"/>
  </r>
  <r>
    <x v="2998"/>
    <x v="2998"/>
    <s v="EMP_2999"/>
    <x v="0"/>
    <s v="EMP_2999Finance"/>
    <x v="2"/>
    <x v="4"/>
    <n v="22097"/>
    <n v="3473"/>
    <n v="0"/>
    <n v="0"/>
    <s v="5/23/2023"/>
    <s v="5/23/2023"/>
    <d v="2026-02-11T00:00:00"/>
    <e v="#VALUE!"/>
    <n v="4"/>
    <n v="25570"/>
    <n v="12785"/>
    <s v=" Not Achieved"/>
    <s v="poor"/>
  </r>
  <r>
    <x v="2999"/>
    <x v="2999"/>
    <s v="EMP_3000"/>
    <x v="1"/>
    <s v="EMP_3000Marketing"/>
    <x v="4"/>
    <x v="2"/>
    <n v="36594"/>
    <n v="12527"/>
    <n v="0"/>
    <n v="0"/>
    <s v="9/28/2021"/>
    <s v="9/28/2021"/>
    <d v="2026-02-11T00:00:00"/>
    <e v="#VALUE!"/>
    <n v="5"/>
    <n v="49121"/>
    <n v="24560.5"/>
    <s v=" Not Achieved"/>
    <s v="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E1670-2DA3-43FA-BDA5-71593DD4D203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9" firstHeaderRow="1" firstDataRow="1" firstDataCol="1" rowPageCount="1" colPageCount="1"/>
  <pivotFields count="20"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" showAll="0"/>
    <pivotField showAll="0"/>
    <pivotField showAll="0"/>
  </pivotFields>
  <rowFields count="1">
    <field x="6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pageFields count="1">
    <pageField fld="3" item="0" hier="-1"/>
  </pageFields>
  <dataFields count="1">
    <dataField name="Count of Emp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2F61-A9D8-4D75-8CAD-F97C1DA11A94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U9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numFmtId="1" showAll="0"/>
    <pivotField showAll="0"/>
    <pivotField showAll="0"/>
  </pivotFields>
  <rowFields count="1">
    <field x="5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Average of Performance Rating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6E34D-31E4-4A4B-BCAD-0DC757EECA65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9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numFmtId="1" showAll="0"/>
    <pivotField showAll="0"/>
    <pivotField showAll="0"/>
  </pivotFields>
  <rowFields count="1">
    <field x="5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Total incom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C0A8D-27AA-46D3-AE71-8F3574CF56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numFmtId="1" showAll="0"/>
    <pivotField showAll="0"/>
    <pivotField showAll="0"/>
  </pivotFields>
  <rowFields count="1">
    <field x="5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avg salary" fld="1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AD15F-D827-4626-8490-49379307F5D7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9" firstHeaderRow="0" firstDataRow="1" firstDataCol="1" rowPageCount="1" colPageCount="1"/>
  <pivotFields count="20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Page" showAll="0">
      <items count="6">
        <item x="4"/>
        <item x="0"/>
        <item x="2"/>
        <item x="3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"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Average of Salary" fld="7" subtotal="average" baseField="0" baseItem="0"/>
    <dataField name="Sum of Bonu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AE781-2EE6-487E-8532-6BAB2AED51E7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641" firstHeaderRow="1" firstDataRow="1" firstDataCol="1"/>
  <pivotFields count="20">
    <pivotField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axis="axisRow" showAll="0" measureFilter="1" sortType="ascending">
      <items count="30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numFmtId="1" showAll="0"/>
    <pivotField showAll="0"/>
    <pivotField showAll="0"/>
  </pivotFields>
  <rowFields count="1">
    <field x="1"/>
  </rowFields>
  <rowItems count="638">
    <i>
      <x v="723"/>
    </i>
    <i>
      <x v="4"/>
    </i>
    <i>
      <x v="727"/>
    </i>
    <i>
      <x v="14"/>
    </i>
    <i>
      <x v="731"/>
    </i>
    <i>
      <x v="24"/>
    </i>
    <i>
      <x v="738"/>
    </i>
    <i>
      <x v="26"/>
    </i>
    <i>
      <x v="752"/>
    </i>
    <i>
      <x v="50"/>
    </i>
    <i>
      <x v="754"/>
    </i>
    <i>
      <x v="58"/>
    </i>
    <i>
      <x v="757"/>
    </i>
    <i>
      <x v="64"/>
    </i>
    <i>
      <x v="759"/>
    </i>
    <i>
      <x v="79"/>
    </i>
    <i>
      <x v="768"/>
    </i>
    <i>
      <x v="81"/>
    </i>
    <i>
      <x v="770"/>
    </i>
    <i>
      <x v="94"/>
    </i>
    <i>
      <x v="771"/>
    </i>
    <i>
      <x v="119"/>
    </i>
    <i>
      <x v="781"/>
    </i>
    <i>
      <x v="121"/>
    </i>
    <i>
      <x v="783"/>
    </i>
    <i>
      <x v="132"/>
    </i>
    <i>
      <x v="785"/>
    </i>
    <i>
      <x v="155"/>
    </i>
    <i>
      <x v="786"/>
    </i>
    <i>
      <x v="163"/>
    </i>
    <i>
      <x v="787"/>
    </i>
    <i>
      <x v="167"/>
    </i>
    <i>
      <x v="790"/>
    </i>
    <i>
      <x v="172"/>
    </i>
    <i>
      <x v="793"/>
    </i>
    <i>
      <x v="175"/>
    </i>
    <i>
      <x v="794"/>
    </i>
    <i>
      <x v="188"/>
    </i>
    <i>
      <x v="800"/>
    </i>
    <i>
      <x v="203"/>
    </i>
    <i>
      <x v="801"/>
    </i>
    <i>
      <x v="209"/>
    </i>
    <i>
      <x v="812"/>
    </i>
    <i>
      <x v="219"/>
    </i>
    <i>
      <x v="813"/>
    </i>
    <i>
      <x v="222"/>
    </i>
    <i>
      <x v="820"/>
    </i>
    <i>
      <x v="227"/>
    </i>
    <i>
      <x v="824"/>
    </i>
    <i>
      <x v="232"/>
    </i>
    <i>
      <x v="840"/>
    </i>
    <i>
      <x v="242"/>
    </i>
    <i>
      <x v="848"/>
    </i>
    <i>
      <x v="247"/>
    </i>
    <i>
      <x v="851"/>
    </i>
    <i>
      <x v="249"/>
    </i>
    <i>
      <x v="854"/>
    </i>
    <i>
      <x v="252"/>
    </i>
    <i>
      <x v="859"/>
    </i>
    <i>
      <x v="261"/>
    </i>
    <i>
      <x v="863"/>
    </i>
    <i>
      <x v="281"/>
    </i>
    <i>
      <x v="864"/>
    </i>
    <i>
      <x v="296"/>
    </i>
    <i>
      <x v="865"/>
    </i>
    <i>
      <x v="308"/>
    </i>
    <i>
      <x v="866"/>
    </i>
    <i>
      <x v="310"/>
    </i>
    <i>
      <x v="870"/>
    </i>
    <i>
      <x v="318"/>
    </i>
    <i>
      <x v="878"/>
    </i>
    <i>
      <x v="329"/>
    </i>
    <i>
      <x v="882"/>
    </i>
    <i>
      <x v="333"/>
    </i>
    <i>
      <x v="884"/>
    </i>
    <i>
      <x v="341"/>
    </i>
    <i>
      <x v="887"/>
    </i>
    <i>
      <x v="350"/>
    </i>
    <i>
      <x v="894"/>
    </i>
    <i>
      <x v="361"/>
    </i>
    <i>
      <x v="903"/>
    </i>
    <i>
      <x v="366"/>
    </i>
    <i>
      <x v="909"/>
    </i>
    <i>
      <x v="384"/>
    </i>
    <i>
      <x v="917"/>
    </i>
    <i>
      <x v="387"/>
    </i>
    <i>
      <x v="934"/>
    </i>
    <i>
      <x v="393"/>
    </i>
    <i>
      <x v="935"/>
    </i>
    <i>
      <x v="411"/>
    </i>
    <i>
      <x v="939"/>
    </i>
    <i>
      <x v="424"/>
    </i>
    <i>
      <x v="949"/>
    </i>
    <i>
      <x v="430"/>
    </i>
    <i>
      <x v="953"/>
    </i>
    <i>
      <x v="434"/>
    </i>
    <i>
      <x v="956"/>
    </i>
    <i>
      <x v="437"/>
    </i>
    <i>
      <x v="962"/>
    </i>
    <i>
      <x v="447"/>
    </i>
    <i>
      <x v="963"/>
    </i>
    <i>
      <x v="456"/>
    </i>
    <i>
      <x v="964"/>
    </i>
    <i>
      <x v="460"/>
    </i>
    <i>
      <x v="977"/>
    </i>
    <i>
      <x v="467"/>
    </i>
    <i>
      <x v="978"/>
    </i>
    <i>
      <x v="480"/>
    </i>
    <i>
      <x v="983"/>
    </i>
    <i>
      <x v="485"/>
    </i>
    <i>
      <x v="993"/>
    </i>
    <i>
      <x v="488"/>
    </i>
    <i>
      <x v="994"/>
    </i>
    <i>
      <x v="499"/>
    </i>
    <i>
      <x v="999"/>
    </i>
    <i>
      <x v="503"/>
    </i>
    <i>
      <x v="1004"/>
    </i>
    <i>
      <x v="514"/>
    </i>
    <i>
      <x v="1015"/>
    </i>
    <i>
      <x v="528"/>
    </i>
    <i>
      <x v="1019"/>
    </i>
    <i>
      <x v="556"/>
    </i>
    <i>
      <x v="1024"/>
    </i>
    <i>
      <x v="565"/>
    </i>
    <i>
      <x v="1031"/>
    </i>
    <i>
      <x v="571"/>
    </i>
    <i>
      <x v="1034"/>
    </i>
    <i>
      <x v="575"/>
    </i>
    <i>
      <x v="1038"/>
    </i>
    <i>
      <x v="585"/>
    </i>
    <i>
      <x v="1039"/>
    </i>
    <i>
      <x v="591"/>
    </i>
    <i>
      <x v="1041"/>
    </i>
    <i>
      <x v="608"/>
    </i>
    <i>
      <x v="1046"/>
    </i>
    <i>
      <x v="623"/>
    </i>
    <i>
      <x v="1049"/>
    </i>
    <i>
      <x v="626"/>
    </i>
    <i>
      <x v="1051"/>
    </i>
    <i>
      <x v="629"/>
    </i>
    <i>
      <x v="1053"/>
    </i>
    <i>
      <x v="643"/>
    </i>
    <i>
      <x v="1056"/>
    </i>
    <i>
      <x v="645"/>
    </i>
    <i>
      <x v="1057"/>
    </i>
    <i>
      <x v="662"/>
    </i>
    <i>
      <x v="1058"/>
    </i>
    <i>
      <x v="674"/>
    </i>
    <i>
      <x v="1065"/>
    </i>
    <i>
      <x v="679"/>
    </i>
    <i>
      <x v="1070"/>
    </i>
    <i>
      <x v="687"/>
    </i>
    <i>
      <x v="1079"/>
    </i>
    <i>
      <x v="711"/>
    </i>
    <i>
      <x v="1087"/>
    </i>
    <i>
      <x v="713"/>
    </i>
    <i>
      <x v="1094"/>
    </i>
    <i>
      <x v="717"/>
    </i>
    <i>
      <x v="1097"/>
    </i>
    <i>
      <x v="721"/>
    </i>
    <i>
      <x v="1102"/>
    </i>
    <i>
      <x v="20"/>
    </i>
    <i>
      <x v="1112"/>
    </i>
    <i>
      <x v="42"/>
    </i>
    <i>
      <x v="1126"/>
    </i>
    <i>
      <x v="61"/>
    </i>
    <i>
      <x v="1130"/>
    </i>
    <i>
      <x v="80"/>
    </i>
    <i>
      <x v="1135"/>
    </i>
    <i>
      <x v="99"/>
    </i>
    <i>
      <x v="1136"/>
    </i>
    <i>
      <x v="124"/>
    </i>
    <i>
      <x v="1144"/>
    </i>
    <i>
      <x v="158"/>
    </i>
    <i>
      <x v="1148"/>
    </i>
    <i>
      <x v="169"/>
    </i>
    <i>
      <x v="1158"/>
    </i>
    <i>
      <x v="178"/>
    </i>
    <i>
      <x v="1159"/>
    </i>
    <i>
      <x v="207"/>
    </i>
    <i>
      <x v="1161"/>
    </i>
    <i>
      <x v="221"/>
    </i>
    <i>
      <x v="1164"/>
    </i>
    <i>
      <x v="230"/>
    </i>
    <i>
      <x v="1165"/>
    </i>
    <i>
      <x v="246"/>
    </i>
    <i>
      <x v="1173"/>
    </i>
    <i>
      <x v="250"/>
    </i>
    <i>
      <x v="1197"/>
    </i>
    <i>
      <x v="267"/>
    </i>
    <i>
      <x v="1199"/>
    </i>
    <i>
      <x v="297"/>
    </i>
    <i>
      <x v="1200"/>
    </i>
    <i>
      <x v="317"/>
    </i>
    <i>
      <x v="1211"/>
    </i>
    <i>
      <x v="330"/>
    </i>
    <i>
      <x v="1217"/>
    </i>
    <i>
      <x v="342"/>
    </i>
    <i>
      <x v="1223"/>
    </i>
    <i>
      <x v="365"/>
    </i>
    <i>
      <x v="1243"/>
    </i>
    <i>
      <x v="386"/>
    </i>
    <i>
      <x v="1247"/>
    </i>
    <i>
      <x v="403"/>
    </i>
    <i>
      <x v="1249"/>
    </i>
    <i>
      <x v="426"/>
    </i>
    <i>
      <x v="1250"/>
    </i>
    <i>
      <x v="436"/>
    </i>
    <i>
      <x v="1255"/>
    </i>
    <i>
      <x v="453"/>
    </i>
    <i>
      <x v="1269"/>
    </i>
    <i>
      <x v="465"/>
    </i>
    <i>
      <x v="1270"/>
    </i>
    <i>
      <x v="481"/>
    </i>
    <i>
      <x v="1275"/>
    </i>
    <i>
      <x v="491"/>
    </i>
    <i>
      <x v="1284"/>
    </i>
    <i>
      <x v="509"/>
    </i>
    <i>
      <x v="1286"/>
    </i>
    <i>
      <x v="548"/>
    </i>
    <i>
      <x v="1287"/>
    </i>
    <i>
      <x v="569"/>
    </i>
    <i>
      <x v="1289"/>
    </i>
    <i>
      <x v="578"/>
    </i>
    <i>
      <x v="1306"/>
    </i>
    <i>
      <x v="603"/>
    </i>
    <i>
      <x v="1309"/>
    </i>
    <i>
      <x v="625"/>
    </i>
    <i>
      <x v="1312"/>
    </i>
    <i>
      <x v="636"/>
    </i>
    <i>
      <x v="1322"/>
    </i>
    <i>
      <x v="646"/>
    </i>
    <i>
      <x v="1323"/>
    </i>
    <i>
      <x v="676"/>
    </i>
    <i>
      <x v="1326"/>
    </i>
    <i>
      <x v="709"/>
    </i>
    <i>
      <x v="1331"/>
    </i>
    <i>
      <x v="714"/>
    </i>
    <i>
      <x v="1335"/>
    </i>
    <i>
      <x v="6"/>
    </i>
    <i>
      <x v="1336"/>
    </i>
    <i>
      <x v="52"/>
    </i>
    <i>
      <x v="1339"/>
    </i>
    <i>
      <x v="85"/>
    </i>
    <i>
      <x v="1344"/>
    </i>
    <i>
      <x v="150"/>
    </i>
    <i>
      <x v="1345"/>
    </i>
    <i>
      <x v="174"/>
    </i>
    <i>
      <x v="1346"/>
    </i>
    <i>
      <x v="210"/>
    </i>
    <i>
      <x v="1352"/>
    </i>
    <i>
      <x v="234"/>
    </i>
    <i>
      <x v="1358"/>
    </i>
    <i>
      <x v="257"/>
    </i>
    <i>
      <x v="1363"/>
    </i>
    <i>
      <x v="309"/>
    </i>
    <i>
      <x v="1364"/>
    </i>
    <i>
      <x v="336"/>
    </i>
    <i>
      <x v="1368"/>
    </i>
    <i>
      <x v="373"/>
    </i>
    <i>
      <x v="1371"/>
    </i>
    <i>
      <x v="414"/>
    </i>
    <i>
      <x v="1373"/>
    </i>
    <i>
      <x v="441"/>
    </i>
    <i>
      <x v="1390"/>
    </i>
    <i>
      <x v="478"/>
    </i>
    <i>
      <x v="1399"/>
    </i>
    <i>
      <x v="502"/>
    </i>
    <i>
      <x v="1402"/>
    </i>
    <i>
      <x v="564"/>
    </i>
    <i>
      <x v="1407"/>
    </i>
    <i>
      <x v="588"/>
    </i>
    <i>
      <x v="1415"/>
    </i>
    <i>
      <x v="627"/>
    </i>
    <i>
      <x v="1422"/>
    </i>
    <i>
      <x v="665"/>
    </i>
    <i>
      <x v="1423"/>
    </i>
    <i>
      <x v="712"/>
    </i>
    <i>
      <x v="1429"/>
    </i>
    <i>
      <x v="25"/>
    </i>
    <i>
      <x v="1432"/>
    </i>
    <i>
      <x v="120"/>
    </i>
    <i>
      <x v="1439"/>
    </i>
    <i>
      <x v="199"/>
    </i>
    <i>
      <x v="1449"/>
    </i>
    <i>
      <x v="248"/>
    </i>
    <i>
      <x v="1453"/>
    </i>
    <i>
      <x v="323"/>
    </i>
    <i>
      <x v="1455"/>
    </i>
    <i>
      <x v="389"/>
    </i>
    <i>
      <x v="1457"/>
    </i>
    <i>
      <x v="457"/>
    </i>
    <i>
      <x v="1458"/>
    </i>
    <i>
      <x v="523"/>
    </i>
    <i>
      <x v="1466"/>
    </i>
    <i>
      <x v="618"/>
    </i>
    <i>
      <x v="1469"/>
    </i>
    <i>
      <x v="680"/>
    </i>
    <i>
      <x v="1471"/>
    </i>
    <i>
      <x v="67"/>
    </i>
    <i>
      <x v="1483"/>
    </i>
    <i>
      <x v="224"/>
    </i>
    <i>
      <x v="1484"/>
    </i>
    <i>
      <x v="352"/>
    </i>
    <i>
      <x v="1486"/>
    </i>
    <i>
      <x v="487"/>
    </i>
    <i>
      <x v="1490"/>
    </i>
    <i>
      <x v="644"/>
    </i>
    <i>
      <x v="1508"/>
    </i>
    <i>
      <x v="166"/>
    </i>
    <i>
      <x v="1516"/>
    </i>
    <i>
      <x v="431"/>
    </i>
    <i>
      <x v="1517"/>
    </i>
    <i>
      <x v="719"/>
    </i>
    <i>
      <x v="1519"/>
    </i>
    <i>
      <x v="573"/>
    </i>
    <i>
      <x v="1520"/>
    </i>
    <i>
      <x v="286"/>
    </i>
    <i>
      <x v="1523"/>
    </i>
    <i>
      <x v="2248"/>
    </i>
    <i>
      <x v="2250"/>
    </i>
    <i>
      <x v="1528"/>
    </i>
    <i>
      <x v="2253"/>
    </i>
    <i>
      <x v="1541"/>
    </i>
    <i>
      <x v="2256"/>
    </i>
    <i>
      <x v="1544"/>
    </i>
    <i>
      <x v="2258"/>
    </i>
    <i>
      <x v="1551"/>
    </i>
    <i>
      <x v="2262"/>
    </i>
    <i>
      <x v="1567"/>
    </i>
    <i>
      <x v="2263"/>
    </i>
    <i>
      <x v="1575"/>
    </i>
    <i>
      <x v="2265"/>
    </i>
    <i>
      <x v="1581"/>
    </i>
    <i>
      <x v="2275"/>
    </i>
    <i>
      <x v="1591"/>
    </i>
    <i>
      <x v="2276"/>
    </i>
    <i>
      <x v="1594"/>
    </i>
    <i>
      <x v="2278"/>
    </i>
    <i>
      <x v="1603"/>
    </i>
    <i>
      <x v="2287"/>
    </i>
    <i>
      <x v="1607"/>
    </i>
    <i>
      <x v="2288"/>
    </i>
    <i>
      <x v="1623"/>
    </i>
    <i>
      <x v="2291"/>
    </i>
    <i>
      <x v="1630"/>
    </i>
    <i>
      <x v="2298"/>
    </i>
    <i>
      <x v="1634"/>
    </i>
    <i>
      <x v="2303"/>
    </i>
    <i>
      <x v="1645"/>
    </i>
    <i>
      <x v="2306"/>
    </i>
    <i>
      <x v="1669"/>
    </i>
    <i>
      <x v="2315"/>
    </i>
    <i>
      <x v="1674"/>
    </i>
    <i>
      <x v="2320"/>
    </i>
    <i>
      <x v="1680"/>
    </i>
    <i>
      <x v="2323"/>
    </i>
    <i>
      <x v="1684"/>
    </i>
    <i>
      <x v="2336"/>
    </i>
    <i>
      <x v="1689"/>
    </i>
    <i>
      <x v="2337"/>
    </i>
    <i>
      <x v="1696"/>
    </i>
    <i>
      <x v="2342"/>
    </i>
    <i>
      <x v="1702"/>
    </i>
    <i>
      <x v="2355"/>
    </i>
    <i>
      <x v="1723"/>
    </i>
    <i>
      <x v="2365"/>
    </i>
    <i>
      <x v="1731"/>
    </i>
    <i>
      <x v="2368"/>
    </i>
    <i>
      <x v="1752"/>
    </i>
    <i>
      <x v="2374"/>
    </i>
    <i>
      <x v="1768"/>
    </i>
    <i>
      <x v="2379"/>
    </i>
    <i>
      <x v="1780"/>
    </i>
    <i>
      <x v="2380"/>
    </i>
    <i>
      <x v="1787"/>
    </i>
    <i>
      <x v="2384"/>
    </i>
    <i>
      <x v="1797"/>
    </i>
    <i>
      <x v="2398"/>
    </i>
    <i>
      <x v="1803"/>
    </i>
    <i>
      <x v="2402"/>
    </i>
    <i>
      <x v="1807"/>
    </i>
    <i>
      <x v="2405"/>
    </i>
    <i>
      <x v="1814"/>
    </i>
    <i>
      <x v="2415"/>
    </i>
    <i>
      <x v="1835"/>
    </i>
    <i>
      <x v="2427"/>
    </i>
    <i>
      <x v="1843"/>
    </i>
    <i>
      <x v="2429"/>
    </i>
    <i>
      <x v="1845"/>
    </i>
    <i>
      <x v="2437"/>
    </i>
    <i>
      <x v="1854"/>
    </i>
    <i>
      <x v="2439"/>
    </i>
    <i>
      <x v="1870"/>
    </i>
    <i>
      <x v="2448"/>
    </i>
    <i>
      <x v="1874"/>
    </i>
    <i>
      <x v="2450"/>
    </i>
    <i>
      <x v="1881"/>
    </i>
    <i>
      <x v="2452"/>
    </i>
    <i>
      <x v="1888"/>
    </i>
    <i>
      <x v="2455"/>
    </i>
    <i>
      <x v="1929"/>
    </i>
    <i>
      <x v="2456"/>
    </i>
    <i>
      <x v="1932"/>
    </i>
    <i>
      <x v="2460"/>
    </i>
    <i>
      <x v="1937"/>
    </i>
    <i>
      <x v="2462"/>
    </i>
    <i>
      <x v="1941"/>
    </i>
    <i>
      <x v="2468"/>
    </i>
    <i>
      <x v="1960"/>
    </i>
    <i>
      <x v="2473"/>
    </i>
    <i>
      <x v="1964"/>
    </i>
    <i>
      <x v="2474"/>
    </i>
    <i>
      <x v="1968"/>
    </i>
    <i>
      <x v="2476"/>
    </i>
    <i>
      <x v="1974"/>
    </i>
    <i>
      <x v="2483"/>
    </i>
    <i>
      <x v="1979"/>
    </i>
    <i>
      <x v="2489"/>
    </i>
    <i>
      <x v="1984"/>
    </i>
    <i>
      <x v="2490"/>
    </i>
    <i>
      <x v="1987"/>
    </i>
    <i>
      <x v="2502"/>
    </i>
    <i>
      <x v="1999"/>
    </i>
    <i>
      <x v="2505"/>
    </i>
    <i>
      <x v="2001"/>
    </i>
    <i>
      <x v="2507"/>
    </i>
    <i>
      <x v="2014"/>
    </i>
    <i>
      <x v="2523"/>
    </i>
    <i>
      <x v="2026"/>
    </i>
    <i>
      <x v="2525"/>
    </i>
    <i>
      <x v="2037"/>
    </i>
    <i>
      <x v="2528"/>
    </i>
    <i>
      <x v="2046"/>
    </i>
    <i>
      <x v="2535"/>
    </i>
    <i>
      <x v="2048"/>
    </i>
    <i>
      <x v="2537"/>
    </i>
    <i>
      <x v="2057"/>
    </i>
    <i>
      <x v="2546"/>
    </i>
    <i>
      <x v="2070"/>
    </i>
    <i>
      <x v="2551"/>
    </i>
    <i>
      <x v="2076"/>
    </i>
    <i>
      <x v="2552"/>
    </i>
    <i>
      <x v="2083"/>
    </i>
    <i>
      <x v="2556"/>
    </i>
    <i>
      <x v="2092"/>
    </i>
    <i>
      <x v="2557"/>
    </i>
    <i>
      <x v="2098"/>
    </i>
    <i>
      <x v="2568"/>
    </i>
    <i>
      <x v="2110"/>
    </i>
    <i>
      <x v="2577"/>
    </i>
    <i>
      <x v="2125"/>
    </i>
    <i>
      <x v="2578"/>
    </i>
    <i>
      <x v="2139"/>
    </i>
    <i>
      <x v="2579"/>
    </i>
    <i>
      <x v="2141"/>
    </i>
    <i>
      <x v="2580"/>
    </i>
    <i>
      <x v="2148"/>
    </i>
    <i>
      <x v="2581"/>
    </i>
    <i>
      <x v="2157"/>
    </i>
    <i>
      <x v="2586"/>
    </i>
    <i>
      <x v="2163"/>
    </i>
    <i>
      <x v="2590"/>
    </i>
    <i>
      <x v="2182"/>
    </i>
    <i>
      <x v="2595"/>
    </i>
    <i>
      <x v="2197"/>
    </i>
    <i>
      <x v="2599"/>
    </i>
    <i>
      <x v="2203"/>
    </i>
    <i>
      <x v="2600"/>
    </i>
    <i>
      <x v="2214"/>
    </i>
    <i>
      <x v="2603"/>
    </i>
    <i>
      <x v="2224"/>
    </i>
    <i>
      <x v="2604"/>
    </i>
    <i>
      <x v="2238"/>
    </i>
    <i>
      <x v="2614"/>
    </i>
    <i>
      <x v="2243"/>
    </i>
    <i>
      <x v="2619"/>
    </i>
    <i>
      <x v="2247"/>
    </i>
    <i>
      <x v="2621"/>
    </i>
    <i>
      <x v="1537"/>
    </i>
    <i>
      <x v="2628"/>
    </i>
    <i>
      <x v="1545"/>
    </i>
    <i>
      <x v="2632"/>
    </i>
    <i>
      <x v="1573"/>
    </i>
    <i>
      <x v="2634"/>
    </i>
    <i>
      <x v="1587"/>
    </i>
    <i>
      <x v="2654"/>
    </i>
    <i>
      <x v="1595"/>
    </i>
    <i>
      <x v="2670"/>
    </i>
    <i>
      <x v="1622"/>
    </i>
    <i>
      <x v="2675"/>
    </i>
    <i>
      <x v="1631"/>
    </i>
    <i>
      <x v="2676"/>
    </i>
    <i>
      <x v="1648"/>
    </i>
    <i>
      <x v="2680"/>
    </i>
    <i>
      <x v="1678"/>
    </i>
    <i>
      <x v="2688"/>
    </i>
    <i>
      <x v="1686"/>
    </i>
    <i>
      <x v="2691"/>
    </i>
    <i>
      <x v="1699"/>
    </i>
    <i>
      <x v="2693"/>
    </i>
    <i>
      <x v="1726"/>
    </i>
    <i>
      <x v="2696"/>
    </i>
    <i>
      <x v="1765"/>
    </i>
    <i>
      <x v="2699"/>
    </i>
    <i>
      <x v="1785"/>
    </i>
    <i>
      <x v="2705"/>
    </i>
    <i>
      <x v="1798"/>
    </i>
    <i>
      <x v="2707"/>
    </i>
    <i>
      <x v="1808"/>
    </i>
    <i>
      <x v="2711"/>
    </i>
    <i>
      <x v="1839"/>
    </i>
    <i>
      <x v="2712"/>
    </i>
    <i>
      <x v="1849"/>
    </i>
    <i>
      <x v="2714"/>
    </i>
    <i>
      <x v="1873"/>
    </i>
    <i>
      <x v="2719"/>
    </i>
    <i>
      <x v="1886"/>
    </i>
    <i>
      <x v="2722"/>
    </i>
    <i>
      <x v="1931"/>
    </i>
    <i>
      <x v="2723"/>
    </i>
    <i>
      <x v="1940"/>
    </i>
    <i>
      <x v="2725"/>
    </i>
    <i>
      <x v="1961"/>
    </i>
    <i>
      <x v="2727"/>
    </i>
    <i>
      <x v="1971"/>
    </i>
    <i>
      <x v="2739"/>
    </i>
    <i>
      <x v="1983"/>
    </i>
    <i>
      <x v="2742"/>
    </i>
    <i>
      <x v="1990"/>
    </i>
    <i>
      <x v="2747"/>
    </i>
    <i>
      <x v="2002"/>
    </i>
    <i>
      <x v="2751"/>
    </i>
    <i>
      <x v="2030"/>
    </i>
    <i>
      <x v="2752"/>
    </i>
    <i>
      <x v="2047"/>
    </i>
    <i>
      <x v="2753"/>
    </i>
    <i>
      <x v="2059"/>
    </i>
    <i>
      <x v="2757"/>
    </i>
    <i>
      <x v="2082"/>
    </i>
    <i>
      <x v="2759"/>
    </i>
    <i>
      <x v="2097"/>
    </i>
    <i>
      <x v="2760"/>
    </i>
    <i>
      <x v="2112"/>
    </i>
    <i>
      <x v="2762"/>
    </i>
    <i>
      <x v="2140"/>
    </i>
    <i>
      <x v="2773"/>
    </i>
    <i>
      <x v="2149"/>
    </i>
    <i>
      <x v="2774"/>
    </i>
    <i>
      <x v="2176"/>
    </i>
    <i>
      <x v="2789"/>
    </i>
    <i>
      <x v="2198"/>
    </i>
    <i>
      <x v="2791"/>
    </i>
    <i>
      <x v="2217"/>
    </i>
    <i>
      <x v="2797"/>
    </i>
    <i>
      <x v="2240"/>
    </i>
    <i>
      <x v="2801"/>
    </i>
    <i>
      <x v="1525"/>
    </i>
    <i>
      <x v="2812"/>
    </i>
    <i>
      <x v="1562"/>
    </i>
    <i>
      <x v="2818"/>
    </i>
    <i>
      <x v="1593"/>
    </i>
    <i>
      <x v="2820"/>
    </i>
    <i>
      <x v="1624"/>
    </i>
    <i>
      <x v="2826"/>
    </i>
    <i>
      <x v="1673"/>
    </i>
    <i>
      <x v="2832"/>
    </i>
    <i>
      <x v="1693"/>
    </i>
    <i>
      <x v="2836"/>
    </i>
    <i>
      <x v="1750"/>
    </i>
    <i>
      <x v="2838"/>
    </i>
    <i>
      <x v="1792"/>
    </i>
    <i>
      <x v="2840"/>
    </i>
    <i>
      <x v="1825"/>
    </i>
    <i>
      <x v="2844"/>
    </i>
    <i>
      <x v="1864"/>
    </i>
    <i>
      <x v="2847"/>
    </i>
    <i>
      <x v="1904"/>
    </i>
    <i>
      <x v="2856"/>
    </i>
    <i>
      <x v="1949"/>
    </i>
    <i>
      <x v="2857"/>
    </i>
    <i>
      <x v="1975"/>
    </i>
    <i>
      <x v="2859"/>
    </i>
    <i>
      <x v="2000"/>
    </i>
    <i>
      <x v="2860"/>
    </i>
    <i>
      <x v="2044"/>
    </i>
    <i>
      <x v="2868"/>
    </i>
    <i>
      <x v="2072"/>
    </i>
    <i>
      <x v="2870"/>
    </i>
    <i>
      <x v="2107"/>
    </i>
    <i>
      <x v="2882"/>
    </i>
    <i>
      <x v="2143"/>
    </i>
    <i>
      <x v="2884"/>
    </i>
    <i>
      <x v="2183"/>
    </i>
    <i>
      <x v="2888"/>
    </i>
    <i>
      <x v="2232"/>
    </i>
    <i>
      <x v="2891"/>
    </i>
    <i>
      <x v="1543"/>
    </i>
    <i>
      <x v="2899"/>
    </i>
    <i>
      <x v="1606"/>
    </i>
    <i>
      <x v="2905"/>
    </i>
    <i>
      <x v="1682"/>
    </i>
    <i>
      <x v="2907"/>
    </i>
    <i>
      <x v="1778"/>
    </i>
    <i>
      <x v="2911"/>
    </i>
    <i>
      <x v="1844"/>
    </i>
    <i>
      <x v="2913"/>
    </i>
    <i>
      <x v="1935"/>
    </i>
    <i>
      <x v="2919"/>
    </i>
    <i>
      <x v="1986"/>
    </i>
    <i>
      <x v="2934"/>
    </i>
    <i>
      <x v="2054"/>
    </i>
    <i>
      <x v="2935"/>
    </i>
    <i>
      <x v="2130"/>
    </i>
    <i>
      <x v="2949"/>
    </i>
    <i>
      <x v="2209"/>
    </i>
    <i>
      <x v="2952"/>
    </i>
    <i>
      <x v="1578"/>
    </i>
    <i>
      <x v="2953"/>
    </i>
    <i>
      <x v="1705"/>
    </i>
    <i>
      <x v="2959"/>
    </i>
    <i>
      <x v="1878"/>
    </i>
    <i>
      <x v="2963"/>
    </i>
    <i>
      <x v="2015"/>
    </i>
    <i>
      <x v="2966"/>
    </i>
    <i>
      <x v="2158"/>
    </i>
    <i>
      <x v="2969"/>
    </i>
    <i>
      <x v="1637"/>
    </i>
    <i>
      <x v="2977"/>
    </i>
    <i>
      <x v="1967"/>
    </i>
    <i>
      <x v="2989"/>
    </i>
    <i>
      <x v="2244"/>
    </i>
    <i>
      <x v="2995"/>
    </i>
    <i>
      <x v="2084"/>
    </i>
    <i>
      <x v="2997"/>
    </i>
    <i>
      <x v="1806"/>
    </i>
    <i>
      <x v="2999"/>
    </i>
    <i t="grand">
      <x/>
    </i>
  </rowItems>
  <colItems count="1">
    <i/>
  </colItems>
  <dataFields count="1">
    <dataField name="Sum of Performance Rating" fld="15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715FB-E8BF-4E19-9FA6-4D37EABCC81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20">
    <pivotField showAll="0" measureFilter="1" sortType="descending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>
      <items count="30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" showAll="0"/>
    <pivotField showAll="0"/>
    <pivotField showAll="0"/>
  </pivotFields>
  <rowFields count="1">
    <field x="1"/>
  </rowFields>
  <rowItems count="11">
    <i>
      <x v="299"/>
    </i>
    <i>
      <x v="386"/>
    </i>
    <i>
      <x v="608"/>
    </i>
    <i>
      <x v="642"/>
    </i>
    <i>
      <x v="735"/>
    </i>
    <i>
      <x v="1567"/>
    </i>
    <i>
      <x v="1990"/>
    </i>
    <i>
      <x v="2266"/>
    </i>
    <i>
      <x v="2275"/>
    </i>
    <i>
      <x v="2512"/>
    </i>
    <i t="grand">
      <x/>
    </i>
  </rowItems>
  <colItems count="1">
    <i/>
  </colItems>
  <dataFields count="1">
    <dataField name="Sum of Salary" fld="7" baseField="0" baseItem="0"/>
  </dataField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7690D-BC7F-4315-8368-D15FB934027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9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" showAll="0"/>
    <pivotField showAll="0"/>
    <pivotField showAll="0"/>
  </pivotFields>
  <rowFields count="1">
    <field x="6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Count of Emp_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57F9-641D-489C-AA7D-89EC3A1F0233}">
  <dimension ref="A1:X641"/>
  <sheetViews>
    <sheetView topLeftCell="R1" workbookViewId="0">
      <selection activeCell="Z3" sqref="Z3"/>
    </sheetView>
  </sheetViews>
  <sheetFormatPr defaultRowHeight="14.4" x14ac:dyDescent="0.3"/>
  <cols>
    <col min="1" max="1" width="12.5546875" bestFit="1" customWidth="1"/>
    <col min="2" max="2" width="15.88671875" bestFit="1" customWidth="1"/>
    <col min="4" max="4" width="12.5546875" bestFit="1" customWidth="1"/>
    <col min="5" max="5" width="15.44140625" bestFit="1" customWidth="1"/>
    <col min="6" max="6" width="10.5546875" customWidth="1"/>
    <col min="8" max="8" width="13.109375" customWidth="1"/>
    <col min="9" max="10" width="12.5546875" bestFit="1" customWidth="1"/>
    <col min="11" max="11" width="24.33203125" customWidth="1"/>
    <col min="13" max="13" width="11.44140625" customWidth="1"/>
    <col min="14" max="14" width="12.88671875" customWidth="1"/>
    <col min="15" max="15" width="12.5546875" customWidth="1"/>
    <col min="17" max="17" width="12.5546875" bestFit="1" customWidth="1"/>
    <col min="18" max="18" width="18.109375" customWidth="1"/>
    <col min="19" max="19" width="10.44140625" customWidth="1"/>
    <col min="20" max="20" width="12" customWidth="1"/>
    <col min="21" max="21" width="27.88671875" customWidth="1"/>
    <col min="22" max="22" width="11" customWidth="1"/>
    <col min="23" max="23" width="12.5546875" bestFit="1" customWidth="1"/>
    <col min="24" max="24" width="15.44140625" bestFit="1" customWidth="1"/>
    <col min="26" max="26" width="11.21875" customWidth="1"/>
    <col min="27" max="27" width="11.44140625" customWidth="1"/>
  </cols>
  <sheetData>
    <row r="1" spans="1:24" x14ac:dyDescent="0.3">
      <c r="M1" s="7" t="s">
        <v>4</v>
      </c>
      <c r="N1" t="s">
        <v>4121</v>
      </c>
      <c r="W1" s="7" t="s">
        <v>2</v>
      </c>
      <c r="X1" t="s">
        <v>15</v>
      </c>
    </row>
    <row r="3" spans="1:24" x14ac:dyDescent="0.3">
      <c r="A3" s="7" t="s">
        <v>4118</v>
      </c>
      <c r="B3" t="s">
        <v>4120</v>
      </c>
      <c r="D3" s="7" t="s">
        <v>4118</v>
      </c>
      <c r="E3" t="s">
        <v>4122</v>
      </c>
      <c r="G3" s="7" t="s">
        <v>4118</v>
      </c>
      <c r="H3" t="s">
        <v>4123</v>
      </c>
      <c r="J3" s="7" t="s">
        <v>4118</v>
      </c>
      <c r="K3" t="s">
        <v>4124</v>
      </c>
      <c r="M3" s="7" t="s">
        <v>4118</v>
      </c>
      <c r="N3" t="s">
        <v>4125</v>
      </c>
      <c r="O3" t="s">
        <v>4126</v>
      </c>
      <c r="Q3" s="7" t="s">
        <v>4118</v>
      </c>
      <c r="R3" t="s">
        <v>4128</v>
      </c>
      <c r="T3" s="7" t="s">
        <v>4118</v>
      </c>
      <c r="U3" t="s">
        <v>4129</v>
      </c>
      <c r="W3" s="7" t="s">
        <v>4118</v>
      </c>
      <c r="X3" t="s">
        <v>4122</v>
      </c>
    </row>
    <row r="4" spans="1:24" x14ac:dyDescent="0.3">
      <c r="A4" s="8" t="s">
        <v>24</v>
      </c>
      <c r="B4" s="2">
        <v>18352299</v>
      </c>
      <c r="D4" s="8" t="s">
        <v>13</v>
      </c>
      <c r="E4" s="9">
        <v>638</v>
      </c>
      <c r="G4" s="8" t="s">
        <v>1901</v>
      </c>
      <c r="H4">
        <v>79975</v>
      </c>
      <c r="J4" s="8" t="s">
        <v>288</v>
      </c>
      <c r="K4">
        <v>1</v>
      </c>
      <c r="M4" s="8" t="s">
        <v>18</v>
      </c>
      <c r="N4">
        <v>49884.818336162985</v>
      </c>
      <c r="O4">
        <v>4830230</v>
      </c>
      <c r="Q4" s="8" t="s">
        <v>24</v>
      </c>
      <c r="R4" s="9">
        <v>36704598</v>
      </c>
      <c r="T4" s="8" t="s">
        <v>12</v>
      </c>
      <c r="U4" s="9">
        <v>2.88</v>
      </c>
      <c r="W4" s="8" t="s">
        <v>13</v>
      </c>
      <c r="X4" s="9">
        <v>327</v>
      </c>
    </row>
    <row r="5" spans="1:24" x14ac:dyDescent="0.3">
      <c r="A5" s="8" t="s">
        <v>21</v>
      </c>
      <c r="B5" s="2">
        <v>17587025</v>
      </c>
      <c r="D5" s="8" t="s">
        <v>25</v>
      </c>
      <c r="E5" s="9">
        <v>627</v>
      </c>
      <c r="G5" s="8" t="s">
        <v>2011</v>
      </c>
      <c r="H5">
        <v>79955</v>
      </c>
      <c r="J5" s="8" t="s">
        <v>1522</v>
      </c>
      <c r="K5">
        <v>1</v>
      </c>
      <c r="M5" s="8" t="s">
        <v>12</v>
      </c>
      <c r="N5">
        <v>48889.816666666666</v>
      </c>
      <c r="O5">
        <v>5164119</v>
      </c>
      <c r="Q5" s="8" t="s">
        <v>21</v>
      </c>
      <c r="R5" s="9">
        <v>35174050</v>
      </c>
      <c r="T5" s="8" t="s">
        <v>7</v>
      </c>
      <c r="U5" s="9">
        <v>2.8949211908931698</v>
      </c>
      <c r="W5" s="8" t="s">
        <v>16</v>
      </c>
      <c r="X5" s="9">
        <v>324</v>
      </c>
    </row>
    <row r="6" spans="1:24" x14ac:dyDescent="0.3">
      <c r="A6" s="8" t="s">
        <v>12</v>
      </c>
      <c r="B6" s="2">
        <v>17249004.5</v>
      </c>
      <c r="D6" s="8" t="s">
        <v>16</v>
      </c>
      <c r="E6" s="9">
        <v>619</v>
      </c>
      <c r="G6" s="8" t="s">
        <v>2284</v>
      </c>
      <c r="H6">
        <v>79984</v>
      </c>
      <c r="J6" s="8" t="s">
        <v>2430</v>
      </c>
      <c r="K6">
        <v>1</v>
      </c>
      <c r="M6" s="8" t="s">
        <v>21</v>
      </c>
      <c r="N6">
        <v>49175.848932676519</v>
      </c>
      <c r="O6">
        <v>5225958</v>
      </c>
      <c r="Q6" s="8" t="s">
        <v>12</v>
      </c>
      <c r="R6" s="9">
        <v>34498009</v>
      </c>
      <c r="T6" s="8" t="s">
        <v>24</v>
      </c>
      <c r="U6" s="9">
        <v>2.9334389857369256</v>
      </c>
      <c r="W6" s="8" t="s">
        <v>25</v>
      </c>
      <c r="X6" s="9">
        <v>314</v>
      </c>
    </row>
    <row r="7" spans="1:24" x14ac:dyDescent="0.3">
      <c r="A7" s="8" t="s">
        <v>18</v>
      </c>
      <c r="B7" s="2">
        <v>17106194</v>
      </c>
      <c r="D7" s="8" t="s">
        <v>22</v>
      </c>
      <c r="E7" s="9">
        <v>592</v>
      </c>
      <c r="G7" s="8" t="s">
        <v>2330</v>
      </c>
      <c r="H7">
        <v>79950</v>
      </c>
      <c r="J7" s="8" t="s">
        <v>1535</v>
      </c>
      <c r="K7">
        <v>1</v>
      </c>
      <c r="M7" s="8" t="s">
        <v>24</v>
      </c>
      <c r="N7">
        <v>49653.380348652929</v>
      </c>
      <c r="O7">
        <v>5373315</v>
      </c>
      <c r="Q7" s="8" t="s">
        <v>18</v>
      </c>
      <c r="R7" s="9">
        <v>34212388</v>
      </c>
      <c r="T7" s="8" t="s">
        <v>18</v>
      </c>
      <c r="U7" s="9">
        <v>2.9541595925297113</v>
      </c>
      <c r="W7" s="8" t="s">
        <v>22</v>
      </c>
      <c r="X7" s="9">
        <v>295</v>
      </c>
    </row>
    <row r="8" spans="1:24" x14ac:dyDescent="0.3">
      <c r="A8" s="8" t="s">
        <v>7</v>
      </c>
      <c r="B8" s="2">
        <v>16239654.5</v>
      </c>
      <c r="D8" s="8" t="s">
        <v>19</v>
      </c>
      <c r="E8" s="9">
        <v>524</v>
      </c>
      <c r="G8" s="8" t="s">
        <v>2440</v>
      </c>
      <c r="H8">
        <v>79907</v>
      </c>
      <c r="J8" s="8" t="s">
        <v>2435</v>
      </c>
      <c r="K8">
        <v>1</v>
      </c>
      <c r="M8" s="8" t="s">
        <v>7</v>
      </c>
      <c r="N8">
        <v>48365.992994746062</v>
      </c>
      <c r="O8">
        <v>4862327</v>
      </c>
      <c r="Q8" s="8" t="s">
        <v>7</v>
      </c>
      <c r="R8" s="9">
        <v>32479309</v>
      </c>
      <c r="T8" s="8" t="s">
        <v>21</v>
      </c>
      <c r="U8" s="9">
        <v>2.9868637110016421</v>
      </c>
      <c r="W8" s="8" t="s">
        <v>19</v>
      </c>
      <c r="X8" s="9">
        <v>265</v>
      </c>
    </row>
    <row r="9" spans="1:24" x14ac:dyDescent="0.3">
      <c r="A9" s="8" t="s">
        <v>4119</v>
      </c>
      <c r="B9" s="2">
        <v>86534177</v>
      </c>
      <c r="D9" s="8" t="s">
        <v>4119</v>
      </c>
      <c r="E9" s="9">
        <v>3000</v>
      </c>
      <c r="G9" s="8" t="s">
        <v>3390</v>
      </c>
      <c r="H9">
        <v>79941</v>
      </c>
      <c r="J9" s="8" t="s">
        <v>184</v>
      </c>
      <c r="K9">
        <v>1</v>
      </c>
      <c r="M9" s="8" t="s">
        <v>4119</v>
      </c>
      <c r="N9">
        <v>49204.135000000002</v>
      </c>
      <c r="O9">
        <v>25455949</v>
      </c>
      <c r="Q9" s="8" t="s">
        <v>4119</v>
      </c>
      <c r="R9" s="9">
        <v>173068354</v>
      </c>
      <c r="T9" s="8" t="s">
        <v>4119</v>
      </c>
      <c r="U9" s="9">
        <v>2.9303333333333335</v>
      </c>
      <c r="W9" s="8" t="s">
        <v>4119</v>
      </c>
      <c r="X9" s="9">
        <v>1525</v>
      </c>
    </row>
    <row r="10" spans="1:24" x14ac:dyDescent="0.3">
      <c r="G10" s="8" t="s">
        <v>3854</v>
      </c>
      <c r="H10">
        <v>79881</v>
      </c>
      <c r="J10" s="8" t="s">
        <v>2444</v>
      </c>
      <c r="K10">
        <v>1</v>
      </c>
    </row>
    <row r="11" spans="1:24" x14ac:dyDescent="0.3">
      <c r="G11" s="8" t="s">
        <v>552</v>
      </c>
      <c r="H11">
        <v>79909</v>
      </c>
      <c r="J11" s="8" t="s">
        <v>1552</v>
      </c>
      <c r="K11">
        <v>1</v>
      </c>
    </row>
    <row r="12" spans="1:24" x14ac:dyDescent="0.3">
      <c r="G12" s="8" t="s">
        <v>564</v>
      </c>
      <c r="H12">
        <v>79952</v>
      </c>
      <c r="J12" s="8" t="s">
        <v>2462</v>
      </c>
      <c r="K12">
        <v>1</v>
      </c>
    </row>
    <row r="13" spans="1:24" x14ac:dyDescent="0.3">
      <c r="G13" s="8" t="s">
        <v>109</v>
      </c>
      <c r="H13">
        <v>79912</v>
      </c>
      <c r="J13" s="8" t="s">
        <v>1583</v>
      </c>
      <c r="K13">
        <v>1</v>
      </c>
    </row>
    <row r="14" spans="1:24" x14ac:dyDescent="0.3">
      <c r="G14" s="8" t="s">
        <v>4119</v>
      </c>
      <c r="H14">
        <v>799366</v>
      </c>
      <c r="J14" s="8" t="s">
        <v>2465</v>
      </c>
      <c r="K14">
        <v>1</v>
      </c>
    </row>
    <row r="15" spans="1:24" x14ac:dyDescent="0.3">
      <c r="J15" s="8" t="s">
        <v>1592</v>
      </c>
      <c r="K15">
        <v>1</v>
      </c>
    </row>
    <row r="16" spans="1:24" x14ac:dyDescent="0.3">
      <c r="J16" s="8" t="s">
        <v>2467</v>
      </c>
      <c r="K16">
        <v>1</v>
      </c>
    </row>
    <row r="17" spans="10:11" x14ac:dyDescent="0.3">
      <c r="J17" s="8" t="s">
        <v>1601</v>
      </c>
      <c r="K17">
        <v>1</v>
      </c>
    </row>
    <row r="18" spans="10:11" x14ac:dyDescent="0.3">
      <c r="J18" s="8" t="s">
        <v>2471</v>
      </c>
      <c r="K18">
        <v>1</v>
      </c>
    </row>
    <row r="19" spans="10:11" x14ac:dyDescent="0.3">
      <c r="J19" s="8" t="s">
        <v>192</v>
      </c>
      <c r="K19">
        <v>1</v>
      </c>
    </row>
    <row r="20" spans="10:11" x14ac:dyDescent="0.3">
      <c r="J20" s="8" t="s">
        <v>2481</v>
      </c>
      <c r="K20">
        <v>1</v>
      </c>
    </row>
    <row r="21" spans="10:11" x14ac:dyDescent="0.3">
      <c r="J21" s="8" t="s">
        <v>1621</v>
      </c>
      <c r="K21">
        <v>1</v>
      </c>
    </row>
    <row r="22" spans="10:11" x14ac:dyDescent="0.3">
      <c r="J22" s="8" t="s">
        <v>2483</v>
      </c>
      <c r="K22">
        <v>1</v>
      </c>
    </row>
    <row r="23" spans="10:11" x14ac:dyDescent="0.3">
      <c r="J23" s="8" t="s">
        <v>1637</v>
      </c>
      <c r="K23">
        <v>1</v>
      </c>
    </row>
    <row r="24" spans="10:11" x14ac:dyDescent="0.3">
      <c r="J24" s="8" t="s">
        <v>2484</v>
      </c>
      <c r="K24">
        <v>1</v>
      </c>
    </row>
    <row r="25" spans="10:11" x14ac:dyDescent="0.3">
      <c r="J25" s="8" t="s">
        <v>1669</v>
      </c>
      <c r="K25">
        <v>1</v>
      </c>
    </row>
    <row r="26" spans="10:11" x14ac:dyDescent="0.3">
      <c r="J26" s="8" t="s">
        <v>2494</v>
      </c>
      <c r="K26">
        <v>1</v>
      </c>
    </row>
    <row r="27" spans="10:11" x14ac:dyDescent="0.3">
      <c r="J27" s="8" t="s">
        <v>1672</v>
      </c>
      <c r="K27">
        <v>1</v>
      </c>
    </row>
    <row r="28" spans="10:11" x14ac:dyDescent="0.3">
      <c r="J28" s="8" t="s">
        <v>2497</v>
      </c>
      <c r="K28">
        <v>1</v>
      </c>
    </row>
    <row r="29" spans="10:11" x14ac:dyDescent="0.3">
      <c r="J29" s="8" t="s">
        <v>1687</v>
      </c>
      <c r="K29">
        <v>1</v>
      </c>
    </row>
    <row r="30" spans="10:11" x14ac:dyDescent="0.3">
      <c r="J30" s="8" t="s">
        <v>2500</v>
      </c>
      <c r="K30">
        <v>1</v>
      </c>
    </row>
    <row r="31" spans="10:11" x14ac:dyDescent="0.3">
      <c r="J31" s="8" t="s">
        <v>1718</v>
      </c>
      <c r="K31">
        <v>1</v>
      </c>
    </row>
    <row r="32" spans="10:11" x14ac:dyDescent="0.3">
      <c r="J32" s="8" t="s">
        <v>2502</v>
      </c>
      <c r="K32">
        <v>1</v>
      </c>
    </row>
    <row r="33" spans="10:11" x14ac:dyDescent="0.3">
      <c r="J33" s="8" t="s">
        <v>1727</v>
      </c>
      <c r="K33">
        <v>1</v>
      </c>
    </row>
    <row r="34" spans="10:11" x14ac:dyDescent="0.3">
      <c r="J34" s="8" t="s">
        <v>2503</v>
      </c>
      <c r="K34">
        <v>1</v>
      </c>
    </row>
    <row r="35" spans="10:11" x14ac:dyDescent="0.3">
      <c r="J35" s="8" t="s">
        <v>1734</v>
      </c>
      <c r="K35">
        <v>1</v>
      </c>
    </row>
    <row r="36" spans="10:11" x14ac:dyDescent="0.3">
      <c r="J36" s="8" t="s">
        <v>297</v>
      </c>
      <c r="K36">
        <v>1</v>
      </c>
    </row>
    <row r="37" spans="10:11" x14ac:dyDescent="0.3">
      <c r="J37" s="8" t="s">
        <v>1739</v>
      </c>
      <c r="K37">
        <v>1</v>
      </c>
    </row>
    <row r="38" spans="10:11" x14ac:dyDescent="0.3">
      <c r="J38" s="8" t="s">
        <v>2510</v>
      </c>
      <c r="K38">
        <v>1</v>
      </c>
    </row>
    <row r="39" spans="10:11" x14ac:dyDescent="0.3">
      <c r="J39" s="8" t="s">
        <v>1742</v>
      </c>
      <c r="K39">
        <v>1</v>
      </c>
    </row>
    <row r="40" spans="10:11" x14ac:dyDescent="0.3">
      <c r="J40" s="8" t="s">
        <v>2511</v>
      </c>
      <c r="K40">
        <v>1</v>
      </c>
    </row>
    <row r="41" spans="10:11" x14ac:dyDescent="0.3">
      <c r="J41" s="8" t="s">
        <v>1760</v>
      </c>
      <c r="K41">
        <v>1</v>
      </c>
    </row>
    <row r="42" spans="10:11" x14ac:dyDescent="0.3">
      <c r="J42" s="8" t="s">
        <v>2520</v>
      </c>
      <c r="K42">
        <v>1</v>
      </c>
    </row>
    <row r="43" spans="10:11" x14ac:dyDescent="0.3">
      <c r="J43" s="8" t="s">
        <v>1776</v>
      </c>
      <c r="K43">
        <v>1</v>
      </c>
    </row>
    <row r="44" spans="10:11" x14ac:dyDescent="0.3">
      <c r="J44" s="8" t="s">
        <v>298</v>
      </c>
      <c r="K44">
        <v>1</v>
      </c>
    </row>
    <row r="45" spans="10:11" x14ac:dyDescent="0.3">
      <c r="J45" s="8" t="s">
        <v>1785</v>
      </c>
      <c r="K45">
        <v>1</v>
      </c>
    </row>
    <row r="46" spans="10:11" x14ac:dyDescent="0.3">
      <c r="J46" s="8" t="s">
        <v>299</v>
      </c>
      <c r="K46">
        <v>1</v>
      </c>
    </row>
    <row r="47" spans="10:11" x14ac:dyDescent="0.3">
      <c r="J47" s="8" t="s">
        <v>1801</v>
      </c>
      <c r="K47">
        <v>1</v>
      </c>
    </row>
    <row r="48" spans="10:11" x14ac:dyDescent="0.3">
      <c r="J48" s="8" t="s">
        <v>2533</v>
      </c>
      <c r="K48">
        <v>1</v>
      </c>
    </row>
    <row r="49" spans="10:11" x14ac:dyDescent="0.3">
      <c r="J49" s="8" t="s">
        <v>1806</v>
      </c>
      <c r="K49">
        <v>1</v>
      </c>
    </row>
    <row r="50" spans="10:11" x14ac:dyDescent="0.3">
      <c r="J50" s="8" t="s">
        <v>2541</v>
      </c>
      <c r="K50">
        <v>1</v>
      </c>
    </row>
    <row r="51" spans="10:11" x14ac:dyDescent="0.3">
      <c r="J51" s="8" t="s">
        <v>1810</v>
      </c>
      <c r="K51">
        <v>1</v>
      </c>
    </row>
    <row r="52" spans="10:11" x14ac:dyDescent="0.3">
      <c r="J52" s="8" t="s">
        <v>2546</v>
      </c>
      <c r="K52">
        <v>1</v>
      </c>
    </row>
    <row r="53" spans="10:11" x14ac:dyDescent="0.3">
      <c r="J53" s="8" t="s">
        <v>1816</v>
      </c>
      <c r="K53">
        <v>1</v>
      </c>
    </row>
    <row r="54" spans="10:11" x14ac:dyDescent="0.3">
      <c r="J54" s="8" t="s">
        <v>2565</v>
      </c>
      <c r="K54">
        <v>1</v>
      </c>
    </row>
    <row r="55" spans="10:11" x14ac:dyDescent="0.3">
      <c r="J55" s="8" t="s">
        <v>1832</v>
      </c>
      <c r="K55">
        <v>1</v>
      </c>
    </row>
    <row r="56" spans="10:11" x14ac:dyDescent="0.3">
      <c r="J56" s="8" t="s">
        <v>2572</v>
      </c>
      <c r="K56">
        <v>1</v>
      </c>
    </row>
    <row r="57" spans="10:11" x14ac:dyDescent="0.3">
      <c r="J57" s="8" t="s">
        <v>1837</v>
      </c>
      <c r="K57">
        <v>1</v>
      </c>
    </row>
    <row r="58" spans="10:11" x14ac:dyDescent="0.3">
      <c r="J58" s="8" t="s">
        <v>2577</v>
      </c>
      <c r="K58">
        <v>1</v>
      </c>
    </row>
    <row r="59" spans="10:11" x14ac:dyDescent="0.3">
      <c r="J59" s="8" t="s">
        <v>1840</v>
      </c>
      <c r="K59">
        <v>1</v>
      </c>
    </row>
    <row r="60" spans="10:11" x14ac:dyDescent="0.3">
      <c r="J60" s="8" t="s">
        <v>2582</v>
      </c>
      <c r="K60">
        <v>1</v>
      </c>
    </row>
    <row r="61" spans="10:11" x14ac:dyDescent="0.3">
      <c r="J61" s="8" t="s">
        <v>1844</v>
      </c>
      <c r="K61">
        <v>1</v>
      </c>
    </row>
    <row r="62" spans="10:11" x14ac:dyDescent="0.3">
      <c r="J62" s="8" t="s">
        <v>2586</v>
      </c>
      <c r="K62">
        <v>1</v>
      </c>
    </row>
    <row r="63" spans="10:11" x14ac:dyDescent="0.3">
      <c r="J63" s="8" t="s">
        <v>1856</v>
      </c>
      <c r="K63">
        <v>1</v>
      </c>
    </row>
    <row r="64" spans="10:11" x14ac:dyDescent="0.3">
      <c r="J64" s="8" t="s">
        <v>2591</v>
      </c>
      <c r="K64">
        <v>1</v>
      </c>
    </row>
    <row r="65" spans="10:11" x14ac:dyDescent="0.3">
      <c r="J65" s="8" t="s">
        <v>1880</v>
      </c>
      <c r="K65">
        <v>1</v>
      </c>
    </row>
    <row r="66" spans="10:11" x14ac:dyDescent="0.3">
      <c r="J66" s="8" t="s">
        <v>2592</v>
      </c>
      <c r="K66">
        <v>1</v>
      </c>
    </row>
    <row r="67" spans="10:11" x14ac:dyDescent="0.3">
      <c r="J67" s="8" t="s">
        <v>1897</v>
      </c>
      <c r="K67">
        <v>1</v>
      </c>
    </row>
    <row r="68" spans="10:11" x14ac:dyDescent="0.3">
      <c r="J68" s="8" t="s">
        <v>2593</v>
      </c>
      <c r="K68">
        <v>1</v>
      </c>
    </row>
    <row r="69" spans="10:11" x14ac:dyDescent="0.3">
      <c r="J69" s="8" t="s">
        <v>1913</v>
      </c>
      <c r="K69">
        <v>1</v>
      </c>
    </row>
    <row r="70" spans="10:11" x14ac:dyDescent="0.3">
      <c r="J70" s="8" t="s">
        <v>2594</v>
      </c>
      <c r="K70">
        <v>1</v>
      </c>
    </row>
    <row r="71" spans="10:11" x14ac:dyDescent="0.3">
      <c r="J71" s="8" t="s">
        <v>1916</v>
      </c>
      <c r="K71">
        <v>1</v>
      </c>
    </row>
    <row r="72" spans="10:11" x14ac:dyDescent="0.3">
      <c r="J72" s="8" t="s">
        <v>2598</v>
      </c>
      <c r="K72">
        <v>1</v>
      </c>
    </row>
    <row r="73" spans="10:11" x14ac:dyDescent="0.3">
      <c r="J73" s="8" t="s">
        <v>1926</v>
      </c>
      <c r="K73">
        <v>1</v>
      </c>
    </row>
    <row r="74" spans="10:11" x14ac:dyDescent="0.3">
      <c r="J74" s="8" t="s">
        <v>309</v>
      </c>
      <c r="K74">
        <v>1</v>
      </c>
    </row>
    <row r="75" spans="10:11" x14ac:dyDescent="0.3">
      <c r="J75" s="8" t="s">
        <v>1940</v>
      </c>
      <c r="K75">
        <v>1</v>
      </c>
    </row>
    <row r="76" spans="10:11" x14ac:dyDescent="0.3">
      <c r="J76" s="8" t="s">
        <v>2610</v>
      </c>
      <c r="K76">
        <v>1</v>
      </c>
    </row>
    <row r="77" spans="10:11" x14ac:dyDescent="0.3">
      <c r="J77" s="8" t="s">
        <v>1946</v>
      </c>
      <c r="K77">
        <v>1</v>
      </c>
    </row>
    <row r="78" spans="10:11" x14ac:dyDescent="0.3">
      <c r="J78" s="8" t="s">
        <v>2612</v>
      </c>
      <c r="K78">
        <v>1</v>
      </c>
    </row>
    <row r="79" spans="10:11" x14ac:dyDescent="0.3">
      <c r="J79" s="8" t="s">
        <v>1954</v>
      </c>
      <c r="K79">
        <v>1</v>
      </c>
    </row>
    <row r="80" spans="10:11" x14ac:dyDescent="0.3">
      <c r="J80" s="8" t="s">
        <v>2615</v>
      </c>
      <c r="K80">
        <v>1</v>
      </c>
    </row>
    <row r="81" spans="10:11" x14ac:dyDescent="0.3">
      <c r="J81" s="8" t="s">
        <v>1965</v>
      </c>
      <c r="K81">
        <v>1</v>
      </c>
    </row>
    <row r="82" spans="10:11" x14ac:dyDescent="0.3">
      <c r="J82" s="8" t="s">
        <v>2622</v>
      </c>
      <c r="K82">
        <v>1</v>
      </c>
    </row>
    <row r="83" spans="10:11" x14ac:dyDescent="0.3">
      <c r="J83" s="8" t="s">
        <v>1979</v>
      </c>
      <c r="K83">
        <v>1</v>
      </c>
    </row>
    <row r="84" spans="10:11" x14ac:dyDescent="0.3">
      <c r="J84" s="8" t="s">
        <v>2632</v>
      </c>
      <c r="K84">
        <v>1</v>
      </c>
    </row>
    <row r="85" spans="10:11" x14ac:dyDescent="0.3">
      <c r="J85" s="8" t="s">
        <v>1984</v>
      </c>
      <c r="K85">
        <v>1</v>
      </c>
    </row>
    <row r="86" spans="10:11" x14ac:dyDescent="0.3">
      <c r="J86" s="8" t="s">
        <v>2642</v>
      </c>
      <c r="K86">
        <v>1</v>
      </c>
    </row>
    <row r="87" spans="10:11" x14ac:dyDescent="0.3">
      <c r="J87" s="8" t="s">
        <v>2007</v>
      </c>
      <c r="K87">
        <v>1</v>
      </c>
    </row>
    <row r="88" spans="10:11" x14ac:dyDescent="0.3">
      <c r="J88" s="8" t="s">
        <v>2650</v>
      </c>
      <c r="K88">
        <v>1</v>
      </c>
    </row>
    <row r="89" spans="10:11" x14ac:dyDescent="0.3">
      <c r="J89" s="8" t="s">
        <v>2013</v>
      </c>
      <c r="K89">
        <v>1</v>
      </c>
    </row>
    <row r="90" spans="10:11" x14ac:dyDescent="0.3">
      <c r="J90" s="8" t="s">
        <v>317</v>
      </c>
      <c r="K90">
        <v>1</v>
      </c>
    </row>
    <row r="91" spans="10:11" x14ac:dyDescent="0.3">
      <c r="J91" s="8" t="s">
        <v>2019</v>
      </c>
      <c r="K91">
        <v>1</v>
      </c>
    </row>
    <row r="92" spans="10:11" x14ac:dyDescent="0.3">
      <c r="J92" s="8" t="s">
        <v>2674</v>
      </c>
      <c r="K92">
        <v>1</v>
      </c>
    </row>
    <row r="93" spans="10:11" x14ac:dyDescent="0.3">
      <c r="J93" s="8" t="s">
        <v>2044</v>
      </c>
      <c r="K93">
        <v>1</v>
      </c>
    </row>
    <row r="94" spans="10:11" x14ac:dyDescent="0.3">
      <c r="J94" s="8" t="s">
        <v>2678</v>
      </c>
      <c r="K94">
        <v>1</v>
      </c>
    </row>
    <row r="95" spans="10:11" x14ac:dyDescent="0.3">
      <c r="J95" s="8" t="s">
        <v>2060</v>
      </c>
      <c r="K95">
        <v>1</v>
      </c>
    </row>
    <row r="96" spans="10:11" x14ac:dyDescent="0.3">
      <c r="J96" s="8" t="s">
        <v>2689</v>
      </c>
      <c r="K96">
        <v>1</v>
      </c>
    </row>
    <row r="97" spans="10:11" x14ac:dyDescent="0.3">
      <c r="J97" s="8" t="s">
        <v>2069</v>
      </c>
      <c r="K97">
        <v>1</v>
      </c>
    </row>
    <row r="98" spans="10:11" x14ac:dyDescent="0.3">
      <c r="J98" s="8" t="s">
        <v>2695</v>
      </c>
      <c r="K98">
        <v>1</v>
      </c>
    </row>
    <row r="99" spans="10:11" x14ac:dyDescent="0.3">
      <c r="J99" s="8" t="s">
        <v>247</v>
      </c>
      <c r="K99">
        <v>1</v>
      </c>
    </row>
    <row r="100" spans="10:11" x14ac:dyDescent="0.3">
      <c r="J100" s="8" t="s">
        <v>320</v>
      </c>
      <c r="K100">
        <v>1</v>
      </c>
    </row>
    <row r="101" spans="10:11" x14ac:dyDescent="0.3">
      <c r="J101" s="8" t="s">
        <v>2076</v>
      </c>
      <c r="K101">
        <v>1</v>
      </c>
    </row>
    <row r="102" spans="10:11" x14ac:dyDescent="0.3">
      <c r="J102" s="8" t="s">
        <v>2706</v>
      </c>
      <c r="K102">
        <v>1</v>
      </c>
    </row>
    <row r="103" spans="10:11" x14ac:dyDescent="0.3">
      <c r="J103" s="8" t="s">
        <v>2086</v>
      </c>
      <c r="K103">
        <v>1</v>
      </c>
    </row>
    <row r="104" spans="10:11" x14ac:dyDescent="0.3">
      <c r="J104" s="8" t="s">
        <v>2708</v>
      </c>
      <c r="K104">
        <v>1</v>
      </c>
    </row>
    <row r="105" spans="10:11" x14ac:dyDescent="0.3">
      <c r="J105" s="8" t="s">
        <v>2100</v>
      </c>
      <c r="K105">
        <v>1</v>
      </c>
    </row>
    <row r="106" spans="10:11" x14ac:dyDescent="0.3">
      <c r="J106" s="8" t="s">
        <v>2709</v>
      </c>
      <c r="K106">
        <v>1</v>
      </c>
    </row>
    <row r="107" spans="10:11" x14ac:dyDescent="0.3">
      <c r="J107" s="8" t="s">
        <v>2103</v>
      </c>
      <c r="K107">
        <v>1</v>
      </c>
    </row>
    <row r="108" spans="10:11" x14ac:dyDescent="0.3">
      <c r="J108" s="8" t="s">
        <v>2723</v>
      </c>
      <c r="K108">
        <v>1</v>
      </c>
    </row>
    <row r="109" spans="10:11" x14ac:dyDescent="0.3">
      <c r="J109" s="8" t="s">
        <v>2113</v>
      </c>
      <c r="K109">
        <v>1</v>
      </c>
    </row>
    <row r="110" spans="10:11" x14ac:dyDescent="0.3">
      <c r="J110" s="8" t="s">
        <v>322</v>
      </c>
      <c r="K110">
        <v>1</v>
      </c>
    </row>
    <row r="111" spans="10:11" x14ac:dyDescent="0.3">
      <c r="J111" s="8" t="s">
        <v>2127</v>
      </c>
      <c r="K111">
        <v>1</v>
      </c>
    </row>
    <row r="112" spans="10:11" x14ac:dyDescent="0.3">
      <c r="J112" s="8" t="s">
        <v>2732</v>
      </c>
      <c r="K112">
        <v>1</v>
      </c>
    </row>
    <row r="113" spans="10:11" x14ac:dyDescent="0.3">
      <c r="J113" s="8" t="s">
        <v>2134</v>
      </c>
      <c r="K113">
        <v>1</v>
      </c>
    </row>
    <row r="114" spans="10:11" x14ac:dyDescent="0.3">
      <c r="J114" s="8" t="s">
        <v>2745</v>
      </c>
      <c r="K114">
        <v>1</v>
      </c>
    </row>
    <row r="115" spans="10:11" x14ac:dyDescent="0.3">
      <c r="J115" s="8" t="s">
        <v>2137</v>
      </c>
      <c r="K115">
        <v>1</v>
      </c>
    </row>
    <row r="116" spans="10:11" x14ac:dyDescent="0.3">
      <c r="J116" s="8" t="s">
        <v>2747</v>
      </c>
      <c r="K116">
        <v>1</v>
      </c>
    </row>
    <row r="117" spans="10:11" x14ac:dyDescent="0.3">
      <c r="J117" s="8" t="s">
        <v>2148</v>
      </c>
      <c r="K117">
        <v>1</v>
      </c>
    </row>
    <row r="118" spans="10:11" x14ac:dyDescent="0.3">
      <c r="J118" s="8" t="s">
        <v>2753</v>
      </c>
      <c r="K118">
        <v>1</v>
      </c>
    </row>
    <row r="119" spans="10:11" x14ac:dyDescent="0.3">
      <c r="J119" s="8" t="s">
        <v>2152</v>
      </c>
      <c r="K119">
        <v>1</v>
      </c>
    </row>
    <row r="120" spans="10:11" x14ac:dyDescent="0.3">
      <c r="J120" s="8" t="s">
        <v>2756</v>
      </c>
      <c r="K120">
        <v>1</v>
      </c>
    </row>
    <row r="121" spans="10:11" x14ac:dyDescent="0.3">
      <c r="J121" s="8" t="s">
        <v>2165</v>
      </c>
      <c r="K121">
        <v>1</v>
      </c>
    </row>
    <row r="122" spans="10:11" x14ac:dyDescent="0.3">
      <c r="J122" s="8" t="s">
        <v>2767</v>
      </c>
      <c r="K122">
        <v>1</v>
      </c>
    </row>
    <row r="123" spans="10:11" x14ac:dyDescent="0.3">
      <c r="J123" s="8" t="s">
        <v>2185</v>
      </c>
      <c r="K123">
        <v>1</v>
      </c>
    </row>
    <row r="124" spans="10:11" x14ac:dyDescent="0.3">
      <c r="J124" s="8" t="s">
        <v>2771</v>
      </c>
      <c r="K124">
        <v>1</v>
      </c>
    </row>
    <row r="125" spans="10:11" x14ac:dyDescent="0.3">
      <c r="J125" s="8" t="s">
        <v>40</v>
      </c>
      <c r="K125">
        <v>1</v>
      </c>
    </row>
    <row r="126" spans="10:11" x14ac:dyDescent="0.3">
      <c r="J126" s="8" t="s">
        <v>2777</v>
      </c>
      <c r="K126">
        <v>1</v>
      </c>
    </row>
    <row r="127" spans="10:11" x14ac:dyDescent="0.3">
      <c r="J127" s="8" t="s">
        <v>2229</v>
      </c>
      <c r="K127">
        <v>1</v>
      </c>
    </row>
    <row r="128" spans="10:11" x14ac:dyDescent="0.3">
      <c r="J128" s="8" t="s">
        <v>2785</v>
      </c>
      <c r="K128">
        <v>1</v>
      </c>
    </row>
    <row r="129" spans="10:11" x14ac:dyDescent="0.3">
      <c r="J129" s="8" t="s">
        <v>2235</v>
      </c>
      <c r="K129">
        <v>1</v>
      </c>
    </row>
    <row r="130" spans="10:11" x14ac:dyDescent="0.3">
      <c r="J130" s="8" t="s">
        <v>328</v>
      </c>
      <c r="K130">
        <v>1</v>
      </c>
    </row>
    <row r="131" spans="10:11" x14ac:dyDescent="0.3">
      <c r="J131" s="8" t="s">
        <v>2241</v>
      </c>
      <c r="K131">
        <v>1</v>
      </c>
    </row>
    <row r="132" spans="10:11" x14ac:dyDescent="0.3">
      <c r="J132" s="8" t="s">
        <v>2793</v>
      </c>
      <c r="K132">
        <v>1</v>
      </c>
    </row>
    <row r="133" spans="10:11" x14ac:dyDescent="0.3">
      <c r="J133" s="8" t="s">
        <v>2255</v>
      </c>
      <c r="K133">
        <v>1</v>
      </c>
    </row>
    <row r="134" spans="10:11" x14ac:dyDescent="0.3">
      <c r="J134" s="8" t="s">
        <v>2794</v>
      </c>
      <c r="K134">
        <v>1</v>
      </c>
    </row>
    <row r="135" spans="10:11" x14ac:dyDescent="0.3">
      <c r="J135" s="8" t="s">
        <v>2262</v>
      </c>
      <c r="K135">
        <v>1</v>
      </c>
    </row>
    <row r="136" spans="10:11" x14ac:dyDescent="0.3">
      <c r="J136" s="8" t="s">
        <v>2796</v>
      </c>
      <c r="K136">
        <v>1</v>
      </c>
    </row>
    <row r="137" spans="10:11" x14ac:dyDescent="0.3">
      <c r="J137" s="8" t="s">
        <v>2284</v>
      </c>
      <c r="K137">
        <v>1</v>
      </c>
    </row>
    <row r="138" spans="10:11" x14ac:dyDescent="0.3">
      <c r="J138" s="8" t="s">
        <v>2800</v>
      </c>
      <c r="K138">
        <v>1</v>
      </c>
    </row>
    <row r="139" spans="10:11" x14ac:dyDescent="0.3">
      <c r="J139" s="8" t="s">
        <v>273</v>
      </c>
      <c r="K139">
        <v>1</v>
      </c>
    </row>
    <row r="140" spans="10:11" x14ac:dyDescent="0.3">
      <c r="J140" s="8" t="s">
        <v>2804</v>
      </c>
      <c r="K140">
        <v>1</v>
      </c>
    </row>
    <row r="141" spans="10:11" x14ac:dyDescent="0.3">
      <c r="J141" s="8" t="s">
        <v>2306</v>
      </c>
      <c r="K141">
        <v>1</v>
      </c>
    </row>
    <row r="142" spans="10:11" x14ac:dyDescent="0.3">
      <c r="J142" s="8" t="s">
        <v>2807</v>
      </c>
      <c r="K142">
        <v>1</v>
      </c>
    </row>
    <row r="143" spans="10:11" x14ac:dyDescent="0.3">
      <c r="J143" s="8" t="s">
        <v>2310</v>
      </c>
      <c r="K143">
        <v>1</v>
      </c>
    </row>
    <row r="144" spans="10:11" x14ac:dyDescent="0.3">
      <c r="J144" s="8" t="s">
        <v>2810</v>
      </c>
      <c r="K144">
        <v>1</v>
      </c>
    </row>
    <row r="145" spans="10:11" x14ac:dyDescent="0.3">
      <c r="J145" s="8" t="s">
        <v>2331</v>
      </c>
      <c r="K145">
        <v>1</v>
      </c>
    </row>
    <row r="146" spans="10:11" x14ac:dyDescent="0.3">
      <c r="J146" s="8" t="s">
        <v>330</v>
      </c>
      <c r="K146">
        <v>1</v>
      </c>
    </row>
    <row r="147" spans="10:11" x14ac:dyDescent="0.3">
      <c r="J147" s="8" t="s">
        <v>276</v>
      </c>
      <c r="K147">
        <v>1</v>
      </c>
    </row>
    <row r="148" spans="10:11" x14ac:dyDescent="0.3">
      <c r="J148" s="8" t="s">
        <v>2813</v>
      </c>
      <c r="K148">
        <v>1</v>
      </c>
    </row>
    <row r="149" spans="10:11" x14ac:dyDescent="0.3">
      <c r="J149" s="8" t="s">
        <v>2352</v>
      </c>
      <c r="K149">
        <v>1</v>
      </c>
    </row>
    <row r="150" spans="10:11" x14ac:dyDescent="0.3">
      <c r="J150" s="8" t="s">
        <v>2814</v>
      </c>
      <c r="K150">
        <v>1</v>
      </c>
    </row>
    <row r="151" spans="10:11" x14ac:dyDescent="0.3">
      <c r="J151" s="8" t="s">
        <v>2366</v>
      </c>
      <c r="K151">
        <v>1</v>
      </c>
    </row>
    <row r="152" spans="10:11" x14ac:dyDescent="0.3">
      <c r="J152" s="8" t="s">
        <v>2821</v>
      </c>
      <c r="K152">
        <v>1</v>
      </c>
    </row>
    <row r="153" spans="10:11" x14ac:dyDescent="0.3">
      <c r="J153" s="8" t="s">
        <v>281</v>
      </c>
      <c r="K153">
        <v>1</v>
      </c>
    </row>
    <row r="154" spans="10:11" x14ac:dyDescent="0.3">
      <c r="J154" s="8" t="s">
        <v>2826</v>
      </c>
      <c r="K154">
        <v>1</v>
      </c>
    </row>
    <row r="155" spans="10:11" x14ac:dyDescent="0.3">
      <c r="J155" s="8" t="s">
        <v>2382</v>
      </c>
      <c r="K155">
        <v>1</v>
      </c>
    </row>
    <row r="156" spans="10:11" x14ac:dyDescent="0.3">
      <c r="J156" s="8" t="s">
        <v>2835</v>
      </c>
      <c r="K156">
        <v>1</v>
      </c>
    </row>
    <row r="157" spans="10:11" x14ac:dyDescent="0.3">
      <c r="J157" s="8" t="s">
        <v>2410</v>
      </c>
      <c r="K157">
        <v>1</v>
      </c>
    </row>
    <row r="158" spans="10:11" x14ac:dyDescent="0.3">
      <c r="J158" s="8" t="s">
        <v>2845</v>
      </c>
      <c r="K158">
        <v>1</v>
      </c>
    </row>
    <row r="159" spans="10:11" x14ac:dyDescent="0.3">
      <c r="J159" s="8" t="s">
        <v>2411</v>
      </c>
      <c r="K159">
        <v>1</v>
      </c>
    </row>
    <row r="160" spans="10:11" x14ac:dyDescent="0.3">
      <c r="J160" s="8" t="s">
        <v>2851</v>
      </c>
      <c r="K160">
        <v>1</v>
      </c>
    </row>
    <row r="161" spans="10:11" x14ac:dyDescent="0.3">
      <c r="J161" s="8" t="s">
        <v>2416</v>
      </c>
      <c r="K161">
        <v>1</v>
      </c>
    </row>
    <row r="162" spans="10:11" x14ac:dyDescent="0.3">
      <c r="J162" s="8" t="s">
        <v>2855</v>
      </c>
      <c r="K162">
        <v>1</v>
      </c>
    </row>
    <row r="163" spans="10:11" x14ac:dyDescent="0.3">
      <c r="J163" s="8" t="s">
        <v>2422</v>
      </c>
      <c r="K163">
        <v>1</v>
      </c>
    </row>
    <row r="164" spans="10:11" x14ac:dyDescent="0.3">
      <c r="J164" s="8" t="s">
        <v>2861</v>
      </c>
      <c r="K164">
        <v>1</v>
      </c>
    </row>
    <row r="165" spans="10:11" x14ac:dyDescent="0.3">
      <c r="J165" s="8" t="s">
        <v>1545</v>
      </c>
      <c r="K165">
        <v>1</v>
      </c>
    </row>
    <row r="166" spans="10:11" x14ac:dyDescent="0.3">
      <c r="J166" s="8" t="s">
        <v>49</v>
      </c>
      <c r="K166">
        <v>1</v>
      </c>
    </row>
    <row r="167" spans="10:11" x14ac:dyDescent="0.3">
      <c r="J167" s="8" t="s">
        <v>1574</v>
      </c>
      <c r="K167">
        <v>1</v>
      </c>
    </row>
    <row r="168" spans="10:11" x14ac:dyDescent="0.3">
      <c r="J168" s="8" t="s">
        <v>2888</v>
      </c>
      <c r="K168">
        <v>1</v>
      </c>
    </row>
    <row r="169" spans="10:11" x14ac:dyDescent="0.3">
      <c r="J169" s="8" t="s">
        <v>1597</v>
      </c>
      <c r="K169">
        <v>1</v>
      </c>
    </row>
    <row r="170" spans="10:11" x14ac:dyDescent="0.3">
      <c r="J170" s="8" t="s">
        <v>2894</v>
      </c>
      <c r="K170">
        <v>1</v>
      </c>
    </row>
    <row r="171" spans="10:11" x14ac:dyDescent="0.3">
      <c r="J171" s="8" t="s">
        <v>1620</v>
      </c>
      <c r="K171">
        <v>1</v>
      </c>
    </row>
    <row r="172" spans="10:11" x14ac:dyDescent="0.3">
      <c r="J172" s="8" t="s">
        <v>340</v>
      </c>
      <c r="K172">
        <v>1</v>
      </c>
    </row>
    <row r="173" spans="10:11" x14ac:dyDescent="0.3">
      <c r="J173" s="8" t="s">
        <v>1646</v>
      </c>
      <c r="K173">
        <v>1</v>
      </c>
    </row>
    <row r="174" spans="10:11" x14ac:dyDescent="0.3">
      <c r="J174" s="8" t="s">
        <v>2902</v>
      </c>
      <c r="K174">
        <v>1</v>
      </c>
    </row>
    <row r="175" spans="10:11" x14ac:dyDescent="0.3">
      <c r="J175" s="8" t="s">
        <v>199</v>
      </c>
      <c r="K175">
        <v>1</v>
      </c>
    </row>
    <row r="176" spans="10:11" x14ac:dyDescent="0.3">
      <c r="J176" s="8" t="s">
        <v>2912</v>
      </c>
      <c r="K176">
        <v>1</v>
      </c>
    </row>
    <row r="177" spans="10:11" x14ac:dyDescent="0.3">
      <c r="J177" s="8" t="s">
        <v>1720</v>
      </c>
      <c r="K177">
        <v>1</v>
      </c>
    </row>
    <row r="178" spans="10:11" x14ac:dyDescent="0.3">
      <c r="J178" s="8" t="s">
        <v>2916</v>
      </c>
      <c r="K178">
        <v>1</v>
      </c>
    </row>
    <row r="179" spans="10:11" x14ac:dyDescent="0.3">
      <c r="J179" s="8" t="s">
        <v>1735</v>
      </c>
      <c r="K179">
        <v>1</v>
      </c>
    </row>
    <row r="180" spans="10:11" x14ac:dyDescent="0.3">
      <c r="J180" s="8" t="s">
        <v>2927</v>
      </c>
      <c r="K180">
        <v>1</v>
      </c>
    </row>
    <row r="181" spans="10:11" x14ac:dyDescent="0.3">
      <c r="J181" s="8" t="s">
        <v>1745</v>
      </c>
      <c r="K181">
        <v>1</v>
      </c>
    </row>
    <row r="182" spans="10:11" x14ac:dyDescent="0.3">
      <c r="J182" s="8" t="s">
        <v>2928</v>
      </c>
      <c r="K182">
        <v>1</v>
      </c>
    </row>
    <row r="183" spans="10:11" x14ac:dyDescent="0.3">
      <c r="J183" s="8" t="s">
        <v>1782</v>
      </c>
      <c r="K183">
        <v>1</v>
      </c>
    </row>
    <row r="184" spans="10:11" x14ac:dyDescent="0.3">
      <c r="J184" s="8" t="s">
        <v>2931</v>
      </c>
      <c r="K184">
        <v>1</v>
      </c>
    </row>
    <row r="185" spans="10:11" x14ac:dyDescent="0.3">
      <c r="J185" s="8" t="s">
        <v>1805</v>
      </c>
      <c r="K185">
        <v>1</v>
      </c>
    </row>
    <row r="186" spans="10:11" x14ac:dyDescent="0.3">
      <c r="J186" s="8" t="s">
        <v>2936</v>
      </c>
      <c r="K186">
        <v>1</v>
      </c>
    </row>
    <row r="187" spans="10:11" x14ac:dyDescent="0.3">
      <c r="J187" s="8" t="s">
        <v>1814</v>
      </c>
      <c r="K187">
        <v>1</v>
      </c>
    </row>
    <row r="188" spans="10:11" x14ac:dyDescent="0.3">
      <c r="J188" s="8" t="s">
        <v>2937</v>
      </c>
      <c r="K188">
        <v>1</v>
      </c>
    </row>
    <row r="189" spans="10:11" x14ac:dyDescent="0.3">
      <c r="J189" s="8" t="s">
        <v>218</v>
      </c>
      <c r="K189">
        <v>1</v>
      </c>
    </row>
    <row r="190" spans="10:11" x14ac:dyDescent="0.3">
      <c r="J190" s="8" t="s">
        <v>2946</v>
      </c>
      <c r="K190">
        <v>1</v>
      </c>
    </row>
    <row r="191" spans="10:11" x14ac:dyDescent="0.3">
      <c r="J191" s="8" t="s">
        <v>1841</v>
      </c>
      <c r="K191">
        <v>1</v>
      </c>
    </row>
    <row r="192" spans="10:11" x14ac:dyDescent="0.3">
      <c r="J192" s="8" t="s">
        <v>2977</v>
      </c>
      <c r="K192">
        <v>1</v>
      </c>
    </row>
    <row r="193" spans="10:11" x14ac:dyDescent="0.3">
      <c r="J193" s="8" t="s">
        <v>1864</v>
      </c>
      <c r="K193">
        <v>1</v>
      </c>
    </row>
    <row r="194" spans="10:11" x14ac:dyDescent="0.3">
      <c r="J194" s="8" t="s">
        <v>2979</v>
      </c>
      <c r="K194">
        <v>1</v>
      </c>
    </row>
    <row r="195" spans="10:11" x14ac:dyDescent="0.3">
      <c r="J195" s="8" t="s">
        <v>1898</v>
      </c>
      <c r="K195">
        <v>1</v>
      </c>
    </row>
    <row r="196" spans="10:11" x14ac:dyDescent="0.3">
      <c r="J196" s="8" t="s">
        <v>2980</v>
      </c>
      <c r="K196">
        <v>1</v>
      </c>
    </row>
    <row r="197" spans="10:11" x14ac:dyDescent="0.3">
      <c r="J197" s="8" t="s">
        <v>1924</v>
      </c>
      <c r="K197">
        <v>1</v>
      </c>
    </row>
    <row r="198" spans="10:11" x14ac:dyDescent="0.3">
      <c r="J198" s="8" t="s">
        <v>2992</v>
      </c>
      <c r="K198">
        <v>1</v>
      </c>
    </row>
    <row r="199" spans="10:11" x14ac:dyDescent="0.3">
      <c r="J199" s="8" t="s">
        <v>1941</v>
      </c>
      <c r="K199">
        <v>1</v>
      </c>
    </row>
    <row r="200" spans="10:11" x14ac:dyDescent="0.3">
      <c r="J200" s="8" t="s">
        <v>2999</v>
      </c>
      <c r="K200">
        <v>1</v>
      </c>
    </row>
    <row r="201" spans="10:11" x14ac:dyDescent="0.3">
      <c r="J201" s="8" t="s">
        <v>1955</v>
      </c>
      <c r="K201">
        <v>1</v>
      </c>
    </row>
    <row r="202" spans="10:11" x14ac:dyDescent="0.3">
      <c r="J202" s="8" t="s">
        <v>51</v>
      </c>
      <c r="K202">
        <v>1</v>
      </c>
    </row>
    <row r="203" spans="10:11" x14ac:dyDescent="0.3">
      <c r="J203" s="8" t="s">
        <v>1983</v>
      </c>
      <c r="K203">
        <v>1</v>
      </c>
    </row>
    <row r="204" spans="10:11" x14ac:dyDescent="0.3">
      <c r="J204" s="8" t="s">
        <v>3029</v>
      </c>
      <c r="K204">
        <v>1</v>
      </c>
    </row>
    <row r="205" spans="10:11" x14ac:dyDescent="0.3">
      <c r="J205" s="8" t="s">
        <v>2011</v>
      </c>
      <c r="K205">
        <v>1</v>
      </c>
    </row>
    <row r="206" spans="10:11" x14ac:dyDescent="0.3">
      <c r="J206" s="8" t="s">
        <v>3034</v>
      </c>
      <c r="K206">
        <v>1</v>
      </c>
    </row>
    <row r="207" spans="10:11" x14ac:dyDescent="0.3">
      <c r="J207" s="8" t="s">
        <v>2033</v>
      </c>
      <c r="K207">
        <v>1</v>
      </c>
    </row>
    <row r="208" spans="10:11" x14ac:dyDescent="0.3">
      <c r="J208" s="8" t="s">
        <v>3037</v>
      </c>
      <c r="K208">
        <v>1</v>
      </c>
    </row>
    <row r="209" spans="10:11" x14ac:dyDescent="0.3">
      <c r="J209" s="8" t="s">
        <v>2063</v>
      </c>
      <c r="K209">
        <v>1</v>
      </c>
    </row>
    <row r="210" spans="10:11" x14ac:dyDescent="0.3">
      <c r="J210" s="8" t="s">
        <v>3038</v>
      </c>
      <c r="K210">
        <v>1</v>
      </c>
    </row>
    <row r="211" spans="10:11" x14ac:dyDescent="0.3">
      <c r="J211" s="8" t="s">
        <v>2075</v>
      </c>
      <c r="K211">
        <v>1</v>
      </c>
    </row>
    <row r="212" spans="10:11" x14ac:dyDescent="0.3">
      <c r="J212" s="8" t="s">
        <v>3044</v>
      </c>
      <c r="K212">
        <v>1</v>
      </c>
    </row>
    <row r="213" spans="10:11" x14ac:dyDescent="0.3">
      <c r="J213" s="8" t="s">
        <v>2095</v>
      </c>
      <c r="K213">
        <v>1</v>
      </c>
    </row>
    <row r="214" spans="10:11" x14ac:dyDescent="0.3">
      <c r="J214" s="8" t="s">
        <v>3060</v>
      </c>
      <c r="K214">
        <v>1</v>
      </c>
    </row>
    <row r="215" spans="10:11" x14ac:dyDescent="0.3">
      <c r="J215" s="8" t="s">
        <v>2110</v>
      </c>
      <c r="K215">
        <v>1</v>
      </c>
    </row>
    <row r="216" spans="10:11" x14ac:dyDescent="0.3">
      <c r="J216" s="8" t="s">
        <v>3061</v>
      </c>
      <c r="K216">
        <v>1</v>
      </c>
    </row>
    <row r="217" spans="10:11" x14ac:dyDescent="0.3">
      <c r="J217" s="8" t="s">
        <v>2128</v>
      </c>
      <c r="K217">
        <v>1</v>
      </c>
    </row>
    <row r="218" spans="10:11" x14ac:dyDescent="0.3">
      <c r="J218" s="8" t="s">
        <v>3067</v>
      </c>
      <c r="K218">
        <v>1</v>
      </c>
    </row>
    <row r="219" spans="10:11" x14ac:dyDescent="0.3">
      <c r="J219" s="8" t="s">
        <v>2139</v>
      </c>
      <c r="K219">
        <v>1</v>
      </c>
    </row>
    <row r="220" spans="10:11" x14ac:dyDescent="0.3">
      <c r="J220" s="8" t="s">
        <v>3076</v>
      </c>
      <c r="K220">
        <v>1</v>
      </c>
    </row>
    <row r="221" spans="10:11" x14ac:dyDescent="0.3">
      <c r="J221" s="8" t="s">
        <v>2159</v>
      </c>
      <c r="K221">
        <v>1</v>
      </c>
    </row>
    <row r="222" spans="10:11" x14ac:dyDescent="0.3">
      <c r="J222" s="8" t="s">
        <v>3078</v>
      </c>
      <c r="K222">
        <v>1</v>
      </c>
    </row>
    <row r="223" spans="10:11" x14ac:dyDescent="0.3">
      <c r="J223" s="8" t="s">
        <v>2208</v>
      </c>
      <c r="K223">
        <v>1</v>
      </c>
    </row>
    <row r="224" spans="10:11" x14ac:dyDescent="0.3">
      <c r="J224" s="8" t="s">
        <v>3079</v>
      </c>
      <c r="K224">
        <v>1</v>
      </c>
    </row>
    <row r="225" spans="10:11" x14ac:dyDescent="0.3">
      <c r="J225" s="8" t="s">
        <v>2233</v>
      </c>
      <c r="K225">
        <v>1</v>
      </c>
    </row>
    <row r="226" spans="10:11" x14ac:dyDescent="0.3">
      <c r="J226" s="8" t="s">
        <v>3082</v>
      </c>
      <c r="K226">
        <v>1</v>
      </c>
    </row>
    <row r="227" spans="10:11" x14ac:dyDescent="0.3">
      <c r="J227" s="8" t="s">
        <v>2246</v>
      </c>
      <c r="K227">
        <v>1</v>
      </c>
    </row>
    <row r="228" spans="10:11" x14ac:dyDescent="0.3">
      <c r="J228" s="8" t="s">
        <v>3103</v>
      </c>
      <c r="K228">
        <v>1</v>
      </c>
    </row>
    <row r="229" spans="10:11" x14ac:dyDescent="0.3">
      <c r="J229" s="8" t="s">
        <v>2277</v>
      </c>
      <c r="K229">
        <v>1</v>
      </c>
    </row>
    <row r="230" spans="10:11" x14ac:dyDescent="0.3">
      <c r="J230" s="8" t="s">
        <v>3107</v>
      </c>
      <c r="K230">
        <v>1</v>
      </c>
    </row>
    <row r="231" spans="10:11" x14ac:dyDescent="0.3">
      <c r="J231" s="8" t="s">
        <v>2305</v>
      </c>
      <c r="K231">
        <v>1</v>
      </c>
    </row>
    <row r="232" spans="10:11" x14ac:dyDescent="0.3">
      <c r="J232" s="8" t="s">
        <v>366</v>
      </c>
      <c r="K232">
        <v>1</v>
      </c>
    </row>
    <row r="233" spans="10:11" x14ac:dyDescent="0.3">
      <c r="J233" s="8" t="s">
        <v>2318</v>
      </c>
      <c r="K233">
        <v>1</v>
      </c>
    </row>
    <row r="234" spans="10:11" x14ac:dyDescent="0.3">
      <c r="J234" s="8" t="s">
        <v>3123</v>
      </c>
      <c r="K234">
        <v>1</v>
      </c>
    </row>
    <row r="235" spans="10:11" x14ac:dyDescent="0.3">
      <c r="J235" s="8" t="s">
        <v>2333</v>
      </c>
      <c r="K235">
        <v>1</v>
      </c>
    </row>
    <row r="236" spans="10:11" x14ac:dyDescent="0.3">
      <c r="J236" s="8" t="s">
        <v>368</v>
      </c>
      <c r="K236">
        <v>1</v>
      </c>
    </row>
    <row r="237" spans="10:11" x14ac:dyDescent="0.3">
      <c r="J237" s="8" t="s">
        <v>2370</v>
      </c>
      <c r="K237">
        <v>1</v>
      </c>
    </row>
    <row r="238" spans="10:11" x14ac:dyDescent="0.3">
      <c r="J238" s="8" t="s">
        <v>3127</v>
      </c>
      <c r="K238">
        <v>1</v>
      </c>
    </row>
    <row r="239" spans="10:11" x14ac:dyDescent="0.3">
      <c r="J239" s="8" t="s">
        <v>2408</v>
      </c>
      <c r="K239">
        <v>1</v>
      </c>
    </row>
    <row r="240" spans="10:11" x14ac:dyDescent="0.3">
      <c r="J240" s="8" t="s">
        <v>3134</v>
      </c>
      <c r="K240">
        <v>1</v>
      </c>
    </row>
    <row r="241" spans="10:11" x14ac:dyDescent="0.3">
      <c r="J241" s="8" t="s">
        <v>2412</v>
      </c>
      <c r="K241">
        <v>1</v>
      </c>
    </row>
    <row r="242" spans="10:11" x14ac:dyDescent="0.3">
      <c r="J242" s="8" t="s">
        <v>369</v>
      </c>
      <c r="K242">
        <v>1</v>
      </c>
    </row>
    <row r="243" spans="10:11" x14ac:dyDescent="0.3">
      <c r="J243" s="8" t="s">
        <v>1526</v>
      </c>
      <c r="K243">
        <v>1</v>
      </c>
    </row>
    <row r="244" spans="10:11" x14ac:dyDescent="0.3">
      <c r="J244" s="8" t="s">
        <v>3138</v>
      </c>
      <c r="K244">
        <v>1</v>
      </c>
    </row>
    <row r="245" spans="10:11" x14ac:dyDescent="0.3">
      <c r="J245" s="8" t="s">
        <v>1585</v>
      </c>
      <c r="K245">
        <v>1</v>
      </c>
    </row>
    <row r="246" spans="10:11" x14ac:dyDescent="0.3">
      <c r="J246" s="8" t="s">
        <v>3143</v>
      </c>
      <c r="K246">
        <v>1</v>
      </c>
    </row>
    <row r="247" spans="10:11" x14ac:dyDescent="0.3">
      <c r="J247" s="8" t="s">
        <v>1626</v>
      </c>
      <c r="K247">
        <v>1</v>
      </c>
    </row>
    <row r="248" spans="10:11" x14ac:dyDescent="0.3">
      <c r="J248" s="8" t="s">
        <v>3149</v>
      </c>
      <c r="K248">
        <v>1</v>
      </c>
    </row>
    <row r="249" spans="10:11" x14ac:dyDescent="0.3">
      <c r="J249" s="8" t="s">
        <v>1711</v>
      </c>
      <c r="K249">
        <v>1</v>
      </c>
    </row>
    <row r="250" spans="10:11" x14ac:dyDescent="0.3">
      <c r="J250" s="8" t="s">
        <v>3150</v>
      </c>
      <c r="K250">
        <v>1</v>
      </c>
    </row>
    <row r="251" spans="10:11" x14ac:dyDescent="0.3">
      <c r="J251" s="8" t="s">
        <v>1741</v>
      </c>
      <c r="K251">
        <v>1</v>
      </c>
    </row>
    <row r="252" spans="10:11" x14ac:dyDescent="0.3">
      <c r="J252" s="8" t="s">
        <v>371</v>
      </c>
      <c r="K252">
        <v>1</v>
      </c>
    </row>
    <row r="253" spans="10:11" x14ac:dyDescent="0.3">
      <c r="J253" s="8" t="s">
        <v>1787</v>
      </c>
      <c r="K253">
        <v>1</v>
      </c>
    </row>
    <row r="254" spans="10:11" x14ac:dyDescent="0.3">
      <c r="J254" s="8" t="s">
        <v>3158</v>
      </c>
      <c r="K254">
        <v>1</v>
      </c>
    </row>
    <row r="255" spans="10:11" x14ac:dyDescent="0.3">
      <c r="J255" s="8" t="s">
        <v>1819</v>
      </c>
      <c r="K255">
        <v>1</v>
      </c>
    </row>
    <row r="256" spans="10:11" x14ac:dyDescent="0.3">
      <c r="J256" s="8" t="s">
        <v>3164</v>
      </c>
      <c r="K256">
        <v>1</v>
      </c>
    </row>
    <row r="257" spans="10:11" x14ac:dyDescent="0.3">
      <c r="J257" s="8" t="s">
        <v>220</v>
      </c>
      <c r="K257">
        <v>1</v>
      </c>
    </row>
    <row r="258" spans="10:11" x14ac:dyDescent="0.3">
      <c r="J258" s="8" t="s">
        <v>3169</v>
      </c>
      <c r="K258">
        <v>1</v>
      </c>
    </row>
    <row r="259" spans="10:11" x14ac:dyDescent="0.3">
      <c r="J259" s="8" t="s">
        <v>1915</v>
      </c>
      <c r="K259">
        <v>1</v>
      </c>
    </row>
    <row r="260" spans="10:11" x14ac:dyDescent="0.3">
      <c r="J260" s="8" t="s">
        <v>3170</v>
      </c>
      <c r="K260">
        <v>1</v>
      </c>
    </row>
    <row r="261" spans="10:11" x14ac:dyDescent="0.3">
      <c r="J261" s="8" t="s">
        <v>1948</v>
      </c>
      <c r="K261">
        <v>1</v>
      </c>
    </row>
    <row r="262" spans="10:11" x14ac:dyDescent="0.3">
      <c r="J262" s="8" t="s">
        <v>375</v>
      </c>
      <c r="K262">
        <v>1</v>
      </c>
    </row>
    <row r="263" spans="10:11" x14ac:dyDescent="0.3">
      <c r="J263" s="8" t="s">
        <v>1994</v>
      </c>
      <c r="K263">
        <v>1</v>
      </c>
    </row>
    <row r="264" spans="10:11" x14ac:dyDescent="0.3">
      <c r="J264" s="8" t="s">
        <v>3176</v>
      </c>
      <c r="K264">
        <v>1</v>
      </c>
    </row>
    <row r="265" spans="10:11" x14ac:dyDescent="0.3">
      <c r="J265" s="8" t="s">
        <v>2046</v>
      </c>
      <c r="K265">
        <v>1</v>
      </c>
    </row>
    <row r="266" spans="10:11" x14ac:dyDescent="0.3">
      <c r="J266" s="8" t="s">
        <v>3178</v>
      </c>
      <c r="K266">
        <v>1</v>
      </c>
    </row>
    <row r="267" spans="10:11" x14ac:dyDescent="0.3">
      <c r="J267" s="8" t="s">
        <v>2080</v>
      </c>
      <c r="K267">
        <v>1</v>
      </c>
    </row>
    <row r="268" spans="10:11" x14ac:dyDescent="0.3">
      <c r="J268" s="8" t="s">
        <v>378</v>
      </c>
      <c r="K268">
        <v>1</v>
      </c>
    </row>
    <row r="269" spans="10:11" x14ac:dyDescent="0.3">
      <c r="J269" s="8" t="s">
        <v>2126</v>
      </c>
      <c r="K269">
        <v>1</v>
      </c>
    </row>
    <row r="270" spans="10:11" x14ac:dyDescent="0.3">
      <c r="J270" s="8" t="s">
        <v>3211</v>
      </c>
      <c r="K270">
        <v>1</v>
      </c>
    </row>
    <row r="271" spans="10:11" x14ac:dyDescent="0.3">
      <c r="J271" s="8" t="s">
        <v>2150</v>
      </c>
      <c r="K271">
        <v>1</v>
      </c>
    </row>
    <row r="272" spans="10:11" x14ac:dyDescent="0.3">
      <c r="J272" s="8" t="s">
        <v>3213</v>
      </c>
      <c r="K272">
        <v>1</v>
      </c>
    </row>
    <row r="273" spans="10:11" x14ac:dyDescent="0.3">
      <c r="J273" s="8" t="s">
        <v>2228</v>
      </c>
      <c r="K273">
        <v>1</v>
      </c>
    </row>
    <row r="274" spans="10:11" x14ac:dyDescent="0.3">
      <c r="J274" s="8" t="s">
        <v>3220</v>
      </c>
      <c r="K274">
        <v>1</v>
      </c>
    </row>
    <row r="275" spans="10:11" x14ac:dyDescent="0.3">
      <c r="J275" s="8" t="s">
        <v>2259</v>
      </c>
      <c r="K275">
        <v>1</v>
      </c>
    </row>
    <row r="276" spans="10:11" x14ac:dyDescent="0.3">
      <c r="J276" s="8" t="s">
        <v>3229</v>
      </c>
      <c r="K276">
        <v>1</v>
      </c>
    </row>
    <row r="277" spans="10:11" x14ac:dyDescent="0.3">
      <c r="J277" s="8" t="s">
        <v>2307</v>
      </c>
      <c r="K277">
        <v>1</v>
      </c>
    </row>
    <row r="278" spans="10:11" x14ac:dyDescent="0.3">
      <c r="J278" s="8" t="s">
        <v>3238</v>
      </c>
      <c r="K278">
        <v>1</v>
      </c>
    </row>
    <row r="279" spans="10:11" x14ac:dyDescent="0.3">
      <c r="J279" s="8" t="s">
        <v>2356</v>
      </c>
      <c r="K279">
        <v>1</v>
      </c>
    </row>
    <row r="280" spans="10:11" x14ac:dyDescent="0.3">
      <c r="J280" s="8" t="s">
        <v>382</v>
      </c>
      <c r="K280">
        <v>1</v>
      </c>
    </row>
    <row r="281" spans="10:11" x14ac:dyDescent="0.3">
      <c r="J281" s="8" t="s">
        <v>286</v>
      </c>
      <c r="K281">
        <v>1</v>
      </c>
    </row>
    <row r="282" spans="10:11" x14ac:dyDescent="0.3">
      <c r="J282" s="8" t="s">
        <v>3245</v>
      </c>
      <c r="K282">
        <v>1</v>
      </c>
    </row>
    <row r="283" spans="10:11" x14ac:dyDescent="0.3">
      <c r="J283" s="8" t="s">
        <v>1550</v>
      </c>
      <c r="K283">
        <v>1</v>
      </c>
    </row>
    <row r="284" spans="10:11" x14ac:dyDescent="0.3">
      <c r="J284" s="8" t="s">
        <v>3250</v>
      </c>
      <c r="K284">
        <v>1</v>
      </c>
    </row>
    <row r="285" spans="10:11" x14ac:dyDescent="0.3">
      <c r="J285" s="8" t="s">
        <v>1670</v>
      </c>
      <c r="K285">
        <v>1</v>
      </c>
    </row>
    <row r="286" spans="10:11" x14ac:dyDescent="0.3">
      <c r="J286" s="8" t="s">
        <v>3256</v>
      </c>
      <c r="K286">
        <v>1</v>
      </c>
    </row>
    <row r="287" spans="10:11" x14ac:dyDescent="0.3">
      <c r="J287" s="8" t="s">
        <v>1772</v>
      </c>
      <c r="K287">
        <v>1</v>
      </c>
    </row>
    <row r="288" spans="10:11" x14ac:dyDescent="0.3">
      <c r="J288" s="8" t="s">
        <v>3266</v>
      </c>
      <c r="K288">
        <v>1</v>
      </c>
    </row>
    <row r="289" spans="10:11" x14ac:dyDescent="0.3">
      <c r="J289" s="8" t="s">
        <v>1838</v>
      </c>
      <c r="K289">
        <v>1</v>
      </c>
    </row>
    <row r="290" spans="10:11" x14ac:dyDescent="0.3">
      <c r="J290" s="8" t="s">
        <v>3271</v>
      </c>
      <c r="K290">
        <v>1</v>
      </c>
    </row>
    <row r="291" spans="10:11" x14ac:dyDescent="0.3">
      <c r="J291" s="8" t="s">
        <v>231</v>
      </c>
      <c r="K291">
        <v>1</v>
      </c>
    </row>
    <row r="292" spans="10:11" x14ac:dyDescent="0.3">
      <c r="J292" s="8" t="s">
        <v>3275</v>
      </c>
      <c r="K292">
        <v>1</v>
      </c>
    </row>
    <row r="293" spans="10:11" x14ac:dyDescent="0.3">
      <c r="J293" s="8" t="s">
        <v>2015</v>
      </c>
      <c r="K293">
        <v>1</v>
      </c>
    </row>
    <row r="294" spans="10:11" x14ac:dyDescent="0.3">
      <c r="J294" s="8" t="s">
        <v>387</v>
      </c>
      <c r="K294">
        <v>1</v>
      </c>
    </row>
    <row r="295" spans="10:11" x14ac:dyDescent="0.3">
      <c r="J295" s="8" t="s">
        <v>249</v>
      </c>
      <c r="K295">
        <v>1</v>
      </c>
    </row>
    <row r="296" spans="10:11" x14ac:dyDescent="0.3">
      <c r="J296" s="8" t="s">
        <v>3278</v>
      </c>
      <c r="K296">
        <v>1</v>
      </c>
    </row>
    <row r="297" spans="10:11" x14ac:dyDescent="0.3">
      <c r="J297" s="8" t="s">
        <v>259</v>
      </c>
      <c r="K297">
        <v>1</v>
      </c>
    </row>
    <row r="298" spans="10:11" x14ac:dyDescent="0.3">
      <c r="J298" s="8" t="s">
        <v>3287</v>
      </c>
      <c r="K298">
        <v>1</v>
      </c>
    </row>
    <row r="299" spans="10:11" x14ac:dyDescent="0.3">
      <c r="J299" s="8" t="s">
        <v>2296</v>
      </c>
      <c r="K299">
        <v>1</v>
      </c>
    </row>
    <row r="300" spans="10:11" x14ac:dyDescent="0.3">
      <c r="J300" s="8" t="s">
        <v>3289</v>
      </c>
      <c r="K300">
        <v>1</v>
      </c>
    </row>
    <row r="301" spans="10:11" x14ac:dyDescent="0.3">
      <c r="J301" s="8" t="s">
        <v>2373</v>
      </c>
      <c r="K301">
        <v>1</v>
      </c>
    </row>
    <row r="302" spans="10:11" x14ac:dyDescent="0.3">
      <c r="J302" s="8" t="s">
        <v>3291</v>
      </c>
      <c r="K302">
        <v>1</v>
      </c>
    </row>
    <row r="303" spans="10:11" x14ac:dyDescent="0.3">
      <c r="J303" s="8" t="s">
        <v>1604</v>
      </c>
      <c r="K303">
        <v>1</v>
      </c>
    </row>
    <row r="304" spans="10:11" x14ac:dyDescent="0.3">
      <c r="J304" s="8" t="s">
        <v>3304</v>
      </c>
      <c r="K304">
        <v>1</v>
      </c>
    </row>
    <row r="305" spans="10:11" x14ac:dyDescent="0.3">
      <c r="J305" s="8" t="s">
        <v>214</v>
      </c>
      <c r="K305">
        <v>1</v>
      </c>
    </row>
    <row r="306" spans="10:11" x14ac:dyDescent="0.3">
      <c r="J306" s="8" t="s">
        <v>3306</v>
      </c>
      <c r="K306">
        <v>1</v>
      </c>
    </row>
    <row r="307" spans="10:11" x14ac:dyDescent="0.3">
      <c r="J307" s="8" t="s">
        <v>1967</v>
      </c>
      <c r="K307">
        <v>1</v>
      </c>
    </row>
    <row r="308" spans="10:11" x14ac:dyDescent="0.3">
      <c r="J308" s="8" t="s">
        <v>3308</v>
      </c>
      <c r="K308">
        <v>1</v>
      </c>
    </row>
    <row r="309" spans="10:11" x14ac:dyDescent="0.3">
      <c r="J309" s="8" t="s">
        <v>2136</v>
      </c>
      <c r="K309">
        <v>1</v>
      </c>
    </row>
    <row r="310" spans="10:11" x14ac:dyDescent="0.3">
      <c r="J310" s="8" t="s">
        <v>391</v>
      </c>
      <c r="K310">
        <v>1</v>
      </c>
    </row>
    <row r="311" spans="10:11" x14ac:dyDescent="0.3">
      <c r="J311" s="8" t="s">
        <v>2332</v>
      </c>
      <c r="K311">
        <v>1</v>
      </c>
    </row>
    <row r="312" spans="10:11" x14ac:dyDescent="0.3">
      <c r="J312" s="8" t="s">
        <v>3334</v>
      </c>
      <c r="K312">
        <v>1</v>
      </c>
    </row>
    <row r="313" spans="10:11" x14ac:dyDescent="0.3">
      <c r="J313" s="8" t="s">
        <v>1732</v>
      </c>
      <c r="K313">
        <v>1</v>
      </c>
    </row>
    <row r="314" spans="10:11" x14ac:dyDescent="0.3">
      <c r="J314" s="8" t="s">
        <v>3341</v>
      </c>
      <c r="K314">
        <v>1</v>
      </c>
    </row>
    <row r="315" spans="10:11" x14ac:dyDescent="0.3">
      <c r="J315" s="8" t="s">
        <v>2070</v>
      </c>
      <c r="K315">
        <v>1</v>
      </c>
    </row>
    <row r="316" spans="10:11" x14ac:dyDescent="0.3">
      <c r="J316" s="8" t="s">
        <v>3342</v>
      </c>
      <c r="K316">
        <v>1</v>
      </c>
    </row>
    <row r="317" spans="10:11" x14ac:dyDescent="0.3">
      <c r="J317" s="8" t="s">
        <v>2419</v>
      </c>
      <c r="K317">
        <v>1</v>
      </c>
    </row>
    <row r="318" spans="10:11" x14ac:dyDescent="0.3">
      <c r="J318" s="8" t="s">
        <v>3344</v>
      </c>
      <c r="K318">
        <v>1</v>
      </c>
    </row>
    <row r="319" spans="10:11" x14ac:dyDescent="0.3">
      <c r="J319" s="8" t="s">
        <v>2237</v>
      </c>
      <c r="K319">
        <v>1</v>
      </c>
    </row>
    <row r="320" spans="10:11" x14ac:dyDescent="0.3">
      <c r="J320" s="8" t="s">
        <v>3345</v>
      </c>
      <c r="K320">
        <v>1</v>
      </c>
    </row>
    <row r="321" spans="10:11" x14ac:dyDescent="0.3">
      <c r="J321" s="8" t="s">
        <v>1885</v>
      </c>
      <c r="K321">
        <v>1</v>
      </c>
    </row>
    <row r="322" spans="10:11" x14ac:dyDescent="0.3">
      <c r="J322" s="8" t="s">
        <v>396</v>
      </c>
      <c r="K322">
        <v>1</v>
      </c>
    </row>
    <row r="323" spans="10:11" x14ac:dyDescent="0.3">
      <c r="J323" s="8" t="s">
        <v>527</v>
      </c>
      <c r="K323">
        <v>1</v>
      </c>
    </row>
    <row r="324" spans="10:11" x14ac:dyDescent="0.3">
      <c r="J324" s="8" t="s">
        <v>531</v>
      </c>
      <c r="K324">
        <v>1</v>
      </c>
    </row>
    <row r="325" spans="10:11" x14ac:dyDescent="0.3">
      <c r="J325" s="8" t="s">
        <v>3352</v>
      </c>
      <c r="K325">
        <v>1</v>
      </c>
    </row>
    <row r="326" spans="10:11" x14ac:dyDescent="0.3">
      <c r="J326" s="8" t="s">
        <v>536</v>
      </c>
      <c r="K326">
        <v>1</v>
      </c>
    </row>
    <row r="327" spans="10:11" x14ac:dyDescent="0.3">
      <c r="J327" s="8" t="s">
        <v>3364</v>
      </c>
      <c r="K327">
        <v>1</v>
      </c>
    </row>
    <row r="328" spans="10:11" x14ac:dyDescent="0.3">
      <c r="J328" s="8" t="s">
        <v>541</v>
      </c>
      <c r="K328">
        <v>1</v>
      </c>
    </row>
    <row r="329" spans="10:11" x14ac:dyDescent="0.3">
      <c r="J329" s="8" t="s">
        <v>3367</v>
      </c>
      <c r="K329">
        <v>1</v>
      </c>
    </row>
    <row r="330" spans="10:11" x14ac:dyDescent="0.3">
      <c r="J330" s="8" t="s">
        <v>543</v>
      </c>
      <c r="K330">
        <v>1</v>
      </c>
    </row>
    <row r="331" spans="10:11" x14ac:dyDescent="0.3">
      <c r="J331" s="8" t="s">
        <v>3374</v>
      </c>
      <c r="K331">
        <v>1</v>
      </c>
    </row>
    <row r="332" spans="10:11" x14ac:dyDescent="0.3">
      <c r="J332" s="8" t="s">
        <v>547</v>
      </c>
      <c r="K332">
        <v>1</v>
      </c>
    </row>
    <row r="333" spans="10:11" x14ac:dyDescent="0.3">
      <c r="J333" s="8" t="s">
        <v>3390</v>
      </c>
      <c r="K333">
        <v>1</v>
      </c>
    </row>
    <row r="334" spans="10:11" x14ac:dyDescent="0.3">
      <c r="J334" s="8" t="s">
        <v>548</v>
      </c>
      <c r="K334">
        <v>1</v>
      </c>
    </row>
    <row r="335" spans="10:11" x14ac:dyDescent="0.3">
      <c r="J335" s="8" t="s">
        <v>3397</v>
      </c>
      <c r="K335">
        <v>1</v>
      </c>
    </row>
    <row r="336" spans="10:11" x14ac:dyDescent="0.3">
      <c r="J336" s="8" t="s">
        <v>550</v>
      </c>
      <c r="K336">
        <v>1</v>
      </c>
    </row>
    <row r="337" spans="10:11" x14ac:dyDescent="0.3">
      <c r="J337" s="8" t="s">
        <v>3404</v>
      </c>
      <c r="K337">
        <v>1</v>
      </c>
    </row>
    <row r="338" spans="10:11" x14ac:dyDescent="0.3">
      <c r="J338" s="8" t="s">
        <v>564</v>
      </c>
      <c r="K338">
        <v>1</v>
      </c>
    </row>
    <row r="339" spans="10:11" x14ac:dyDescent="0.3">
      <c r="J339" s="8" t="s">
        <v>3415</v>
      </c>
      <c r="K339">
        <v>1</v>
      </c>
    </row>
    <row r="340" spans="10:11" x14ac:dyDescent="0.3">
      <c r="J340" s="8" t="s">
        <v>566</v>
      </c>
      <c r="K340">
        <v>1</v>
      </c>
    </row>
    <row r="341" spans="10:11" x14ac:dyDescent="0.3">
      <c r="J341" s="8" t="s">
        <v>3419</v>
      </c>
      <c r="K341">
        <v>1</v>
      </c>
    </row>
    <row r="342" spans="10:11" x14ac:dyDescent="0.3">
      <c r="J342" s="8" t="s">
        <v>568</v>
      </c>
      <c r="K342">
        <v>1</v>
      </c>
    </row>
    <row r="343" spans="10:11" x14ac:dyDescent="0.3">
      <c r="J343" s="8" t="s">
        <v>3430</v>
      </c>
      <c r="K343">
        <v>1</v>
      </c>
    </row>
    <row r="344" spans="10:11" x14ac:dyDescent="0.3">
      <c r="J344" s="8" t="s">
        <v>580</v>
      </c>
      <c r="K344">
        <v>1</v>
      </c>
    </row>
    <row r="345" spans="10:11" x14ac:dyDescent="0.3">
      <c r="J345" s="8" t="s">
        <v>3435</v>
      </c>
      <c r="K345">
        <v>1</v>
      </c>
    </row>
    <row r="346" spans="10:11" x14ac:dyDescent="0.3">
      <c r="J346" s="8" t="s">
        <v>581</v>
      </c>
      <c r="K346">
        <v>1</v>
      </c>
    </row>
    <row r="347" spans="10:11" x14ac:dyDescent="0.3">
      <c r="J347" s="8" t="s">
        <v>409</v>
      </c>
      <c r="K347">
        <v>1</v>
      </c>
    </row>
    <row r="348" spans="10:11" x14ac:dyDescent="0.3">
      <c r="J348" s="8" t="s">
        <v>584</v>
      </c>
      <c r="K348">
        <v>1</v>
      </c>
    </row>
    <row r="349" spans="10:11" x14ac:dyDescent="0.3">
      <c r="J349" s="8" t="s">
        <v>3461</v>
      </c>
      <c r="K349">
        <v>1</v>
      </c>
    </row>
    <row r="350" spans="10:11" x14ac:dyDescent="0.3">
      <c r="J350" s="8" t="s">
        <v>593</v>
      </c>
      <c r="K350">
        <v>1</v>
      </c>
    </row>
    <row r="351" spans="10:11" x14ac:dyDescent="0.3">
      <c r="J351" s="8" t="s">
        <v>411</v>
      </c>
      <c r="K351">
        <v>1</v>
      </c>
    </row>
    <row r="352" spans="10:11" x14ac:dyDescent="0.3">
      <c r="J352" s="8" t="s">
        <v>600</v>
      </c>
      <c r="K352">
        <v>1</v>
      </c>
    </row>
    <row r="353" spans="10:11" x14ac:dyDescent="0.3">
      <c r="J353" s="8" t="s">
        <v>413</v>
      </c>
      <c r="K353">
        <v>1</v>
      </c>
    </row>
    <row r="354" spans="10:11" x14ac:dyDescent="0.3">
      <c r="J354" s="8" t="s">
        <v>606</v>
      </c>
      <c r="K354">
        <v>1</v>
      </c>
    </row>
    <row r="355" spans="10:11" x14ac:dyDescent="0.3">
      <c r="J355" s="8" t="s">
        <v>3500</v>
      </c>
      <c r="K355">
        <v>1</v>
      </c>
    </row>
    <row r="356" spans="10:11" x14ac:dyDescent="0.3">
      <c r="J356" s="8" t="s">
        <v>619</v>
      </c>
      <c r="K356">
        <v>1</v>
      </c>
    </row>
    <row r="357" spans="10:11" x14ac:dyDescent="0.3">
      <c r="J357" s="8" t="s">
        <v>3505</v>
      </c>
      <c r="K357">
        <v>1</v>
      </c>
    </row>
    <row r="358" spans="10:11" x14ac:dyDescent="0.3">
      <c r="J358" s="8" t="s">
        <v>628</v>
      </c>
      <c r="K358">
        <v>1</v>
      </c>
    </row>
    <row r="359" spans="10:11" x14ac:dyDescent="0.3">
      <c r="J359" s="8" t="s">
        <v>3514</v>
      </c>
      <c r="K359">
        <v>1</v>
      </c>
    </row>
    <row r="360" spans="10:11" x14ac:dyDescent="0.3">
      <c r="J360" s="8" t="s">
        <v>81</v>
      </c>
      <c r="K360">
        <v>1</v>
      </c>
    </row>
    <row r="361" spans="10:11" x14ac:dyDescent="0.3">
      <c r="J361" s="8" t="s">
        <v>3520</v>
      </c>
      <c r="K361">
        <v>1</v>
      </c>
    </row>
    <row r="362" spans="10:11" x14ac:dyDescent="0.3">
      <c r="J362" s="8" t="s">
        <v>647</v>
      </c>
      <c r="K362">
        <v>1</v>
      </c>
    </row>
    <row r="363" spans="10:11" x14ac:dyDescent="0.3">
      <c r="J363" s="8" t="s">
        <v>3528</v>
      </c>
      <c r="K363">
        <v>1</v>
      </c>
    </row>
    <row r="364" spans="10:11" x14ac:dyDescent="0.3">
      <c r="J364" s="8" t="s">
        <v>648</v>
      </c>
      <c r="K364">
        <v>1</v>
      </c>
    </row>
    <row r="365" spans="10:11" x14ac:dyDescent="0.3">
      <c r="J365" s="8" t="s">
        <v>3534</v>
      </c>
      <c r="K365">
        <v>1</v>
      </c>
    </row>
    <row r="366" spans="10:11" x14ac:dyDescent="0.3">
      <c r="J366" s="8" t="s">
        <v>655</v>
      </c>
      <c r="K366">
        <v>1</v>
      </c>
    </row>
    <row r="367" spans="10:11" x14ac:dyDescent="0.3">
      <c r="J367" s="8" t="s">
        <v>3541</v>
      </c>
      <c r="K367">
        <v>1</v>
      </c>
    </row>
    <row r="368" spans="10:11" x14ac:dyDescent="0.3">
      <c r="J368" s="8" t="s">
        <v>673</v>
      </c>
      <c r="K368">
        <v>1</v>
      </c>
    </row>
    <row r="369" spans="10:11" x14ac:dyDescent="0.3">
      <c r="J369" s="8" t="s">
        <v>422</v>
      </c>
      <c r="K369">
        <v>1</v>
      </c>
    </row>
    <row r="370" spans="10:11" x14ac:dyDescent="0.3">
      <c r="J370" s="8" t="s">
        <v>686</v>
      </c>
      <c r="K370">
        <v>1</v>
      </c>
    </row>
    <row r="371" spans="10:11" x14ac:dyDescent="0.3">
      <c r="J371" s="8" t="s">
        <v>3576</v>
      </c>
      <c r="K371">
        <v>1</v>
      </c>
    </row>
    <row r="372" spans="10:11" x14ac:dyDescent="0.3">
      <c r="J372" s="8" t="s">
        <v>88</v>
      </c>
      <c r="K372">
        <v>1</v>
      </c>
    </row>
    <row r="373" spans="10:11" x14ac:dyDescent="0.3">
      <c r="J373" s="8" t="s">
        <v>3599</v>
      </c>
      <c r="K373">
        <v>1</v>
      </c>
    </row>
    <row r="374" spans="10:11" x14ac:dyDescent="0.3">
      <c r="J374" s="8" t="s">
        <v>699</v>
      </c>
      <c r="K374">
        <v>1</v>
      </c>
    </row>
    <row r="375" spans="10:11" x14ac:dyDescent="0.3">
      <c r="J375" s="8" t="s">
        <v>3617</v>
      </c>
      <c r="K375">
        <v>1</v>
      </c>
    </row>
    <row r="376" spans="10:11" x14ac:dyDescent="0.3">
      <c r="J376" s="8" t="s">
        <v>90</v>
      </c>
      <c r="K376">
        <v>1</v>
      </c>
    </row>
    <row r="377" spans="10:11" x14ac:dyDescent="0.3">
      <c r="J377" s="8" t="s">
        <v>3627</v>
      </c>
      <c r="K377">
        <v>1</v>
      </c>
    </row>
    <row r="378" spans="10:11" x14ac:dyDescent="0.3">
      <c r="J378" s="8" t="s">
        <v>707</v>
      </c>
      <c r="K378">
        <v>1</v>
      </c>
    </row>
    <row r="379" spans="10:11" x14ac:dyDescent="0.3">
      <c r="J379" s="8" t="s">
        <v>3635</v>
      </c>
      <c r="K379">
        <v>1</v>
      </c>
    </row>
    <row r="380" spans="10:11" x14ac:dyDescent="0.3">
      <c r="J380" s="8" t="s">
        <v>714</v>
      </c>
      <c r="K380">
        <v>1</v>
      </c>
    </row>
    <row r="381" spans="10:11" x14ac:dyDescent="0.3">
      <c r="J381" s="8" t="s">
        <v>3646</v>
      </c>
      <c r="K381">
        <v>1</v>
      </c>
    </row>
    <row r="382" spans="10:11" x14ac:dyDescent="0.3">
      <c r="J382" s="8" t="s">
        <v>732</v>
      </c>
      <c r="K382">
        <v>1</v>
      </c>
    </row>
    <row r="383" spans="10:11" x14ac:dyDescent="0.3">
      <c r="J383" s="8" t="s">
        <v>3651</v>
      </c>
      <c r="K383">
        <v>1</v>
      </c>
    </row>
    <row r="384" spans="10:11" x14ac:dyDescent="0.3">
      <c r="J384" s="8" t="s">
        <v>737</v>
      </c>
      <c r="K384">
        <v>1</v>
      </c>
    </row>
    <row r="385" spans="10:11" x14ac:dyDescent="0.3">
      <c r="J385" s="8" t="s">
        <v>3655</v>
      </c>
      <c r="K385">
        <v>1</v>
      </c>
    </row>
    <row r="386" spans="10:11" x14ac:dyDescent="0.3">
      <c r="J386" s="8" t="s">
        <v>741</v>
      </c>
      <c r="K386">
        <v>1</v>
      </c>
    </row>
    <row r="387" spans="10:11" x14ac:dyDescent="0.3">
      <c r="J387" s="8" t="s">
        <v>3662</v>
      </c>
      <c r="K387">
        <v>1</v>
      </c>
    </row>
    <row r="388" spans="10:11" x14ac:dyDescent="0.3">
      <c r="J388" s="8" t="s">
        <v>755</v>
      </c>
      <c r="K388">
        <v>1</v>
      </c>
    </row>
    <row r="389" spans="10:11" x14ac:dyDescent="0.3">
      <c r="J389" s="8" t="s">
        <v>3684</v>
      </c>
      <c r="K389">
        <v>1</v>
      </c>
    </row>
    <row r="390" spans="10:11" x14ac:dyDescent="0.3">
      <c r="J390" s="8" t="s">
        <v>771</v>
      </c>
      <c r="K390">
        <v>1</v>
      </c>
    </row>
    <row r="391" spans="10:11" x14ac:dyDescent="0.3">
      <c r="J391" s="8" t="s">
        <v>3692</v>
      </c>
      <c r="K391">
        <v>1</v>
      </c>
    </row>
    <row r="392" spans="10:11" x14ac:dyDescent="0.3">
      <c r="J392" s="8" t="s">
        <v>775</v>
      </c>
      <c r="K392">
        <v>1</v>
      </c>
    </row>
    <row r="393" spans="10:11" x14ac:dyDescent="0.3">
      <c r="J393" s="8" t="s">
        <v>439</v>
      </c>
      <c r="K393">
        <v>1</v>
      </c>
    </row>
    <row r="394" spans="10:11" x14ac:dyDescent="0.3">
      <c r="J394" s="8" t="s">
        <v>786</v>
      </c>
      <c r="K394">
        <v>1</v>
      </c>
    </row>
    <row r="395" spans="10:11" x14ac:dyDescent="0.3">
      <c r="J395" s="8" t="s">
        <v>3704</v>
      </c>
      <c r="K395">
        <v>1</v>
      </c>
    </row>
    <row r="396" spans="10:11" x14ac:dyDescent="0.3">
      <c r="J396" s="8" t="s">
        <v>789</v>
      </c>
      <c r="K396">
        <v>1</v>
      </c>
    </row>
    <row r="397" spans="10:11" x14ac:dyDescent="0.3">
      <c r="J397" s="8" t="s">
        <v>3721</v>
      </c>
      <c r="K397">
        <v>1</v>
      </c>
    </row>
    <row r="398" spans="10:11" x14ac:dyDescent="0.3">
      <c r="J398" s="8" t="s">
        <v>801</v>
      </c>
      <c r="K398">
        <v>1</v>
      </c>
    </row>
    <row r="399" spans="10:11" x14ac:dyDescent="0.3">
      <c r="J399" s="8" t="s">
        <v>3726</v>
      </c>
      <c r="K399">
        <v>1</v>
      </c>
    </row>
    <row r="400" spans="10:11" x14ac:dyDescent="0.3">
      <c r="J400" s="8" t="s">
        <v>805</v>
      </c>
      <c r="K400">
        <v>1</v>
      </c>
    </row>
    <row r="401" spans="10:11" x14ac:dyDescent="0.3">
      <c r="J401" s="8" t="s">
        <v>3734</v>
      </c>
      <c r="K401">
        <v>1</v>
      </c>
    </row>
    <row r="402" spans="10:11" x14ac:dyDescent="0.3">
      <c r="J402" s="8" t="s">
        <v>809</v>
      </c>
      <c r="K402">
        <v>1</v>
      </c>
    </row>
    <row r="403" spans="10:11" x14ac:dyDescent="0.3">
      <c r="J403" s="8" t="s">
        <v>3744</v>
      </c>
      <c r="K403">
        <v>1</v>
      </c>
    </row>
    <row r="404" spans="10:11" x14ac:dyDescent="0.3">
      <c r="J404" s="8" t="s">
        <v>814</v>
      </c>
      <c r="K404">
        <v>1</v>
      </c>
    </row>
    <row r="405" spans="10:11" x14ac:dyDescent="0.3">
      <c r="J405" s="8" t="s">
        <v>3789</v>
      </c>
      <c r="K405">
        <v>1</v>
      </c>
    </row>
    <row r="406" spans="10:11" x14ac:dyDescent="0.3">
      <c r="J406" s="8" t="s">
        <v>815</v>
      </c>
      <c r="K406">
        <v>1</v>
      </c>
    </row>
    <row r="407" spans="10:11" x14ac:dyDescent="0.3">
      <c r="J407" s="8" t="s">
        <v>3794</v>
      </c>
      <c r="K407">
        <v>1</v>
      </c>
    </row>
    <row r="408" spans="10:11" x14ac:dyDescent="0.3">
      <c r="J408" s="8" t="s">
        <v>818</v>
      </c>
      <c r="K408">
        <v>1</v>
      </c>
    </row>
    <row r="409" spans="10:11" x14ac:dyDescent="0.3">
      <c r="J409" s="8" t="s">
        <v>3798</v>
      </c>
      <c r="K409">
        <v>1</v>
      </c>
    </row>
    <row r="410" spans="10:11" x14ac:dyDescent="0.3">
      <c r="J410" s="8" t="s">
        <v>821</v>
      </c>
      <c r="K410">
        <v>1</v>
      </c>
    </row>
    <row r="411" spans="10:11" x14ac:dyDescent="0.3">
      <c r="J411" s="8" t="s">
        <v>3802</v>
      </c>
      <c r="K411">
        <v>1</v>
      </c>
    </row>
    <row r="412" spans="10:11" x14ac:dyDescent="0.3">
      <c r="J412" s="8" t="s">
        <v>102</v>
      </c>
      <c r="K412">
        <v>1</v>
      </c>
    </row>
    <row r="413" spans="10:11" x14ac:dyDescent="0.3">
      <c r="J413" s="8" t="s">
        <v>3821</v>
      </c>
      <c r="K413">
        <v>1</v>
      </c>
    </row>
    <row r="414" spans="10:11" x14ac:dyDescent="0.3">
      <c r="J414" s="8" t="s">
        <v>837</v>
      </c>
      <c r="K414">
        <v>1</v>
      </c>
    </row>
    <row r="415" spans="10:11" x14ac:dyDescent="0.3">
      <c r="J415" s="8" t="s">
        <v>3826</v>
      </c>
      <c r="K415">
        <v>1</v>
      </c>
    </row>
    <row r="416" spans="10:11" x14ac:dyDescent="0.3">
      <c r="J416" s="8" t="s">
        <v>838</v>
      </c>
      <c r="K416">
        <v>1</v>
      </c>
    </row>
    <row r="417" spans="10:11" x14ac:dyDescent="0.3">
      <c r="J417" s="8" t="s">
        <v>3829</v>
      </c>
      <c r="K417">
        <v>1</v>
      </c>
    </row>
    <row r="418" spans="10:11" x14ac:dyDescent="0.3">
      <c r="J418" s="8" t="s">
        <v>841</v>
      </c>
      <c r="K418">
        <v>1</v>
      </c>
    </row>
    <row r="419" spans="10:11" x14ac:dyDescent="0.3">
      <c r="J419" s="8" t="s">
        <v>3836</v>
      </c>
      <c r="K419">
        <v>1</v>
      </c>
    </row>
    <row r="420" spans="10:11" x14ac:dyDescent="0.3">
      <c r="J420" s="8" t="s">
        <v>852</v>
      </c>
      <c r="K420">
        <v>1</v>
      </c>
    </row>
    <row r="421" spans="10:11" x14ac:dyDescent="0.3">
      <c r="J421" s="8" t="s">
        <v>3840</v>
      </c>
      <c r="K421">
        <v>1</v>
      </c>
    </row>
    <row r="422" spans="10:11" x14ac:dyDescent="0.3">
      <c r="J422" s="8" t="s">
        <v>860</v>
      </c>
      <c r="K422">
        <v>1</v>
      </c>
    </row>
    <row r="423" spans="10:11" x14ac:dyDescent="0.3">
      <c r="J423" s="8" t="s">
        <v>3848</v>
      </c>
      <c r="K423">
        <v>1</v>
      </c>
    </row>
    <row r="424" spans="10:11" x14ac:dyDescent="0.3">
      <c r="J424" s="8" t="s">
        <v>106</v>
      </c>
      <c r="K424">
        <v>1</v>
      </c>
    </row>
    <row r="425" spans="10:11" x14ac:dyDescent="0.3">
      <c r="J425" s="8" t="s">
        <v>3852</v>
      </c>
      <c r="K425">
        <v>1</v>
      </c>
    </row>
    <row r="426" spans="10:11" x14ac:dyDescent="0.3">
      <c r="J426" s="8" t="s">
        <v>875</v>
      </c>
      <c r="K426">
        <v>1</v>
      </c>
    </row>
    <row r="427" spans="10:11" x14ac:dyDescent="0.3">
      <c r="J427" s="8" t="s">
        <v>3865</v>
      </c>
      <c r="K427">
        <v>1</v>
      </c>
    </row>
    <row r="428" spans="10:11" x14ac:dyDescent="0.3">
      <c r="J428" s="8" t="s">
        <v>880</v>
      </c>
      <c r="K428">
        <v>1</v>
      </c>
    </row>
    <row r="429" spans="10:11" x14ac:dyDescent="0.3">
      <c r="J429" s="8" t="s">
        <v>462</v>
      </c>
      <c r="K429">
        <v>1</v>
      </c>
    </row>
    <row r="430" spans="10:11" x14ac:dyDescent="0.3">
      <c r="J430" s="8" t="s">
        <v>883</v>
      </c>
      <c r="K430">
        <v>1</v>
      </c>
    </row>
    <row r="431" spans="10:11" x14ac:dyDescent="0.3">
      <c r="J431" s="8" t="s">
        <v>3879</v>
      </c>
      <c r="K431">
        <v>1</v>
      </c>
    </row>
    <row r="432" spans="10:11" x14ac:dyDescent="0.3">
      <c r="J432" s="8" t="s">
        <v>110</v>
      </c>
      <c r="K432">
        <v>1</v>
      </c>
    </row>
    <row r="433" spans="10:11" x14ac:dyDescent="0.3">
      <c r="J433" s="8" t="s">
        <v>3893</v>
      </c>
      <c r="K433">
        <v>1</v>
      </c>
    </row>
    <row r="434" spans="10:11" x14ac:dyDescent="0.3">
      <c r="J434" s="8" t="s">
        <v>905</v>
      </c>
      <c r="K434">
        <v>1</v>
      </c>
    </row>
    <row r="435" spans="10:11" x14ac:dyDescent="0.3">
      <c r="J435" s="8" t="s">
        <v>3904</v>
      </c>
      <c r="K435">
        <v>1</v>
      </c>
    </row>
    <row r="436" spans="10:11" x14ac:dyDescent="0.3">
      <c r="J436" s="8" t="s">
        <v>909</v>
      </c>
      <c r="K436">
        <v>1</v>
      </c>
    </row>
    <row r="437" spans="10:11" x14ac:dyDescent="0.3">
      <c r="J437" s="8" t="s">
        <v>3912</v>
      </c>
      <c r="K437">
        <v>1</v>
      </c>
    </row>
    <row r="438" spans="10:11" x14ac:dyDescent="0.3">
      <c r="J438" s="8" t="s">
        <v>921</v>
      </c>
      <c r="K438">
        <v>1</v>
      </c>
    </row>
    <row r="439" spans="10:11" x14ac:dyDescent="0.3">
      <c r="J439" s="8" t="s">
        <v>3915</v>
      </c>
      <c r="K439">
        <v>1</v>
      </c>
    </row>
    <row r="440" spans="10:11" x14ac:dyDescent="0.3">
      <c r="J440" s="8" t="s">
        <v>924</v>
      </c>
      <c r="K440">
        <v>1</v>
      </c>
    </row>
    <row r="441" spans="10:11" x14ac:dyDescent="0.3">
      <c r="J441" s="8" t="s">
        <v>3925</v>
      </c>
      <c r="K441">
        <v>1</v>
      </c>
    </row>
    <row r="442" spans="10:11" x14ac:dyDescent="0.3">
      <c r="J442" s="8" t="s">
        <v>933</v>
      </c>
      <c r="K442">
        <v>1</v>
      </c>
    </row>
    <row r="443" spans="10:11" x14ac:dyDescent="0.3">
      <c r="J443" s="8" t="s">
        <v>3940</v>
      </c>
      <c r="K443">
        <v>1</v>
      </c>
    </row>
    <row r="444" spans="10:11" x14ac:dyDescent="0.3">
      <c r="J444" s="8" t="s">
        <v>942</v>
      </c>
      <c r="K444">
        <v>1</v>
      </c>
    </row>
    <row r="445" spans="10:11" x14ac:dyDescent="0.3">
      <c r="J445" s="8" t="s">
        <v>3946</v>
      </c>
      <c r="K445">
        <v>1</v>
      </c>
    </row>
    <row r="446" spans="10:11" x14ac:dyDescent="0.3">
      <c r="J446" s="8" t="s">
        <v>943</v>
      </c>
      <c r="K446">
        <v>1</v>
      </c>
    </row>
    <row r="447" spans="10:11" x14ac:dyDescent="0.3">
      <c r="J447" s="8" t="s">
        <v>3953</v>
      </c>
      <c r="K447">
        <v>1</v>
      </c>
    </row>
    <row r="448" spans="10:11" x14ac:dyDescent="0.3">
      <c r="J448" s="8" t="s">
        <v>26</v>
      </c>
      <c r="K448">
        <v>1</v>
      </c>
    </row>
    <row r="449" spans="10:11" x14ac:dyDescent="0.3">
      <c r="J449" s="8" t="s">
        <v>3961</v>
      </c>
      <c r="K449">
        <v>1</v>
      </c>
    </row>
    <row r="450" spans="10:11" x14ac:dyDescent="0.3">
      <c r="J450" s="8" t="s">
        <v>114</v>
      </c>
      <c r="K450">
        <v>1</v>
      </c>
    </row>
    <row r="451" spans="10:11" x14ac:dyDescent="0.3">
      <c r="J451" s="8" t="s">
        <v>3968</v>
      </c>
      <c r="K451">
        <v>1</v>
      </c>
    </row>
    <row r="452" spans="10:11" x14ac:dyDescent="0.3">
      <c r="J452" s="8" t="s">
        <v>116</v>
      </c>
      <c r="K452">
        <v>1</v>
      </c>
    </row>
    <row r="453" spans="10:11" x14ac:dyDescent="0.3">
      <c r="J453" s="8" t="s">
        <v>3981</v>
      </c>
      <c r="K453">
        <v>1</v>
      </c>
    </row>
    <row r="454" spans="10:11" x14ac:dyDescent="0.3">
      <c r="J454" s="8" t="s">
        <v>976</v>
      </c>
      <c r="K454">
        <v>1</v>
      </c>
    </row>
    <row r="455" spans="10:11" x14ac:dyDescent="0.3">
      <c r="J455" s="8" t="s">
        <v>3996</v>
      </c>
      <c r="K455">
        <v>1</v>
      </c>
    </row>
    <row r="456" spans="10:11" x14ac:dyDescent="0.3">
      <c r="J456" s="8" t="s">
        <v>978</v>
      </c>
      <c r="K456">
        <v>1</v>
      </c>
    </row>
    <row r="457" spans="10:11" x14ac:dyDescent="0.3">
      <c r="J457" s="8" t="s">
        <v>4012</v>
      </c>
      <c r="K457">
        <v>1</v>
      </c>
    </row>
    <row r="458" spans="10:11" x14ac:dyDescent="0.3">
      <c r="J458" s="8" t="s">
        <v>117</v>
      </c>
      <c r="K458">
        <v>1</v>
      </c>
    </row>
    <row r="459" spans="10:11" x14ac:dyDescent="0.3">
      <c r="J459" s="8" t="s">
        <v>4014</v>
      </c>
      <c r="K459">
        <v>1</v>
      </c>
    </row>
    <row r="460" spans="10:11" x14ac:dyDescent="0.3">
      <c r="J460" s="8" t="s">
        <v>979</v>
      </c>
      <c r="K460">
        <v>1</v>
      </c>
    </row>
    <row r="461" spans="10:11" x14ac:dyDescent="0.3">
      <c r="J461" s="8" t="s">
        <v>4021</v>
      </c>
      <c r="K461">
        <v>1</v>
      </c>
    </row>
    <row r="462" spans="10:11" x14ac:dyDescent="0.3">
      <c r="J462" s="8" t="s">
        <v>981</v>
      </c>
      <c r="K462">
        <v>1</v>
      </c>
    </row>
    <row r="463" spans="10:11" x14ac:dyDescent="0.3">
      <c r="J463" s="8" t="s">
        <v>4030</v>
      </c>
      <c r="K463">
        <v>1</v>
      </c>
    </row>
    <row r="464" spans="10:11" x14ac:dyDescent="0.3">
      <c r="J464" s="8" t="s">
        <v>989</v>
      </c>
      <c r="K464">
        <v>1</v>
      </c>
    </row>
    <row r="465" spans="10:11" x14ac:dyDescent="0.3">
      <c r="J465" s="8" t="s">
        <v>4037</v>
      </c>
      <c r="K465">
        <v>1</v>
      </c>
    </row>
    <row r="466" spans="10:11" x14ac:dyDescent="0.3">
      <c r="J466" s="8" t="s">
        <v>119</v>
      </c>
      <c r="K466">
        <v>1</v>
      </c>
    </row>
    <row r="467" spans="10:11" x14ac:dyDescent="0.3">
      <c r="J467" s="8" t="s">
        <v>4057</v>
      </c>
      <c r="K467">
        <v>1</v>
      </c>
    </row>
    <row r="468" spans="10:11" x14ac:dyDescent="0.3">
      <c r="J468" s="8" t="s">
        <v>1002</v>
      </c>
      <c r="K468">
        <v>1</v>
      </c>
    </row>
    <row r="469" spans="10:11" x14ac:dyDescent="0.3">
      <c r="J469" s="8" t="s">
        <v>4074</v>
      </c>
      <c r="K469">
        <v>1</v>
      </c>
    </row>
    <row r="470" spans="10:11" x14ac:dyDescent="0.3">
      <c r="J470" s="8" t="s">
        <v>1009</v>
      </c>
      <c r="K470">
        <v>1</v>
      </c>
    </row>
    <row r="471" spans="10:11" x14ac:dyDescent="0.3">
      <c r="J471" s="8" t="s">
        <v>4079</v>
      </c>
      <c r="K471">
        <v>1</v>
      </c>
    </row>
    <row r="472" spans="10:11" x14ac:dyDescent="0.3">
      <c r="J472" s="8" t="s">
        <v>1011</v>
      </c>
      <c r="K472">
        <v>1</v>
      </c>
    </row>
    <row r="473" spans="10:11" x14ac:dyDescent="0.3">
      <c r="J473" s="8" t="s">
        <v>4091</v>
      </c>
      <c r="K473">
        <v>1</v>
      </c>
    </row>
    <row r="474" spans="10:11" x14ac:dyDescent="0.3">
      <c r="J474" s="8" t="s">
        <v>1014</v>
      </c>
      <c r="K474">
        <v>1</v>
      </c>
    </row>
    <row r="475" spans="10:11" x14ac:dyDescent="0.3">
      <c r="J475" s="8" t="s">
        <v>493</v>
      </c>
      <c r="K475">
        <v>1</v>
      </c>
    </row>
    <row r="476" spans="10:11" x14ac:dyDescent="0.3">
      <c r="J476" s="8" t="s">
        <v>1015</v>
      </c>
      <c r="K476">
        <v>1</v>
      </c>
    </row>
    <row r="477" spans="10:11" x14ac:dyDescent="0.3">
      <c r="J477" s="8" t="s">
        <v>513</v>
      </c>
      <c r="K477">
        <v>1</v>
      </c>
    </row>
    <row r="478" spans="10:11" x14ac:dyDescent="0.3">
      <c r="J478" s="8" t="s">
        <v>1029</v>
      </c>
      <c r="K478">
        <v>1</v>
      </c>
    </row>
    <row r="479" spans="10:11" x14ac:dyDescent="0.3">
      <c r="J479" s="8" t="s">
        <v>520</v>
      </c>
      <c r="K479">
        <v>1</v>
      </c>
    </row>
    <row r="480" spans="10:11" x14ac:dyDescent="0.3">
      <c r="J480" s="8" t="s">
        <v>1037</v>
      </c>
      <c r="K480">
        <v>1</v>
      </c>
    </row>
    <row r="481" spans="10:11" x14ac:dyDescent="0.3">
      <c r="J481" s="8" t="s">
        <v>525</v>
      </c>
      <c r="K481">
        <v>1</v>
      </c>
    </row>
    <row r="482" spans="10:11" x14ac:dyDescent="0.3">
      <c r="J482" s="8" t="s">
        <v>1039</v>
      </c>
      <c r="K482">
        <v>1</v>
      </c>
    </row>
    <row r="483" spans="10:11" x14ac:dyDescent="0.3">
      <c r="J483" s="8" t="s">
        <v>3360</v>
      </c>
      <c r="K483">
        <v>1</v>
      </c>
    </row>
    <row r="484" spans="10:11" x14ac:dyDescent="0.3">
      <c r="J484" s="8" t="s">
        <v>1047</v>
      </c>
      <c r="K484">
        <v>1</v>
      </c>
    </row>
    <row r="485" spans="10:11" x14ac:dyDescent="0.3">
      <c r="J485" s="8" t="s">
        <v>400</v>
      </c>
      <c r="K485">
        <v>1</v>
      </c>
    </row>
    <row r="486" spans="10:11" x14ac:dyDescent="0.3">
      <c r="J486" s="8" t="s">
        <v>1053</v>
      </c>
      <c r="K486">
        <v>1</v>
      </c>
    </row>
    <row r="487" spans="10:11" x14ac:dyDescent="0.3">
      <c r="J487" s="8" t="s">
        <v>3395</v>
      </c>
      <c r="K487">
        <v>1</v>
      </c>
    </row>
    <row r="488" spans="10:11" x14ac:dyDescent="0.3">
      <c r="J488" s="8" t="s">
        <v>126</v>
      </c>
      <c r="K488">
        <v>1</v>
      </c>
    </row>
    <row r="489" spans="10:11" x14ac:dyDescent="0.3">
      <c r="J489" s="8" t="s">
        <v>3411</v>
      </c>
      <c r="K489">
        <v>1</v>
      </c>
    </row>
    <row r="490" spans="10:11" x14ac:dyDescent="0.3">
      <c r="J490" s="8" t="s">
        <v>1084</v>
      </c>
      <c r="K490">
        <v>1</v>
      </c>
    </row>
    <row r="491" spans="10:11" x14ac:dyDescent="0.3">
      <c r="J491" s="8" t="s">
        <v>3420</v>
      </c>
      <c r="K491">
        <v>1</v>
      </c>
    </row>
    <row r="492" spans="10:11" x14ac:dyDescent="0.3">
      <c r="J492" s="8" t="s">
        <v>1100</v>
      </c>
      <c r="K492">
        <v>1</v>
      </c>
    </row>
    <row r="493" spans="10:11" x14ac:dyDescent="0.3">
      <c r="J493" s="8" t="s">
        <v>3454</v>
      </c>
      <c r="K493">
        <v>1</v>
      </c>
    </row>
    <row r="494" spans="10:11" x14ac:dyDescent="0.3">
      <c r="J494" s="8" t="s">
        <v>1106</v>
      </c>
      <c r="K494">
        <v>1</v>
      </c>
    </row>
    <row r="495" spans="10:11" x14ac:dyDescent="0.3">
      <c r="J495" s="8" t="s">
        <v>3462</v>
      </c>
      <c r="K495">
        <v>1</v>
      </c>
    </row>
    <row r="496" spans="10:11" x14ac:dyDescent="0.3">
      <c r="J496" s="8" t="s">
        <v>1107</v>
      </c>
      <c r="K496">
        <v>1</v>
      </c>
    </row>
    <row r="497" spans="10:11" x14ac:dyDescent="0.3">
      <c r="J497" s="8" t="s">
        <v>3479</v>
      </c>
      <c r="K497">
        <v>1</v>
      </c>
    </row>
    <row r="498" spans="10:11" x14ac:dyDescent="0.3">
      <c r="J498" s="8" t="s">
        <v>1111</v>
      </c>
      <c r="K498">
        <v>1</v>
      </c>
    </row>
    <row r="499" spans="10:11" x14ac:dyDescent="0.3">
      <c r="J499" s="8" t="s">
        <v>3512</v>
      </c>
      <c r="K499">
        <v>1</v>
      </c>
    </row>
    <row r="500" spans="10:11" x14ac:dyDescent="0.3">
      <c r="J500" s="8" t="s">
        <v>1121</v>
      </c>
      <c r="K500">
        <v>1</v>
      </c>
    </row>
    <row r="501" spans="10:11" x14ac:dyDescent="0.3">
      <c r="J501" s="8" t="s">
        <v>3523</v>
      </c>
      <c r="K501">
        <v>1</v>
      </c>
    </row>
    <row r="502" spans="10:11" x14ac:dyDescent="0.3">
      <c r="J502" s="8" t="s">
        <v>1124</v>
      </c>
      <c r="K502">
        <v>1</v>
      </c>
    </row>
    <row r="503" spans="10:11" x14ac:dyDescent="0.3">
      <c r="J503" s="8" t="s">
        <v>3538</v>
      </c>
      <c r="K503">
        <v>1</v>
      </c>
    </row>
    <row r="504" spans="10:11" x14ac:dyDescent="0.3">
      <c r="J504" s="8" t="s">
        <v>1126</v>
      </c>
      <c r="K504">
        <v>1</v>
      </c>
    </row>
    <row r="505" spans="10:11" x14ac:dyDescent="0.3">
      <c r="J505" s="8" t="s">
        <v>3567</v>
      </c>
      <c r="K505">
        <v>1</v>
      </c>
    </row>
    <row r="506" spans="10:11" x14ac:dyDescent="0.3">
      <c r="J506" s="8" t="s">
        <v>1131</v>
      </c>
      <c r="K506">
        <v>1</v>
      </c>
    </row>
    <row r="507" spans="10:11" x14ac:dyDescent="0.3">
      <c r="J507" s="8" t="s">
        <v>3614</v>
      </c>
      <c r="K507">
        <v>1</v>
      </c>
    </row>
    <row r="508" spans="10:11" x14ac:dyDescent="0.3">
      <c r="J508" s="8" t="s">
        <v>1134</v>
      </c>
      <c r="K508">
        <v>1</v>
      </c>
    </row>
    <row r="509" spans="10:11" x14ac:dyDescent="0.3">
      <c r="J509" s="8" t="s">
        <v>3633</v>
      </c>
      <c r="K509">
        <v>1</v>
      </c>
    </row>
    <row r="510" spans="10:11" x14ac:dyDescent="0.3">
      <c r="J510" s="8" t="s">
        <v>1140</v>
      </c>
      <c r="K510">
        <v>1</v>
      </c>
    </row>
    <row r="511" spans="10:11" x14ac:dyDescent="0.3">
      <c r="J511" s="8" t="s">
        <v>3647</v>
      </c>
      <c r="K511">
        <v>1</v>
      </c>
    </row>
    <row r="512" spans="10:11" x14ac:dyDescent="0.3">
      <c r="J512" s="8" t="s">
        <v>1143</v>
      </c>
      <c r="K512">
        <v>1</v>
      </c>
    </row>
    <row r="513" spans="10:11" x14ac:dyDescent="0.3">
      <c r="J513" s="8" t="s">
        <v>3656</v>
      </c>
      <c r="K513">
        <v>1</v>
      </c>
    </row>
    <row r="514" spans="10:11" x14ac:dyDescent="0.3">
      <c r="J514" s="8" t="s">
        <v>1149</v>
      </c>
      <c r="K514">
        <v>1</v>
      </c>
    </row>
    <row r="515" spans="10:11" x14ac:dyDescent="0.3">
      <c r="J515" s="8" t="s">
        <v>3688</v>
      </c>
      <c r="K515">
        <v>1</v>
      </c>
    </row>
    <row r="516" spans="10:11" x14ac:dyDescent="0.3">
      <c r="J516" s="8" t="s">
        <v>139</v>
      </c>
      <c r="K516">
        <v>1</v>
      </c>
    </row>
    <row r="517" spans="10:11" x14ac:dyDescent="0.3">
      <c r="J517" s="8" t="s">
        <v>3698</v>
      </c>
      <c r="K517">
        <v>1</v>
      </c>
    </row>
    <row r="518" spans="10:11" x14ac:dyDescent="0.3">
      <c r="J518" s="8" t="s">
        <v>1152</v>
      </c>
      <c r="K518">
        <v>1</v>
      </c>
    </row>
    <row r="519" spans="10:11" x14ac:dyDescent="0.3">
      <c r="J519" s="8" t="s">
        <v>3724</v>
      </c>
      <c r="K519">
        <v>1</v>
      </c>
    </row>
    <row r="520" spans="10:11" x14ac:dyDescent="0.3">
      <c r="J520" s="8" t="s">
        <v>1159</v>
      </c>
      <c r="K520">
        <v>1</v>
      </c>
    </row>
    <row r="521" spans="10:11" x14ac:dyDescent="0.3">
      <c r="J521" s="8" t="s">
        <v>3742</v>
      </c>
      <c r="K521">
        <v>1</v>
      </c>
    </row>
    <row r="522" spans="10:11" x14ac:dyDescent="0.3">
      <c r="J522" s="8" t="s">
        <v>1162</v>
      </c>
      <c r="K522">
        <v>1</v>
      </c>
    </row>
    <row r="523" spans="10:11" x14ac:dyDescent="0.3">
      <c r="J523" s="8" t="s">
        <v>3792</v>
      </c>
      <c r="K523">
        <v>1</v>
      </c>
    </row>
    <row r="524" spans="10:11" x14ac:dyDescent="0.3">
      <c r="J524" s="8" t="s">
        <v>141</v>
      </c>
      <c r="K524">
        <v>1</v>
      </c>
    </row>
    <row r="525" spans="10:11" x14ac:dyDescent="0.3">
      <c r="J525" s="8" t="s">
        <v>3801</v>
      </c>
      <c r="K525">
        <v>1</v>
      </c>
    </row>
    <row r="526" spans="10:11" x14ac:dyDescent="0.3">
      <c r="J526" s="8" t="s">
        <v>1165</v>
      </c>
      <c r="K526">
        <v>1</v>
      </c>
    </row>
    <row r="527" spans="10:11" x14ac:dyDescent="0.3">
      <c r="J527" s="8" t="s">
        <v>3822</v>
      </c>
      <c r="K527">
        <v>1</v>
      </c>
    </row>
    <row r="528" spans="10:11" x14ac:dyDescent="0.3">
      <c r="J528" s="8" t="s">
        <v>1167</v>
      </c>
      <c r="K528">
        <v>1</v>
      </c>
    </row>
    <row r="529" spans="10:11" x14ac:dyDescent="0.3">
      <c r="J529" s="8" t="s">
        <v>3832</v>
      </c>
      <c r="K529">
        <v>1</v>
      </c>
    </row>
    <row r="530" spans="10:11" x14ac:dyDescent="0.3">
      <c r="J530" s="8" t="s">
        <v>1185</v>
      </c>
      <c r="K530">
        <v>1</v>
      </c>
    </row>
    <row r="531" spans="10:11" x14ac:dyDescent="0.3">
      <c r="J531" s="8" t="s">
        <v>3846</v>
      </c>
      <c r="K531">
        <v>1</v>
      </c>
    </row>
    <row r="532" spans="10:11" x14ac:dyDescent="0.3">
      <c r="J532" s="8" t="s">
        <v>1191</v>
      </c>
      <c r="K532">
        <v>1</v>
      </c>
    </row>
    <row r="533" spans="10:11" x14ac:dyDescent="0.3">
      <c r="J533" s="8" t="s">
        <v>3854</v>
      </c>
      <c r="K533">
        <v>1</v>
      </c>
    </row>
    <row r="534" spans="10:11" x14ac:dyDescent="0.3">
      <c r="J534" s="8" t="s">
        <v>1197</v>
      </c>
      <c r="K534">
        <v>1</v>
      </c>
    </row>
    <row r="535" spans="10:11" x14ac:dyDescent="0.3">
      <c r="J535" s="8" t="s">
        <v>3866</v>
      </c>
      <c r="K535">
        <v>1</v>
      </c>
    </row>
    <row r="536" spans="10:11" x14ac:dyDescent="0.3">
      <c r="J536" s="8" t="s">
        <v>1201</v>
      </c>
      <c r="K536">
        <v>1</v>
      </c>
    </row>
    <row r="537" spans="10:11" x14ac:dyDescent="0.3">
      <c r="J537" s="8" t="s">
        <v>3897</v>
      </c>
      <c r="K537">
        <v>1</v>
      </c>
    </row>
    <row r="538" spans="10:11" x14ac:dyDescent="0.3">
      <c r="J538" s="8" t="s">
        <v>1202</v>
      </c>
      <c r="K538">
        <v>1</v>
      </c>
    </row>
    <row r="539" spans="10:11" x14ac:dyDescent="0.3">
      <c r="J539" s="8" t="s">
        <v>3913</v>
      </c>
      <c r="K539">
        <v>1</v>
      </c>
    </row>
    <row r="540" spans="10:11" x14ac:dyDescent="0.3">
      <c r="J540" s="8" t="s">
        <v>1203</v>
      </c>
      <c r="K540">
        <v>1</v>
      </c>
    </row>
    <row r="541" spans="10:11" x14ac:dyDescent="0.3">
      <c r="J541" s="8" t="s">
        <v>3928</v>
      </c>
      <c r="K541">
        <v>1</v>
      </c>
    </row>
    <row r="542" spans="10:11" x14ac:dyDescent="0.3">
      <c r="J542" s="8" t="s">
        <v>1207</v>
      </c>
      <c r="K542">
        <v>1</v>
      </c>
    </row>
    <row r="543" spans="10:11" x14ac:dyDescent="0.3">
      <c r="J543" s="8" t="s">
        <v>3952</v>
      </c>
      <c r="K543">
        <v>1</v>
      </c>
    </row>
    <row r="544" spans="10:11" x14ac:dyDescent="0.3">
      <c r="J544" s="8" t="s">
        <v>1210</v>
      </c>
      <c r="K544">
        <v>1</v>
      </c>
    </row>
    <row r="545" spans="10:11" x14ac:dyDescent="0.3">
      <c r="J545" s="8" t="s">
        <v>3966</v>
      </c>
      <c r="K545">
        <v>1</v>
      </c>
    </row>
    <row r="546" spans="10:11" x14ac:dyDescent="0.3">
      <c r="J546" s="8" t="s">
        <v>1212</v>
      </c>
      <c r="K546">
        <v>1</v>
      </c>
    </row>
    <row r="547" spans="10:11" x14ac:dyDescent="0.3">
      <c r="J547" s="8" t="s">
        <v>478</v>
      </c>
      <c r="K547">
        <v>1</v>
      </c>
    </row>
    <row r="548" spans="10:11" x14ac:dyDescent="0.3">
      <c r="J548" s="8" t="s">
        <v>1216</v>
      </c>
      <c r="K548">
        <v>1</v>
      </c>
    </row>
    <row r="549" spans="10:11" x14ac:dyDescent="0.3">
      <c r="J549" s="8" t="s">
        <v>4013</v>
      </c>
      <c r="K549">
        <v>1</v>
      </c>
    </row>
    <row r="550" spans="10:11" x14ac:dyDescent="0.3">
      <c r="J550" s="8" t="s">
        <v>1230</v>
      </c>
      <c r="K550">
        <v>1</v>
      </c>
    </row>
    <row r="551" spans="10:11" x14ac:dyDescent="0.3">
      <c r="J551" s="8" t="s">
        <v>4022</v>
      </c>
      <c r="K551">
        <v>1</v>
      </c>
    </row>
    <row r="552" spans="10:11" x14ac:dyDescent="0.3">
      <c r="J552" s="8" t="s">
        <v>1231</v>
      </c>
      <c r="K552">
        <v>1</v>
      </c>
    </row>
    <row r="553" spans="10:11" x14ac:dyDescent="0.3">
      <c r="J553" s="8" t="s">
        <v>4052</v>
      </c>
      <c r="K553">
        <v>1</v>
      </c>
    </row>
    <row r="554" spans="10:11" x14ac:dyDescent="0.3">
      <c r="J554" s="8" t="s">
        <v>1250</v>
      </c>
      <c r="K554">
        <v>1</v>
      </c>
    </row>
    <row r="555" spans="10:11" x14ac:dyDescent="0.3">
      <c r="J555" s="8" t="s">
        <v>4075</v>
      </c>
      <c r="K555">
        <v>1</v>
      </c>
    </row>
    <row r="556" spans="10:11" x14ac:dyDescent="0.3">
      <c r="J556" s="8" t="s">
        <v>1251</v>
      </c>
      <c r="K556">
        <v>1</v>
      </c>
    </row>
    <row r="557" spans="10:11" x14ac:dyDescent="0.3">
      <c r="J557" s="8" t="s">
        <v>4094</v>
      </c>
      <c r="K557">
        <v>1</v>
      </c>
    </row>
    <row r="558" spans="10:11" x14ac:dyDescent="0.3">
      <c r="J558" s="8" t="s">
        <v>1258</v>
      </c>
      <c r="K558">
        <v>1</v>
      </c>
    </row>
    <row r="559" spans="10:11" x14ac:dyDescent="0.3">
      <c r="J559" s="8" t="s">
        <v>516</v>
      </c>
      <c r="K559">
        <v>1</v>
      </c>
    </row>
    <row r="560" spans="10:11" x14ac:dyDescent="0.3">
      <c r="J560" s="8" t="s">
        <v>153</v>
      </c>
      <c r="K560">
        <v>1</v>
      </c>
    </row>
    <row r="561" spans="10:11" x14ac:dyDescent="0.3">
      <c r="J561" s="8" t="s">
        <v>3349</v>
      </c>
      <c r="K561">
        <v>1</v>
      </c>
    </row>
    <row r="562" spans="10:11" x14ac:dyDescent="0.3">
      <c r="J562" s="8" t="s">
        <v>154</v>
      </c>
      <c r="K562">
        <v>1</v>
      </c>
    </row>
    <row r="563" spans="10:11" x14ac:dyDescent="0.3">
      <c r="J563" s="8" t="s">
        <v>3384</v>
      </c>
      <c r="K563">
        <v>1</v>
      </c>
    </row>
    <row r="564" spans="10:11" x14ac:dyDescent="0.3">
      <c r="J564" s="8" t="s">
        <v>1285</v>
      </c>
      <c r="K564">
        <v>1</v>
      </c>
    </row>
    <row r="565" spans="10:11" x14ac:dyDescent="0.3">
      <c r="J565" s="8" t="s">
        <v>3418</v>
      </c>
      <c r="K565">
        <v>1</v>
      </c>
    </row>
    <row r="566" spans="10:11" x14ac:dyDescent="0.3">
      <c r="J566" s="8" t="s">
        <v>1289</v>
      </c>
      <c r="K566">
        <v>1</v>
      </c>
    </row>
    <row r="567" spans="10:11" x14ac:dyDescent="0.3">
      <c r="J567" s="8" t="s">
        <v>3455</v>
      </c>
      <c r="K567">
        <v>1</v>
      </c>
    </row>
    <row r="568" spans="10:11" x14ac:dyDescent="0.3">
      <c r="J568" s="8" t="s">
        <v>1295</v>
      </c>
      <c r="K568">
        <v>1</v>
      </c>
    </row>
    <row r="569" spans="10:11" x14ac:dyDescent="0.3">
      <c r="J569" s="8" t="s">
        <v>3504</v>
      </c>
      <c r="K569">
        <v>1</v>
      </c>
    </row>
    <row r="570" spans="10:11" x14ac:dyDescent="0.3">
      <c r="J570" s="8" t="s">
        <v>1306</v>
      </c>
      <c r="K570">
        <v>1</v>
      </c>
    </row>
    <row r="571" spans="10:11" x14ac:dyDescent="0.3">
      <c r="J571" s="8" t="s">
        <v>3531</v>
      </c>
      <c r="K571">
        <v>1</v>
      </c>
    </row>
    <row r="572" spans="10:11" x14ac:dyDescent="0.3">
      <c r="J572" s="8" t="s">
        <v>1311</v>
      </c>
      <c r="K572">
        <v>1</v>
      </c>
    </row>
    <row r="573" spans="10:11" x14ac:dyDescent="0.3">
      <c r="J573" s="8" t="s">
        <v>3597</v>
      </c>
      <c r="K573">
        <v>1</v>
      </c>
    </row>
    <row r="574" spans="10:11" x14ac:dyDescent="0.3">
      <c r="J574" s="8" t="s">
        <v>1314</v>
      </c>
      <c r="K574">
        <v>1</v>
      </c>
    </row>
    <row r="575" spans="10:11" x14ac:dyDescent="0.3">
      <c r="J575" s="8" t="s">
        <v>3641</v>
      </c>
      <c r="K575">
        <v>1</v>
      </c>
    </row>
    <row r="576" spans="10:11" x14ac:dyDescent="0.3">
      <c r="J576" s="8" t="s">
        <v>1318</v>
      </c>
      <c r="K576">
        <v>1</v>
      </c>
    </row>
    <row r="577" spans="10:11" x14ac:dyDescent="0.3">
      <c r="J577" s="8" t="s">
        <v>3673</v>
      </c>
      <c r="K577">
        <v>1</v>
      </c>
    </row>
    <row r="578" spans="10:11" x14ac:dyDescent="0.3">
      <c r="J578" s="8" t="s">
        <v>1323</v>
      </c>
      <c r="K578">
        <v>1</v>
      </c>
    </row>
    <row r="579" spans="10:11" x14ac:dyDescent="0.3">
      <c r="J579" s="8" t="s">
        <v>3713</v>
      </c>
      <c r="K579">
        <v>1</v>
      </c>
    </row>
    <row r="580" spans="10:11" x14ac:dyDescent="0.3">
      <c r="J580" s="8" t="s">
        <v>1325</v>
      </c>
      <c r="K580">
        <v>1</v>
      </c>
    </row>
    <row r="581" spans="10:11" x14ac:dyDescent="0.3">
      <c r="J581" s="8" t="s">
        <v>3759</v>
      </c>
      <c r="K581">
        <v>1</v>
      </c>
    </row>
    <row r="582" spans="10:11" x14ac:dyDescent="0.3">
      <c r="J582" s="8" t="s">
        <v>159</v>
      </c>
      <c r="K582">
        <v>1</v>
      </c>
    </row>
    <row r="583" spans="10:11" x14ac:dyDescent="0.3">
      <c r="J583" s="8" t="s">
        <v>3809</v>
      </c>
      <c r="K583">
        <v>1</v>
      </c>
    </row>
    <row r="584" spans="10:11" x14ac:dyDescent="0.3">
      <c r="J584" s="8" t="s">
        <v>1337</v>
      </c>
      <c r="K584">
        <v>1</v>
      </c>
    </row>
    <row r="585" spans="10:11" x14ac:dyDescent="0.3">
      <c r="J585" s="8" t="s">
        <v>3837</v>
      </c>
      <c r="K585">
        <v>1</v>
      </c>
    </row>
    <row r="586" spans="10:11" x14ac:dyDescent="0.3">
      <c r="J586" s="8" t="s">
        <v>1339</v>
      </c>
      <c r="K586">
        <v>1</v>
      </c>
    </row>
    <row r="587" spans="10:11" x14ac:dyDescent="0.3">
      <c r="J587" s="8" t="s">
        <v>62</v>
      </c>
      <c r="K587">
        <v>1</v>
      </c>
    </row>
    <row r="588" spans="10:11" x14ac:dyDescent="0.3">
      <c r="J588" s="8" t="s">
        <v>1340</v>
      </c>
      <c r="K588">
        <v>1</v>
      </c>
    </row>
    <row r="589" spans="10:11" x14ac:dyDescent="0.3">
      <c r="J589" s="8" t="s">
        <v>3911</v>
      </c>
      <c r="K589">
        <v>1</v>
      </c>
    </row>
    <row r="590" spans="10:11" x14ac:dyDescent="0.3">
      <c r="J590" s="8" t="s">
        <v>1350</v>
      </c>
      <c r="K590">
        <v>1</v>
      </c>
    </row>
    <row r="591" spans="10:11" x14ac:dyDescent="0.3">
      <c r="J591" s="8" t="s">
        <v>3942</v>
      </c>
      <c r="K591">
        <v>1</v>
      </c>
    </row>
    <row r="592" spans="10:11" x14ac:dyDescent="0.3">
      <c r="J592" s="8" t="s">
        <v>1352</v>
      </c>
      <c r="K592">
        <v>1</v>
      </c>
    </row>
    <row r="593" spans="10:11" x14ac:dyDescent="0.3">
      <c r="J593" s="8" t="s">
        <v>3977</v>
      </c>
      <c r="K593">
        <v>1</v>
      </c>
    </row>
    <row r="594" spans="10:11" x14ac:dyDescent="0.3">
      <c r="J594" s="8" t="s">
        <v>1367</v>
      </c>
      <c r="K594">
        <v>1</v>
      </c>
    </row>
    <row r="595" spans="10:11" x14ac:dyDescent="0.3">
      <c r="J595" s="8" t="s">
        <v>4016</v>
      </c>
      <c r="K595">
        <v>1</v>
      </c>
    </row>
    <row r="596" spans="10:11" x14ac:dyDescent="0.3">
      <c r="J596" s="8" t="s">
        <v>1370</v>
      </c>
      <c r="K596">
        <v>1</v>
      </c>
    </row>
    <row r="597" spans="10:11" x14ac:dyDescent="0.3">
      <c r="J597" s="8" t="s">
        <v>4058</v>
      </c>
      <c r="K597">
        <v>1</v>
      </c>
    </row>
    <row r="598" spans="10:11" x14ac:dyDescent="0.3">
      <c r="J598" s="8" t="s">
        <v>1375</v>
      </c>
      <c r="K598">
        <v>1</v>
      </c>
    </row>
    <row r="599" spans="10:11" x14ac:dyDescent="0.3">
      <c r="J599" s="8" t="s">
        <v>505</v>
      </c>
      <c r="K599">
        <v>1</v>
      </c>
    </row>
    <row r="600" spans="10:11" x14ac:dyDescent="0.3">
      <c r="J600" s="8" t="s">
        <v>1376</v>
      </c>
      <c r="K600">
        <v>1</v>
      </c>
    </row>
    <row r="601" spans="10:11" x14ac:dyDescent="0.3">
      <c r="J601" s="8" t="s">
        <v>3366</v>
      </c>
      <c r="K601">
        <v>1</v>
      </c>
    </row>
    <row r="602" spans="10:11" x14ac:dyDescent="0.3">
      <c r="J602" s="8" t="s">
        <v>1389</v>
      </c>
      <c r="K602">
        <v>1</v>
      </c>
    </row>
    <row r="603" spans="10:11" x14ac:dyDescent="0.3">
      <c r="J603" s="8" t="s">
        <v>3434</v>
      </c>
      <c r="K603">
        <v>1</v>
      </c>
    </row>
    <row r="604" spans="10:11" x14ac:dyDescent="0.3">
      <c r="J604" s="8" t="s">
        <v>1396</v>
      </c>
      <c r="K604">
        <v>1</v>
      </c>
    </row>
    <row r="605" spans="10:11" x14ac:dyDescent="0.3">
      <c r="J605" s="8" t="s">
        <v>3518</v>
      </c>
      <c r="K605">
        <v>1</v>
      </c>
    </row>
    <row r="606" spans="10:11" x14ac:dyDescent="0.3">
      <c r="J606" s="8" t="s">
        <v>1400</v>
      </c>
      <c r="K606">
        <v>1</v>
      </c>
    </row>
    <row r="607" spans="10:11" x14ac:dyDescent="0.3">
      <c r="J607" s="8" t="s">
        <v>59</v>
      </c>
      <c r="K607">
        <v>1</v>
      </c>
    </row>
    <row r="608" spans="10:11" x14ac:dyDescent="0.3">
      <c r="J608" s="8" t="s">
        <v>1406</v>
      </c>
      <c r="K608">
        <v>1</v>
      </c>
    </row>
    <row r="609" spans="10:11" x14ac:dyDescent="0.3">
      <c r="J609" s="8" t="s">
        <v>3694</v>
      </c>
      <c r="K609">
        <v>1</v>
      </c>
    </row>
    <row r="610" spans="10:11" x14ac:dyDescent="0.3">
      <c r="J610" s="8" t="s">
        <v>1407</v>
      </c>
      <c r="K610">
        <v>1</v>
      </c>
    </row>
    <row r="611" spans="10:11" x14ac:dyDescent="0.3">
      <c r="J611" s="8" t="s">
        <v>3796</v>
      </c>
      <c r="K611">
        <v>1</v>
      </c>
    </row>
    <row r="612" spans="10:11" x14ac:dyDescent="0.3">
      <c r="J612" s="8" t="s">
        <v>1414</v>
      </c>
      <c r="K612">
        <v>1</v>
      </c>
    </row>
    <row r="613" spans="10:11" x14ac:dyDescent="0.3">
      <c r="J613" s="8" t="s">
        <v>3850</v>
      </c>
      <c r="K613">
        <v>1</v>
      </c>
    </row>
    <row r="614" spans="10:11" x14ac:dyDescent="0.3">
      <c r="J614" s="8" t="s">
        <v>172</v>
      </c>
      <c r="K614">
        <v>1</v>
      </c>
    </row>
    <row r="615" spans="10:11" x14ac:dyDescent="0.3">
      <c r="J615" s="8" t="s">
        <v>3923</v>
      </c>
      <c r="K615">
        <v>1</v>
      </c>
    </row>
    <row r="616" spans="10:11" x14ac:dyDescent="0.3">
      <c r="J616" s="8" t="s">
        <v>1433</v>
      </c>
      <c r="K616">
        <v>1</v>
      </c>
    </row>
    <row r="617" spans="10:11" x14ac:dyDescent="0.3">
      <c r="J617" s="8" t="s">
        <v>4003</v>
      </c>
      <c r="K617">
        <v>1</v>
      </c>
    </row>
    <row r="618" spans="10:11" x14ac:dyDescent="0.3">
      <c r="J618" s="8" t="s">
        <v>1452</v>
      </c>
      <c r="K618">
        <v>1</v>
      </c>
    </row>
    <row r="619" spans="10:11" x14ac:dyDescent="0.3">
      <c r="J619" s="8" t="s">
        <v>4087</v>
      </c>
      <c r="K619">
        <v>1</v>
      </c>
    </row>
    <row r="620" spans="10:11" x14ac:dyDescent="0.3">
      <c r="J620" s="8" t="s">
        <v>1457</v>
      </c>
      <c r="K620">
        <v>1</v>
      </c>
    </row>
    <row r="621" spans="10:11" x14ac:dyDescent="0.3">
      <c r="J621" s="8" t="s">
        <v>3402</v>
      </c>
      <c r="K621">
        <v>1</v>
      </c>
    </row>
    <row r="622" spans="10:11" x14ac:dyDescent="0.3">
      <c r="J622" s="8" t="s">
        <v>1459</v>
      </c>
      <c r="K622">
        <v>1</v>
      </c>
    </row>
    <row r="623" spans="10:11" x14ac:dyDescent="0.3">
      <c r="J623" s="8" t="s">
        <v>3545</v>
      </c>
      <c r="K623">
        <v>1</v>
      </c>
    </row>
    <row r="624" spans="10:11" x14ac:dyDescent="0.3">
      <c r="J624" s="8" t="s">
        <v>1465</v>
      </c>
      <c r="K624">
        <v>1</v>
      </c>
    </row>
    <row r="625" spans="10:11" x14ac:dyDescent="0.3">
      <c r="J625" s="8" t="s">
        <v>444</v>
      </c>
      <c r="K625">
        <v>1</v>
      </c>
    </row>
    <row r="626" spans="10:11" x14ac:dyDescent="0.3">
      <c r="J626" s="8" t="s">
        <v>1472</v>
      </c>
      <c r="K626">
        <v>1</v>
      </c>
    </row>
    <row r="627" spans="10:11" x14ac:dyDescent="0.3">
      <c r="J627" s="8" t="s">
        <v>3881</v>
      </c>
      <c r="K627">
        <v>1</v>
      </c>
    </row>
    <row r="628" spans="10:11" x14ac:dyDescent="0.3">
      <c r="J628" s="8" t="s">
        <v>1476</v>
      </c>
      <c r="K628">
        <v>1</v>
      </c>
    </row>
    <row r="629" spans="10:11" x14ac:dyDescent="0.3">
      <c r="J629" s="8" t="s">
        <v>4031</v>
      </c>
      <c r="K629">
        <v>1</v>
      </c>
    </row>
    <row r="630" spans="10:11" x14ac:dyDescent="0.3">
      <c r="J630" s="8" t="s">
        <v>1479</v>
      </c>
      <c r="K630">
        <v>1</v>
      </c>
    </row>
    <row r="631" spans="10:11" x14ac:dyDescent="0.3">
      <c r="J631" s="8" t="s">
        <v>3467</v>
      </c>
      <c r="K631">
        <v>1</v>
      </c>
    </row>
    <row r="632" spans="10:11" x14ac:dyDescent="0.3">
      <c r="J632" s="8" t="s">
        <v>1490</v>
      </c>
      <c r="K632">
        <v>1</v>
      </c>
    </row>
    <row r="633" spans="10:11" x14ac:dyDescent="0.3">
      <c r="J633" s="8" t="s">
        <v>456</v>
      </c>
      <c r="K633">
        <v>1</v>
      </c>
    </row>
    <row r="634" spans="10:11" x14ac:dyDescent="0.3">
      <c r="J634" s="8" t="s">
        <v>179</v>
      </c>
      <c r="K634">
        <v>1</v>
      </c>
    </row>
    <row r="635" spans="10:11" x14ac:dyDescent="0.3">
      <c r="J635" s="8" t="s">
        <v>521</v>
      </c>
      <c r="K635">
        <v>1</v>
      </c>
    </row>
    <row r="636" spans="10:11" x14ac:dyDescent="0.3">
      <c r="J636" s="8" t="s">
        <v>1513</v>
      </c>
      <c r="K636">
        <v>1</v>
      </c>
    </row>
    <row r="637" spans="10:11" x14ac:dyDescent="0.3">
      <c r="J637" s="8" t="s">
        <v>3954</v>
      </c>
      <c r="K637">
        <v>1</v>
      </c>
    </row>
    <row r="638" spans="10:11" x14ac:dyDescent="0.3">
      <c r="J638" s="8" t="s">
        <v>1515</v>
      </c>
      <c r="K638">
        <v>1</v>
      </c>
    </row>
    <row r="639" spans="10:11" x14ac:dyDescent="0.3">
      <c r="J639" s="8" t="s">
        <v>3654</v>
      </c>
      <c r="K639">
        <v>1</v>
      </c>
    </row>
    <row r="640" spans="10:11" x14ac:dyDescent="0.3">
      <c r="J640" s="8" t="s">
        <v>1518</v>
      </c>
      <c r="K640">
        <v>1</v>
      </c>
    </row>
    <row r="641" spans="10:11" x14ac:dyDescent="0.3">
      <c r="J641" s="8" t="s">
        <v>4119</v>
      </c>
      <c r="K641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842D-7E5E-4B01-8EC9-50A36592BB72}">
  <dimension ref="A1:X3001"/>
  <sheetViews>
    <sheetView tabSelected="1" topLeftCell="O1" zoomScale="96" workbookViewId="0">
      <selection activeCell="W13" sqref="W13"/>
    </sheetView>
  </sheetViews>
  <sheetFormatPr defaultRowHeight="14.4" x14ac:dyDescent="0.3"/>
  <cols>
    <col min="1" max="1" width="7.33203125" bestFit="1" customWidth="1"/>
    <col min="2" max="2" width="9.5546875" bestFit="1" customWidth="1"/>
    <col min="3" max="3" width="19.109375" bestFit="1" customWidth="1"/>
    <col min="4" max="4" width="10.33203125" customWidth="1"/>
    <col min="5" max="5" width="23.88671875" customWidth="1"/>
    <col min="6" max="6" width="14.5546875" customWidth="1"/>
    <col min="7" max="7" width="9.77734375" bestFit="1" customWidth="1"/>
    <col min="8" max="8" width="10.21875" customWidth="1"/>
    <col min="9" max="9" width="10.33203125" customWidth="1"/>
    <col min="10" max="10" width="10" customWidth="1"/>
    <col min="11" max="11" width="8.88671875" customWidth="1"/>
    <col min="12" max="13" width="12.21875" customWidth="1"/>
    <col min="14" max="15" width="13" customWidth="1"/>
    <col min="16" max="16" width="19.44140625" bestFit="1" customWidth="1"/>
    <col min="17" max="17" width="12.5546875" customWidth="1"/>
    <col min="18" max="18" width="11.33203125" customWidth="1"/>
    <col min="19" max="19" width="16.33203125" customWidth="1"/>
    <col min="20" max="20" width="21.77734375" customWidth="1"/>
    <col min="21" max="21" width="12.44140625" customWidth="1"/>
    <col min="22" max="22" width="13.21875" customWidth="1"/>
    <col min="23" max="23" width="39.77734375" customWidth="1"/>
    <col min="24" max="24" width="18" customWidth="1"/>
    <col min="25" max="25" width="17.77734375" customWidth="1"/>
    <col min="26" max="26" width="16.21875" bestFit="1" customWidth="1"/>
  </cols>
  <sheetData>
    <row r="1" spans="1:24" ht="28.8" customHeight="1" x14ac:dyDescent="0.3">
      <c r="A1" s="11" t="s">
        <v>0</v>
      </c>
      <c r="B1" s="11" t="s">
        <v>1</v>
      </c>
      <c r="C1" s="11" t="s">
        <v>4116</v>
      </c>
      <c r="D1" s="11" t="s">
        <v>2</v>
      </c>
      <c r="E1" s="11" t="s">
        <v>4117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4115</v>
      </c>
      <c r="N1" s="11" t="s">
        <v>4113</v>
      </c>
      <c r="O1" s="11" t="s">
        <v>4114</v>
      </c>
      <c r="P1" s="11" t="s">
        <v>4109</v>
      </c>
      <c r="Q1" s="11" t="s">
        <v>4100</v>
      </c>
      <c r="R1" s="11" t="s">
        <v>4101</v>
      </c>
      <c r="S1" s="11" t="s">
        <v>4107</v>
      </c>
      <c r="T1" s="11" t="s">
        <v>4108</v>
      </c>
      <c r="U1" s="3"/>
    </row>
    <row r="2" spans="1:24" x14ac:dyDescent="0.3">
      <c r="A2">
        <v>1</v>
      </c>
      <c r="B2" t="s">
        <v>10</v>
      </c>
      <c r="C2" t="str">
        <f>UPPER(B2)</f>
        <v>EMP_1</v>
      </c>
      <c r="D2" t="s">
        <v>11</v>
      </c>
      <c r="E2" t="str">
        <f>_xlfn.CONCAT(C2,F2)</f>
        <v>EMP_1HR</v>
      </c>
      <c r="F2" t="s">
        <v>12</v>
      </c>
      <c r="G2" t="s">
        <v>13</v>
      </c>
      <c r="H2">
        <v>21776</v>
      </c>
      <c r="I2">
        <v>8397</v>
      </c>
      <c r="J2">
        <v>0</v>
      </c>
      <c r="K2">
        <v>0</v>
      </c>
      <c r="L2" s="4">
        <v>43438</v>
      </c>
      <c r="M2" s="4" t="str">
        <f>TEXT(L2,"yyyy")</f>
        <v>2018</v>
      </c>
      <c r="N2" s="1">
        <f ca="1">TODAY()</f>
        <v>46064</v>
      </c>
      <c r="O2" s="6">
        <f ca="1">DATEDIF(L2, TODAY(), "y")</f>
        <v>7</v>
      </c>
      <c r="P2">
        <v>2</v>
      </c>
      <c r="Q2">
        <f>SUM(H2,I2)</f>
        <v>30173</v>
      </c>
      <c r="R2" s="2">
        <f>AVERAGE(H2,I2)</f>
        <v>15086.5</v>
      </c>
      <c r="S2" s="2" t="str">
        <f>IF(J2&gt;K2,"Achieved"," Not Achieved")</f>
        <v xml:space="preserve"> Not Achieved</v>
      </c>
      <c r="T2" s="2" t="str">
        <f>_xlfn.IFS(H2&gt;=50000," Excellent",H2&gt;=40000,"Good",H2&gt;=30000,"Average",H2&lt;30000,"poor")</f>
        <v>poor</v>
      </c>
      <c r="U2" s="2"/>
      <c r="W2" s="10" t="s">
        <v>4102</v>
      </c>
      <c r="X2" s="12">
        <f>MAX(Q2:Q3001)</f>
        <v>94540</v>
      </c>
    </row>
    <row r="3" spans="1:24" x14ac:dyDescent="0.3">
      <c r="A3">
        <v>2</v>
      </c>
      <c r="B3" t="s">
        <v>14</v>
      </c>
      <c r="C3" t="str">
        <f t="shared" ref="C3:C66" si="0">UPPER(B3)</f>
        <v>EMP_2</v>
      </c>
      <c r="D3" t="s">
        <v>15</v>
      </c>
      <c r="E3" t="str">
        <f t="shared" ref="E3:E66" si="1">_xlfn.CONCAT(C3,F3)</f>
        <v>EMP_2Sales</v>
      </c>
      <c r="F3" t="s">
        <v>7</v>
      </c>
      <c r="G3" t="s">
        <v>16</v>
      </c>
      <c r="H3">
        <v>78841</v>
      </c>
      <c r="I3">
        <v>7672</v>
      </c>
      <c r="J3">
        <v>156931</v>
      </c>
      <c r="K3">
        <v>92847</v>
      </c>
      <c r="L3" s="4">
        <v>43143</v>
      </c>
      <c r="M3" s="4" t="str">
        <f t="shared" ref="M3:M66" si="2">TEXT(L3,"yyyy")</f>
        <v>2018</v>
      </c>
      <c r="N3" s="1">
        <f t="shared" ref="N3:N66" ca="1" si="3">TODAY()</f>
        <v>46064</v>
      </c>
      <c r="O3" s="6">
        <f t="shared" ref="O3:O66" ca="1" si="4">DATEDIF(L3, TODAY(), "y")</f>
        <v>7</v>
      </c>
      <c r="P3">
        <v>3</v>
      </c>
      <c r="Q3">
        <f t="shared" ref="Q3:Q66" si="5">SUM(H3,I3)</f>
        <v>86513</v>
      </c>
      <c r="R3" s="2">
        <f t="shared" ref="R3:R66" si="6">AVERAGE(H3,I3)</f>
        <v>43256.5</v>
      </c>
      <c r="S3" s="2" t="str">
        <f t="shared" ref="S3:S66" si="7">IF(J3&gt;K3,"Achieved"," Not Achieved")</f>
        <v>Achieved</v>
      </c>
      <c r="T3" s="2" t="str">
        <f t="shared" ref="T3:T66" si="8">_xlfn.IFS(H3&gt;=50000," Excellent",H3&gt;=40000,"Good",H3&gt;=30000,"Average",H3&lt;30000,"poor")</f>
        <v xml:space="preserve"> Excellent</v>
      </c>
      <c r="U3" s="2"/>
      <c r="W3" s="10" t="s">
        <v>4103</v>
      </c>
      <c r="X3" s="12">
        <f>MIN(Q2:Q3001)</f>
        <v>22161</v>
      </c>
    </row>
    <row r="4" spans="1:24" x14ac:dyDescent="0.3">
      <c r="A4">
        <v>3</v>
      </c>
      <c r="B4" t="s">
        <v>17</v>
      </c>
      <c r="C4" t="str">
        <f t="shared" si="0"/>
        <v>EMP_3</v>
      </c>
      <c r="D4" t="s">
        <v>15</v>
      </c>
      <c r="E4" t="str">
        <f t="shared" si="1"/>
        <v>EMP_3Finance</v>
      </c>
      <c r="F4" t="s">
        <v>18</v>
      </c>
      <c r="G4" t="s">
        <v>19</v>
      </c>
      <c r="H4">
        <v>41117</v>
      </c>
      <c r="I4">
        <v>11501</v>
      </c>
      <c r="J4">
        <v>0</v>
      </c>
      <c r="K4">
        <v>0</v>
      </c>
      <c r="L4" s="4">
        <v>43500</v>
      </c>
      <c r="M4" s="4" t="str">
        <f t="shared" si="2"/>
        <v>2019</v>
      </c>
      <c r="N4" s="1">
        <f t="shared" ca="1" si="3"/>
        <v>46064</v>
      </c>
      <c r="O4" s="6">
        <f t="shared" ca="1" si="4"/>
        <v>7</v>
      </c>
      <c r="P4">
        <v>3</v>
      </c>
      <c r="Q4">
        <f t="shared" si="5"/>
        <v>52618</v>
      </c>
      <c r="R4" s="2">
        <f t="shared" si="6"/>
        <v>26309</v>
      </c>
      <c r="S4" s="2" t="str">
        <f t="shared" si="7"/>
        <v xml:space="preserve"> Not Achieved</v>
      </c>
      <c r="T4" s="2" t="str">
        <f t="shared" si="8"/>
        <v>Good</v>
      </c>
      <c r="U4" s="2"/>
      <c r="W4" s="10" t="s">
        <v>4104</v>
      </c>
      <c r="X4" s="12">
        <f>COUNTA(B2:B3001)</f>
        <v>3000</v>
      </c>
    </row>
    <row r="5" spans="1:24" x14ac:dyDescent="0.3">
      <c r="A5">
        <v>4</v>
      </c>
      <c r="B5" t="s">
        <v>20</v>
      </c>
      <c r="C5" t="str">
        <f t="shared" si="0"/>
        <v>EMP_4</v>
      </c>
      <c r="D5" t="s">
        <v>11</v>
      </c>
      <c r="E5" t="str">
        <f t="shared" si="1"/>
        <v>EMP_4IT</v>
      </c>
      <c r="F5" t="s">
        <v>21</v>
      </c>
      <c r="G5" t="s">
        <v>22</v>
      </c>
      <c r="H5">
        <v>21765</v>
      </c>
      <c r="I5">
        <v>4198</v>
      </c>
      <c r="J5">
        <v>0</v>
      </c>
      <c r="K5">
        <v>0</v>
      </c>
      <c r="L5" s="4">
        <v>45637</v>
      </c>
      <c r="M5" s="4" t="str">
        <f t="shared" si="2"/>
        <v>2024</v>
      </c>
      <c r="N5" s="1">
        <f t="shared" ca="1" si="3"/>
        <v>46064</v>
      </c>
      <c r="O5" s="6">
        <f t="shared" ca="1" si="4"/>
        <v>1</v>
      </c>
      <c r="P5">
        <v>3</v>
      </c>
      <c r="Q5">
        <f t="shared" si="5"/>
        <v>25963</v>
      </c>
      <c r="R5" s="2">
        <f t="shared" si="6"/>
        <v>12981.5</v>
      </c>
      <c r="S5" s="2" t="str">
        <f t="shared" si="7"/>
        <v xml:space="preserve"> Not Achieved</v>
      </c>
      <c r="T5" s="2" t="str">
        <f t="shared" si="8"/>
        <v>poor</v>
      </c>
      <c r="U5" s="2"/>
      <c r="W5" s="10" t="s">
        <v>4105</v>
      </c>
      <c r="X5" s="12">
        <f>COUNTIF(B2:D3001,"Female")</f>
        <v>1525</v>
      </c>
    </row>
    <row r="6" spans="1:24" x14ac:dyDescent="0.3">
      <c r="A6">
        <v>5</v>
      </c>
      <c r="B6" t="s">
        <v>23</v>
      </c>
      <c r="C6" t="str">
        <f t="shared" si="0"/>
        <v>EMP_5</v>
      </c>
      <c r="D6" t="s">
        <v>15</v>
      </c>
      <c r="E6" t="str">
        <f t="shared" si="1"/>
        <v>EMP_5Marketing</v>
      </c>
      <c r="F6" t="s">
        <v>24</v>
      </c>
      <c r="G6" t="s">
        <v>25</v>
      </c>
      <c r="H6">
        <v>27893</v>
      </c>
      <c r="I6">
        <v>5221</v>
      </c>
      <c r="J6">
        <v>0</v>
      </c>
      <c r="K6">
        <v>0</v>
      </c>
      <c r="L6" s="4">
        <v>45354</v>
      </c>
      <c r="M6" s="4" t="str">
        <f t="shared" si="2"/>
        <v>2024</v>
      </c>
      <c r="N6" s="1">
        <f t="shared" ca="1" si="3"/>
        <v>46064</v>
      </c>
      <c r="O6" s="6">
        <f t="shared" ca="1" si="4"/>
        <v>1</v>
      </c>
      <c r="P6">
        <v>3</v>
      </c>
      <c r="Q6">
        <f t="shared" si="5"/>
        <v>33114</v>
      </c>
      <c r="R6" s="2">
        <f t="shared" si="6"/>
        <v>16557</v>
      </c>
      <c r="S6" s="2" t="str">
        <f t="shared" si="7"/>
        <v xml:space="preserve"> Not Achieved</v>
      </c>
      <c r="T6" s="2" t="str">
        <f t="shared" si="8"/>
        <v>poor</v>
      </c>
      <c r="U6" s="2"/>
      <c r="W6" s="10" t="s">
        <v>4106</v>
      </c>
      <c r="X6" s="12">
        <f>SUM(I2:I3001)</f>
        <v>25455949</v>
      </c>
    </row>
    <row r="7" spans="1:24" x14ac:dyDescent="0.3">
      <c r="A7">
        <v>6</v>
      </c>
      <c r="B7" t="s">
        <v>26</v>
      </c>
      <c r="C7" t="str">
        <f t="shared" si="0"/>
        <v>EMP_6</v>
      </c>
      <c r="D7" t="s">
        <v>11</v>
      </c>
      <c r="E7" t="str">
        <f t="shared" si="1"/>
        <v>EMP_6Sales</v>
      </c>
      <c r="F7" t="s">
        <v>7</v>
      </c>
      <c r="G7" t="s">
        <v>25</v>
      </c>
      <c r="H7">
        <v>28791</v>
      </c>
      <c r="I7">
        <v>3436</v>
      </c>
      <c r="J7">
        <v>247244</v>
      </c>
      <c r="K7">
        <v>106829</v>
      </c>
      <c r="L7" s="4">
        <v>43597</v>
      </c>
      <c r="M7" s="4" t="str">
        <f t="shared" si="2"/>
        <v>2019</v>
      </c>
      <c r="N7" s="1">
        <f t="shared" ca="1" si="3"/>
        <v>46064</v>
      </c>
      <c r="O7" s="6">
        <f t="shared" ca="1" si="4"/>
        <v>6</v>
      </c>
      <c r="P7">
        <v>1</v>
      </c>
      <c r="Q7">
        <f t="shared" si="5"/>
        <v>32227</v>
      </c>
      <c r="R7" s="2">
        <f t="shared" si="6"/>
        <v>16113.5</v>
      </c>
      <c r="S7" s="2" t="str">
        <f t="shared" si="7"/>
        <v>Achieved</v>
      </c>
      <c r="T7" s="2" t="str">
        <f t="shared" si="8"/>
        <v>poor</v>
      </c>
      <c r="U7" s="2"/>
      <c r="W7" s="10" t="s">
        <v>4110</v>
      </c>
      <c r="X7" s="12">
        <f>COUNTIF(S2:S3001,"Achieved")</f>
        <v>310</v>
      </c>
    </row>
    <row r="8" spans="1:24" x14ac:dyDescent="0.3">
      <c r="A8">
        <v>7</v>
      </c>
      <c r="B8" t="s">
        <v>27</v>
      </c>
      <c r="C8" t="str">
        <f t="shared" si="0"/>
        <v>EMP_7</v>
      </c>
      <c r="D8" t="s">
        <v>15</v>
      </c>
      <c r="E8" t="str">
        <f t="shared" si="1"/>
        <v>EMP_7Finance</v>
      </c>
      <c r="F8" t="s">
        <v>18</v>
      </c>
      <c r="G8" t="s">
        <v>19</v>
      </c>
      <c r="H8">
        <v>49196</v>
      </c>
      <c r="I8">
        <v>5892</v>
      </c>
      <c r="J8">
        <v>0</v>
      </c>
      <c r="K8">
        <v>0</v>
      </c>
      <c r="L8" s="5" t="s">
        <v>28</v>
      </c>
      <c r="M8" s="1" t="str">
        <f t="shared" si="2"/>
        <v>12/19/2024</v>
      </c>
      <c r="N8" s="1">
        <f t="shared" ca="1" si="3"/>
        <v>46064</v>
      </c>
      <c r="O8" s="6" t="e">
        <f ca="1">DATEDIF(L8, TODAY(), "y")</f>
        <v>#VALUE!</v>
      </c>
      <c r="P8">
        <v>2</v>
      </c>
      <c r="Q8">
        <f t="shared" si="5"/>
        <v>55088</v>
      </c>
      <c r="R8" s="2">
        <f t="shared" si="6"/>
        <v>27544</v>
      </c>
      <c r="S8" s="2" t="str">
        <f t="shared" si="7"/>
        <v xml:space="preserve"> Not Achieved</v>
      </c>
      <c r="T8" s="2" t="str">
        <f t="shared" si="8"/>
        <v>Good</v>
      </c>
      <c r="U8" s="2"/>
      <c r="W8" s="10" t="s">
        <v>4111</v>
      </c>
      <c r="X8" s="12">
        <f>SUMIF(F2:F3001,"it",H2:H3001)</f>
        <v>29948092</v>
      </c>
    </row>
    <row r="9" spans="1:24" x14ac:dyDescent="0.3">
      <c r="A9">
        <v>8</v>
      </c>
      <c r="B9" t="s">
        <v>29</v>
      </c>
      <c r="C9" t="str">
        <f t="shared" si="0"/>
        <v>EMP_8</v>
      </c>
      <c r="D9" t="s">
        <v>15</v>
      </c>
      <c r="E9" t="str">
        <f t="shared" si="1"/>
        <v>EMP_8Sales</v>
      </c>
      <c r="F9" t="s">
        <v>7</v>
      </c>
      <c r="G9" t="s">
        <v>25</v>
      </c>
      <c r="H9">
        <v>39066</v>
      </c>
      <c r="I9">
        <v>9522</v>
      </c>
      <c r="J9">
        <v>134767</v>
      </c>
      <c r="K9">
        <v>138532</v>
      </c>
      <c r="L9" s="4">
        <v>44292</v>
      </c>
      <c r="M9" s="4" t="str">
        <f t="shared" si="2"/>
        <v>2021</v>
      </c>
      <c r="N9" s="1">
        <f t="shared" ca="1" si="3"/>
        <v>46064</v>
      </c>
      <c r="O9" s="6">
        <f t="shared" ca="1" si="4"/>
        <v>4</v>
      </c>
      <c r="P9">
        <v>3</v>
      </c>
      <c r="Q9">
        <f t="shared" si="5"/>
        <v>48588</v>
      </c>
      <c r="R9" s="2">
        <f t="shared" si="6"/>
        <v>24294</v>
      </c>
      <c r="S9" s="2" t="str">
        <f t="shared" si="7"/>
        <v xml:space="preserve"> Not Achieved</v>
      </c>
      <c r="T9" s="2" t="str">
        <f t="shared" si="8"/>
        <v>Average</v>
      </c>
      <c r="U9" s="2"/>
      <c r="W9" s="10" t="s">
        <v>4112</v>
      </c>
      <c r="X9" s="12">
        <f>AVERAGEIF(F2:F3001,"sales",H2:H3001)</f>
        <v>48365.992994746062</v>
      </c>
    </row>
    <row r="10" spans="1:24" x14ac:dyDescent="0.3">
      <c r="A10">
        <v>9</v>
      </c>
      <c r="B10" t="s">
        <v>30</v>
      </c>
      <c r="C10" t="str">
        <f t="shared" si="0"/>
        <v>EMP_9</v>
      </c>
      <c r="D10" t="s">
        <v>11</v>
      </c>
      <c r="E10" t="str">
        <f t="shared" si="1"/>
        <v>EMP_9Marketing</v>
      </c>
      <c r="F10" t="s">
        <v>24</v>
      </c>
      <c r="G10" t="s">
        <v>22</v>
      </c>
      <c r="H10">
        <v>31226</v>
      </c>
      <c r="I10">
        <v>5150</v>
      </c>
      <c r="J10">
        <v>0</v>
      </c>
      <c r="K10">
        <v>0</v>
      </c>
      <c r="L10" s="4" t="s">
        <v>31</v>
      </c>
      <c r="M10" s="4" t="str">
        <f t="shared" si="2"/>
        <v>10/21/2020</v>
      </c>
      <c r="N10" s="1">
        <f t="shared" ca="1" si="3"/>
        <v>46064</v>
      </c>
      <c r="O10" s="6" t="e">
        <f t="shared" ca="1" si="4"/>
        <v>#VALUE!</v>
      </c>
      <c r="P10">
        <v>5</v>
      </c>
      <c r="Q10">
        <f t="shared" si="5"/>
        <v>36376</v>
      </c>
      <c r="R10" s="2">
        <f t="shared" si="6"/>
        <v>18188</v>
      </c>
      <c r="S10" s="2" t="str">
        <f t="shared" si="7"/>
        <v xml:space="preserve"> Not Achieved</v>
      </c>
      <c r="T10" s="2" t="str">
        <f t="shared" si="8"/>
        <v>Average</v>
      </c>
      <c r="U10" s="2"/>
      <c r="W10" s="10" t="s">
        <v>4127</v>
      </c>
      <c r="X10" s="12">
        <f>AVERAGE(H2:H3001)</f>
        <v>49204.135000000002</v>
      </c>
    </row>
    <row r="11" spans="1:24" x14ac:dyDescent="0.3">
      <c r="A11">
        <v>10</v>
      </c>
      <c r="B11" t="s">
        <v>32</v>
      </c>
      <c r="C11" t="str">
        <f t="shared" si="0"/>
        <v>EMP_10</v>
      </c>
      <c r="D11" t="s">
        <v>11</v>
      </c>
      <c r="E11" t="str">
        <f t="shared" si="1"/>
        <v>EMP_10IT</v>
      </c>
      <c r="F11" t="s">
        <v>21</v>
      </c>
      <c r="G11" t="s">
        <v>16</v>
      </c>
      <c r="H11">
        <v>43779</v>
      </c>
      <c r="I11">
        <v>11257</v>
      </c>
      <c r="J11">
        <v>0</v>
      </c>
      <c r="K11">
        <v>0</v>
      </c>
      <c r="L11" s="4" t="s">
        <v>33</v>
      </c>
      <c r="M11" s="4" t="str">
        <f t="shared" si="2"/>
        <v>2/20/2019</v>
      </c>
      <c r="N11" s="1">
        <f t="shared" ca="1" si="3"/>
        <v>46064</v>
      </c>
      <c r="O11" s="6" t="e">
        <f t="shared" ca="1" si="4"/>
        <v>#VALUE!</v>
      </c>
      <c r="P11">
        <v>2</v>
      </c>
      <c r="Q11">
        <f t="shared" si="5"/>
        <v>55036</v>
      </c>
      <c r="R11" s="2">
        <f t="shared" si="6"/>
        <v>27518</v>
      </c>
      <c r="S11" s="2" t="str">
        <f t="shared" si="7"/>
        <v xml:space="preserve"> Not Achieved</v>
      </c>
      <c r="T11" s="2" t="str">
        <f t="shared" si="8"/>
        <v>Good</v>
      </c>
      <c r="U11" s="2"/>
      <c r="W11" s="10" t="s">
        <v>4130</v>
      </c>
      <c r="X11" s="12">
        <f>AVERAGEIF(F2:F3001,"sales",I2:I3001)</f>
        <v>8515.4588441330998</v>
      </c>
    </row>
    <row r="12" spans="1:24" x14ac:dyDescent="0.3">
      <c r="A12">
        <v>11</v>
      </c>
      <c r="B12" t="s">
        <v>34</v>
      </c>
      <c r="C12" t="str">
        <f t="shared" si="0"/>
        <v>EMP_11</v>
      </c>
      <c r="D12" t="s">
        <v>11</v>
      </c>
      <c r="E12" t="str">
        <f t="shared" si="1"/>
        <v>EMP_11IT</v>
      </c>
      <c r="F12" t="s">
        <v>21</v>
      </c>
      <c r="G12" t="s">
        <v>25</v>
      </c>
      <c r="H12">
        <v>24025</v>
      </c>
      <c r="I12">
        <v>13847</v>
      </c>
      <c r="J12">
        <v>0</v>
      </c>
      <c r="K12">
        <v>0</v>
      </c>
      <c r="L12" s="4" t="s">
        <v>35</v>
      </c>
      <c r="M12" s="4" t="str">
        <f t="shared" si="2"/>
        <v>11/14/2021</v>
      </c>
      <c r="N12" s="1">
        <f t="shared" ca="1" si="3"/>
        <v>46064</v>
      </c>
      <c r="O12" s="6" t="e">
        <f t="shared" ca="1" si="4"/>
        <v>#VALUE!</v>
      </c>
      <c r="P12">
        <v>5</v>
      </c>
      <c r="Q12">
        <f t="shared" si="5"/>
        <v>37872</v>
      </c>
      <c r="R12" s="2">
        <f t="shared" si="6"/>
        <v>18936</v>
      </c>
      <c r="S12" s="2" t="str">
        <f t="shared" si="7"/>
        <v xml:space="preserve"> Not Achieved</v>
      </c>
      <c r="T12" s="2" t="str">
        <f t="shared" si="8"/>
        <v>poor</v>
      </c>
      <c r="U12" s="2"/>
      <c r="W12" s="10" t="s">
        <v>4131</v>
      </c>
      <c r="X12" s="12">
        <f>COUNTIF(Q2:Q3001,"&gt;60000")</f>
        <v>1379</v>
      </c>
    </row>
    <row r="13" spans="1:24" x14ac:dyDescent="0.3">
      <c r="A13">
        <v>12</v>
      </c>
      <c r="B13" t="s">
        <v>36</v>
      </c>
      <c r="C13" t="str">
        <f t="shared" si="0"/>
        <v>EMP_12</v>
      </c>
      <c r="D13" t="s">
        <v>15</v>
      </c>
      <c r="E13" t="str">
        <f t="shared" si="1"/>
        <v>EMP_12IT</v>
      </c>
      <c r="F13" t="s">
        <v>21</v>
      </c>
      <c r="G13" t="s">
        <v>16</v>
      </c>
      <c r="H13">
        <v>63352</v>
      </c>
      <c r="I13">
        <v>11569</v>
      </c>
      <c r="J13">
        <v>0</v>
      </c>
      <c r="K13">
        <v>0</v>
      </c>
      <c r="L13" s="4">
        <v>44991</v>
      </c>
      <c r="M13" s="4" t="str">
        <f t="shared" si="2"/>
        <v>2023</v>
      </c>
      <c r="N13" s="1">
        <f t="shared" ca="1" si="3"/>
        <v>46064</v>
      </c>
      <c r="O13" s="6">
        <f t="shared" ca="1" si="4"/>
        <v>2</v>
      </c>
      <c r="P13">
        <v>2</v>
      </c>
      <c r="Q13">
        <f t="shared" si="5"/>
        <v>74921</v>
      </c>
      <c r="R13" s="2">
        <f t="shared" si="6"/>
        <v>37460.5</v>
      </c>
      <c r="S13" s="2" t="str">
        <f t="shared" si="7"/>
        <v xml:space="preserve"> Not Achieved</v>
      </c>
      <c r="T13" s="2" t="str">
        <f t="shared" si="8"/>
        <v xml:space="preserve"> Excellent</v>
      </c>
      <c r="U13" s="2"/>
      <c r="W13" s="10" t="s">
        <v>4132</v>
      </c>
    </row>
    <row r="14" spans="1:24" ht="15" customHeight="1" x14ac:dyDescent="0.3">
      <c r="A14">
        <v>13</v>
      </c>
      <c r="B14" t="s">
        <v>37</v>
      </c>
      <c r="C14" t="str">
        <f t="shared" si="0"/>
        <v>EMP_13</v>
      </c>
      <c r="D14" t="s">
        <v>15</v>
      </c>
      <c r="E14" t="str">
        <f t="shared" si="1"/>
        <v>EMP_13HR</v>
      </c>
      <c r="F14" t="s">
        <v>12</v>
      </c>
      <c r="G14" t="s">
        <v>22</v>
      </c>
      <c r="H14">
        <v>28332</v>
      </c>
      <c r="I14">
        <v>10345</v>
      </c>
      <c r="J14">
        <v>0</v>
      </c>
      <c r="K14">
        <v>0</v>
      </c>
      <c r="L14" s="4">
        <v>44105</v>
      </c>
      <c r="M14" s="4" t="str">
        <f t="shared" si="2"/>
        <v>2020</v>
      </c>
      <c r="N14" s="1">
        <f t="shared" ca="1" si="3"/>
        <v>46064</v>
      </c>
      <c r="O14" s="6">
        <f t="shared" ca="1" si="4"/>
        <v>5</v>
      </c>
      <c r="P14">
        <v>2</v>
      </c>
      <c r="Q14">
        <f t="shared" si="5"/>
        <v>38677</v>
      </c>
      <c r="R14" s="2">
        <f t="shared" si="6"/>
        <v>19338.5</v>
      </c>
      <c r="S14" s="2" t="str">
        <f t="shared" si="7"/>
        <v xml:space="preserve"> Not Achieved</v>
      </c>
      <c r="T14" s="2" t="str">
        <f t="shared" si="8"/>
        <v>poor</v>
      </c>
      <c r="U14" s="2"/>
    </row>
    <row r="15" spans="1:24" x14ac:dyDescent="0.3">
      <c r="A15">
        <v>14</v>
      </c>
      <c r="B15" t="s">
        <v>38</v>
      </c>
      <c r="C15" t="str">
        <f t="shared" si="0"/>
        <v>EMP_14</v>
      </c>
      <c r="D15" t="s">
        <v>11</v>
      </c>
      <c r="E15" t="str">
        <f t="shared" si="1"/>
        <v>EMP_14Marketing</v>
      </c>
      <c r="F15" t="s">
        <v>24</v>
      </c>
      <c r="G15" t="s">
        <v>25</v>
      </c>
      <c r="H15">
        <v>27763</v>
      </c>
      <c r="I15">
        <v>2342</v>
      </c>
      <c r="J15">
        <v>0</v>
      </c>
      <c r="K15">
        <v>0</v>
      </c>
      <c r="L15" s="4" t="s">
        <v>39</v>
      </c>
      <c r="M15" s="4" t="str">
        <f t="shared" si="2"/>
        <v>2/28/2018</v>
      </c>
      <c r="N15" s="1">
        <f t="shared" ca="1" si="3"/>
        <v>46064</v>
      </c>
      <c r="O15" s="6" t="e">
        <f t="shared" ca="1" si="4"/>
        <v>#VALUE!</v>
      </c>
      <c r="P15">
        <v>3</v>
      </c>
      <c r="Q15">
        <f t="shared" si="5"/>
        <v>30105</v>
      </c>
      <c r="R15" s="2">
        <f t="shared" si="6"/>
        <v>15052.5</v>
      </c>
      <c r="S15" s="2" t="str">
        <f t="shared" si="7"/>
        <v xml:space="preserve"> Not Achieved</v>
      </c>
      <c r="T15" s="2" t="str">
        <f t="shared" si="8"/>
        <v>poor</v>
      </c>
      <c r="U15" s="2"/>
    </row>
    <row r="16" spans="1:24" x14ac:dyDescent="0.3">
      <c r="A16">
        <v>15</v>
      </c>
      <c r="B16" t="s">
        <v>40</v>
      </c>
      <c r="C16" t="str">
        <f t="shared" si="0"/>
        <v>EMP_15</v>
      </c>
      <c r="D16" t="s">
        <v>15</v>
      </c>
      <c r="E16" t="str">
        <f t="shared" si="1"/>
        <v>EMP_15Sales</v>
      </c>
      <c r="F16" t="s">
        <v>7</v>
      </c>
      <c r="G16" t="s">
        <v>22</v>
      </c>
      <c r="H16">
        <v>56897</v>
      </c>
      <c r="I16">
        <v>4600</v>
      </c>
      <c r="J16">
        <v>137455</v>
      </c>
      <c r="K16">
        <v>88554</v>
      </c>
      <c r="L16" s="4" t="s">
        <v>41</v>
      </c>
      <c r="M16" s="4" t="str">
        <f t="shared" si="2"/>
        <v>11/19/2023</v>
      </c>
      <c r="N16" s="1">
        <f t="shared" ca="1" si="3"/>
        <v>46064</v>
      </c>
      <c r="O16" s="6" t="e">
        <f t="shared" ca="1" si="4"/>
        <v>#VALUE!</v>
      </c>
      <c r="P16">
        <v>1</v>
      </c>
      <c r="Q16">
        <f t="shared" si="5"/>
        <v>61497</v>
      </c>
      <c r="R16" s="2">
        <f t="shared" si="6"/>
        <v>30748.5</v>
      </c>
      <c r="S16" s="2" t="str">
        <f t="shared" si="7"/>
        <v>Achieved</v>
      </c>
      <c r="T16" s="2" t="str">
        <f t="shared" si="8"/>
        <v xml:space="preserve"> Excellent</v>
      </c>
      <c r="U16" s="2"/>
    </row>
    <row r="17" spans="1:21" x14ac:dyDescent="0.3">
      <c r="A17">
        <v>16</v>
      </c>
      <c r="B17" t="s">
        <v>42</v>
      </c>
      <c r="C17" t="str">
        <f t="shared" si="0"/>
        <v>EMP_16</v>
      </c>
      <c r="D17" t="s">
        <v>11</v>
      </c>
      <c r="E17" t="str">
        <f t="shared" si="1"/>
        <v>EMP_16HR</v>
      </c>
      <c r="F17" t="s">
        <v>12</v>
      </c>
      <c r="G17" t="s">
        <v>22</v>
      </c>
      <c r="H17">
        <v>35888</v>
      </c>
      <c r="I17">
        <v>6920</v>
      </c>
      <c r="J17">
        <v>0</v>
      </c>
      <c r="K17">
        <v>0</v>
      </c>
      <c r="L17" s="4">
        <v>43253</v>
      </c>
      <c r="M17" s="4" t="str">
        <f t="shared" si="2"/>
        <v>2018</v>
      </c>
      <c r="N17" s="1">
        <f t="shared" ca="1" si="3"/>
        <v>46064</v>
      </c>
      <c r="O17" s="6">
        <f t="shared" ca="1" si="4"/>
        <v>7</v>
      </c>
      <c r="P17">
        <v>3</v>
      </c>
      <c r="Q17">
        <f t="shared" si="5"/>
        <v>42808</v>
      </c>
      <c r="R17" s="2">
        <f t="shared" si="6"/>
        <v>21404</v>
      </c>
      <c r="S17" s="2" t="str">
        <f t="shared" si="7"/>
        <v xml:space="preserve"> Not Achieved</v>
      </c>
      <c r="T17" s="2" t="str">
        <f t="shared" si="8"/>
        <v>Average</v>
      </c>
      <c r="U17" s="2"/>
    </row>
    <row r="18" spans="1:21" x14ac:dyDescent="0.3">
      <c r="A18">
        <v>17</v>
      </c>
      <c r="B18" t="s">
        <v>43</v>
      </c>
      <c r="C18" t="str">
        <f t="shared" si="0"/>
        <v>EMP_17</v>
      </c>
      <c r="D18" t="s">
        <v>11</v>
      </c>
      <c r="E18" t="str">
        <f t="shared" si="1"/>
        <v>EMP_17Sales</v>
      </c>
      <c r="F18" t="s">
        <v>7</v>
      </c>
      <c r="G18" t="s">
        <v>25</v>
      </c>
      <c r="H18">
        <v>45860</v>
      </c>
      <c r="I18">
        <v>14142</v>
      </c>
      <c r="J18">
        <v>288362</v>
      </c>
      <c r="K18">
        <v>108775</v>
      </c>
      <c r="L18" s="4" t="s">
        <v>44</v>
      </c>
      <c r="M18" s="4" t="str">
        <f t="shared" si="2"/>
        <v>3/22/2018</v>
      </c>
      <c r="N18" s="1">
        <f t="shared" ca="1" si="3"/>
        <v>46064</v>
      </c>
      <c r="O18" s="6" t="e">
        <f t="shared" ca="1" si="4"/>
        <v>#VALUE!</v>
      </c>
      <c r="P18">
        <v>2</v>
      </c>
      <c r="Q18">
        <f t="shared" si="5"/>
        <v>60002</v>
      </c>
      <c r="R18" s="2">
        <f t="shared" si="6"/>
        <v>30001</v>
      </c>
      <c r="S18" s="2" t="str">
        <f t="shared" si="7"/>
        <v>Achieved</v>
      </c>
      <c r="T18" s="2" t="str">
        <f t="shared" si="8"/>
        <v>Good</v>
      </c>
      <c r="U18" s="2"/>
    </row>
    <row r="19" spans="1:21" x14ac:dyDescent="0.3">
      <c r="A19">
        <v>18</v>
      </c>
      <c r="B19" t="s">
        <v>45</v>
      </c>
      <c r="C19" t="str">
        <f t="shared" si="0"/>
        <v>EMP_18</v>
      </c>
      <c r="D19" t="s">
        <v>15</v>
      </c>
      <c r="E19" t="str">
        <f t="shared" si="1"/>
        <v>EMP_18Finance</v>
      </c>
      <c r="F19" t="s">
        <v>18</v>
      </c>
      <c r="G19" t="s">
        <v>13</v>
      </c>
      <c r="H19">
        <v>37799</v>
      </c>
      <c r="I19">
        <v>9824</v>
      </c>
      <c r="J19">
        <v>0</v>
      </c>
      <c r="K19">
        <v>0</v>
      </c>
      <c r="L19" s="4" t="s">
        <v>46</v>
      </c>
      <c r="M19" s="4" t="str">
        <f t="shared" si="2"/>
        <v>8/23/2023</v>
      </c>
      <c r="N19" s="1">
        <f t="shared" ca="1" si="3"/>
        <v>46064</v>
      </c>
      <c r="O19" s="6" t="e">
        <f t="shared" ca="1" si="4"/>
        <v>#VALUE!</v>
      </c>
      <c r="P19">
        <v>3</v>
      </c>
      <c r="Q19">
        <f t="shared" si="5"/>
        <v>47623</v>
      </c>
      <c r="R19" s="2">
        <f t="shared" si="6"/>
        <v>23811.5</v>
      </c>
      <c r="S19" s="2" t="str">
        <f t="shared" si="7"/>
        <v xml:space="preserve"> Not Achieved</v>
      </c>
      <c r="T19" s="2" t="str">
        <f t="shared" si="8"/>
        <v>Average</v>
      </c>
      <c r="U19" s="2"/>
    </row>
    <row r="20" spans="1:21" x14ac:dyDescent="0.3">
      <c r="A20">
        <v>19</v>
      </c>
      <c r="B20" t="s">
        <v>47</v>
      </c>
      <c r="C20" t="str">
        <f t="shared" si="0"/>
        <v>EMP_19</v>
      </c>
      <c r="D20" t="s">
        <v>15</v>
      </c>
      <c r="E20" t="str">
        <f t="shared" si="1"/>
        <v>EMP_19HR</v>
      </c>
      <c r="F20" t="s">
        <v>12</v>
      </c>
      <c r="G20" t="s">
        <v>16</v>
      </c>
      <c r="H20">
        <v>47189</v>
      </c>
      <c r="I20">
        <v>8809</v>
      </c>
      <c r="J20">
        <v>0</v>
      </c>
      <c r="K20">
        <v>0</v>
      </c>
      <c r="L20" s="4" t="s">
        <v>48</v>
      </c>
      <c r="M20" s="4" t="str">
        <f t="shared" si="2"/>
        <v>4/17/2020</v>
      </c>
      <c r="N20" s="1">
        <f t="shared" ca="1" si="3"/>
        <v>46064</v>
      </c>
      <c r="O20" s="6" t="e">
        <f t="shared" ca="1" si="4"/>
        <v>#VALUE!</v>
      </c>
      <c r="P20">
        <v>4</v>
      </c>
      <c r="Q20">
        <f t="shared" si="5"/>
        <v>55998</v>
      </c>
      <c r="R20" s="2">
        <f t="shared" si="6"/>
        <v>27999</v>
      </c>
      <c r="S20" s="2" t="str">
        <f t="shared" si="7"/>
        <v xml:space="preserve"> Not Achieved</v>
      </c>
      <c r="T20" s="2" t="str">
        <f t="shared" si="8"/>
        <v>Good</v>
      </c>
      <c r="U20" s="2"/>
    </row>
    <row r="21" spans="1:21" x14ac:dyDescent="0.3">
      <c r="A21">
        <v>20</v>
      </c>
      <c r="B21" t="s">
        <v>49</v>
      </c>
      <c r="C21" t="str">
        <f t="shared" si="0"/>
        <v>EMP_20</v>
      </c>
      <c r="D21" t="s">
        <v>15</v>
      </c>
      <c r="E21" t="str">
        <f t="shared" si="1"/>
        <v>EMP_20IT</v>
      </c>
      <c r="F21" t="s">
        <v>21</v>
      </c>
      <c r="G21" t="s">
        <v>25</v>
      </c>
      <c r="H21">
        <v>69283</v>
      </c>
      <c r="I21">
        <v>9386</v>
      </c>
      <c r="J21">
        <v>0</v>
      </c>
      <c r="K21">
        <v>0</v>
      </c>
      <c r="L21" s="4" t="s">
        <v>50</v>
      </c>
      <c r="M21" s="4" t="str">
        <f t="shared" si="2"/>
        <v>12/13/2021</v>
      </c>
      <c r="N21" s="1">
        <f t="shared" ca="1" si="3"/>
        <v>46064</v>
      </c>
      <c r="O21" s="6" t="e">
        <f t="shared" ca="1" si="4"/>
        <v>#VALUE!</v>
      </c>
      <c r="P21">
        <v>1</v>
      </c>
      <c r="Q21">
        <f t="shared" si="5"/>
        <v>78669</v>
      </c>
      <c r="R21" s="2">
        <f t="shared" si="6"/>
        <v>39334.5</v>
      </c>
      <c r="S21" s="2" t="str">
        <f t="shared" si="7"/>
        <v xml:space="preserve"> Not Achieved</v>
      </c>
      <c r="T21" s="2" t="str">
        <f t="shared" si="8"/>
        <v xml:space="preserve"> Excellent</v>
      </c>
      <c r="U21" s="2"/>
    </row>
    <row r="22" spans="1:21" x14ac:dyDescent="0.3">
      <c r="A22">
        <v>21</v>
      </c>
      <c r="B22" t="s">
        <v>51</v>
      </c>
      <c r="C22" t="str">
        <f t="shared" si="0"/>
        <v>EMP_21</v>
      </c>
      <c r="D22" t="s">
        <v>11</v>
      </c>
      <c r="E22" t="str">
        <f t="shared" si="1"/>
        <v>EMP_21Marketing</v>
      </c>
      <c r="F22" t="s">
        <v>24</v>
      </c>
      <c r="G22" t="s">
        <v>22</v>
      </c>
      <c r="H22">
        <v>26973</v>
      </c>
      <c r="I22">
        <v>8875</v>
      </c>
      <c r="J22">
        <v>0</v>
      </c>
      <c r="K22">
        <v>0</v>
      </c>
      <c r="L22" s="4">
        <v>44474</v>
      </c>
      <c r="M22" s="4" t="str">
        <f t="shared" si="2"/>
        <v>2021</v>
      </c>
      <c r="N22" s="1">
        <f t="shared" ca="1" si="3"/>
        <v>46064</v>
      </c>
      <c r="O22" s="6">
        <f t="shared" ca="1" si="4"/>
        <v>4</v>
      </c>
      <c r="P22">
        <v>1</v>
      </c>
      <c r="Q22">
        <f t="shared" si="5"/>
        <v>35848</v>
      </c>
      <c r="R22" s="2">
        <f t="shared" si="6"/>
        <v>17924</v>
      </c>
      <c r="S22" s="2" t="str">
        <f t="shared" si="7"/>
        <v xml:space="preserve"> Not Achieved</v>
      </c>
      <c r="T22" s="2" t="str">
        <f t="shared" si="8"/>
        <v>poor</v>
      </c>
      <c r="U22" s="2"/>
    </row>
    <row r="23" spans="1:21" x14ac:dyDescent="0.3">
      <c r="A23">
        <v>22</v>
      </c>
      <c r="B23" t="s">
        <v>52</v>
      </c>
      <c r="C23" t="str">
        <f t="shared" si="0"/>
        <v>EMP_22</v>
      </c>
      <c r="D23" t="s">
        <v>15</v>
      </c>
      <c r="E23" t="str">
        <f t="shared" si="1"/>
        <v>EMP_22Finance</v>
      </c>
      <c r="F23" t="s">
        <v>18</v>
      </c>
      <c r="G23" t="s">
        <v>19</v>
      </c>
      <c r="H23">
        <v>20259</v>
      </c>
      <c r="I23">
        <v>10814</v>
      </c>
      <c r="J23">
        <v>0</v>
      </c>
      <c r="K23">
        <v>0</v>
      </c>
      <c r="L23" s="4" t="s">
        <v>53</v>
      </c>
      <c r="M23" s="4" t="str">
        <f t="shared" si="2"/>
        <v>11/29/2024</v>
      </c>
      <c r="N23" s="1">
        <f t="shared" ca="1" si="3"/>
        <v>46064</v>
      </c>
      <c r="O23" s="6" t="e">
        <f t="shared" ca="1" si="4"/>
        <v>#VALUE!</v>
      </c>
      <c r="P23">
        <v>2</v>
      </c>
      <c r="Q23">
        <f t="shared" si="5"/>
        <v>31073</v>
      </c>
      <c r="R23" s="2">
        <f t="shared" si="6"/>
        <v>15536.5</v>
      </c>
      <c r="S23" s="2" t="str">
        <f t="shared" si="7"/>
        <v xml:space="preserve"> Not Achieved</v>
      </c>
      <c r="T23" s="2" t="str">
        <f t="shared" si="8"/>
        <v>poor</v>
      </c>
      <c r="U23" s="2"/>
    </row>
    <row r="24" spans="1:21" x14ac:dyDescent="0.3">
      <c r="A24">
        <v>23</v>
      </c>
      <c r="B24" t="s">
        <v>54</v>
      </c>
      <c r="C24" t="str">
        <f t="shared" si="0"/>
        <v>EMP_23</v>
      </c>
      <c r="D24" t="s">
        <v>15</v>
      </c>
      <c r="E24" t="str">
        <f t="shared" si="1"/>
        <v>EMP_23Marketing</v>
      </c>
      <c r="F24" t="s">
        <v>24</v>
      </c>
      <c r="G24" t="s">
        <v>25</v>
      </c>
      <c r="H24">
        <v>31589</v>
      </c>
      <c r="I24">
        <v>8740</v>
      </c>
      <c r="J24">
        <v>0</v>
      </c>
      <c r="K24">
        <v>0</v>
      </c>
      <c r="L24" s="4" t="s">
        <v>55</v>
      </c>
      <c r="M24" s="4" t="str">
        <f t="shared" si="2"/>
        <v>10/13/2020</v>
      </c>
      <c r="N24" s="1">
        <f t="shared" ca="1" si="3"/>
        <v>46064</v>
      </c>
      <c r="O24" s="6" t="e">
        <f t="shared" ca="1" si="4"/>
        <v>#VALUE!</v>
      </c>
      <c r="P24">
        <v>3</v>
      </c>
      <c r="Q24">
        <f t="shared" si="5"/>
        <v>40329</v>
      </c>
      <c r="R24" s="2">
        <f t="shared" si="6"/>
        <v>20164.5</v>
      </c>
      <c r="S24" s="2" t="str">
        <f t="shared" si="7"/>
        <v xml:space="preserve"> Not Achieved</v>
      </c>
      <c r="T24" s="2" t="str">
        <f t="shared" si="8"/>
        <v>Average</v>
      </c>
      <c r="U24" s="2"/>
    </row>
    <row r="25" spans="1:21" x14ac:dyDescent="0.3">
      <c r="A25">
        <v>24</v>
      </c>
      <c r="B25" t="s">
        <v>56</v>
      </c>
      <c r="C25" t="str">
        <f t="shared" si="0"/>
        <v>EMP_24</v>
      </c>
      <c r="D25" t="s">
        <v>11</v>
      </c>
      <c r="E25" t="str">
        <f t="shared" si="1"/>
        <v>EMP_24IT</v>
      </c>
      <c r="F25" t="s">
        <v>21</v>
      </c>
      <c r="G25" t="s">
        <v>25</v>
      </c>
      <c r="H25">
        <v>64207</v>
      </c>
      <c r="I25">
        <v>4884</v>
      </c>
      <c r="J25">
        <v>0</v>
      </c>
      <c r="K25">
        <v>0</v>
      </c>
      <c r="L25" s="4">
        <v>44776</v>
      </c>
      <c r="M25" s="4" t="str">
        <f t="shared" si="2"/>
        <v>2022</v>
      </c>
      <c r="N25" s="1">
        <f t="shared" ca="1" si="3"/>
        <v>46064</v>
      </c>
      <c r="O25" s="6">
        <f t="shared" ca="1" si="4"/>
        <v>3</v>
      </c>
      <c r="P25">
        <v>2</v>
      </c>
      <c r="Q25">
        <f t="shared" si="5"/>
        <v>69091</v>
      </c>
      <c r="R25" s="2">
        <f t="shared" si="6"/>
        <v>34545.5</v>
      </c>
      <c r="S25" s="2" t="str">
        <f t="shared" si="7"/>
        <v xml:space="preserve"> Not Achieved</v>
      </c>
      <c r="T25" s="2" t="str">
        <f t="shared" si="8"/>
        <v xml:space="preserve"> Excellent</v>
      </c>
      <c r="U25" s="2"/>
    </row>
    <row r="26" spans="1:21" x14ac:dyDescent="0.3">
      <c r="A26">
        <v>25</v>
      </c>
      <c r="B26" t="s">
        <v>57</v>
      </c>
      <c r="C26" t="str">
        <f t="shared" si="0"/>
        <v>EMP_25</v>
      </c>
      <c r="D26" t="s">
        <v>15</v>
      </c>
      <c r="E26" t="str">
        <f t="shared" si="1"/>
        <v>EMP_25Marketing</v>
      </c>
      <c r="F26" t="s">
        <v>24</v>
      </c>
      <c r="G26" t="s">
        <v>16</v>
      </c>
      <c r="H26">
        <v>59812</v>
      </c>
      <c r="I26">
        <v>3847</v>
      </c>
      <c r="J26">
        <v>0</v>
      </c>
      <c r="K26">
        <v>0</v>
      </c>
      <c r="L26" s="4" t="s">
        <v>58</v>
      </c>
      <c r="M26" s="4" t="str">
        <f t="shared" si="2"/>
        <v>1/22/2022</v>
      </c>
      <c r="N26" s="1">
        <f t="shared" ca="1" si="3"/>
        <v>46064</v>
      </c>
      <c r="O26" s="6" t="e">
        <f t="shared" ca="1" si="4"/>
        <v>#VALUE!</v>
      </c>
      <c r="P26">
        <v>3</v>
      </c>
      <c r="Q26">
        <f t="shared" si="5"/>
        <v>63659</v>
      </c>
      <c r="R26" s="2">
        <f t="shared" si="6"/>
        <v>31829.5</v>
      </c>
      <c r="S26" s="2" t="str">
        <f t="shared" si="7"/>
        <v xml:space="preserve"> Not Achieved</v>
      </c>
      <c r="T26" s="2" t="str">
        <f t="shared" si="8"/>
        <v xml:space="preserve"> Excellent</v>
      </c>
      <c r="U26" s="2"/>
    </row>
    <row r="27" spans="1:21" x14ac:dyDescent="0.3">
      <c r="A27">
        <v>26</v>
      </c>
      <c r="B27" t="s">
        <v>59</v>
      </c>
      <c r="C27" t="str">
        <f t="shared" si="0"/>
        <v>EMP_26</v>
      </c>
      <c r="D27" t="s">
        <v>11</v>
      </c>
      <c r="E27" t="str">
        <f t="shared" si="1"/>
        <v>EMP_26Finance</v>
      </c>
      <c r="F27" t="s">
        <v>18</v>
      </c>
      <c r="G27" t="s">
        <v>22</v>
      </c>
      <c r="H27">
        <v>45956</v>
      </c>
      <c r="I27">
        <v>5515</v>
      </c>
      <c r="J27">
        <v>0</v>
      </c>
      <c r="K27">
        <v>0</v>
      </c>
      <c r="L27" s="4">
        <v>44993</v>
      </c>
      <c r="M27" s="4" t="str">
        <f t="shared" si="2"/>
        <v>2023</v>
      </c>
      <c r="N27" s="1">
        <f t="shared" ca="1" si="3"/>
        <v>46064</v>
      </c>
      <c r="O27" s="6">
        <f t="shared" ca="1" si="4"/>
        <v>2</v>
      </c>
      <c r="P27">
        <v>1</v>
      </c>
      <c r="Q27">
        <f t="shared" si="5"/>
        <v>51471</v>
      </c>
      <c r="R27" s="2">
        <f t="shared" si="6"/>
        <v>25735.5</v>
      </c>
      <c r="S27" s="2" t="str">
        <f t="shared" si="7"/>
        <v xml:space="preserve"> Not Achieved</v>
      </c>
      <c r="T27" s="2" t="str">
        <f t="shared" si="8"/>
        <v>Good</v>
      </c>
      <c r="U27" s="2"/>
    </row>
    <row r="28" spans="1:21" x14ac:dyDescent="0.3">
      <c r="A28">
        <v>27</v>
      </c>
      <c r="B28" t="s">
        <v>60</v>
      </c>
      <c r="C28" t="str">
        <f t="shared" si="0"/>
        <v>EMP_27</v>
      </c>
      <c r="D28" t="s">
        <v>15</v>
      </c>
      <c r="E28" t="str">
        <f t="shared" si="1"/>
        <v>EMP_27Finance</v>
      </c>
      <c r="F28" t="s">
        <v>18</v>
      </c>
      <c r="G28" t="s">
        <v>13</v>
      </c>
      <c r="H28">
        <v>35065</v>
      </c>
      <c r="I28">
        <v>14454</v>
      </c>
      <c r="J28">
        <v>0</v>
      </c>
      <c r="K28">
        <v>0</v>
      </c>
      <c r="L28" s="4" t="s">
        <v>61</v>
      </c>
      <c r="M28" s="4" t="str">
        <f t="shared" si="2"/>
        <v>9/14/2023</v>
      </c>
      <c r="N28" s="1">
        <f t="shared" ca="1" si="3"/>
        <v>46064</v>
      </c>
      <c r="O28" s="6" t="e">
        <f t="shared" ca="1" si="4"/>
        <v>#VALUE!</v>
      </c>
      <c r="P28">
        <v>2</v>
      </c>
      <c r="Q28">
        <f t="shared" si="5"/>
        <v>49519</v>
      </c>
      <c r="R28" s="2">
        <f t="shared" si="6"/>
        <v>24759.5</v>
      </c>
      <c r="S28" s="2" t="str">
        <f t="shared" si="7"/>
        <v xml:space="preserve"> Not Achieved</v>
      </c>
      <c r="T28" s="2" t="str">
        <f t="shared" si="8"/>
        <v>Average</v>
      </c>
      <c r="U28" s="2"/>
    </row>
    <row r="29" spans="1:21" x14ac:dyDescent="0.3">
      <c r="A29">
        <v>28</v>
      </c>
      <c r="B29" t="s">
        <v>62</v>
      </c>
      <c r="C29" t="str">
        <f t="shared" si="0"/>
        <v>EMP_28</v>
      </c>
      <c r="D29" t="s">
        <v>11</v>
      </c>
      <c r="E29" t="str">
        <f t="shared" si="1"/>
        <v>EMP_28Finance</v>
      </c>
      <c r="F29" t="s">
        <v>18</v>
      </c>
      <c r="G29" t="s">
        <v>25</v>
      </c>
      <c r="H29">
        <v>35247</v>
      </c>
      <c r="I29">
        <v>12386</v>
      </c>
      <c r="J29">
        <v>0</v>
      </c>
      <c r="K29">
        <v>0</v>
      </c>
      <c r="L29" s="4">
        <v>45569</v>
      </c>
      <c r="M29" s="4" t="str">
        <f t="shared" si="2"/>
        <v>2024</v>
      </c>
      <c r="N29" s="1">
        <f t="shared" ca="1" si="3"/>
        <v>46064</v>
      </c>
      <c r="O29" s="6">
        <f t="shared" ca="1" si="4"/>
        <v>1</v>
      </c>
      <c r="P29">
        <v>1</v>
      </c>
      <c r="Q29">
        <f t="shared" si="5"/>
        <v>47633</v>
      </c>
      <c r="R29" s="2">
        <f t="shared" si="6"/>
        <v>23816.5</v>
      </c>
      <c r="S29" s="2" t="str">
        <f t="shared" si="7"/>
        <v xml:space="preserve"> Not Achieved</v>
      </c>
      <c r="T29" s="2" t="str">
        <f t="shared" si="8"/>
        <v>Average</v>
      </c>
      <c r="U29" s="2"/>
    </row>
    <row r="30" spans="1:21" x14ac:dyDescent="0.3">
      <c r="A30">
        <v>29</v>
      </c>
      <c r="B30" t="s">
        <v>63</v>
      </c>
      <c r="C30" t="str">
        <f t="shared" si="0"/>
        <v>EMP_29</v>
      </c>
      <c r="D30" t="s">
        <v>11</v>
      </c>
      <c r="E30" t="str">
        <f t="shared" si="1"/>
        <v>EMP_29Finance</v>
      </c>
      <c r="F30" t="s">
        <v>18</v>
      </c>
      <c r="G30" t="s">
        <v>25</v>
      </c>
      <c r="H30">
        <v>58326</v>
      </c>
      <c r="I30">
        <v>8465</v>
      </c>
      <c r="J30">
        <v>0</v>
      </c>
      <c r="K30">
        <v>0</v>
      </c>
      <c r="L30" s="4">
        <v>44928</v>
      </c>
      <c r="M30" s="4" t="str">
        <f t="shared" si="2"/>
        <v>2023</v>
      </c>
      <c r="N30" s="1">
        <f t="shared" ca="1" si="3"/>
        <v>46064</v>
      </c>
      <c r="O30" s="6">
        <f t="shared" ca="1" si="4"/>
        <v>3</v>
      </c>
      <c r="P30">
        <v>3</v>
      </c>
      <c r="Q30">
        <f t="shared" si="5"/>
        <v>66791</v>
      </c>
      <c r="R30" s="2">
        <f t="shared" si="6"/>
        <v>33395.5</v>
      </c>
      <c r="S30" s="2" t="str">
        <f t="shared" si="7"/>
        <v xml:space="preserve"> Not Achieved</v>
      </c>
      <c r="T30" s="2" t="str">
        <f t="shared" si="8"/>
        <v xml:space="preserve"> Excellent</v>
      </c>
      <c r="U30" s="2"/>
    </row>
    <row r="31" spans="1:21" x14ac:dyDescent="0.3">
      <c r="A31">
        <v>30</v>
      </c>
      <c r="B31" t="s">
        <v>64</v>
      </c>
      <c r="C31" t="str">
        <f t="shared" si="0"/>
        <v>EMP_30</v>
      </c>
      <c r="D31" t="s">
        <v>15</v>
      </c>
      <c r="E31" t="str">
        <f t="shared" si="1"/>
        <v>EMP_30Finance</v>
      </c>
      <c r="F31" t="s">
        <v>18</v>
      </c>
      <c r="G31" t="s">
        <v>25</v>
      </c>
      <c r="H31">
        <v>44038</v>
      </c>
      <c r="I31">
        <v>3563</v>
      </c>
      <c r="J31">
        <v>0</v>
      </c>
      <c r="K31">
        <v>0</v>
      </c>
      <c r="L31" s="4" t="s">
        <v>65</v>
      </c>
      <c r="M31" s="4" t="str">
        <f t="shared" si="2"/>
        <v>12/19/2023</v>
      </c>
      <c r="N31" s="1">
        <f t="shared" ca="1" si="3"/>
        <v>46064</v>
      </c>
      <c r="O31" s="6" t="e">
        <f t="shared" ca="1" si="4"/>
        <v>#VALUE!</v>
      </c>
      <c r="P31">
        <v>5</v>
      </c>
      <c r="Q31">
        <f t="shared" si="5"/>
        <v>47601</v>
      </c>
      <c r="R31" s="2">
        <f t="shared" si="6"/>
        <v>23800.5</v>
      </c>
      <c r="S31" s="2" t="str">
        <f t="shared" si="7"/>
        <v xml:space="preserve"> Not Achieved</v>
      </c>
      <c r="T31" s="2" t="str">
        <f t="shared" si="8"/>
        <v>Good</v>
      </c>
      <c r="U31" s="2"/>
    </row>
    <row r="32" spans="1:21" x14ac:dyDescent="0.3">
      <c r="A32">
        <v>31</v>
      </c>
      <c r="B32" t="s">
        <v>66</v>
      </c>
      <c r="C32" t="str">
        <f t="shared" si="0"/>
        <v>EMP_31</v>
      </c>
      <c r="D32" t="s">
        <v>11</v>
      </c>
      <c r="E32" t="str">
        <f t="shared" si="1"/>
        <v>EMP_31HR</v>
      </c>
      <c r="F32" t="s">
        <v>12</v>
      </c>
      <c r="G32" t="s">
        <v>25</v>
      </c>
      <c r="H32">
        <v>35917</v>
      </c>
      <c r="I32">
        <v>13434</v>
      </c>
      <c r="J32">
        <v>0</v>
      </c>
      <c r="K32">
        <v>0</v>
      </c>
      <c r="L32" s="4">
        <v>43990</v>
      </c>
      <c r="M32" s="4" t="str">
        <f t="shared" si="2"/>
        <v>2020</v>
      </c>
      <c r="N32" s="1">
        <f t="shared" ca="1" si="3"/>
        <v>46064</v>
      </c>
      <c r="O32" s="6">
        <f t="shared" ca="1" si="4"/>
        <v>5</v>
      </c>
      <c r="P32">
        <v>2</v>
      </c>
      <c r="Q32">
        <f t="shared" si="5"/>
        <v>49351</v>
      </c>
      <c r="R32" s="2">
        <f t="shared" si="6"/>
        <v>24675.5</v>
      </c>
      <c r="S32" s="2" t="str">
        <f t="shared" si="7"/>
        <v xml:space="preserve"> Not Achieved</v>
      </c>
      <c r="T32" s="2" t="str">
        <f t="shared" si="8"/>
        <v>Average</v>
      </c>
      <c r="U32" s="2"/>
    </row>
    <row r="33" spans="1:21" x14ac:dyDescent="0.3">
      <c r="A33">
        <v>32</v>
      </c>
      <c r="B33" t="s">
        <v>67</v>
      </c>
      <c r="C33" t="str">
        <f t="shared" si="0"/>
        <v>EMP_32</v>
      </c>
      <c r="D33" t="s">
        <v>11</v>
      </c>
      <c r="E33" t="str">
        <f t="shared" si="1"/>
        <v>EMP_32Sales</v>
      </c>
      <c r="F33" t="s">
        <v>7</v>
      </c>
      <c r="G33" t="s">
        <v>25</v>
      </c>
      <c r="H33">
        <v>45562</v>
      </c>
      <c r="I33">
        <v>5638</v>
      </c>
      <c r="J33">
        <v>122298</v>
      </c>
      <c r="K33">
        <v>111783</v>
      </c>
      <c r="L33" s="4" t="s">
        <v>68</v>
      </c>
      <c r="M33" s="4" t="str">
        <f t="shared" si="2"/>
        <v>2/15/2019</v>
      </c>
      <c r="N33" s="1">
        <f t="shared" ca="1" si="3"/>
        <v>46064</v>
      </c>
      <c r="O33" s="6" t="e">
        <f t="shared" ca="1" si="4"/>
        <v>#VALUE!</v>
      </c>
      <c r="P33">
        <v>2</v>
      </c>
      <c r="Q33">
        <f t="shared" si="5"/>
        <v>51200</v>
      </c>
      <c r="R33" s="2">
        <f t="shared" si="6"/>
        <v>25600</v>
      </c>
      <c r="S33" s="2" t="str">
        <f t="shared" si="7"/>
        <v>Achieved</v>
      </c>
      <c r="T33" s="2" t="str">
        <f t="shared" si="8"/>
        <v>Good</v>
      </c>
      <c r="U33" s="2"/>
    </row>
    <row r="34" spans="1:21" x14ac:dyDescent="0.3">
      <c r="A34">
        <v>33</v>
      </c>
      <c r="B34" t="s">
        <v>69</v>
      </c>
      <c r="C34" t="str">
        <f t="shared" si="0"/>
        <v>EMP_33</v>
      </c>
      <c r="D34" t="s">
        <v>11</v>
      </c>
      <c r="E34" t="str">
        <f t="shared" si="1"/>
        <v>EMP_33Sales</v>
      </c>
      <c r="F34" t="s">
        <v>7</v>
      </c>
      <c r="G34" t="s">
        <v>22</v>
      </c>
      <c r="H34">
        <v>79347</v>
      </c>
      <c r="I34">
        <v>14726</v>
      </c>
      <c r="J34">
        <v>218787</v>
      </c>
      <c r="K34">
        <v>109723</v>
      </c>
      <c r="L34" s="4" t="s">
        <v>70</v>
      </c>
      <c r="M34" s="4" t="str">
        <f t="shared" si="2"/>
        <v>3/31/2019</v>
      </c>
      <c r="N34" s="1">
        <f t="shared" ca="1" si="3"/>
        <v>46064</v>
      </c>
      <c r="O34" s="6" t="e">
        <f t="shared" ca="1" si="4"/>
        <v>#VALUE!</v>
      </c>
      <c r="P34">
        <v>3</v>
      </c>
      <c r="Q34">
        <f t="shared" si="5"/>
        <v>94073</v>
      </c>
      <c r="R34" s="2">
        <f t="shared" si="6"/>
        <v>47036.5</v>
      </c>
      <c r="S34" s="2" t="str">
        <f t="shared" si="7"/>
        <v>Achieved</v>
      </c>
      <c r="T34" s="2" t="str">
        <f t="shared" si="8"/>
        <v xml:space="preserve"> Excellent</v>
      </c>
      <c r="U34" s="2"/>
    </row>
    <row r="35" spans="1:21" x14ac:dyDescent="0.3">
      <c r="A35">
        <v>34</v>
      </c>
      <c r="B35" t="s">
        <v>71</v>
      </c>
      <c r="C35" t="str">
        <f t="shared" si="0"/>
        <v>EMP_34</v>
      </c>
      <c r="D35" t="s">
        <v>15</v>
      </c>
      <c r="E35" t="str">
        <f t="shared" si="1"/>
        <v>EMP_34Marketing</v>
      </c>
      <c r="F35" t="s">
        <v>24</v>
      </c>
      <c r="G35" t="s">
        <v>19</v>
      </c>
      <c r="H35">
        <v>76954</v>
      </c>
      <c r="I35">
        <v>8367</v>
      </c>
      <c r="J35">
        <v>0</v>
      </c>
      <c r="K35">
        <v>0</v>
      </c>
      <c r="L35" s="4" t="s">
        <v>72</v>
      </c>
      <c r="M35" s="4" t="str">
        <f t="shared" si="2"/>
        <v>2/23/2019</v>
      </c>
      <c r="N35" s="1">
        <f t="shared" ca="1" si="3"/>
        <v>46064</v>
      </c>
      <c r="O35" s="6" t="e">
        <f t="shared" ca="1" si="4"/>
        <v>#VALUE!</v>
      </c>
      <c r="P35">
        <v>5</v>
      </c>
      <c r="Q35">
        <f t="shared" si="5"/>
        <v>85321</v>
      </c>
      <c r="R35" s="2">
        <f t="shared" si="6"/>
        <v>42660.5</v>
      </c>
      <c r="S35" s="2" t="str">
        <f t="shared" si="7"/>
        <v xml:space="preserve"> Not Achieved</v>
      </c>
      <c r="T35" s="2" t="str">
        <f t="shared" si="8"/>
        <v xml:space="preserve"> Excellent</v>
      </c>
      <c r="U35" s="2"/>
    </row>
    <row r="36" spans="1:21" x14ac:dyDescent="0.3">
      <c r="A36">
        <v>35</v>
      </c>
      <c r="B36" t="s">
        <v>73</v>
      </c>
      <c r="C36" t="str">
        <f t="shared" si="0"/>
        <v>EMP_35</v>
      </c>
      <c r="D36" t="s">
        <v>15</v>
      </c>
      <c r="E36" t="str">
        <f t="shared" si="1"/>
        <v>EMP_35IT</v>
      </c>
      <c r="F36" t="s">
        <v>21</v>
      </c>
      <c r="G36" t="s">
        <v>22</v>
      </c>
      <c r="H36">
        <v>21497</v>
      </c>
      <c r="I36">
        <v>5542</v>
      </c>
      <c r="J36">
        <v>0</v>
      </c>
      <c r="K36">
        <v>0</v>
      </c>
      <c r="L36" s="4" t="s">
        <v>74</v>
      </c>
      <c r="M36" s="4" t="str">
        <f t="shared" si="2"/>
        <v>6/28/2020</v>
      </c>
      <c r="N36" s="1">
        <f t="shared" ca="1" si="3"/>
        <v>46064</v>
      </c>
      <c r="O36" s="6" t="e">
        <f t="shared" ca="1" si="4"/>
        <v>#VALUE!</v>
      </c>
      <c r="P36">
        <v>3</v>
      </c>
      <c r="Q36">
        <f t="shared" si="5"/>
        <v>27039</v>
      </c>
      <c r="R36" s="2">
        <f t="shared" si="6"/>
        <v>13519.5</v>
      </c>
      <c r="S36" s="2" t="str">
        <f t="shared" si="7"/>
        <v xml:space="preserve"> Not Achieved</v>
      </c>
      <c r="T36" s="2" t="str">
        <f t="shared" si="8"/>
        <v>poor</v>
      </c>
      <c r="U36" s="2"/>
    </row>
    <row r="37" spans="1:21" x14ac:dyDescent="0.3">
      <c r="A37">
        <v>36</v>
      </c>
      <c r="B37" t="s">
        <v>75</v>
      </c>
      <c r="C37" t="str">
        <f t="shared" si="0"/>
        <v>EMP_36</v>
      </c>
      <c r="D37" t="s">
        <v>15</v>
      </c>
      <c r="E37" t="str">
        <f t="shared" si="1"/>
        <v>EMP_36Marketing</v>
      </c>
      <c r="F37" t="s">
        <v>24</v>
      </c>
      <c r="G37" t="s">
        <v>25</v>
      </c>
      <c r="H37">
        <v>60415</v>
      </c>
      <c r="I37">
        <v>3767</v>
      </c>
      <c r="J37">
        <v>0</v>
      </c>
      <c r="K37">
        <v>0</v>
      </c>
      <c r="L37" s="4" t="s">
        <v>76</v>
      </c>
      <c r="M37" s="4" t="str">
        <f t="shared" si="2"/>
        <v>10/26/2020</v>
      </c>
      <c r="N37" s="1">
        <f t="shared" ca="1" si="3"/>
        <v>46064</v>
      </c>
      <c r="O37" s="6" t="e">
        <f t="shared" ca="1" si="4"/>
        <v>#VALUE!</v>
      </c>
      <c r="P37">
        <v>2</v>
      </c>
      <c r="Q37">
        <f t="shared" si="5"/>
        <v>64182</v>
      </c>
      <c r="R37" s="2">
        <f t="shared" si="6"/>
        <v>32091</v>
      </c>
      <c r="S37" s="2" t="str">
        <f t="shared" si="7"/>
        <v xml:space="preserve"> Not Achieved</v>
      </c>
      <c r="T37" s="2" t="str">
        <f t="shared" si="8"/>
        <v xml:space="preserve"> Excellent</v>
      </c>
      <c r="U37" s="2"/>
    </row>
    <row r="38" spans="1:21" x14ac:dyDescent="0.3">
      <c r="A38">
        <v>37</v>
      </c>
      <c r="B38" t="s">
        <v>77</v>
      </c>
      <c r="C38" t="str">
        <f t="shared" si="0"/>
        <v>EMP_37</v>
      </c>
      <c r="D38" t="s">
        <v>15</v>
      </c>
      <c r="E38" t="str">
        <f t="shared" si="1"/>
        <v>EMP_37Finance</v>
      </c>
      <c r="F38" t="s">
        <v>18</v>
      </c>
      <c r="G38" t="s">
        <v>22</v>
      </c>
      <c r="H38">
        <v>72365</v>
      </c>
      <c r="I38">
        <v>2109</v>
      </c>
      <c r="J38">
        <v>0</v>
      </c>
      <c r="K38">
        <v>0</v>
      </c>
      <c r="L38" s="4" t="s">
        <v>78</v>
      </c>
      <c r="M38" s="4" t="str">
        <f t="shared" si="2"/>
        <v>9/29/2023</v>
      </c>
      <c r="N38" s="1">
        <f t="shared" ca="1" si="3"/>
        <v>46064</v>
      </c>
      <c r="O38" s="6" t="e">
        <f t="shared" ca="1" si="4"/>
        <v>#VALUE!</v>
      </c>
      <c r="P38">
        <v>5</v>
      </c>
      <c r="Q38">
        <f t="shared" si="5"/>
        <v>74474</v>
      </c>
      <c r="R38" s="2">
        <f t="shared" si="6"/>
        <v>37237</v>
      </c>
      <c r="S38" s="2" t="str">
        <f t="shared" si="7"/>
        <v xml:space="preserve"> Not Achieved</v>
      </c>
      <c r="T38" s="2" t="str">
        <f t="shared" si="8"/>
        <v xml:space="preserve"> Excellent</v>
      </c>
      <c r="U38" s="2"/>
    </row>
    <row r="39" spans="1:21" x14ac:dyDescent="0.3">
      <c r="A39">
        <v>38</v>
      </c>
      <c r="B39" t="s">
        <v>79</v>
      </c>
      <c r="C39" t="str">
        <f t="shared" si="0"/>
        <v>EMP_38</v>
      </c>
      <c r="D39" t="s">
        <v>15</v>
      </c>
      <c r="E39" t="str">
        <f t="shared" si="1"/>
        <v>EMP_38HR</v>
      </c>
      <c r="F39" t="s">
        <v>12</v>
      </c>
      <c r="G39" t="s">
        <v>16</v>
      </c>
      <c r="H39">
        <v>38566</v>
      </c>
      <c r="I39">
        <v>11297</v>
      </c>
      <c r="J39">
        <v>0</v>
      </c>
      <c r="K39">
        <v>0</v>
      </c>
      <c r="L39" s="4" t="s">
        <v>80</v>
      </c>
      <c r="M39" s="4" t="str">
        <f t="shared" si="2"/>
        <v>6/22/2020</v>
      </c>
      <c r="N39" s="1">
        <f t="shared" ca="1" si="3"/>
        <v>46064</v>
      </c>
      <c r="O39" s="6" t="e">
        <f t="shared" ca="1" si="4"/>
        <v>#VALUE!</v>
      </c>
      <c r="P39">
        <v>3</v>
      </c>
      <c r="Q39">
        <f t="shared" si="5"/>
        <v>49863</v>
      </c>
      <c r="R39" s="2">
        <f t="shared" si="6"/>
        <v>24931.5</v>
      </c>
      <c r="S39" s="2" t="str">
        <f t="shared" si="7"/>
        <v xml:space="preserve"> Not Achieved</v>
      </c>
      <c r="T39" s="2" t="str">
        <f t="shared" si="8"/>
        <v>Average</v>
      </c>
      <c r="U39" s="2"/>
    </row>
    <row r="40" spans="1:21" x14ac:dyDescent="0.3">
      <c r="A40">
        <v>39</v>
      </c>
      <c r="B40" t="s">
        <v>81</v>
      </c>
      <c r="C40" t="str">
        <f t="shared" si="0"/>
        <v>EMP_39</v>
      </c>
      <c r="D40" t="s">
        <v>11</v>
      </c>
      <c r="E40" t="str">
        <f t="shared" si="1"/>
        <v>EMP_39Sales</v>
      </c>
      <c r="F40" t="s">
        <v>7</v>
      </c>
      <c r="G40" t="s">
        <v>22</v>
      </c>
      <c r="H40">
        <v>29787</v>
      </c>
      <c r="I40">
        <v>5048</v>
      </c>
      <c r="J40">
        <v>133083</v>
      </c>
      <c r="K40">
        <v>196353</v>
      </c>
      <c r="L40" s="4" t="s">
        <v>82</v>
      </c>
      <c r="M40" s="4" t="str">
        <f t="shared" si="2"/>
        <v>12/19/2020</v>
      </c>
      <c r="N40" s="1">
        <f t="shared" ca="1" si="3"/>
        <v>46064</v>
      </c>
      <c r="O40" s="6" t="e">
        <f t="shared" ca="1" si="4"/>
        <v>#VALUE!</v>
      </c>
      <c r="P40">
        <v>1</v>
      </c>
      <c r="Q40">
        <f t="shared" si="5"/>
        <v>34835</v>
      </c>
      <c r="R40" s="2">
        <f t="shared" si="6"/>
        <v>17417.5</v>
      </c>
      <c r="S40" s="2" t="str">
        <f t="shared" si="7"/>
        <v xml:space="preserve"> Not Achieved</v>
      </c>
      <c r="T40" s="2" t="str">
        <f t="shared" si="8"/>
        <v>poor</v>
      </c>
      <c r="U40" s="2"/>
    </row>
    <row r="41" spans="1:21" x14ac:dyDescent="0.3">
      <c r="A41">
        <v>40</v>
      </c>
      <c r="B41" t="s">
        <v>83</v>
      </c>
      <c r="C41" t="str">
        <f t="shared" si="0"/>
        <v>EMP_40</v>
      </c>
      <c r="D41" t="s">
        <v>15</v>
      </c>
      <c r="E41" t="str">
        <f t="shared" si="1"/>
        <v>EMP_40HR</v>
      </c>
      <c r="F41" t="s">
        <v>12</v>
      </c>
      <c r="G41" t="s">
        <v>16</v>
      </c>
      <c r="H41">
        <v>49667</v>
      </c>
      <c r="I41">
        <v>7808</v>
      </c>
      <c r="J41">
        <v>0</v>
      </c>
      <c r="K41">
        <v>0</v>
      </c>
      <c r="L41" s="4">
        <v>44782</v>
      </c>
      <c r="M41" s="4" t="str">
        <f t="shared" si="2"/>
        <v>2022</v>
      </c>
      <c r="N41" s="1">
        <f t="shared" ca="1" si="3"/>
        <v>46064</v>
      </c>
      <c r="O41" s="6">
        <f t="shared" ca="1" si="4"/>
        <v>3</v>
      </c>
      <c r="P41">
        <v>4</v>
      </c>
      <c r="Q41">
        <f t="shared" si="5"/>
        <v>57475</v>
      </c>
      <c r="R41" s="2">
        <f t="shared" si="6"/>
        <v>28737.5</v>
      </c>
      <c r="S41" s="2" t="str">
        <f t="shared" si="7"/>
        <v xml:space="preserve"> Not Achieved</v>
      </c>
      <c r="T41" s="2" t="str">
        <f t="shared" si="8"/>
        <v>Good</v>
      </c>
      <c r="U41" s="2"/>
    </row>
    <row r="42" spans="1:21" x14ac:dyDescent="0.3">
      <c r="A42">
        <v>41</v>
      </c>
      <c r="B42" t="s">
        <v>84</v>
      </c>
      <c r="C42" t="str">
        <f t="shared" si="0"/>
        <v>EMP_41</v>
      </c>
      <c r="D42" t="s">
        <v>15</v>
      </c>
      <c r="E42" t="str">
        <f t="shared" si="1"/>
        <v>EMP_41HR</v>
      </c>
      <c r="F42" t="s">
        <v>12</v>
      </c>
      <c r="G42" t="s">
        <v>25</v>
      </c>
      <c r="H42">
        <v>34180</v>
      </c>
      <c r="I42">
        <v>8876</v>
      </c>
      <c r="J42">
        <v>0</v>
      </c>
      <c r="K42">
        <v>0</v>
      </c>
      <c r="L42" s="4" t="s">
        <v>85</v>
      </c>
      <c r="M42" s="4" t="str">
        <f t="shared" si="2"/>
        <v>11/23/2024</v>
      </c>
      <c r="N42" s="1">
        <f t="shared" ca="1" si="3"/>
        <v>46064</v>
      </c>
      <c r="O42" s="6" t="e">
        <f t="shared" ca="1" si="4"/>
        <v>#VALUE!</v>
      </c>
      <c r="P42">
        <v>4</v>
      </c>
      <c r="Q42">
        <f t="shared" si="5"/>
        <v>43056</v>
      </c>
      <c r="R42" s="2">
        <f t="shared" si="6"/>
        <v>21528</v>
      </c>
      <c r="S42" s="2" t="str">
        <f t="shared" si="7"/>
        <v xml:space="preserve"> Not Achieved</v>
      </c>
      <c r="T42" s="2" t="str">
        <f t="shared" si="8"/>
        <v>Average</v>
      </c>
      <c r="U42" s="2"/>
    </row>
    <row r="43" spans="1:21" x14ac:dyDescent="0.3">
      <c r="A43">
        <v>42</v>
      </c>
      <c r="B43" t="s">
        <v>86</v>
      </c>
      <c r="C43" t="str">
        <f t="shared" si="0"/>
        <v>EMP_42</v>
      </c>
      <c r="D43" t="s">
        <v>11</v>
      </c>
      <c r="E43" t="str">
        <f t="shared" si="1"/>
        <v>EMP_42IT</v>
      </c>
      <c r="F43" t="s">
        <v>21</v>
      </c>
      <c r="G43" t="s">
        <v>22</v>
      </c>
      <c r="H43">
        <v>60285</v>
      </c>
      <c r="I43">
        <v>2843</v>
      </c>
      <c r="J43">
        <v>0</v>
      </c>
      <c r="K43">
        <v>0</v>
      </c>
      <c r="L43" s="4" t="s">
        <v>87</v>
      </c>
      <c r="M43" s="4" t="str">
        <f t="shared" si="2"/>
        <v>4/13/2022</v>
      </c>
      <c r="N43" s="1">
        <f t="shared" ca="1" si="3"/>
        <v>46064</v>
      </c>
      <c r="O43" s="6" t="e">
        <f t="shared" ca="1" si="4"/>
        <v>#VALUE!</v>
      </c>
      <c r="P43">
        <v>2</v>
      </c>
      <c r="Q43">
        <f t="shared" si="5"/>
        <v>63128</v>
      </c>
      <c r="R43" s="2">
        <f t="shared" si="6"/>
        <v>31564</v>
      </c>
      <c r="S43" s="2" t="str">
        <f t="shared" si="7"/>
        <v xml:space="preserve"> Not Achieved</v>
      </c>
      <c r="T43" s="2" t="str">
        <f t="shared" si="8"/>
        <v xml:space="preserve"> Excellent</v>
      </c>
      <c r="U43" s="2"/>
    </row>
    <row r="44" spans="1:21" x14ac:dyDescent="0.3">
      <c r="A44">
        <v>43</v>
      </c>
      <c r="B44" t="s">
        <v>88</v>
      </c>
      <c r="C44" t="str">
        <f t="shared" si="0"/>
        <v>EMP_43</v>
      </c>
      <c r="D44" t="s">
        <v>11</v>
      </c>
      <c r="E44" t="str">
        <f t="shared" si="1"/>
        <v>EMP_43Sales</v>
      </c>
      <c r="F44" t="s">
        <v>7</v>
      </c>
      <c r="G44" t="s">
        <v>25</v>
      </c>
      <c r="H44">
        <v>66370</v>
      </c>
      <c r="I44">
        <v>13108</v>
      </c>
      <c r="J44">
        <v>151247</v>
      </c>
      <c r="K44">
        <v>131135</v>
      </c>
      <c r="L44" s="4" t="s">
        <v>89</v>
      </c>
      <c r="M44" s="4" t="str">
        <f t="shared" si="2"/>
        <v>7/25/2020</v>
      </c>
      <c r="N44" s="1">
        <f t="shared" ca="1" si="3"/>
        <v>46064</v>
      </c>
      <c r="O44" s="6" t="e">
        <f t="shared" ca="1" si="4"/>
        <v>#VALUE!</v>
      </c>
      <c r="P44">
        <v>1</v>
      </c>
      <c r="Q44">
        <f t="shared" si="5"/>
        <v>79478</v>
      </c>
      <c r="R44" s="2">
        <f t="shared" si="6"/>
        <v>39739</v>
      </c>
      <c r="S44" s="2" t="str">
        <f t="shared" si="7"/>
        <v>Achieved</v>
      </c>
      <c r="T44" s="2" t="str">
        <f t="shared" si="8"/>
        <v xml:space="preserve"> Excellent</v>
      </c>
      <c r="U44" s="2"/>
    </row>
    <row r="45" spans="1:21" x14ac:dyDescent="0.3">
      <c r="A45">
        <v>44</v>
      </c>
      <c r="B45" t="s">
        <v>90</v>
      </c>
      <c r="C45" t="str">
        <f t="shared" si="0"/>
        <v>EMP_44</v>
      </c>
      <c r="D45" t="s">
        <v>15</v>
      </c>
      <c r="E45" t="str">
        <f t="shared" si="1"/>
        <v>EMP_44Marketing</v>
      </c>
      <c r="F45" t="s">
        <v>24</v>
      </c>
      <c r="G45" t="s">
        <v>25</v>
      </c>
      <c r="H45">
        <v>20525</v>
      </c>
      <c r="I45">
        <v>4425</v>
      </c>
      <c r="J45">
        <v>0</v>
      </c>
      <c r="K45">
        <v>0</v>
      </c>
      <c r="L45" s="4">
        <v>43468</v>
      </c>
      <c r="M45" s="4" t="str">
        <f t="shared" si="2"/>
        <v>2019</v>
      </c>
      <c r="N45" s="1">
        <f t="shared" ca="1" si="3"/>
        <v>46064</v>
      </c>
      <c r="O45" s="6">
        <f t="shared" ca="1" si="4"/>
        <v>7</v>
      </c>
      <c r="P45">
        <v>1</v>
      </c>
      <c r="Q45">
        <f t="shared" si="5"/>
        <v>24950</v>
      </c>
      <c r="R45" s="2">
        <f t="shared" si="6"/>
        <v>12475</v>
      </c>
      <c r="S45" s="2" t="str">
        <f t="shared" si="7"/>
        <v xml:space="preserve"> Not Achieved</v>
      </c>
      <c r="T45" s="2" t="str">
        <f t="shared" si="8"/>
        <v>poor</v>
      </c>
      <c r="U45" s="2"/>
    </row>
    <row r="46" spans="1:21" x14ac:dyDescent="0.3">
      <c r="A46">
        <v>45</v>
      </c>
      <c r="B46" t="s">
        <v>91</v>
      </c>
      <c r="C46" t="str">
        <f t="shared" si="0"/>
        <v>EMP_45</v>
      </c>
      <c r="D46" t="s">
        <v>11</v>
      </c>
      <c r="E46" t="str">
        <f t="shared" si="1"/>
        <v>EMP_45Sales</v>
      </c>
      <c r="F46" t="s">
        <v>7</v>
      </c>
      <c r="G46" t="s">
        <v>19</v>
      </c>
      <c r="H46">
        <v>54393</v>
      </c>
      <c r="I46">
        <v>3580</v>
      </c>
      <c r="J46">
        <v>61846</v>
      </c>
      <c r="K46">
        <v>201557</v>
      </c>
      <c r="L46" s="4" t="s">
        <v>92</v>
      </c>
      <c r="M46" s="4" t="str">
        <f t="shared" si="2"/>
        <v>12/29/2018</v>
      </c>
      <c r="N46" s="1">
        <f t="shared" ca="1" si="3"/>
        <v>46064</v>
      </c>
      <c r="O46" s="6" t="e">
        <f t="shared" ca="1" si="4"/>
        <v>#VALUE!</v>
      </c>
      <c r="P46">
        <v>4</v>
      </c>
      <c r="Q46">
        <f t="shared" si="5"/>
        <v>57973</v>
      </c>
      <c r="R46" s="2">
        <f t="shared" si="6"/>
        <v>28986.5</v>
      </c>
      <c r="S46" s="2" t="str">
        <f t="shared" si="7"/>
        <v xml:space="preserve"> Not Achieved</v>
      </c>
      <c r="T46" s="2" t="str">
        <f t="shared" si="8"/>
        <v xml:space="preserve"> Excellent</v>
      </c>
      <c r="U46" s="2"/>
    </row>
    <row r="47" spans="1:21" x14ac:dyDescent="0.3">
      <c r="A47">
        <v>46</v>
      </c>
      <c r="B47" t="s">
        <v>93</v>
      </c>
      <c r="C47" t="str">
        <f t="shared" si="0"/>
        <v>EMP_46</v>
      </c>
      <c r="D47" t="s">
        <v>11</v>
      </c>
      <c r="E47" t="str">
        <f t="shared" si="1"/>
        <v>EMP_46Finance</v>
      </c>
      <c r="F47" t="s">
        <v>18</v>
      </c>
      <c r="G47" t="s">
        <v>16</v>
      </c>
      <c r="H47">
        <v>72874</v>
      </c>
      <c r="I47">
        <v>5264</v>
      </c>
      <c r="J47">
        <v>0</v>
      </c>
      <c r="K47">
        <v>0</v>
      </c>
      <c r="L47" s="4" t="s">
        <v>94</v>
      </c>
      <c r="M47" s="4" t="str">
        <f t="shared" si="2"/>
        <v>11/23/2020</v>
      </c>
      <c r="N47" s="1">
        <f t="shared" ca="1" si="3"/>
        <v>46064</v>
      </c>
      <c r="O47" s="6" t="e">
        <f t="shared" ca="1" si="4"/>
        <v>#VALUE!</v>
      </c>
      <c r="P47">
        <v>3</v>
      </c>
      <c r="Q47">
        <f t="shared" si="5"/>
        <v>78138</v>
      </c>
      <c r="R47" s="2">
        <f t="shared" si="6"/>
        <v>39069</v>
      </c>
      <c r="S47" s="2" t="str">
        <f t="shared" si="7"/>
        <v xml:space="preserve"> Not Achieved</v>
      </c>
      <c r="T47" s="2" t="str">
        <f t="shared" si="8"/>
        <v xml:space="preserve"> Excellent</v>
      </c>
      <c r="U47" s="2"/>
    </row>
    <row r="48" spans="1:21" x14ac:dyDescent="0.3">
      <c r="A48">
        <v>47</v>
      </c>
      <c r="B48" t="s">
        <v>95</v>
      </c>
      <c r="C48" t="str">
        <f t="shared" si="0"/>
        <v>EMP_47</v>
      </c>
      <c r="D48" t="s">
        <v>15</v>
      </c>
      <c r="E48" t="str">
        <f t="shared" si="1"/>
        <v>EMP_47Marketing</v>
      </c>
      <c r="F48" t="s">
        <v>24</v>
      </c>
      <c r="G48" t="s">
        <v>19</v>
      </c>
      <c r="H48">
        <v>22368</v>
      </c>
      <c r="I48">
        <v>12167</v>
      </c>
      <c r="J48">
        <v>0</v>
      </c>
      <c r="K48">
        <v>0</v>
      </c>
      <c r="L48" s="4" t="s">
        <v>96</v>
      </c>
      <c r="M48" s="4" t="str">
        <f t="shared" si="2"/>
        <v>8/19/2024</v>
      </c>
      <c r="N48" s="1">
        <f t="shared" ca="1" si="3"/>
        <v>46064</v>
      </c>
      <c r="O48" s="6" t="e">
        <f t="shared" ca="1" si="4"/>
        <v>#VALUE!</v>
      </c>
      <c r="P48">
        <v>3</v>
      </c>
      <c r="Q48">
        <f t="shared" si="5"/>
        <v>34535</v>
      </c>
      <c r="R48" s="2">
        <f t="shared" si="6"/>
        <v>17267.5</v>
      </c>
      <c r="S48" s="2" t="str">
        <f t="shared" si="7"/>
        <v xml:space="preserve"> Not Achieved</v>
      </c>
      <c r="T48" s="2" t="str">
        <f t="shared" si="8"/>
        <v>poor</v>
      </c>
      <c r="U48" s="2"/>
    </row>
    <row r="49" spans="1:21" x14ac:dyDescent="0.3">
      <c r="A49">
        <v>48</v>
      </c>
      <c r="B49" t="s">
        <v>97</v>
      </c>
      <c r="C49" t="str">
        <f t="shared" si="0"/>
        <v>EMP_48</v>
      </c>
      <c r="D49" t="s">
        <v>11</v>
      </c>
      <c r="E49" t="str">
        <f t="shared" si="1"/>
        <v>EMP_48HR</v>
      </c>
      <c r="F49" t="s">
        <v>12</v>
      </c>
      <c r="G49" t="s">
        <v>13</v>
      </c>
      <c r="H49">
        <v>73707</v>
      </c>
      <c r="I49">
        <v>13700</v>
      </c>
      <c r="J49">
        <v>0</v>
      </c>
      <c r="K49">
        <v>0</v>
      </c>
      <c r="L49" s="4" t="s">
        <v>31</v>
      </c>
      <c r="M49" s="4" t="str">
        <f t="shared" si="2"/>
        <v>10/21/2020</v>
      </c>
      <c r="N49" s="1">
        <f t="shared" ca="1" si="3"/>
        <v>46064</v>
      </c>
      <c r="O49" s="6" t="e">
        <f t="shared" ca="1" si="4"/>
        <v>#VALUE!</v>
      </c>
      <c r="P49">
        <v>3</v>
      </c>
      <c r="Q49">
        <f t="shared" si="5"/>
        <v>87407</v>
      </c>
      <c r="R49" s="2">
        <f t="shared" si="6"/>
        <v>43703.5</v>
      </c>
      <c r="S49" s="2" t="str">
        <f t="shared" si="7"/>
        <v xml:space="preserve"> Not Achieved</v>
      </c>
      <c r="T49" s="2" t="str">
        <f t="shared" si="8"/>
        <v xml:space="preserve"> Excellent</v>
      </c>
      <c r="U49" s="2"/>
    </row>
    <row r="50" spans="1:21" x14ac:dyDescent="0.3">
      <c r="A50">
        <v>49</v>
      </c>
      <c r="B50" t="s">
        <v>98</v>
      </c>
      <c r="C50" t="str">
        <f t="shared" si="0"/>
        <v>EMP_49</v>
      </c>
      <c r="D50" t="s">
        <v>15</v>
      </c>
      <c r="E50" t="str">
        <f t="shared" si="1"/>
        <v>EMP_49Finance</v>
      </c>
      <c r="F50" t="s">
        <v>18</v>
      </c>
      <c r="G50" t="s">
        <v>25</v>
      </c>
      <c r="H50">
        <v>43158</v>
      </c>
      <c r="I50">
        <v>2081</v>
      </c>
      <c r="J50">
        <v>0</v>
      </c>
      <c r="K50">
        <v>0</v>
      </c>
      <c r="L50" s="4">
        <v>43229</v>
      </c>
      <c r="M50" s="4" t="str">
        <f t="shared" si="2"/>
        <v>2018</v>
      </c>
      <c r="N50" s="1">
        <f t="shared" ca="1" si="3"/>
        <v>46064</v>
      </c>
      <c r="O50" s="6">
        <f t="shared" ca="1" si="4"/>
        <v>7</v>
      </c>
      <c r="P50">
        <v>2</v>
      </c>
      <c r="Q50">
        <f t="shared" si="5"/>
        <v>45239</v>
      </c>
      <c r="R50" s="2">
        <f t="shared" si="6"/>
        <v>22619.5</v>
      </c>
      <c r="S50" s="2" t="str">
        <f t="shared" si="7"/>
        <v xml:space="preserve"> Not Achieved</v>
      </c>
      <c r="T50" s="2" t="str">
        <f t="shared" si="8"/>
        <v>Good</v>
      </c>
      <c r="U50" s="2"/>
    </row>
    <row r="51" spans="1:21" x14ac:dyDescent="0.3">
      <c r="A51">
        <v>50</v>
      </c>
      <c r="B51" t="s">
        <v>99</v>
      </c>
      <c r="C51" t="str">
        <f t="shared" si="0"/>
        <v>EMP_50</v>
      </c>
      <c r="D51" t="s">
        <v>15</v>
      </c>
      <c r="E51" t="str">
        <f t="shared" si="1"/>
        <v>EMP_50HR</v>
      </c>
      <c r="F51" t="s">
        <v>12</v>
      </c>
      <c r="G51" t="s">
        <v>22</v>
      </c>
      <c r="H51">
        <v>31453</v>
      </c>
      <c r="I51">
        <v>14858</v>
      </c>
      <c r="J51">
        <v>0</v>
      </c>
      <c r="K51">
        <v>0</v>
      </c>
      <c r="L51" s="4" t="s">
        <v>100</v>
      </c>
      <c r="M51" s="4" t="str">
        <f t="shared" si="2"/>
        <v>6/29/2019</v>
      </c>
      <c r="N51" s="1">
        <f t="shared" ca="1" si="3"/>
        <v>46064</v>
      </c>
      <c r="O51" s="6" t="e">
        <f t="shared" ca="1" si="4"/>
        <v>#VALUE!</v>
      </c>
      <c r="P51">
        <v>5</v>
      </c>
      <c r="Q51">
        <f t="shared" si="5"/>
        <v>46311</v>
      </c>
      <c r="R51" s="2">
        <f t="shared" si="6"/>
        <v>23155.5</v>
      </c>
      <c r="S51" s="2" t="str">
        <f t="shared" si="7"/>
        <v xml:space="preserve"> Not Achieved</v>
      </c>
      <c r="T51" s="2" t="str">
        <f t="shared" si="8"/>
        <v>Average</v>
      </c>
      <c r="U51" s="2"/>
    </row>
    <row r="52" spans="1:21" x14ac:dyDescent="0.3">
      <c r="A52">
        <v>51</v>
      </c>
      <c r="B52" t="s">
        <v>101</v>
      </c>
      <c r="C52" t="str">
        <f t="shared" si="0"/>
        <v>EMP_51</v>
      </c>
      <c r="D52" t="s">
        <v>15</v>
      </c>
      <c r="E52" t="str">
        <f t="shared" si="1"/>
        <v>EMP_51IT</v>
      </c>
      <c r="F52" t="s">
        <v>21</v>
      </c>
      <c r="G52" t="s">
        <v>25</v>
      </c>
      <c r="H52">
        <v>30432</v>
      </c>
      <c r="I52">
        <v>2852</v>
      </c>
      <c r="J52">
        <v>0</v>
      </c>
      <c r="K52">
        <v>0</v>
      </c>
      <c r="L52" s="4">
        <v>45568</v>
      </c>
      <c r="M52" s="4" t="str">
        <f t="shared" si="2"/>
        <v>2024</v>
      </c>
      <c r="N52" s="1">
        <f t="shared" ca="1" si="3"/>
        <v>46064</v>
      </c>
      <c r="O52" s="6">
        <f t="shared" ca="1" si="4"/>
        <v>1</v>
      </c>
      <c r="P52">
        <v>3</v>
      </c>
      <c r="Q52">
        <f t="shared" si="5"/>
        <v>33284</v>
      </c>
      <c r="R52" s="2">
        <f t="shared" si="6"/>
        <v>16642</v>
      </c>
      <c r="S52" s="2" t="str">
        <f t="shared" si="7"/>
        <v xml:space="preserve"> Not Achieved</v>
      </c>
      <c r="T52" s="2" t="str">
        <f t="shared" si="8"/>
        <v>Average</v>
      </c>
      <c r="U52" s="2"/>
    </row>
    <row r="53" spans="1:21" x14ac:dyDescent="0.3">
      <c r="A53">
        <v>52</v>
      </c>
      <c r="B53" t="s">
        <v>102</v>
      </c>
      <c r="C53" t="str">
        <f t="shared" si="0"/>
        <v>EMP_52</v>
      </c>
      <c r="D53" t="s">
        <v>15</v>
      </c>
      <c r="E53" t="str">
        <f t="shared" si="1"/>
        <v>EMP_52Marketing</v>
      </c>
      <c r="F53" t="s">
        <v>24</v>
      </c>
      <c r="G53" t="s">
        <v>13</v>
      </c>
      <c r="H53">
        <v>32409</v>
      </c>
      <c r="I53">
        <v>12253</v>
      </c>
      <c r="J53">
        <v>0</v>
      </c>
      <c r="K53">
        <v>0</v>
      </c>
      <c r="L53" s="4" t="s">
        <v>103</v>
      </c>
      <c r="M53" s="4" t="str">
        <f t="shared" si="2"/>
        <v>6/26/2018</v>
      </c>
      <c r="N53" s="1">
        <f t="shared" ca="1" si="3"/>
        <v>46064</v>
      </c>
      <c r="O53" s="6" t="e">
        <f t="shared" ca="1" si="4"/>
        <v>#VALUE!</v>
      </c>
      <c r="P53">
        <v>1</v>
      </c>
      <c r="Q53">
        <f t="shared" si="5"/>
        <v>44662</v>
      </c>
      <c r="R53" s="2">
        <f t="shared" si="6"/>
        <v>22331</v>
      </c>
      <c r="S53" s="2" t="str">
        <f t="shared" si="7"/>
        <v xml:space="preserve"> Not Achieved</v>
      </c>
      <c r="T53" s="2" t="str">
        <f t="shared" si="8"/>
        <v>Average</v>
      </c>
      <c r="U53" s="2"/>
    </row>
    <row r="54" spans="1:21" x14ac:dyDescent="0.3">
      <c r="A54">
        <v>53</v>
      </c>
      <c r="B54" t="s">
        <v>104</v>
      </c>
      <c r="C54" t="str">
        <f t="shared" si="0"/>
        <v>EMP_53</v>
      </c>
      <c r="D54" t="s">
        <v>11</v>
      </c>
      <c r="E54" t="str">
        <f t="shared" si="1"/>
        <v>EMP_53Sales</v>
      </c>
      <c r="F54" t="s">
        <v>7</v>
      </c>
      <c r="G54" t="s">
        <v>25</v>
      </c>
      <c r="H54">
        <v>44734</v>
      </c>
      <c r="I54">
        <v>6125</v>
      </c>
      <c r="J54">
        <v>171970</v>
      </c>
      <c r="K54">
        <v>223729</v>
      </c>
      <c r="L54" s="4" t="s">
        <v>105</v>
      </c>
      <c r="M54" s="4" t="str">
        <f t="shared" si="2"/>
        <v>11/28/2019</v>
      </c>
      <c r="N54" s="1">
        <f t="shared" ca="1" si="3"/>
        <v>46064</v>
      </c>
      <c r="O54" s="6" t="e">
        <f t="shared" ca="1" si="4"/>
        <v>#VALUE!</v>
      </c>
      <c r="P54">
        <v>3</v>
      </c>
      <c r="Q54">
        <f t="shared" si="5"/>
        <v>50859</v>
      </c>
      <c r="R54" s="2">
        <f t="shared" si="6"/>
        <v>25429.5</v>
      </c>
      <c r="S54" s="2" t="str">
        <f t="shared" si="7"/>
        <v xml:space="preserve"> Not Achieved</v>
      </c>
      <c r="T54" s="2" t="str">
        <f t="shared" si="8"/>
        <v>Good</v>
      </c>
      <c r="U54" s="2"/>
    </row>
    <row r="55" spans="1:21" x14ac:dyDescent="0.3">
      <c r="A55">
        <v>54</v>
      </c>
      <c r="B55" t="s">
        <v>106</v>
      </c>
      <c r="C55" t="str">
        <f t="shared" si="0"/>
        <v>EMP_54</v>
      </c>
      <c r="D55" t="s">
        <v>15</v>
      </c>
      <c r="E55" t="str">
        <f t="shared" si="1"/>
        <v>EMP_54HR</v>
      </c>
      <c r="F55" t="s">
        <v>12</v>
      </c>
      <c r="G55" t="s">
        <v>13</v>
      </c>
      <c r="H55">
        <v>25821</v>
      </c>
      <c r="I55">
        <v>6929</v>
      </c>
      <c r="J55">
        <v>0</v>
      </c>
      <c r="K55">
        <v>0</v>
      </c>
      <c r="L55" s="4">
        <v>45080</v>
      </c>
      <c r="M55" s="4" t="str">
        <f t="shared" si="2"/>
        <v>2023</v>
      </c>
      <c r="N55" s="1">
        <f t="shared" ca="1" si="3"/>
        <v>46064</v>
      </c>
      <c r="O55" s="6">
        <f t="shared" ca="1" si="4"/>
        <v>2</v>
      </c>
      <c r="P55">
        <v>1</v>
      </c>
      <c r="Q55">
        <f t="shared" si="5"/>
        <v>32750</v>
      </c>
      <c r="R55" s="2">
        <f t="shared" si="6"/>
        <v>16375</v>
      </c>
      <c r="S55" s="2" t="str">
        <f t="shared" si="7"/>
        <v xml:space="preserve"> Not Achieved</v>
      </c>
      <c r="T55" s="2" t="str">
        <f t="shared" si="8"/>
        <v>poor</v>
      </c>
      <c r="U55" s="2"/>
    </row>
    <row r="56" spans="1:21" x14ac:dyDescent="0.3">
      <c r="A56">
        <v>55</v>
      </c>
      <c r="B56" t="s">
        <v>107</v>
      </c>
      <c r="C56" t="str">
        <f t="shared" si="0"/>
        <v>EMP_55</v>
      </c>
      <c r="D56" t="s">
        <v>15</v>
      </c>
      <c r="E56" t="str">
        <f t="shared" si="1"/>
        <v>EMP_55Finance</v>
      </c>
      <c r="F56" t="s">
        <v>18</v>
      </c>
      <c r="G56" t="s">
        <v>22</v>
      </c>
      <c r="H56">
        <v>74246</v>
      </c>
      <c r="I56">
        <v>11906</v>
      </c>
      <c r="J56">
        <v>0</v>
      </c>
      <c r="K56">
        <v>0</v>
      </c>
      <c r="L56" s="4" t="s">
        <v>108</v>
      </c>
      <c r="M56" s="4" t="str">
        <f t="shared" si="2"/>
        <v>6/19/2022</v>
      </c>
      <c r="N56" s="1">
        <f t="shared" ca="1" si="3"/>
        <v>46064</v>
      </c>
      <c r="O56" s="6" t="e">
        <f t="shared" ca="1" si="4"/>
        <v>#VALUE!</v>
      </c>
      <c r="P56">
        <v>5</v>
      </c>
      <c r="Q56">
        <f t="shared" si="5"/>
        <v>86152</v>
      </c>
      <c r="R56" s="2">
        <f t="shared" si="6"/>
        <v>43076</v>
      </c>
      <c r="S56" s="2" t="str">
        <f t="shared" si="7"/>
        <v xml:space="preserve"> Not Achieved</v>
      </c>
      <c r="T56" s="2" t="str">
        <f t="shared" si="8"/>
        <v xml:space="preserve"> Excellent</v>
      </c>
      <c r="U56" s="2"/>
    </row>
    <row r="57" spans="1:21" x14ac:dyDescent="0.3">
      <c r="A57">
        <v>56</v>
      </c>
      <c r="B57" t="s">
        <v>109</v>
      </c>
      <c r="C57" t="str">
        <f t="shared" si="0"/>
        <v>EMP_56</v>
      </c>
      <c r="D57" t="s">
        <v>15</v>
      </c>
      <c r="E57" t="str">
        <f t="shared" si="1"/>
        <v>EMP_56Finance</v>
      </c>
      <c r="F57" t="s">
        <v>18</v>
      </c>
      <c r="G57" t="s">
        <v>16</v>
      </c>
      <c r="H57">
        <v>79912</v>
      </c>
      <c r="I57">
        <v>2337</v>
      </c>
      <c r="J57">
        <v>0</v>
      </c>
      <c r="K57">
        <v>0</v>
      </c>
      <c r="L57" s="4">
        <v>44113</v>
      </c>
      <c r="M57" s="4" t="str">
        <f t="shared" si="2"/>
        <v>2020</v>
      </c>
      <c r="N57" s="1">
        <f t="shared" ca="1" si="3"/>
        <v>46064</v>
      </c>
      <c r="O57" s="6">
        <f t="shared" ca="1" si="4"/>
        <v>5</v>
      </c>
      <c r="P57">
        <v>5</v>
      </c>
      <c r="Q57">
        <f t="shared" si="5"/>
        <v>82249</v>
      </c>
      <c r="R57" s="2">
        <f t="shared" si="6"/>
        <v>41124.5</v>
      </c>
      <c r="S57" s="2" t="str">
        <f t="shared" si="7"/>
        <v xml:space="preserve"> Not Achieved</v>
      </c>
      <c r="T57" s="2" t="str">
        <f t="shared" si="8"/>
        <v xml:space="preserve"> Excellent</v>
      </c>
      <c r="U57" s="2"/>
    </row>
    <row r="58" spans="1:21" x14ac:dyDescent="0.3">
      <c r="A58">
        <v>57</v>
      </c>
      <c r="B58" t="s">
        <v>110</v>
      </c>
      <c r="C58" t="str">
        <f t="shared" si="0"/>
        <v>EMP_57</v>
      </c>
      <c r="D58" t="s">
        <v>11</v>
      </c>
      <c r="E58" t="str">
        <f t="shared" si="1"/>
        <v>EMP_57Sales</v>
      </c>
      <c r="F58" t="s">
        <v>7</v>
      </c>
      <c r="G58" t="s">
        <v>25</v>
      </c>
      <c r="H58">
        <v>61204</v>
      </c>
      <c r="I58">
        <v>7376</v>
      </c>
      <c r="J58">
        <v>134756</v>
      </c>
      <c r="K58">
        <v>238000</v>
      </c>
      <c r="L58" s="4" t="s">
        <v>111</v>
      </c>
      <c r="M58" s="4" t="str">
        <f t="shared" si="2"/>
        <v>8/25/2020</v>
      </c>
      <c r="N58" s="1">
        <f t="shared" ca="1" si="3"/>
        <v>46064</v>
      </c>
      <c r="O58" s="6" t="e">
        <f t="shared" ca="1" si="4"/>
        <v>#VALUE!</v>
      </c>
      <c r="P58">
        <v>1</v>
      </c>
      <c r="Q58">
        <f t="shared" si="5"/>
        <v>68580</v>
      </c>
      <c r="R58" s="2">
        <f t="shared" si="6"/>
        <v>34290</v>
      </c>
      <c r="S58" s="2" t="str">
        <f t="shared" si="7"/>
        <v xml:space="preserve"> Not Achieved</v>
      </c>
      <c r="T58" s="2" t="str">
        <f t="shared" si="8"/>
        <v xml:space="preserve"> Excellent</v>
      </c>
      <c r="U58" s="2"/>
    </row>
    <row r="59" spans="1:21" x14ac:dyDescent="0.3">
      <c r="A59">
        <v>58</v>
      </c>
      <c r="B59" t="s">
        <v>112</v>
      </c>
      <c r="C59" t="str">
        <f t="shared" si="0"/>
        <v>EMP_58</v>
      </c>
      <c r="D59" t="s">
        <v>11</v>
      </c>
      <c r="E59" t="str">
        <f t="shared" si="1"/>
        <v>EMP_58Finance</v>
      </c>
      <c r="F59" t="s">
        <v>18</v>
      </c>
      <c r="G59" t="s">
        <v>13</v>
      </c>
      <c r="H59">
        <v>27439</v>
      </c>
      <c r="I59">
        <v>5177</v>
      </c>
      <c r="J59">
        <v>0</v>
      </c>
      <c r="K59">
        <v>0</v>
      </c>
      <c r="L59" s="4">
        <v>44901</v>
      </c>
      <c r="M59" s="4" t="str">
        <f t="shared" si="2"/>
        <v>2022</v>
      </c>
      <c r="N59" s="1">
        <f t="shared" ca="1" si="3"/>
        <v>46064</v>
      </c>
      <c r="O59" s="6">
        <f t="shared" ca="1" si="4"/>
        <v>3</v>
      </c>
      <c r="P59">
        <v>4</v>
      </c>
      <c r="Q59">
        <f t="shared" si="5"/>
        <v>32616</v>
      </c>
      <c r="R59" s="2">
        <f t="shared" si="6"/>
        <v>16308</v>
      </c>
      <c r="S59" s="2" t="str">
        <f t="shared" si="7"/>
        <v xml:space="preserve"> Not Achieved</v>
      </c>
      <c r="T59" s="2" t="str">
        <f t="shared" si="8"/>
        <v>poor</v>
      </c>
      <c r="U59" s="2"/>
    </row>
    <row r="60" spans="1:21" x14ac:dyDescent="0.3">
      <c r="A60">
        <v>59</v>
      </c>
      <c r="B60" t="s">
        <v>113</v>
      </c>
      <c r="C60" t="str">
        <f t="shared" si="0"/>
        <v>EMP_59</v>
      </c>
      <c r="D60" t="s">
        <v>15</v>
      </c>
      <c r="E60" t="str">
        <f t="shared" si="1"/>
        <v>EMP_59HR</v>
      </c>
      <c r="F60" t="s">
        <v>12</v>
      </c>
      <c r="G60" t="s">
        <v>25</v>
      </c>
      <c r="H60">
        <v>20322</v>
      </c>
      <c r="I60">
        <v>14861</v>
      </c>
      <c r="J60">
        <v>0</v>
      </c>
      <c r="K60">
        <v>0</v>
      </c>
      <c r="L60" s="4">
        <v>44566</v>
      </c>
      <c r="M60" s="4" t="str">
        <f t="shared" si="2"/>
        <v>2022</v>
      </c>
      <c r="N60" s="1">
        <f t="shared" ca="1" si="3"/>
        <v>46064</v>
      </c>
      <c r="O60" s="6">
        <f t="shared" ca="1" si="4"/>
        <v>4</v>
      </c>
      <c r="P60">
        <v>4</v>
      </c>
      <c r="Q60">
        <f t="shared" si="5"/>
        <v>35183</v>
      </c>
      <c r="R60" s="2">
        <f t="shared" si="6"/>
        <v>17591.5</v>
      </c>
      <c r="S60" s="2" t="str">
        <f t="shared" si="7"/>
        <v xml:space="preserve"> Not Achieved</v>
      </c>
      <c r="T60" s="2" t="str">
        <f t="shared" si="8"/>
        <v>poor</v>
      </c>
      <c r="U60" s="2"/>
    </row>
    <row r="61" spans="1:21" x14ac:dyDescent="0.3">
      <c r="A61">
        <v>60</v>
      </c>
      <c r="B61" t="s">
        <v>114</v>
      </c>
      <c r="C61" t="str">
        <f t="shared" si="0"/>
        <v>EMP_60</v>
      </c>
      <c r="D61" t="s">
        <v>15</v>
      </c>
      <c r="E61" t="str">
        <f t="shared" si="1"/>
        <v>EMP_60Sales</v>
      </c>
      <c r="F61" t="s">
        <v>7</v>
      </c>
      <c r="G61" t="s">
        <v>16</v>
      </c>
      <c r="H61">
        <v>40784</v>
      </c>
      <c r="I61">
        <v>4578</v>
      </c>
      <c r="J61">
        <v>163525</v>
      </c>
      <c r="K61">
        <v>105888</v>
      </c>
      <c r="L61" s="4" t="s">
        <v>115</v>
      </c>
      <c r="M61" s="4" t="str">
        <f t="shared" si="2"/>
        <v>6/18/2024</v>
      </c>
      <c r="N61" s="1">
        <f t="shared" ca="1" si="3"/>
        <v>46064</v>
      </c>
      <c r="O61" s="6" t="e">
        <f t="shared" ca="1" si="4"/>
        <v>#VALUE!</v>
      </c>
      <c r="P61">
        <v>1</v>
      </c>
      <c r="Q61">
        <f t="shared" si="5"/>
        <v>45362</v>
      </c>
      <c r="R61" s="2">
        <f t="shared" si="6"/>
        <v>22681</v>
      </c>
      <c r="S61" s="2" t="str">
        <f t="shared" si="7"/>
        <v>Achieved</v>
      </c>
      <c r="T61" s="2" t="str">
        <f t="shared" si="8"/>
        <v>Good</v>
      </c>
      <c r="U61" s="2"/>
    </row>
    <row r="62" spans="1:21" x14ac:dyDescent="0.3">
      <c r="A62">
        <v>61</v>
      </c>
      <c r="B62" t="s">
        <v>116</v>
      </c>
      <c r="C62" t="str">
        <f t="shared" si="0"/>
        <v>EMP_61</v>
      </c>
      <c r="D62" t="s">
        <v>11</v>
      </c>
      <c r="E62" t="str">
        <f t="shared" si="1"/>
        <v>EMP_61Finance</v>
      </c>
      <c r="F62" t="s">
        <v>18</v>
      </c>
      <c r="G62" t="s">
        <v>13</v>
      </c>
      <c r="H62">
        <v>76801</v>
      </c>
      <c r="I62">
        <v>11906</v>
      </c>
      <c r="J62">
        <v>0</v>
      </c>
      <c r="K62">
        <v>0</v>
      </c>
      <c r="L62" s="4">
        <v>43837</v>
      </c>
      <c r="M62" s="4" t="str">
        <f t="shared" si="2"/>
        <v>2020</v>
      </c>
      <c r="N62" s="1">
        <f t="shared" ca="1" si="3"/>
        <v>46064</v>
      </c>
      <c r="O62" s="6">
        <f t="shared" ca="1" si="4"/>
        <v>6</v>
      </c>
      <c r="P62">
        <v>1</v>
      </c>
      <c r="Q62">
        <f t="shared" si="5"/>
        <v>88707</v>
      </c>
      <c r="R62" s="2">
        <f t="shared" si="6"/>
        <v>44353.5</v>
      </c>
      <c r="S62" s="2" t="str">
        <f t="shared" si="7"/>
        <v xml:space="preserve"> Not Achieved</v>
      </c>
      <c r="T62" s="2" t="str">
        <f t="shared" si="8"/>
        <v xml:space="preserve"> Excellent</v>
      </c>
      <c r="U62" s="2"/>
    </row>
    <row r="63" spans="1:21" x14ac:dyDescent="0.3">
      <c r="A63">
        <v>62</v>
      </c>
      <c r="B63" t="s">
        <v>117</v>
      </c>
      <c r="C63" t="str">
        <f t="shared" si="0"/>
        <v>EMP_62</v>
      </c>
      <c r="D63" t="s">
        <v>15</v>
      </c>
      <c r="E63" t="str">
        <f t="shared" si="1"/>
        <v>EMP_62Marketing</v>
      </c>
      <c r="F63" t="s">
        <v>24</v>
      </c>
      <c r="G63" t="s">
        <v>25</v>
      </c>
      <c r="H63">
        <v>48105</v>
      </c>
      <c r="I63">
        <v>5549</v>
      </c>
      <c r="J63">
        <v>0</v>
      </c>
      <c r="K63">
        <v>0</v>
      </c>
      <c r="L63" s="4" t="s">
        <v>118</v>
      </c>
      <c r="M63" s="4" t="str">
        <f t="shared" si="2"/>
        <v>5/29/2019</v>
      </c>
      <c r="N63" s="1">
        <f t="shared" ca="1" si="3"/>
        <v>46064</v>
      </c>
      <c r="O63" s="6" t="e">
        <f t="shared" ca="1" si="4"/>
        <v>#VALUE!</v>
      </c>
      <c r="P63">
        <v>1</v>
      </c>
      <c r="Q63">
        <f t="shared" si="5"/>
        <v>53654</v>
      </c>
      <c r="R63" s="2">
        <f t="shared" si="6"/>
        <v>26827</v>
      </c>
      <c r="S63" s="2" t="str">
        <f t="shared" si="7"/>
        <v xml:space="preserve"> Not Achieved</v>
      </c>
      <c r="T63" s="2" t="str">
        <f t="shared" si="8"/>
        <v>Good</v>
      </c>
      <c r="U63" s="2"/>
    </row>
    <row r="64" spans="1:21" x14ac:dyDescent="0.3">
      <c r="A64">
        <v>63</v>
      </c>
      <c r="B64" t="s">
        <v>119</v>
      </c>
      <c r="C64" t="str">
        <f t="shared" si="0"/>
        <v>EMP_63</v>
      </c>
      <c r="D64" t="s">
        <v>11</v>
      </c>
      <c r="E64" t="str">
        <f t="shared" si="1"/>
        <v>EMP_63HR</v>
      </c>
      <c r="F64" t="s">
        <v>12</v>
      </c>
      <c r="G64" t="s">
        <v>19</v>
      </c>
      <c r="H64">
        <v>34650</v>
      </c>
      <c r="I64">
        <v>10320</v>
      </c>
      <c r="J64">
        <v>0</v>
      </c>
      <c r="K64">
        <v>0</v>
      </c>
      <c r="L64" s="4" t="s">
        <v>120</v>
      </c>
      <c r="M64" s="4" t="str">
        <f t="shared" si="2"/>
        <v>8/30/2024</v>
      </c>
      <c r="N64" s="1">
        <f t="shared" ca="1" si="3"/>
        <v>46064</v>
      </c>
      <c r="O64" s="6" t="e">
        <f t="shared" ca="1" si="4"/>
        <v>#VALUE!</v>
      </c>
      <c r="P64">
        <v>1</v>
      </c>
      <c r="Q64">
        <f t="shared" si="5"/>
        <v>44970</v>
      </c>
      <c r="R64" s="2">
        <f t="shared" si="6"/>
        <v>22485</v>
      </c>
      <c r="S64" s="2" t="str">
        <f t="shared" si="7"/>
        <v xml:space="preserve"> Not Achieved</v>
      </c>
      <c r="T64" s="2" t="str">
        <f t="shared" si="8"/>
        <v>Average</v>
      </c>
      <c r="U64" s="2"/>
    </row>
    <row r="65" spans="1:21" x14ac:dyDescent="0.3">
      <c r="A65">
        <v>64</v>
      </c>
      <c r="B65" t="s">
        <v>121</v>
      </c>
      <c r="C65" t="str">
        <f t="shared" si="0"/>
        <v>EMP_64</v>
      </c>
      <c r="D65" t="s">
        <v>15</v>
      </c>
      <c r="E65" t="str">
        <f t="shared" si="1"/>
        <v>EMP_64Finance</v>
      </c>
      <c r="F65" t="s">
        <v>18</v>
      </c>
      <c r="G65" t="s">
        <v>25</v>
      </c>
      <c r="H65">
        <v>42484</v>
      </c>
      <c r="I65">
        <v>11619</v>
      </c>
      <c r="J65">
        <v>0</v>
      </c>
      <c r="K65">
        <v>0</v>
      </c>
      <c r="L65" s="4" t="s">
        <v>122</v>
      </c>
      <c r="M65" s="4" t="str">
        <f t="shared" si="2"/>
        <v>10/27/2022</v>
      </c>
      <c r="N65" s="1">
        <f t="shared" ca="1" si="3"/>
        <v>46064</v>
      </c>
      <c r="O65" s="6" t="e">
        <f t="shared" ca="1" si="4"/>
        <v>#VALUE!</v>
      </c>
      <c r="P65">
        <v>3</v>
      </c>
      <c r="Q65">
        <f t="shared" si="5"/>
        <v>54103</v>
      </c>
      <c r="R65" s="2">
        <f t="shared" si="6"/>
        <v>27051.5</v>
      </c>
      <c r="S65" s="2" t="str">
        <f t="shared" si="7"/>
        <v xml:space="preserve"> Not Achieved</v>
      </c>
      <c r="T65" s="2" t="str">
        <f t="shared" si="8"/>
        <v>Good</v>
      </c>
      <c r="U65" s="2"/>
    </row>
    <row r="66" spans="1:21" x14ac:dyDescent="0.3">
      <c r="A66">
        <v>65</v>
      </c>
      <c r="B66" t="s">
        <v>123</v>
      </c>
      <c r="C66" t="str">
        <f t="shared" si="0"/>
        <v>EMP_65</v>
      </c>
      <c r="D66" t="s">
        <v>15</v>
      </c>
      <c r="E66" t="str">
        <f t="shared" si="1"/>
        <v>EMP_65Marketing</v>
      </c>
      <c r="F66" t="s">
        <v>24</v>
      </c>
      <c r="G66" t="s">
        <v>13</v>
      </c>
      <c r="H66">
        <v>44484</v>
      </c>
      <c r="I66">
        <v>2087</v>
      </c>
      <c r="J66">
        <v>0</v>
      </c>
      <c r="K66">
        <v>0</v>
      </c>
      <c r="L66" s="4" t="s">
        <v>124</v>
      </c>
      <c r="M66" s="4" t="str">
        <f t="shared" si="2"/>
        <v>4/24/2020</v>
      </c>
      <c r="N66" s="1">
        <f t="shared" ca="1" si="3"/>
        <v>46064</v>
      </c>
      <c r="O66" s="6" t="e">
        <f t="shared" ca="1" si="4"/>
        <v>#VALUE!</v>
      </c>
      <c r="P66">
        <v>2</v>
      </c>
      <c r="Q66">
        <f t="shared" si="5"/>
        <v>46571</v>
      </c>
      <c r="R66" s="2">
        <f t="shared" si="6"/>
        <v>23285.5</v>
      </c>
      <c r="S66" s="2" t="str">
        <f t="shared" si="7"/>
        <v xml:space="preserve"> Not Achieved</v>
      </c>
      <c r="T66" s="2" t="str">
        <f t="shared" si="8"/>
        <v>Good</v>
      </c>
      <c r="U66" s="2"/>
    </row>
    <row r="67" spans="1:21" x14ac:dyDescent="0.3">
      <c r="A67">
        <v>66</v>
      </c>
      <c r="B67" t="s">
        <v>125</v>
      </c>
      <c r="C67" t="str">
        <f t="shared" ref="C67:C130" si="9">UPPER(B67)</f>
        <v>EMP_66</v>
      </c>
      <c r="D67" t="s">
        <v>11</v>
      </c>
      <c r="E67" t="str">
        <f t="shared" ref="E67:E130" si="10">_xlfn.CONCAT(C67,F67)</f>
        <v>EMP_66Marketing</v>
      </c>
      <c r="F67" t="s">
        <v>24</v>
      </c>
      <c r="G67" t="s">
        <v>13</v>
      </c>
      <c r="H67">
        <v>34425</v>
      </c>
      <c r="I67">
        <v>10076</v>
      </c>
      <c r="J67">
        <v>0</v>
      </c>
      <c r="K67">
        <v>0</v>
      </c>
      <c r="L67" s="4">
        <v>44534</v>
      </c>
      <c r="M67" s="4" t="str">
        <f t="shared" ref="M67:M130" si="11">TEXT(L67,"yyyy")</f>
        <v>2021</v>
      </c>
      <c r="N67" s="1">
        <f t="shared" ref="N67:N130" ca="1" si="12">TODAY()</f>
        <v>46064</v>
      </c>
      <c r="O67" s="6">
        <f t="shared" ref="O67:O130" ca="1" si="13">DATEDIF(L67, TODAY(), "y")</f>
        <v>4</v>
      </c>
      <c r="P67">
        <v>2</v>
      </c>
      <c r="Q67">
        <f t="shared" ref="Q67:Q130" si="14">SUM(H67,I67)</f>
        <v>44501</v>
      </c>
      <c r="R67" s="2">
        <f t="shared" ref="R67:R130" si="15">AVERAGE(H67,I67)</f>
        <v>22250.5</v>
      </c>
      <c r="S67" s="2" t="str">
        <f t="shared" ref="S67:S130" si="16">IF(J67&gt;K67,"Achieved"," Not Achieved")</f>
        <v xml:space="preserve"> Not Achieved</v>
      </c>
      <c r="T67" s="2" t="str">
        <f t="shared" ref="T67:T130" si="17">_xlfn.IFS(H67&gt;=50000," Excellent",H67&gt;=40000,"Good",H67&gt;=30000,"Average",H67&lt;30000,"poor")</f>
        <v>Average</v>
      </c>
      <c r="U67" s="2"/>
    </row>
    <row r="68" spans="1:21" x14ac:dyDescent="0.3">
      <c r="A68">
        <v>67</v>
      </c>
      <c r="B68" t="s">
        <v>126</v>
      </c>
      <c r="C68" t="str">
        <f t="shared" si="9"/>
        <v>EMP_67</v>
      </c>
      <c r="D68" t="s">
        <v>15</v>
      </c>
      <c r="E68" t="str">
        <f t="shared" si="10"/>
        <v>EMP_67Marketing</v>
      </c>
      <c r="F68" t="s">
        <v>24</v>
      </c>
      <c r="G68" t="s">
        <v>25</v>
      </c>
      <c r="H68">
        <v>23604</v>
      </c>
      <c r="I68">
        <v>11352</v>
      </c>
      <c r="J68">
        <v>0</v>
      </c>
      <c r="K68">
        <v>0</v>
      </c>
      <c r="L68" s="4" t="s">
        <v>127</v>
      </c>
      <c r="M68" s="4" t="str">
        <f t="shared" si="11"/>
        <v>1/29/2021</v>
      </c>
      <c r="N68" s="1">
        <f t="shared" ca="1" si="12"/>
        <v>46064</v>
      </c>
      <c r="O68" s="6" t="e">
        <f t="shared" ca="1" si="13"/>
        <v>#VALUE!</v>
      </c>
      <c r="P68">
        <v>1</v>
      </c>
      <c r="Q68">
        <f t="shared" si="14"/>
        <v>34956</v>
      </c>
      <c r="R68" s="2">
        <f t="shared" si="15"/>
        <v>17478</v>
      </c>
      <c r="S68" s="2" t="str">
        <f t="shared" si="16"/>
        <v xml:space="preserve"> Not Achieved</v>
      </c>
      <c r="T68" s="2" t="str">
        <f t="shared" si="17"/>
        <v>poor</v>
      </c>
      <c r="U68" s="2"/>
    </row>
    <row r="69" spans="1:21" x14ac:dyDescent="0.3">
      <c r="A69">
        <v>68</v>
      </c>
      <c r="B69" t="s">
        <v>128</v>
      </c>
      <c r="C69" t="str">
        <f t="shared" si="9"/>
        <v>EMP_68</v>
      </c>
      <c r="D69" t="s">
        <v>11</v>
      </c>
      <c r="E69" t="str">
        <f t="shared" si="10"/>
        <v>EMP_68Marketing</v>
      </c>
      <c r="F69" t="s">
        <v>24</v>
      </c>
      <c r="G69" t="s">
        <v>25</v>
      </c>
      <c r="H69">
        <v>71866</v>
      </c>
      <c r="I69">
        <v>2203</v>
      </c>
      <c r="J69">
        <v>0</v>
      </c>
      <c r="K69">
        <v>0</v>
      </c>
      <c r="L69" s="4" t="s">
        <v>129</v>
      </c>
      <c r="M69" s="4" t="str">
        <f t="shared" si="11"/>
        <v>8/19/2023</v>
      </c>
      <c r="N69" s="1">
        <f t="shared" ca="1" si="12"/>
        <v>46064</v>
      </c>
      <c r="O69" s="6" t="e">
        <f t="shared" ca="1" si="13"/>
        <v>#VALUE!</v>
      </c>
      <c r="P69">
        <v>3</v>
      </c>
      <c r="Q69">
        <f t="shared" si="14"/>
        <v>74069</v>
      </c>
      <c r="R69" s="2">
        <f t="shared" si="15"/>
        <v>37034.5</v>
      </c>
      <c r="S69" s="2" t="str">
        <f t="shared" si="16"/>
        <v xml:space="preserve"> Not Achieved</v>
      </c>
      <c r="T69" s="2" t="str">
        <f t="shared" si="17"/>
        <v xml:space="preserve"> Excellent</v>
      </c>
      <c r="U69" s="2"/>
    </row>
    <row r="70" spans="1:21" x14ac:dyDescent="0.3">
      <c r="A70">
        <v>69</v>
      </c>
      <c r="B70" t="s">
        <v>130</v>
      </c>
      <c r="C70" t="str">
        <f t="shared" si="9"/>
        <v>EMP_69</v>
      </c>
      <c r="D70" t="s">
        <v>15</v>
      </c>
      <c r="E70" t="str">
        <f t="shared" si="10"/>
        <v>EMP_69Finance</v>
      </c>
      <c r="F70" t="s">
        <v>18</v>
      </c>
      <c r="G70" t="s">
        <v>19</v>
      </c>
      <c r="H70">
        <v>21930</v>
      </c>
      <c r="I70">
        <v>7323</v>
      </c>
      <c r="J70">
        <v>0</v>
      </c>
      <c r="K70">
        <v>0</v>
      </c>
      <c r="L70" s="4" t="s">
        <v>131</v>
      </c>
      <c r="M70" s="4" t="str">
        <f t="shared" si="11"/>
        <v>1/16/2019</v>
      </c>
      <c r="N70" s="1">
        <f t="shared" ca="1" si="12"/>
        <v>46064</v>
      </c>
      <c r="O70" s="6" t="e">
        <f t="shared" ca="1" si="13"/>
        <v>#VALUE!</v>
      </c>
      <c r="P70">
        <v>5</v>
      </c>
      <c r="Q70">
        <f t="shared" si="14"/>
        <v>29253</v>
      </c>
      <c r="R70" s="2">
        <f t="shared" si="15"/>
        <v>14626.5</v>
      </c>
      <c r="S70" s="2" t="str">
        <f t="shared" si="16"/>
        <v xml:space="preserve"> Not Achieved</v>
      </c>
      <c r="T70" s="2" t="str">
        <f t="shared" si="17"/>
        <v>poor</v>
      </c>
      <c r="U70" s="2"/>
    </row>
    <row r="71" spans="1:21" x14ac:dyDescent="0.3">
      <c r="A71">
        <v>70</v>
      </c>
      <c r="B71" t="s">
        <v>132</v>
      </c>
      <c r="C71" t="str">
        <f t="shared" si="9"/>
        <v>EMP_70</v>
      </c>
      <c r="D71" t="s">
        <v>15</v>
      </c>
      <c r="E71" t="str">
        <f t="shared" si="10"/>
        <v>EMP_70IT</v>
      </c>
      <c r="F71" t="s">
        <v>21</v>
      </c>
      <c r="G71" t="s">
        <v>22</v>
      </c>
      <c r="H71">
        <v>60259</v>
      </c>
      <c r="I71">
        <v>4689</v>
      </c>
      <c r="J71">
        <v>0</v>
      </c>
      <c r="K71">
        <v>0</v>
      </c>
      <c r="L71" s="4" t="s">
        <v>133</v>
      </c>
      <c r="M71" s="4" t="str">
        <f t="shared" si="11"/>
        <v>8/13/2024</v>
      </c>
      <c r="N71" s="1">
        <f t="shared" ca="1" si="12"/>
        <v>46064</v>
      </c>
      <c r="O71" s="6" t="e">
        <f t="shared" ca="1" si="13"/>
        <v>#VALUE!</v>
      </c>
      <c r="P71">
        <v>3</v>
      </c>
      <c r="Q71">
        <f t="shared" si="14"/>
        <v>64948</v>
      </c>
      <c r="R71" s="2">
        <f t="shared" si="15"/>
        <v>32474</v>
      </c>
      <c r="S71" s="2" t="str">
        <f t="shared" si="16"/>
        <v xml:space="preserve"> Not Achieved</v>
      </c>
      <c r="T71" s="2" t="str">
        <f t="shared" si="17"/>
        <v xml:space="preserve"> Excellent</v>
      </c>
      <c r="U71" s="2"/>
    </row>
    <row r="72" spans="1:21" x14ac:dyDescent="0.3">
      <c r="A72">
        <v>71</v>
      </c>
      <c r="B72" t="s">
        <v>134</v>
      </c>
      <c r="C72" t="str">
        <f t="shared" si="9"/>
        <v>EMP_71</v>
      </c>
      <c r="D72" t="s">
        <v>11</v>
      </c>
      <c r="E72" t="str">
        <f t="shared" si="10"/>
        <v>EMP_71HR</v>
      </c>
      <c r="F72" t="s">
        <v>12</v>
      </c>
      <c r="G72" t="s">
        <v>22</v>
      </c>
      <c r="H72">
        <v>49297</v>
      </c>
      <c r="I72">
        <v>14736</v>
      </c>
      <c r="J72">
        <v>0</v>
      </c>
      <c r="K72">
        <v>0</v>
      </c>
      <c r="L72" s="4" t="s">
        <v>135</v>
      </c>
      <c r="M72" s="4" t="str">
        <f t="shared" si="11"/>
        <v>3/15/2020</v>
      </c>
      <c r="N72" s="1">
        <f t="shared" ca="1" si="12"/>
        <v>46064</v>
      </c>
      <c r="O72" s="6" t="e">
        <f t="shared" ca="1" si="13"/>
        <v>#VALUE!</v>
      </c>
      <c r="P72">
        <v>3</v>
      </c>
      <c r="Q72">
        <f t="shared" si="14"/>
        <v>64033</v>
      </c>
      <c r="R72" s="2">
        <f t="shared" si="15"/>
        <v>32016.5</v>
      </c>
      <c r="S72" s="2" t="str">
        <f t="shared" si="16"/>
        <v xml:space="preserve"> Not Achieved</v>
      </c>
      <c r="T72" s="2" t="str">
        <f t="shared" si="17"/>
        <v>Good</v>
      </c>
      <c r="U72" s="2"/>
    </row>
    <row r="73" spans="1:21" x14ac:dyDescent="0.3">
      <c r="A73">
        <v>72</v>
      </c>
      <c r="B73" t="s">
        <v>136</v>
      </c>
      <c r="C73" t="str">
        <f t="shared" si="9"/>
        <v>EMP_72</v>
      </c>
      <c r="D73" t="s">
        <v>15</v>
      </c>
      <c r="E73" t="str">
        <f t="shared" si="10"/>
        <v>EMP_72Finance</v>
      </c>
      <c r="F73" t="s">
        <v>18</v>
      </c>
      <c r="G73" t="s">
        <v>19</v>
      </c>
      <c r="H73">
        <v>22871</v>
      </c>
      <c r="I73">
        <v>11630</v>
      </c>
      <c r="J73">
        <v>0</v>
      </c>
      <c r="K73">
        <v>0</v>
      </c>
      <c r="L73" s="4" t="s">
        <v>137</v>
      </c>
      <c r="M73" s="4" t="str">
        <f t="shared" si="11"/>
        <v>4/20/2020</v>
      </c>
      <c r="N73" s="1">
        <f t="shared" ca="1" si="12"/>
        <v>46064</v>
      </c>
      <c r="O73" s="6" t="e">
        <f t="shared" ca="1" si="13"/>
        <v>#VALUE!</v>
      </c>
      <c r="P73">
        <v>5</v>
      </c>
      <c r="Q73">
        <f t="shared" si="14"/>
        <v>34501</v>
      </c>
      <c r="R73" s="2">
        <f t="shared" si="15"/>
        <v>17250.5</v>
      </c>
      <c r="S73" s="2" t="str">
        <f t="shared" si="16"/>
        <v xml:space="preserve"> Not Achieved</v>
      </c>
      <c r="T73" s="2" t="str">
        <f t="shared" si="17"/>
        <v>poor</v>
      </c>
      <c r="U73" s="2"/>
    </row>
    <row r="74" spans="1:21" x14ac:dyDescent="0.3">
      <c r="A74">
        <v>73</v>
      </c>
      <c r="B74" t="s">
        <v>138</v>
      </c>
      <c r="C74" t="str">
        <f t="shared" si="9"/>
        <v>EMP_73</v>
      </c>
      <c r="D74" t="s">
        <v>11</v>
      </c>
      <c r="E74" t="str">
        <f t="shared" si="10"/>
        <v>EMP_73HR</v>
      </c>
      <c r="F74" t="s">
        <v>12</v>
      </c>
      <c r="G74" t="s">
        <v>22</v>
      </c>
      <c r="H74">
        <v>72473</v>
      </c>
      <c r="I74">
        <v>6162</v>
      </c>
      <c r="J74">
        <v>0</v>
      </c>
      <c r="K74">
        <v>0</v>
      </c>
      <c r="L74" s="4">
        <v>44232</v>
      </c>
      <c r="M74" s="4" t="str">
        <f t="shared" si="11"/>
        <v>2021</v>
      </c>
      <c r="N74" s="1">
        <f t="shared" ca="1" si="12"/>
        <v>46064</v>
      </c>
      <c r="O74" s="6">
        <f t="shared" ca="1" si="13"/>
        <v>5</v>
      </c>
      <c r="P74">
        <v>5</v>
      </c>
      <c r="Q74">
        <f t="shared" si="14"/>
        <v>78635</v>
      </c>
      <c r="R74" s="2">
        <f t="shared" si="15"/>
        <v>39317.5</v>
      </c>
      <c r="S74" s="2" t="str">
        <f t="shared" si="16"/>
        <v xml:space="preserve"> Not Achieved</v>
      </c>
      <c r="T74" s="2" t="str">
        <f t="shared" si="17"/>
        <v xml:space="preserve"> Excellent</v>
      </c>
      <c r="U74" s="2"/>
    </row>
    <row r="75" spans="1:21" x14ac:dyDescent="0.3">
      <c r="A75">
        <v>74</v>
      </c>
      <c r="B75" t="s">
        <v>139</v>
      </c>
      <c r="C75" t="str">
        <f t="shared" si="9"/>
        <v>EMP_74</v>
      </c>
      <c r="D75" t="s">
        <v>11</v>
      </c>
      <c r="E75" t="str">
        <f t="shared" si="10"/>
        <v>EMP_74Marketing</v>
      </c>
      <c r="F75" t="s">
        <v>24</v>
      </c>
      <c r="G75" t="s">
        <v>13</v>
      </c>
      <c r="H75">
        <v>36940</v>
      </c>
      <c r="I75">
        <v>9205</v>
      </c>
      <c r="J75">
        <v>0</v>
      </c>
      <c r="K75">
        <v>0</v>
      </c>
      <c r="L75" s="4" t="s">
        <v>140</v>
      </c>
      <c r="M75" s="4" t="str">
        <f t="shared" si="11"/>
        <v>12/20/2024</v>
      </c>
      <c r="N75" s="1">
        <f t="shared" ca="1" si="12"/>
        <v>46064</v>
      </c>
      <c r="O75" s="6" t="e">
        <f t="shared" ca="1" si="13"/>
        <v>#VALUE!</v>
      </c>
      <c r="P75">
        <v>1</v>
      </c>
      <c r="Q75">
        <f t="shared" si="14"/>
        <v>46145</v>
      </c>
      <c r="R75" s="2">
        <f t="shared" si="15"/>
        <v>23072.5</v>
      </c>
      <c r="S75" s="2" t="str">
        <f t="shared" si="16"/>
        <v xml:space="preserve"> Not Achieved</v>
      </c>
      <c r="T75" s="2" t="str">
        <f t="shared" si="17"/>
        <v>Average</v>
      </c>
      <c r="U75" s="2"/>
    </row>
    <row r="76" spans="1:21" x14ac:dyDescent="0.3">
      <c r="A76">
        <v>75</v>
      </c>
      <c r="B76" t="s">
        <v>141</v>
      </c>
      <c r="C76" t="str">
        <f t="shared" si="9"/>
        <v>EMP_75</v>
      </c>
      <c r="D76" t="s">
        <v>15</v>
      </c>
      <c r="E76" t="str">
        <f t="shared" si="10"/>
        <v>EMP_75HR</v>
      </c>
      <c r="F76" t="s">
        <v>12</v>
      </c>
      <c r="G76" t="s">
        <v>19</v>
      </c>
      <c r="H76">
        <v>32033</v>
      </c>
      <c r="I76">
        <v>13830</v>
      </c>
      <c r="J76">
        <v>0</v>
      </c>
      <c r="K76">
        <v>0</v>
      </c>
      <c r="L76" s="4" t="s">
        <v>142</v>
      </c>
      <c r="M76" s="4" t="str">
        <f t="shared" si="11"/>
        <v>1/18/2020</v>
      </c>
      <c r="N76" s="1">
        <f t="shared" ca="1" si="12"/>
        <v>46064</v>
      </c>
      <c r="O76" s="6" t="e">
        <f t="shared" ca="1" si="13"/>
        <v>#VALUE!</v>
      </c>
      <c r="P76">
        <v>1</v>
      </c>
      <c r="Q76">
        <f t="shared" si="14"/>
        <v>45863</v>
      </c>
      <c r="R76" s="2">
        <f t="shared" si="15"/>
        <v>22931.5</v>
      </c>
      <c r="S76" s="2" t="str">
        <f t="shared" si="16"/>
        <v xml:space="preserve"> Not Achieved</v>
      </c>
      <c r="T76" s="2" t="str">
        <f t="shared" si="17"/>
        <v>Average</v>
      </c>
      <c r="U76" s="2"/>
    </row>
    <row r="77" spans="1:21" x14ac:dyDescent="0.3">
      <c r="A77">
        <v>76</v>
      </c>
      <c r="B77" t="s">
        <v>143</v>
      </c>
      <c r="C77" t="str">
        <f t="shared" si="9"/>
        <v>EMP_76</v>
      </c>
      <c r="D77" t="s">
        <v>11</v>
      </c>
      <c r="E77" t="str">
        <f t="shared" si="10"/>
        <v>EMP_76Finance</v>
      </c>
      <c r="F77" t="s">
        <v>18</v>
      </c>
      <c r="G77" t="s">
        <v>13</v>
      </c>
      <c r="H77">
        <v>47687</v>
      </c>
      <c r="I77">
        <v>14786</v>
      </c>
      <c r="J77">
        <v>0</v>
      </c>
      <c r="K77">
        <v>0</v>
      </c>
      <c r="L77" s="4" t="s">
        <v>144</v>
      </c>
      <c r="M77" s="4" t="str">
        <f t="shared" si="11"/>
        <v>2/17/2021</v>
      </c>
      <c r="N77" s="1">
        <f t="shared" ca="1" si="12"/>
        <v>46064</v>
      </c>
      <c r="O77" s="6" t="e">
        <f t="shared" ca="1" si="13"/>
        <v>#VALUE!</v>
      </c>
      <c r="P77">
        <v>3</v>
      </c>
      <c r="Q77">
        <f t="shared" si="14"/>
        <v>62473</v>
      </c>
      <c r="R77" s="2">
        <f t="shared" si="15"/>
        <v>31236.5</v>
      </c>
      <c r="S77" s="2" t="str">
        <f t="shared" si="16"/>
        <v xml:space="preserve"> Not Achieved</v>
      </c>
      <c r="T77" s="2" t="str">
        <f t="shared" si="17"/>
        <v>Good</v>
      </c>
      <c r="U77" s="2"/>
    </row>
    <row r="78" spans="1:21" x14ac:dyDescent="0.3">
      <c r="A78">
        <v>77</v>
      </c>
      <c r="B78" t="s">
        <v>145</v>
      </c>
      <c r="C78" t="str">
        <f t="shared" si="9"/>
        <v>EMP_77</v>
      </c>
      <c r="D78" t="s">
        <v>15</v>
      </c>
      <c r="E78" t="str">
        <f t="shared" si="10"/>
        <v>EMP_77Finance</v>
      </c>
      <c r="F78" t="s">
        <v>18</v>
      </c>
      <c r="G78" t="s">
        <v>22</v>
      </c>
      <c r="H78">
        <v>74652</v>
      </c>
      <c r="I78">
        <v>3423</v>
      </c>
      <c r="J78">
        <v>0</v>
      </c>
      <c r="K78">
        <v>0</v>
      </c>
      <c r="L78" s="4" t="s">
        <v>146</v>
      </c>
      <c r="M78" s="4" t="str">
        <f t="shared" si="11"/>
        <v>11/20/2018</v>
      </c>
      <c r="N78" s="1">
        <f t="shared" ca="1" si="12"/>
        <v>46064</v>
      </c>
      <c r="O78" s="6" t="e">
        <f t="shared" ca="1" si="13"/>
        <v>#VALUE!</v>
      </c>
      <c r="P78">
        <v>4</v>
      </c>
      <c r="Q78">
        <f t="shared" si="14"/>
        <v>78075</v>
      </c>
      <c r="R78" s="2">
        <f t="shared" si="15"/>
        <v>39037.5</v>
      </c>
      <c r="S78" s="2" t="str">
        <f t="shared" si="16"/>
        <v xml:space="preserve"> Not Achieved</v>
      </c>
      <c r="T78" s="2" t="str">
        <f t="shared" si="17"/>
        <v xml:space="preserve"> Excellent</v>
      </c>
      <c r="U78" s="2"/>
    </row>
    <row r="79" spans="1:21" x14ac:dyDescent="0.3">
      <c r="A79">
        <v>78</v>
      </c>
      <c r="B79" t="s">
        <v>147</v>
      </c>
      <c r="C79" t="str">
        <f t="shared" si="9"/>
        <v>EMP_78</v>
      </c>
      <c r="D79" t="s">
        <v>11</v>
      </c>
      <c r="E79" t="str">
        <f t="shared" si="10"/>
        <v>EMP_78HR</v>
      </c>
      <c r="F79" t="s">
        <v>12</v>
      </c>
      <c r="G79" t="s">
        <v>22</v>
      </c>
      <c r="H79">
        <v>78573</v>
      </c>
      <c r="I79">
        <v>12136</v>
      </c>
      <c r="J79">
        <v>0</v>
      </c>
      <c r="K79">
        <v>0</v>
      </c>
      <c r="L79" s="4">
        <v>45357</v>
      </c>
      <c r="M79" s="4" t="str">
        <f t="shared" si="11"/>
        <v>2024</v>
      </c>
      <c r="N79" s="1">
        <f t="shared" ca="1" si="12"/>
        <v>46064</v>
      </c>
      <c r="O79" s="6">
        <f t="shared" ca="1" si="13"/>
        <v>1</v>
      </c>
      <c r="P79">
        <v>5</v>
      </c>
      <c r="Q79">
        <f t="shared" si="14"/>
        <v>90709</v>
      </c>
      <c r="R79" s="2">
        <f t="shared" si="15"/>
        <v>45354.5</v>
      </c>
      <c r="S79" s="2" t="str">
        <f t="shared" si="16"/>
        <v xml:space="preserve"> Not Achieved</v>
      </c>
      <c r="T79" s="2" t="str">
        <f t="shared" si="17"/>
        <v xml:space="preserve"> Excellent</v>
      </c>
      <c r="U79" s="2"/>
    </row>
    <row r="80" spans="1:21" x14ac:dyDescent="0.3">
      <c r="A80">
        <v>79</v>
      </c>
      <c r="B80" t="s">
        <v>148</v>
      </c>
      <c r="C80" t="str">
        <f t="shared" si="9"/>
        <v>EMP_79</v>
      </c>
      <c r="D80" t="s">
        <v>11</v>
      </c>
      <c r="E80" t="str">
        <f t="shared" si="10"/>
        <v>EMP_79HR</v>
      </c>
      <c r="F80" t="s">
        <v>12</v>
      </c>
      <c r="G80" t="s">
        <v>13</v>
      </c>
      <c r="H80">
        <v>68759</v>
      </c>
      <c r="I80">
        <v>13350</v>
      </c>
      <c r="J80">
        <v>0</v>
      </c>
      <c r="K80">
        <v>0</v>
      </c>
      <c r="L80" s="4" t="s">
        <v>149</v>
      </c>
      <c r="M80" s="4" t="str">
        <f t="shared" si="11"/>
        <v>5/24/2021</v>
      </c>
      <c r="N80" s="1">
        <f t="shared" ca="1" si="12"/>
        <v>46064</v>
      </c>
      <c r="O80" s="6" t="e">
        <f t="shared" ca="1" si="13"/>
        <v>#VALUE!</v>
      </c>
      <c r="P80">
        <v>2</v>
      </c>
      <c r="Q80">
        <f t="shared" si="14"/>
        <v>82109</v>
      </c>
      <c r="R80" s="2">
        <f t="shared" si="15"/>
        <v>41054.5</v>
      </c>
      <c r="S80" s="2" t="str">
        <f t="shared" si="16"/>
        <v xml:space="preserve"> Not Achieved</v>
      </c>
      <c r="T80" s="2" t="str">
        <f t="shared" si="17"/>
        <v xml:space="preserve"> Excellent</v>
      </c>
      <c r="U80" s="2"/>
    </row>
    <row r="81" spans="1:21" x14ac:dyDescent="0.3">
      <c r="A81">
        <v>80</v>
      </c>
      <c r="B81" t="s">
        <v>150</v>
      </c>
      <c r="C81" t="str">
        <f t="shared" si="9"/>
        <v>EMP_80</v>
      </c>
      <c r="D81" t="s">
        <v>15</v>
      </c>
      <c r="E81" t="str">
        <f t="shared" si="10"/>
        <v>EMP_80Marketing</v>
      </c>
      <c r="F81" t="s">
        <v>24</v>
      </c>
      <c r="G81" t="s">
        <v>25</v>
      </c>
      <c r="H81">
        <v>31410</v>
      </c>
      <c r="I81">
        <v>8847</v>
      </c>
      <c r="J81">
        <v>0</v>
      </c>
      <c r="K81">
        <v>0</v>
      </c>
      <c r="L81" s="4" t="s">
        <v>151</v>
      </c>
      <c r="M81" s="4" t="str">
        <f t="shared" si="11"/>
        <v>10/20/2023</v>
      </c>
      <c r="N81" s="1">
        <f t="shared" ca="1" si="12"/>
        <v>46064</v>
      </c>
      <c r="O81" s="6" t="e">
        <f t="shared" ca="1" si="13"/>
        <v>#VALUE!</v>
      </c>
      <c r="P81">
        <v>4</v>
      </c>
      <c r="Q81">
        <f t="shared" si="14"/>
        <v>40257</v>
      </c>
      <c r="R81" s="2">
        <f t="shared" si="15"/>
        <v>20128.5</v>
      </c>
      <c r="S81" s="2" t="str">
        <f t="shared" si="16"/>
        <v xml:space="preserve"> Not Achieved</v>
      </c>
      <c r="T81" s="2" t="str">
        <f t="shared" si="17"/>
        <v>Average</v>
      </c>
      <c r="U81" s="2"/>
    </row>
    <row r="82" spans="1:21" x14ac:dyDescent="0.3">
      <c r="A82">
        <v>81</v>
      </c>
      <c r="B82" t="s">
        <v>152</v>
      </c>
      <c r="C82" t="str">
        <f t="shared" si="9"/>
        <v>EMP_81</v>
      </c>
      <c r="D82" t="s">
        <v>15</v>
      </c>
      <c r="E82" t="str">
        <f t="shared" si="10"/>
        <v>EMP_81Marketing</v>
      </c>
      <c r="F82" t="s">
        <v>24</v>
      </c>
      <c r="G82" t="s">
        <v>25</v>
      </c>
      <c r="H82">
        <v>31748</v>
      </c>
      <c r="I82">
        <v>5839</v>
      </c>
      <c r="J82">
        <v>0</v>
      </c>
      <c r="K82">
        <v>0</v>
      </c>
      <c r="L82" s="4">
        <v>43101</v>
      </c>
      <c r="M82" s="4" t="str">
        <f t="shared" si="11"/>
        <v>2018</v>
      </c>
      <c r="N82" s="1">
        <f t="shared" ca="1" si="12"/>
        <v>46064</v>
      </c>
      <c r="O82" s="6">
        <f t="shared" ca="1" si="13"/>
        <v>8</v>
      </c>
      <c r="P82">
        <v>3</v>
      </c>
      <c r="Q82">
        <f t="shared" si="14"/>
        <v>37587</v>
      </c>
      <c r="R82" s="2">
        <f t="shared" si="15"/>
        <v>18793.5</v>
      </c>
      <c r="S82" s="2" t="str">
        <f t="shared" si="16"/>
        <v xml:space="preserve"> Not Achieved</v>
      </c>
      <c r="T82" s="2" t="str">
        <f t="shared" si="17"/>
        <v>Average</v>
      </c>
      <c r="U82" s="2"/>
    </row>
    <row r="83" spans="1:21" x14ac:dyDescent="0.3">
      <c r="A83">
        <v>82</v>
      </c>
      <c r="B83" t="s">
        <v>153</v>
      </c>
      <c r="C83" t="str">
        <f t="shared" si="9"/>
        <v>EMP_82</v>
      </c>
      <c r="D83" t="s">
        <v>11</v>
      </c>
      <c r="E83" t="str">
        <f t="shared" si="10"/>
        <v>EMP_82Marketing</v>
      </c>
      <c r="F83" t="s">
        <v>24</v>
      </c>
      <c r="G83" t="s">
        <v>16</v>
      </c>
      <c r="H83">
        <v>37913</v>
      </c>
      <c r="I83">
        <v>11683</v>
      </c>
      <c r="J83">
        <v>0</v>
      </c>
      <c r="K83">
        <v>0</v>
      </c>
      <c r="L83" s="4">
        <v>43563</v>
      </c>
      <c r="M83" s="4" t="str">
        <f t="shared" si="11"/>
        <v>2019</v>
      </c>
      <c r="N83" s="1">
        <f t="shared" ca="1" si="12"/>
        <v>46064</v>
      </c>
      <c r="O83" s="6">
        <f t="shared" ca="1" si="13"/>
        <v>6</v>
      </c>
      <c r="P83">
        <v>1</v>
      </c>
      <c r="Q83">
        <f t="shared" si="14"/>
        <v>49596</v>
      </c>
      <c r="R83" s="2">
        <f t="shared" si="15"/>
        <v>24798</v>
      </c>
      <c r="S83" s="2" t="str">
        <f t="shared" si="16"/>
        <v xml:space="preserve"> Not Achieved</v>
      </c>
      <c r="T83" s="2" t="str">
        <f t="shared" si="17"/>
        <v>Average</v>
      </c>
      <c r="U83" s="2"/>
    </row>
    <row r="84" spans="1:21" x14ac:dyDescent="0.3">
      <c r="A84">
        <v>83</v>
      </c>
      <c r="B84" t="s">
        <v>154</v>
      </c>
      <c r="C84" t="str">
        <f t="shared" si="9"/>
        <v>EMP_83</v>
      </c>
      <c r="D84" t="s">
        <v>15</v>
      </c>
      <c r="E84" t="str">
        <f t="shared" si="10"/>
        <v>EMP_83HR</v>
      </c>
      <c r="F84" t="s">
        <v>12</v>
      </c>
      <c r="G84" t="s">
        <v>22</v>
      </c>
      <c r="H84">
        <v>40861</v>
      </c>
      <c r="I84">
        <v>8905</v>
      </c>
      <c r="J84">
        <v>0</v>
      </c>
      <c r="K84">
        <v>0</v>
      </c>
      <c r="L84" s="4" t="s">
        <v>155</v>
      </c>
      <c r="M84" s="4" t="str">
        <f t="shared" si="11"/>
        <v>7/28/2018</v>
      </c>
      <c r="N84" s="1">
        <f t="shared" ca="1" si="12"/>
        <v>46064</v>
      </c>
      <c r="O84" s="6" t="e">
        <f t="shared" ca="1" si="13"/>
        <v>#VALUE!</v>
      </c>
      <c r="P84">
        <v>1</v>
      </c>
      <c r="Q84">
        <f t="shared" si="14"/>
        <v>49766</v>
      </c>
      <c r="R84" s="2">
        <f t="shared" si="15"/>
        <v>24883</v>
      </c>
      <c r="S84" s="2" t="str">
        <f t="shared" si="16"/>
        <v xml:space="preserve"> Not Achieved</v>
      </c>
      <c r="T84" s="2" t="str">
        <f t="shared" si="17"/>
        <v>Good</v>
      </c>
      <c r="U84" s="2"/>
    </row>
    <row r="85" spans="1:21" x14ac:dyDescent="0.3">
      <c r="A85">
        <v>84</v>
      </c>
      <c r="B85" t="s">
        <v>156</v>
      </c>
      <c r="C85" t="str">
        <f t="shared" si="9"/>
        <v>EMP_84</v>
      </c>
      <c r="D85" t="s">
        <v>11</v>
      </c>
      <c r="E85" t="str">
        <f t="shared" si="10"/>
        <v>EMP_84IT</v>
      </c>
      <c r="F85" t="s">
        <v>21</v>
      </c>
      <c r="G85" t="s">
        <v>25</v>
      </c>
      <c r="H85">
        <v>28198</v>
      </c>
      <c r="I85">
        <v>6548</v>
      </c>
      <c r="J85">
        <v>0</v>
      </c>
      <c r="K85">
        <v>0</v>
      </c>
      <c r="L85" s="4">
        <v>43684</v>
      </c>
      <c r="M85" s="4" t="str">
        <f t="shared" si="11"/>
        <v>2019</v>
      </c>
      <c r="N85" s="1">
        <f t="shared" ca="1" si="12"/>
        <v>46064</v>
      </c>
      <c r="O85" s="6">
        <f t="shared" ca="1" si="13"/>
        <v>6</v>
      </c>
      <c r="P85">
        <v>2</v>
      </c>
      <c r="Q85">
        <f t="shared" si="14"/>
        <v>34746</v>
      </c>
      <c r="R85" s="2">
        <f t="shared" si="15"/>
        <v>17373</v>
      </c>
      <c r="S85" s="2" t="str">
        <f t="shared" si="16"/>
        <v xml:space="preserve"> Not Achieved</v>
      </c>
      <c r="T85" s="2" t="str">
        <f t="shared" si="17"/>
        <v>poor</v>
      </c>
      <c r="U85" s="2"/>
    </row>
    <row r="86" spans="1:21" x14ac:dyDescent="0.3">
      <c r="A86">
        <v>85</v>
      </c>
      <c r="B86" t="s">
        <v>157</v>
      </c>
      <c r="C86" t="str">
        <f t="shared" si="9"/>
        <v>EMP_85</v>
      </c>
      <c r="D86" t="s">
        <v>11</v>
      </c>
      <c r="E86" t="str">
        <f t="shared" si="10"/>
        <v>EMP_85Finance</v>
      </c>
      <c r="F86" t="s">
        <v>18</v>
      </c>
      <c r="G86" t="s">
        <v>22</v>
      </c>
      <c r="H86">
        <v>38623</v>
      </c>
      <c r="I86">
        <v>13104</v>
      </c>
      <c r="J86">
        <v>0</v>
      </c>
      <c r="K86">
        <v>0</v>
      </c>
      <c r="L86" s="4">
        <v>43565</v>
      </c>
      <c r="M86" s="4" t="str">
        <f t="shared" si="11"/>
        <v>2019</v>
      </c>
      <c r="N86" s="1">
        <f t="shared" ca="1" si="12"/>
        <v>46064</v>
      </c>
      <c r="O86" s="6">
        <f t="shared" ca="1" si="13"/>
        <v>6</v>
      </c>
      <c r="P86">
        <v>5</v>
      </c>
      <c r="Q86">
        <f t="shared" si="14"/>
        <v>51727</v>
      </c>
      <c r="R86" s="2">
        <f t="shared" si="15"/>
        <v>25863.5</v>
      </c>
      <c r="S86" s="2" t="str">
        <f t="shared" si="16"/>
        <v xml:space="preserve"> Not Achieved</v>
      </c>
      <c r="T86" s="2" t="str">
        <f t="shared" si="17"/>
        <v>Average</v>
      </c>
      <c r="U86" s="2"/>
    </row>
    <row r="87" spans="1:21" x14ac:dyDescent="0.3">
      <c r="A87">
        <v>86</v>
      </c>
      <c r="B87" t="s">
        <v>158</v>
      </c>
      <c r="C87" t="str">
        <f t="shared" si="9"/>
        <v>EMP_86</v>
      </c>
      <c r="D87" t="s">
        <v>11</v>
      </c>
      <c r="E87" t="str">
        <f t="shared" si="10"/>
        <v>EMP_86HR</v>
      </c>
      <c r="F87" t="s">
        <v>12</v>
      </c>
      <c r="G87" t="s">
        <v>19</v>
      </c>
      <c r="H87">
        <v>69723</v>
      </c>
      <c r="I87">
        <v>6531</v>
      </c>
      <c r="J87">
        <v>0</v>
      </c>
      <c r="K87">
        <v>0</v>
      </c>
      <c r="L87" s="4">
        <v>43781</v>
      </c>
      <c r="M87" s="4" t="str">
        <f t="shared" si="11"/>
        <v>2019</v>
      </c>
      <c r="N87" s="1">
        <f t="shared" ca="1" si="12"/>
        <v>46064</v>
      </c>
      <c r="O87" s="6">
        <f t="shared" ca="1" si="13"/>
        <v>6</v>
      </c>
      <c r="P87">
        <v>3</v>
      </c>
      <c r="Q87">
        <f t="shared" si="14"/>
        <v>76254</v>
      </c>
      <c r="R87" s="2">
        <f t="shared" si="15"/>
        <v>38127</v>
      </c>
      <c r="S87" s="2" t="str">
        <f t="shared" si="16"/>
        <v xml:space="preserve"> Not Achieved</v>
      </c>
      <c r="T87" s="2" t="str">
        <f t="shared" si="17"/>
        <v xml:space="preserve"> Excellent</v>
      </c>
      <c r="U87" s="2"/>
    </row>
    <row r="88" spans="1:21" x14ac:dyDescent="0.3">
      <c r="A88">
        <v>87</v>
      </c>
      <c r="B88" t="s">
        <v>159</v>
      </c>
      <c r="C88" t="str">
        <f t="shared" si="9"/>
        <v>EMP_87</v>
      </c>
      <c r="D88" t="s">
        <v>11</v>
      </c>
      <c r="E88" t="str">
        <f t="shared" si="10"/>
        <v>EMP_87HR</v>
      </c>
      <c r="F88" t="s">
        <v>12</v>
      </c>
      <c r="G88" t="s">
        <v>25</v>
      </c>
      <c r="H88">
        <v>46344</v>
      </c>
      <c r="I88">
        <v>10180</v>
      </c>
      <c r="J88">
        <v>0</v>
      </c>
      <c r="K88">
        <v>0</v>
      </c>
      <c r="L88" s="4">
        <v>43198</v>
      </c>
      <c r="M88" s="4" t="str">
        <f t="shared" si="11"/>
        <v>2018</v>
      </c>
      <c r="N88" s="1">
        <f t="shared" ca="1" si="12"/>
        <v>46064</v>
      </c>
      <c r="O88" s="6">
        <f t="shared" ca="1" si="13"/>
        <v>7</v>
      </c>
      <c r="P88">
        <v>1</v>
      </c>
      <c r="Q88">
        <f t="shared" si="14"/>
        <v>56524</v>
      </c>
      <c r="R88" s="2">
        <f t="shared" si="15"/>
        <v>28262</v>
      </c>
      <c r="S88" s="2" t="str">
        <f t="shared" si="16"/>
        <v xml:space="preserve"> Not Achieved</v>
      </c>
      <c r="T88" s="2" t="str">
        <f t="shared" si="17"/>
        <v>Good</v>
      </c>
      <c r="U88" s="2"/>
    </row>
    <row r="89" spans="1:21" x14ac:dyDescent="0.3">
      <c r="A89">
        <v>88</v>
      </c>
      <c r="B89" t="s">
        <v>160</v>
      </c>
      <c r="C89" t="str">
        <f t="shared" si="9"/>
        <v>EMP_88</v>
      </c>
      <c r="D89" t="s">
        <v>15</v>
      </c>
      <c r="E89" t="str">
        <f t="shared" si="10"/>
        <v>EMP_88Sales</v>
      </c>
      <c r="F89" t="s">
        <v>7</v>
      </c>
      <c r="G89" t="s">
        <v>16</v>
      </c>
      <c r="H89">
        <v>40414</v>
      </c>
      <c r="I89">
        <v>11403</v>
      </c>
      <c r="J89">
        <v>154637</v>
      </c>
      <c r="K89">
        <v>110150</v>
      </c>
      <c r="L89" s="4" t="s">
        <v>161</v>
      </c>
      <c r="M89" s="4" t="str">
        <f t="shared" si="11"/>
        <v>8/17/2021</v>
      </c>
      <c r="N89" s="1">
        <f t="shared" ca="1" si="12"/>
        <v>46064</v>
      </c>
      <c r="O89" s="6" t="e">
        <f t="shared" ca="1" si="13"/>
        <v>#VALUE!</v>
      </c>
      <c r="P89">
        <v>4</v>
      </c>
      <c r="Q89">
        <f t="shared" si="14"/>
        <v>51817</v>
      </c>
      <c r="R89" s="2">
        <f t="shared" si="15"/>
        <v>25908.5</v>
      </c>
      <c r="S89" s="2" t="str">
        <f t="shared" si="16"/>
        <v>Achieved</v>
      </c>
      <c r="T89" s="2" t="str">
        <f t="shared" si="17"/>
        <v>Good</v>
      </c>
      <c r="U89" s="2"/>
    </row>
    <row r="90" spans="1:21" x14ac:dyDescent="0.3">
      <c r="A90">
        <v>89</v>
      </c>
      <c r="B90" t="s">
        <v>162</v>
      </c>
      <c r="C90" t="str">
        <f t="shared" si="9"/>
        <v>EMP_89</v>
      </c>
      <c r="D90" t="s">
        <v>11</v>
      </c>
      <c r="E90" t="str">
        <f t="shared" si="10"/>
        <v>EMP_89Marketing</v>
      </c>
      <c r="F90" t="s">
        <v>24</v>
      </c>
      <c r="G90" t="s">
        <v>19</v>
      </c>
      <c r="H90">
        <v>68939</v>
      </c>
      <c r="I90">
        <v>5168</v>
      </c>
      <c r="J90">
        <v>0</v>
      </c>
      <c r="K90">
        <v>0</v>
      </c>
      <c r="L90" s="4" t="s">
        <v>163</v>
      </c>
      <c r="M90" s="4" t="str">
        <f t="shared" si="11"/>
        <v>12/18/2023</v>
      </c>
      <c r="N90" s="1">
        <f t="shared" ca="1" si="12"/>
        <v>46064</v>
      </c>
      <c r="O90" s="6" t="e">
        <f t="shared" ca="1" si="13"/>
        <v>#VALUE!</v>
      </c>
      <c r="P90">
        <v>4</v>
      </c>
      <c r="Q90">
        <f t="shared" si="14"/>
        <v>74107</v>
      </c>
      <c r="R90" s="2">
        <f t="shared" si="15"/>
        <v>37053.5</v>
      </c>
      <c r="S90" s="2" t="str">
        <f t="shared" si="16"/>
        <v xml:space="preserve"> Not Achieved</v>
      </c>
      <c r="T90" s="2" t="str">
        <f t="shared" si="17"/>
        <v xml:space="preserve"> Excellent</v>
      </c>
      <c r="U90" s="2"/>
    </row>
    <row r="91" spans="1:21" x14ac:dyDescent="0.3">
      <c r="A91">
        <v>90</v>
      </c>
      <c r="B91" t="s">
        <v>164</v>
      </c>
      <c r="C91" t="str">
        <f t="shared" si="9"/>
        <v>EMP_90</v>
      </c>
      <c r="D91" t="s">
        <v>11</v>
      </c>
      <c r="E91" t="str">
        <f t="shared" si="10"/>
        <v>EMP_90HR</v>
      </c>
      <c r="F91" t="s">
        <v>12</v>
      </c>
      <c r="G91" t="s">
        <v>25</v>
      </c>
      <c r="H91">
        <v>67264</v>
      </c>
      <c r="I91">
        <v>5835</v>
      </c>
      <c r="J91">
        <v>0</v>
      </c>
      <c r="K91">
        <v>0</v>
      </c>
      <c r="L91" s="4" t="s">
        <v>165</v>
      </c>
      <c r="M91" s="4" t="str">
        <f t="shared" si="11"/>
        <v>11/29/2022</v>
      </c>
      <c r="N91" s="1">
        <f t="shared" ca="1" si="12"/>
        <v>46064</v>
      </c>
      <c r="O91" s="6" t="e">
        <f t="shared" ca="1" si="13"/>
        <v>#VALUE!</v>
      </c>
      <c r="P91">
        <v>3</v>
      </c>
      <c r="Q91">
        <f t="shared" si="14"/>
        <v>73099</v>
      </c>
      <c r="R91" s="2">
        <f t="shared" si="15"/>
        <v>36549.5</v>
      </c>
      <c r="S91" s="2" t="str">
        <f t="shared" si="16"/>
        <v xml:space="preserve"> Not Achieved</v>
      </c>
      <c r="T91" s="2" t="str">
        <f t="shared" si="17"/>
        <v xml:space="preserve"> Excellent</v>
      </c>
      <c r="U91" s="2"/>
    </row>
    <row r="92" spans="1:21" x14ac:dyDescent="0.3">
      <c r="A92">
        <v>91</v>
      </c>
      <c r="B92" t="s">
        <v>166</v>
      </c>
      <c r="C92" t="str">
        <f t="shared" si="9"/>
        <v>EMP_91</v>
      </c>
      <c r="D92" t="s">
        <v>11</v>
      </c>
      <c r="E92" t="str">
        <f t="shared" si="10"/>
        <v>EMP_91Marketing</v>
      </c>
      <c r="F92" t="s">
        <v>24</v>
      </c>
      <c r="G92" t="s">
        <v>22</v>
      </c>
      <c r="H92">
        <v>28416</v>
      </c>
      <c r="I92">
        <v>13827</v>
      </c>
      <c r="J92">
        <v>0</v>
      </c>
      <c r="K92">
        <v>0</v>
      </c>
      <c r="L92" s="4" t="s">
        <v>167</v>
      </c>
      <c r="M92" s="4" t="str">
        <f t="shared" si="11"/>
        <v>4/20/2023</v>
      </c>
      <c r="N92" s="1">
        <f t="shared" ca="1" si="12"/>
        <v>46064</v>
      </c>
      <c r="O92" s="6" t="e">
        <f t="shared" ca="1" si="13"/>
        <v>#VALUE!</v>
      </c>
      <c r="P92">
        <v>5</v>
      </c>
      <c r="Q92">
        <f t="shared" si="14"/>
        <v>42243</v>
      </c>
      <c r="R92" s="2">
        <f t="shared" si="15"/>
        <v>21121.5</v>
      </c>
      <c r="S92" s="2" t="str">
        <f t="shared" si="16"/>
        <v xml:space="preserve"> Not Achieved</v>
      </c>
      <c r="T92" s="2" t="str">
        <f t="shared" si="17"/>
        <v>poor</v>
      </c>
      <c r="U92" s="2"/>
    </row>
    <row r="93" spans="1:21" x14ac:dyDescent="0.3">
      <c r="A93">
        <v>92</v>
      </c>
      <c r="B93" t="s">
        <v>168</v>
      </c>
      <c r="C93" t="str">
        <f t="shared" si="9"/>
        <v>EMP_92</v>
      </c>
      <c r="D93" t="s">
        <v>11</v>
      </c>
      <c r="E93" t="str">
        <f t="shared" si="10"/>
        <v>EMP_92Finance</v>
      </c>
      <c r="F93" t="s">
        <v>18</v>
      </c>
      <c r="G93" t="s">
        <v>13</v>
      </c>
      <c r="H93">
        <v>44501</v>
      </c>
      <c r="I93">
        <v>8528</v>
      </c>
      <c r="J93">
        <v>0</v>
      </c>
      <c r="K93">
        <v>0</v>
      </c>
      <c r="L93" s="4" t="s">
        <v>169</v>
      </c>
      <c r="M93" s="4" t="str">
        <f t="shared" si="11"/>
        <v>3/14/2022</v>
      </c>
      <c r="N93" s="1">
        <f t="shared" ca="1" si="12"/>
        <v>46064</v>
      </c>
      <c r="O93" s="6" t="e">
        <f t="shared" ca="1" si="13"/>
        <v>#VALUE!</v>
      </c>
      <c r="P93">
        <v>3</v>
      </c>
      <c r="Q93">
        <f t="shared" si="14"/>
        <v>53029</v>
      </c>
      <c r="R93" s="2">
        <f t="shared" si="15"/>
        <v>26514.5</v>
      </c>
      <c r="S93" s="2" t="str">
        <f t="shared" si="16"/>
        <v xml:space="preserve"> Not Achieved</v>
      </c>
      <c r="T93" s="2" t="str">
        <f t="shared" si="17"/>
        <v>Good</v>
      </c>
      <c r="U93" s="2"/>
    </row>
    <row r="94" spans="1:21" x14ac:dyDescent="0.3">
      <c r="A94">
        <v>93</v>
      </c>
      <c r="B94" t="s">
        <v>170</v>
      </c>
      <c r="C94" t="str">
        <f t="shared" si="9"/>
        <v>EMP_93</v>
      </c>
      <c r="D94" t="s">
        <v>11</v>
      </c>
      <c r="E94" t="str">
        <f t="shared" si="10"/>
        <v>EMP_93Marketing</v>
      </c>
      <c r="F94" t="s">
        <v>24</v>
      </c>
      <c r="G94" t="s">
        <v>16</v>
      </c>
      <c r="H94">
        <v>48437</v>
      </c>
      <c r="I94">
        <v>5913</v>
      </c>
      <c r="J94">
        <v>0</v>
      </c>
      <c r="K94">
        <v>0</v>
      </c>
      <c r="L94" s="4" t="s">
        <v>171</v>
      </c>
      <c r="M94" s="4" t="str">
        <f t="shared" si="11"/>
        <v>9/30/2023</v>
      </c>
      <c r="N94" s="1">
        <f t="shared" ca="1" si="12"/>
        <v>46064</v>
      </c>
      <c r="O94" s="6" t="e">
        <f t="shared" ca="1" si="13"/>
        <v>#VALUE!</v>
      </c>
      <c r="P94">
        <v>4</v>
      </c>
      <c r="Q94">
        <f t="shared" si="14"/>
        <v>54350</v>
      </c>
      <c r="R94" s="2">
        <f t="shared" si="15"/>
        <v>27175</v>
      </c>
      <c r="S94" s="2" t="str">
        <f t="shared" si="16"/>
        <v xml:space="preserve"> Not Achieved</v>
      </c>
      <c r="T94" s="2" t="str">
        <f t="shared" si="17"/>
        <v>Good</v>
      </c>
      <c r="U94" s="2"/>
    </row>
    <row r="95" spans="1:21" x14ac:dyDescent="0.3">
      <c r="A95">
        <v>94</v>
      </c>
      <c r="B95" t="s">
        <v>172</v>
      </c>
      <c r="C95" t="str">
        <f t="shared" si="9"/>
        <v>EMP_94</v>
      </c>
      <c r="D95" t="s">
        <v>15</v>
      </c>
      <c r="E95" t="str">
        <f t="shared" si="10"/>
        <v>EMP_94IT</v>
      </c>
      <c r="F95" t="s">
        <v>21</v>
      </c>
      <c r="G95" t="s">
        <v>16</v>
      </c>
      <c r="H95">
        <v>47089</v>
      </c>
      <c r="I95">
        <v>14590</v>
      </c>
      <c r="J95">
        <v>0</v>
      </c>
      <c r="K95">
        <v>0</v>
      </c>
      <c r="L95" s="4">
        <v>43955</v>
      </c>
      <c r="M95" s="4" t="str">
        <f t="shared" si="11"/>
        <v>2020</v>
      </c>
      <c r="N95" s="1">
        <f t="shared" ca="1" si="12"/>
        <v>46064</v>
      </c>
      <c r="O95" s="6">
        <f t="shared" ca="1" si="13"/>
        <v>5</v>
      </c>
      <c r="P95">
        <v>1</v>
      </c>
      <c r="Q95">
        <f t="shared" si="14"/>
        <v>61679</v>
      </c>
      <c r="R95" s="2">
        <f t="shared" si="15"/>
        <v>30839.5</v>
      </c>
      <c r="S95" s="2" t="str">
        <f t="shared" si="16"/>
        <v xml:space="preserve"> Not Achieved</v>
      </c>
      <c r="T95" s="2" t="str">
        <f t="shared" si="17"/>
        <v>Good</v>
      </c>
      <c r="U95" s="2"/>
    </row>
    <row r="96" spans="1:21" x14ac:dyDescent="0.3">
      <c r="A96">
        <v>95</v>
      </c>
      <c r="B96" t="s">
        <v>173</v>
      </c>
      <c r="C96" t="str">
        <f t="shared" si="9"/>
        <v>EMP_95</v>
      </c>
      <c r="D96" t="s">
        <v>15</v>
      </c>
      <c r="E96" t="str">
        <f t="shared" si="10"/>
        <v>EMP_95HR</v>
      </c>
      <c r="F96" t="s">
        <v>12</v>
      </c>
      <c r="G96" t="s">
        <v>19</v>
      </c>
      <c r="H96">
        <v>27504</v>
      </c>
      <c r="I96">
        <v>8776</v>
      </c>
      <c r="J96">
        <v>0</v>
      </c>
      <c r="K96">
        <v>0</v>
      </c>
      <c r="L96" s="4" t="s">
        <v>174</v>
      </c>
      <c r="M96" s="4" t="str">
        <f t="shared" si="11"/>
        <v>9/14/2022</v>
      </c>
      <c r="N96" s="1">
        <f t="shared" ca="1" si="12"/>
        <v>46064</v>
      </c>
      <c r="O96" s="6" t="e">
        <f t="shared" ca="1" si="13"/>
        <v>#VALUE!</v>
      </c>
      <c r="P96">
        <v>3</v>
      </c>
      <c r="Q96">
        <f t="shared" si="14"/>
        <v>36280</v>
      </c>
      <c r="R96" s="2">
        <f t="shared" si="15"/>
        <v>18140</v>
      </c>
      <c r="S96" s="2" t="str">
        <f t="shared" si="16"/>
        <v xml:space="preserve"> Not Achieved</v>
      </c>
      <c r="T96" s="2" t="str">
        <f t="shared" si="17"/>
        <v>poor</v>
      </c>
      <c r="U96" s="2"/>
    </row>
    <row r="97" spans="1:21" x14ac:dyDescent="0.3">
      <c r="A97">
        <v>96</v>
      </c>
      <c r="B97" t="s">
        <v>175</v>
      </c>
      <c r="C97" t="str">
        <f t="shared" si="9"/>
        <v>EMP_96</v>
      </c>
      <c r="D97" t="s">
        <v>15</v>
      </c>
      <c r="E97" t="str">
        <f t="shared" si="10"/>
        <v>EMP_96IT</v>
      </c>
      <c r="F97" t="s">
        <v>21</v>
      </c>
      <c r="G97" t="s">
        <v>13</v>
      </c>
      <c r="H97">
        <v>49133</v>
      </c>
      <c r="I97">
        <v>4929</v>
      </c>
      <c r="J97">
        <v>0</v>
      </c>
      <c r="K97">
        <v>0</v>
      </c>
      <c r="L97" s="4" t="s">
        <v>176</v>
      </c>
      <c r="M97" s="4" t="str">
        <f t="shared" si="11"/>
        <v>4/27/2021</v>
      </c>
      <c r="N97" s="1">
        <f t="shared" ca="1" si="12"/>
        <v>46064</v>
      </c>
      <c r="O97" s="6" t="e">
        <f t="shared" ca="1" si="13"/>
        <v>#VALUE!</v>
      </c>
      <c r="P97">
        <v>2</v>
      </c>
      <c r="Q97">
        <f t="shared" si="14"/>
        <v>54062</v>
      </c>
      <c r="R97" s="2">
        <f t="shared" si="15"/>
        <v>27031</v>
      </c>
      <c r="S97" s="2" t="str">
        <f t="shared" si="16"/>
        <v xml:space="preserve"> Not Achieved</v>
      </c>
      <c r="T97" s="2" t="str">
        <f t="shared" si="17"/>
        <v>Good</v>
      </c>
      <c r="U97" s="2"/>
    </row>
    <row r="98" spans="1:21" x14ac:dyDescent="0.3">
      <c r="A98">
        <v>97</v>
      </c>
      <c r="B98" t="s">
        <v>177</v>
      </c>
      <c r="C98" t="str">
        <f t="shared" si="9"/>
        <v>EMP_97</v>
      </c>
      <c r="D98" t="s">
        <v>11</v>
      </c>
      <c r="E98" t="str">
        <f t="shared" si="10"/>
        <v>EMP_97HR</v>
      </c>
      <c r="F98" t="s">
        <v>12</v>
      </c>
      <c r="G98" t="s">
        <v>25</v>
      </c>
      <c r="H98">
        <v>37435</v>
      </c>
      <c r="I98">
        <v>7369</v>
      </c>
      <c r="J98">
        <v>0</v>
      </c>
      <c r="K98">
        <v>0</v>
      </c>
      <c r="L98" s="4">
        <v>43716</v>
      </c>
      <c r="M98" s="4" t="str">
        <f t="shared" si="11"/>
        <v>2019</v>
      </c>
      <c r="N98" s="1">
        <f t="shared" ca="1" si="12"/>
        <v>46064</v>
      </c>
      <c r="O98" s="6">
        <f t="shared" ca="1" si="13"/>
        <v>6</v>
      </c>
      <c r="P98">
        <v>3</v>
      </c>
      <c r="Q98">
        <f t="shared" si="14"/>
        <v>44804</v>
      </c>
      <c r="R98" s="2">
        <f t="shared" si="15"/>
        <v>22402</v>
      </c>
      <c r="S98" s="2" t="str">
        <f t="shared" si="16"/>
        <v xml:space="preserve"> Not Achieved</v>
      </c>
      <c r="T98" s="2" t="str">
        <f t="shared" si="17"/>
        <v>Average</v>
      </c>
      <c r="U98" s="2"/>
    </row>
    <row r="99" spans="1:21" x14ac:dyDescent="0.3">
      <c r="A99">
        <v>98</v>
      </c>
      <c r="B99" t="s">
        <v>178</v>
      </c>
      <c r="C99" t="str">
        <f t="shared" si="9"/>
        <v>EMP_98</v>
      </c>
      <c r="D99" t="s">
        <v>15</v>
      </c>
      <c r="E99" t="str">
        <f t="shared" si="10"/>
        <v>EMP_98Marketing</v>
      </c>
      <c r="F99" t="s">
        <v>24</v>
      </c>
      <c r="G99" t="s">
        <v>16</v>
      </c>
      <c r="H99">
        <v>29727</v>
      </c>
      <c r="I99">
        <v>12063</v>
      </c>
      <c r="J99">
        <v>0</v>
      </c>
      <c r="K99">
        <v>0</v>
      </c>
      <c r="L99" s="4">
        <v>45242</v>
      </c>
      <c r="M99" s="4" t="str">
        <f t="shared" si="11"/>
        <v>2023</v>
      </c>
      <c r="N99" s="1">
        <f t="shared" ca="1" si="12"/>
        <v>46064</v>
      </c>
      <c r="O99" s="6">
        <f t="shared" ca="1" si="13"/>
        <v>2</v>
      </c>
      <c r="P99">
        <v>4</v>
      </c>
      <c r="Q99">
        <f t="shared" si="14"/>
        <v>41790</v>
      </c>
      <c r="R99" s="2">
        <f t="shared" si="15"/>
        <v>20895</v>
      </c>
      <c r="S99" s="2" t="str">
        <f t="shared" si="16"/>
        <v xml:space="preserve"> Not Achieved</v>
      </c>
      <c r="T99" s="2" t="str">
        <f t="shared" si="17"/>
        <v>poor</v>
      </c>
      <c r="U99" s="2"/>
    </row>
    <row r="100" spans="1:21" x14ac:dyDescent="0.3">
      <c r="A100">
        <v>99</v>
      </c>
      <c r="B100" t="s">
        <v>179</v>
      </c>
      <c r="C100" t="str">
        <f t="shared" si="9"/>
        <v>EMP_99</v>
      </c>
      <c r="D100" t="s">
        <v>15</v>
      </c>
      <c r="E100" t="str">
        <f t="shared" si="10"/>
        <v>EMP_99Finance</v>
      </c>
      <c r="F100" t="s">
        <v>18</v>
      </c>
      <c r="G100" t="s">
        <v>25</v>
      </c>
      <c r="H100">
        <v>27521</v>
      </c>
      <c r="I100">
        <v>7208</v>
      </c>
      <c r="J100">
        <v>0</v>
      </c>
      <c r="K100">
        <v>0</v>
      </c>
      <c r="L100" s="4" t="s">
        <v>180</v>
      </c>
      <c r="M100" s="4" t="str">
        <f t="shared" si="11"/>
        <v>12/24/2019</v>
      </c>
      <c r="N100" s="1">
        <f t="shared" ca="1" si="12"/>
        <v>46064</v>
      </c>
      <c r="O100" s="6" t="e">
        <f t="shared" ca="1" si="13"/>
        <v>#VALUE!</v>
      </c>
      <c r="P100">
        <v>1</v>
      </c>
      <c r="Q100">
        <f t="shared" si="14"/>
        <v>34729</v>
      </c>
      <c r="R100" s="2">
        <f t="shared" si="15"/>
        <v>17364.5</v>
      </c>
      <c r="S100" s="2" t="str">
        <f t="shared" si="16"/>
        <v xml:space="preserve"> Not Achieved</v>
      </c>
      <c r="T100" s="2" t="str">
        <f t="shared" si="17"/>
        <v>poor</v>
      </c>
      <c r="U100" s="2"/>
    </row>
    <row r="101" spans="1:21" x14ac:dyDescent="0.3">
      <c r="A101">
        <v>100</v>
      </c>
      <c r="B101" t="s">
        <v>181</v>
      </c>
      <c r="C101" t="str">
        <f t="shared" si="9"/>
        <v>EMP_100</v>
      </c>
      <c r="D101" t="s">
        <v>11</v>
      </c>
      <c r="E101" t="str">
        <f t="shared" si="10"/>
        <v>EMP_100HR</v>
      </c>
      <c r="F101" t="s">
        <v>12</v>
      </c>
      <c r="G101" t="s">
        <v>19</v>
      </c>
      <c r="H101">
        <v>20936</v>
      </c>
      <c r="I101">
        <v>7675</v>
      </c>
      <c r="J101">
        <v>0</v>
      </c>
      <c r="K101">
        <v>0</v>
      </c>
      <c r="L101" s="4" t="s">
        <v>182</v>
      </c>
      <c r="M101" s="4" t="str">
        <f t="shared" si="11"/>
        <v>3/26/2023</v>
      </c>
      <c r="N101" s="1">
        <f t="shared" ca="1" si="12"/>
        <v>46064</v>
      </c>
      <c r="O101" s="6" t="e">
        <f t="shared" ca="1" si="13"/>
        <v>#VALUE!</v>
      </c>
      <c r="P101">
        <v>4</v>
      </c>
      <c r="Q101">
        <f t="shared" si="14"/>
        <v>28611</v>
      </c>
      <c r="R101" s="2">
        <f t="shared" si="15"/>
        <v>14305.5</v>
      </c>
      <c r="S101" s="2" t="str">
        <f t="shared" si="16"/>
        <v xml:space="preserve"> Not Achieved</v>
      </c>
      <c r="T101" s="2" t="str">
        <f t="shared" si="17"/>
        <v>poor</v>
      </c>
      <c r="U101" s="2"/>
    </row>
    <row r="102" spans="1:21" x14ac:dyDescent="0.3">
      <c r="A102">
        <v>101</v>
      </c>
      <c r="B102" t="s">
        <v>183</v>
      </c>
      <c r="C102" t="str">
        <f t="shared" si="9"/>
        <v>EMP_101</v>
      </c>
      <c r="D102" t="s">
        <v>11</v>
      </c>
      <c r="E102" t="str">
        <f t="shared" si="10"/>
        <v>EMP_101Sales</v>
      </c>
      <c r="F102" t="s">
        <v>7</v>
      </c>
      <c r="G102" t="s">
        <v>19</v>
      </c>
      <c r="H102">
        <v>49096</v>
      </c>
      <c r="I102">
        <v>11490</v>
      </c>
      <c r="J102">
        <v>119327</v>
      </c>
      <c r="K102">
        <v>180775</v>
      </c>
      <c r="L102" s="4" t="s">
        <v>149</v>
      </c>
      <c r="M102" s="4" t="str">
        <f t="shared" si="11"/>
        <v>5/24/2021</v>
      </c>
      <c r="N102" s="1">
        <f t="shared" ca="1" si="12"/>
        <v>46064</v>
      </c>
      <c r="O102" s="6" t="e">
        <f t="shared" ca="1" si="13"/>
        <v>#VALUE!</v>
      </c>
      <c r="P102">
        <v>4</v>
      </c>
      <c r="Q102">
        <f t="shared" si="14"/>
        <v>60586</v>
      </c>
      <c r="R102" s="2">
        <f t="shared" si="15"/>
        <v>30293</v>
      </c>
      <c r="S102" s="2" t="str">
        <f t="shared" si="16"/>
        <v xml:space="preserve"> Not Achieved</v>
      </c>
      <c r="T102" s="2" t="str">
        <f t="shared" si="17"/>
        <v>Good</v>
      </c>
      <c r="U102" s="2"/>
    </row>
    <row r="103" spans="1:21" x14ac:dyDescent="0.3">
      <c r="A103">
        <v>102</v>
      </c>
      <c r="B103" t="s">
        <v>184</v>
      </c>
      <c r="C103" t="str">
        <f t="shared" si="9"/>
        <v>EMP_102</v>
      </c>
      <c r="D103" t="s">
        <v>11</v>
      </c>
      <c r="E103" t="str">
        <f t="shared" si="10"/>
        <v>EMP_102IT</v>
      </c>
      <c r="F103" t="s">
        <v>21</v>
      </c>
      <c r="G103" t="s">
        <v>19</v>
      </c>
      <c r="H103">
        <v>42349</v>
      </c>
      <c r="I103">
        <v>6883</v>
      </c>
      <c r="J103">
        <v>0</v>
      </c>
      <c r="K103">
        <v>0</v>
      </c>
      <c r="L103" s="4">
        <v>43316</v>
      </c>
      <c r="M103" s="4" t="str">
        <f t="shared" si="11"/>
        <v>2018</v>
      </c>
      <c r="N103" s="1">
        <f t="shared" ca="1" si="12"/>
        <v>46064</v>
      </c>
      <c r="O103" s="6">
        <f t="shared" ca="1" si="13"/>
        <v>7</v>
      </c>
      <c r="P103">
        <v>1</v>
      </c>
      <c r="Q103">
        <f t="shared" si="14"/>
        <v>49232</v>
      </c>
      <c r="R103" s="2">
        <f t="shared" si="15"/>
        <v>24616</v>
      </c>
      <c r="S103" s="2" t="str">
        <f t="shared" si="16"/>
        <v xml:space="preserve"> Not Achieved</v>
      </c>
      <c r="T103" s="2" t="str">
        <f t="shared" si="17"/>
        <v>Good</v>
      </c>
      <c r="U103" s="2"/>
    </row>
    <row r="104" spans="1:21" x14ac:dyDescent="0.3">
      <c r="A104">
        <v>103</v>
      </c>
      <c r="B104" t="s">
        <v>185</v>
      </c>
      <c r="C104" t="str">
        <f t="shared" si="9"/>
        <v>EMP_103</v>
      </c>
      <c r="D104" t="s">
        <v>11</v>
      </c>
      <c r="E104" t="str">
        <f t="shared" si="10"/>
        <v>EMP_103Sales</v>
      </c>
      <c r="F104" t="s">
        <v>7</v>
      </c>
      <c r="G104" t="s">
        <v>16</v>
      </c>
      <c r="H104">
        <v>44220</v>
      </c>
      <c r="I104">
        <v>8375</v>
      </c>
      <c r="J104">
        <v>97408</v>
      </c>
      <c r="K104">
        <v>94967</v>
      </c>
      <c r="L104" s="4" t="s">
        <v>186</v>
      </c>
      <c r="M104" s="4" t="str">
        <f t="shared" si="11"/>
        <v>9/19/2018</v>
      </c>
      <c r="N104" s="1">
        <f t="shared" ca="1" si="12"/>
        <v>46064</v>
      </c>
      <c r="O104" s="6" t="e">
        <f t="shared" ca="1" si="13"/>
        <v>#VALUE!</v>
      </c>
      <c r="P104">
        <v>4</v>
      </c>
      <c r="Q104">
        <f t="shared" si="14"/>
        <v>52595</v>
      </c>
      <c r="R104" s="2">
        <f t="shared" si="15"/>
        <v>26297.5</v>
      </c>
      <c r="S104" s="2" t="str">
        <f t="shared" si="16"/>
        <v>Achieved</v>
      </c>
      <c r="T104" s="2" t="str">
        <f t="shared" si="17"/>
        <v>Good</v>
      </c>
      <c r="U104" s="2"/>
    </row>
    <row r="105" spans="1:21" x14ac:dyDescent="0.3">
      <c r="A105">
        <v>104</v>
      </c>
      <c r="B105" t="s">
        <v>187</v>
      </c>
      <c r="C105" t="str">
        <f t="shared" si="9"/>
        <v>EMP_104</v>
      </c>
      <c r="D105" t="s">
        <v>15</v>
      </c>
      <c r="E105" t="str">
        <f t="shared" si="10"/>
        <v>EMP_104HR</v>
      </c>
      <c r="F105" t="s">
        <v>12</v>
      </c>
      <c r="G105" t="s">
        <v>16</v>
      </c>
      <c r="H105">
        <v>31900</v>
      </c>
      <c r="I105">
        <v>9914</v>
      </c>
      <c r="J105">
        <v>0</v>
      </c>
      <c r="K105">
        <v>0</v>
      </c>
      <c r="L105" s="4" t="s">
        <v>188</v>
      </c>
      <c r="M105" s="4" t="str">
        <f t="shared" si="11"/>
        <v>9/21/2023</v>
      </c>
      <c r="N105" s="1">
        <f t="shared" ca="1" si="12"/>
        <v>46064</v>
      </c>
      <c r="O105" s="6" t="e">
        <f t="shared" ca="1" si="13"/>
        <v>#VALUE!</v>
      </c>
      <c r="P105">
        <v>2</v>
      </c>
      <c r="Q105">
        <f t="shared" si="14"/>
        <v>41814</v>
      </c>
      <c r="R105" s="2">
        <f t="shared" si="15"/>
        <v>20907</v>
      </c>
      <c r="S105" s="2" t="str">
        <f t="shared" si="16"/>
        <v xml:space="preserve"> Not Achieved</v>
      </c>
      <c r="T105" s="2" t="str">
        <f t="shared" si="17"/>
        <v>Average</v>
      </c>
      <c r="U105" s="2"/>
    </row>
    <row r="106" spans="1:21" x14ac:dyDescent="0.3">
      <c r="A106">
        <v>105</v>
      </c>
      <c r="B106" t="s">
        <v>189</v>
      </c>
      <c r="C106" t="str">
        <f t="shared" si="9"/>
        <v>EMP_105</v>
      </c>
      <c r="D106" t="s">
        <v>15</v>
      </c>
      <c r="E106" t="str">
        <f t="shared" si="10"/>
        <v>EMP_105Marketing</v>
      </c>
      <c r="F106" t="s">
        <v>24</v>
      </c>
      <c r="G106" t="s">
        <v>19</v>
      </c>
      <c r="H106">
        <v>55807</v>
      </c>
      <c r="I106">
        <v>7957</v>
      </c>
      <c r="J106">
        <v>0</v>
      </c>
      <c r="K106">
        <v>0</v>
      </c>
      <c r="L106" s="4">
        <v>45266</v>
      </c>
      <c r="M106" s="4" t="str">
        <f t="shared" si="11"/>
        <v>2023</v>
      </c>
      <c r="N106" s="1">
        <f t="shared" ca="1" si="12"/>
        <v>46064</v>
      </c>
      <c r="O106" s="6">
        <f t="shared" ca="1" si="13"/>
        <v>2</v>
      </c>
      <c r="P106">
        <v>4</v>
      </c>
      <c r="Q106">
        <f t="shared" si="14"/>
        <v>63764</v>
      </c>
      <c r="R106" s="2">
        <f t="shared" si="15"/>
        <v>31882</v>
      </c>
      <c r="S106" s="2" t="str">
        <f t="shared" si="16"/>
        <v xml:space="preserve"> Not Achieved</v>
      </c>
      <c r="T106" s="2" t="str">
        <f t="shared" si="17"/>
        <v xml:space="preserve"> Excellent</v>
      </c>
      <c r="U106" s="2"/>
    </row>
    <row r="107" spans="1:21" x14ac:dyDescent="0.3">
      <c r="A107">
        <v>106</v>
      </c>
      <c r="B107" t="s">
        <v>190</v>
      </c>
      <c r="C107" t="str">
        <f t="shared" si="9"/>
        <v>EMP_106</v>
      </c>
      <c r="D107" t="s">
        <v>11</v>
      </c>
      <c r="E107" t="str">
        <f t="shared" si="10"/>
        <v>EMP_106Finance</v>
      </c>
      <c r="F107" t="s">
        <v>18</v>
      </c>
      <c r="G107" t="s">
        <v>25</v>
      </c>
      <c r="H107">
        <v>36246</v>
      </c>
      <c r="I107">
        <v>14875</v>
      </c>
      <c r="J107">
        <v>0</v>
      </c>
      <c r="K107">
        <v>0</v>
      </c>
      <c r="L107" s="4" t="s">
        <v>191</v>
      </c>
      <c r="M107" s="4" t="str">
        <f t="shared" si="11"/>
        <v>8/15/2021</v>
      </c>
      <c r="N107" s="1">
        <f t="shared" ca="1" si="12"/>
        <v>46064</v>
      </c>
      <c r="O107" s="6" t="e">
        <f t="shared" ca="1" si="13"/>
        <v>#VALUE!</v>
      </c>
      <c r="P107">
        <v>4</v>
      </c>
      <c r="Q107">
        <f t="shared" si="14"/>
        <v>51121</v>
      </c>
      <c r="R107" s="2">
        <f t="shared" si="15"/>
        <v>25560.5</v>
      </c>
      <c r="S107" s="2" t="str">
        <f t="shared" si="16"/>
        <v xml:space="preserve"> Not Achieved</v>
      </c>
      <c r="T107" s="2" t="str">
        <f t="shared" si="17"/>
        <v>Average</v>
      </c>
      <c r="U107" s="2"/>
    </row>
    <row r="108" spans="1:21" x14ac:dyDescent="0.3">
      <c r="A108">
        <v>107</v>
      </c>
      <c r="B108" t="s">
        <v>192</v>
      </c>
      <c r="C108" t="str">
        <f t="shared" si="9"/>
        <v>EMP_107</v>
      </c>
      <c r="D108" t="s">
        <v>15</v>
      </c>
      <c r="E108" t="str">
        <f t="shared" si="10"/>
        <v>EMP_107Marketing</v>
      </c>
      <c r="F108" t="s">
        <v>24</v>
      </c>
      <c r="G108" t="s">
        <v>13</v>
      </c>
      <c r="H108">
        <v>63681</v>
      </c>
      <c r="I108">
        <v>12896</v>
      </c>
      <c r="J108">
        <v>0</v>
      </c>
      <c r="K108">
        <v>0</v>
      </c>
      <c r="L108" s="4" t="s">
        <v>193</v>
      </c>
      <c r="M108" s="4" t="str">
        <f t="shared" si="11"/>
        <v>3/18/2019</v>
      </c>
      <c r="N108" s="1">
        <f t="shared" ca="1" si="12"/>
        <v>46064</v>
      </c>
      <c r="O108" s="6" t="e">
        <f t="shared" ca="1" si="13"/>
        <v>#VALUE!</v>
      </c>
      <c r="P108">
        <v>1</v>
      </c>
      <c r="Q108">
        <f t="shared" si="14"/>
        <v>76577</v>
      </c>
      <c r="R108" s="2">
        <f t="shared" si="15"/>
        <v>38288.5</v>
      </c>
      <c r="S108" s="2" t="str">
        <f t="shared" si="16"/>
        <v xml:space="preserve"> Not Achieved</v>
      </c>
      <c r="T108" s="2" t="str">
        <f t="shared" si="17"/>
        <v xml:space="preserve"> Excellent</v>
      </c>
      <c r="U108" s="2"/>
    </row>
    <row r="109" spans="1:21" x14ac:dyDescent="0.3">
      <c r="A109">
        <v>108</v>
      </c>
      <c r="B109" t="s">
        <v>194</v>
      </c>
      <c r="C109" t="str">
        <f t="shared" si="9"/>
        <v>EMP_108</v>
      </c>
      <c r="D109" t="s">
        <v>11</v>
      </c>
      <c r="E109" t="str">
        <f t="shared" si="10"/>
        <v>EMP_108IT</v>
      </c>
      <c r="F109" t="s">
        <v>21</v>
      </c>
      <c r="G109" t="s">
        <v>19</v>
      </c>
      <c r="H109">
        <v>30938</v>
      </c>
      <c r="I109">
        <v>14944</v>
      </c>
      <c r="J109">
        <v>0</v>
      </c>
      <c r="K109">
        <v>0</v>
      </c>
      <c r="L109" s="4" t="s">
        <v>195</v>
      </c>
      <c r="M109" s="4" t="str">
        <f t="shared" si="11"/>
        <v>7/31/2019</v>
      </c>
      <c r="N109" s="1">
        <f t="shared" ca="1" si="12"/>
        <v>46064</v>
      </c>
      <c r="O109" s="6" t="e">
        <f t="shared" ca="1" si="13"/>
        <v>#VALUE!</v>
      </c>
      <c r="P109">
        <v>4</v>
      </c>
      <c r="Q109">
        <f t="shared" si="14"/>
        <v>45882</v>
      </c>
      <c r="R109" s="2">
        <f t="shared" si="15"/>
        <v>22941</v>
      </c>
      <c r="S109" s="2" t="str">
        <f t="shared" si="16"/>
        <v xml:space="preserve"> Not Achieved</v>
      </c>
      <c r="T109" s="2" t="str">
        <f t="shared" si="17"/>
        <v>Average</v>
      </c>
      <c r="U109" s="2"/>
    </row>
    <row r="110" spans="1:21" x14ac:dyDescent="0.3">
      <c r="A110">
        <v>109</v>
      </c>
      <c r="B110" t="s">
        <v>196</v>
      </c>
      <c r="C110" t="str">
        <f t="shared" si="9"/>
        <v>EMP_109</v>
      </c>
      <c r="D110" t="s">
        <v>11</v>
      </c>
      <c r="E110" t="str">
        <f t="shared" si="10"/>
        <v>EMP_109Marketing</v>
      </c>
      <c r="F110" t="s">
        <v>24</v>
      </c>
      <c r="G110" t="s">
        <v>16</v>
      </c>
      <c r="H110">
        <v>32538</v>
      </c>
      <c r="I110">
        <v>12607</v>
      </c>
      <c r="J110">
        <v>0</v>
      </c>
      <c r="K110">
        <v>0</v>
      </c>
      <c r="L110" s="4" t="s">
        <v>197</v>
      </c>
      <c r="M110" s="4" t="str">
        <f t="shared" si="11"/>
        <v>8/27/2024</v>
      </c>
      <c r="N110" s="1">
        <f t="shared" ca="1" si="12"/>
        <v>46064</v>
      </c>
      <c r="O110" s="6" t="e">
        <f t="shared" ca="1" si="13"/>
        <v>#VALUE!</v>
      </c>
      <c r="P110">
        <v>4</v>
      </c>
      <c r="Q110">
        <f t="shared" si="14"/>
        <v>45145</v>
      </c>
      <c r="R110" s="2">
        <f t="shared" si="15"/>
        <v>22572.5</v>
      </c>
      <c r="S110" s="2" t="str">
        <f t="shared" si="16"/>
        <v xml:space="preserve"> Not Achieved</v>
      </c>
      <c r="T110" s="2" t="str">
        <f t="shared" si="17"/>
        <v>Average</v>
      </c>
      <c r="U110" s="2"/>
    </row>
    <row r="111" spans="1:21" x14ac:dyDescent="0.3">
      <c r="A111">
        <v>110</v>
      </c>
      <c r="B111" t="s">
        <v>198</v>
      </c>
      <c r="C111" t="str">
        <f t="shared" si="9"/>
        <v>EMP_110</v>
      </c>
      <c r="D111" t="s">
        <v>15</v>
      </c>
      <c r="E111" t="str">
        <f t="shared" si="10"/>
        <v>EMP_110Sales</v>
      </c>
      <c r="F111" t="s">
        <v>7</v>
      </c>
      <c r="G111" t="s">
        <v>16</v>
      </c>
      <c r="H111">
        <v>27048</v>
      </c>
      <c r="I111">
        <v>13874</v>
      </c>
      <c r="J111">
        <v>216277</v>
      </c>
      <c r="K111">
        <v>187332</v>
      </c>
      <c r="L111" s="4">
        <v>44324</v>
      </c>
      <c r="M111" s="4" t="str">
        <f t="shared" si="11"/>
        <v>2021</v>
      </c>
      <c r="N111" s="1">
        <f t="shared" ca="1" si="12"/>
        <v>46064</v>
      </c>
      <c r="O111" s="6">
        <f t="shared" ca="1" si="13"/>
        <v>4</v>
      </c>
      <c r="P111">
        <v>3</v>
      </c>
      <c r="Q111">
        <f t="shared" si="14"/>
        <v>40922</v>
      </c>
      <c r="R111" s="2">
        <f t="shared" si="15"/>
        <v>20461</v>
      </c>
      <c r="S111" s="2" t="str">
        <f t="shared" si="16"/>
        <v>Achieved</v>
      </c>
      <c r="T111" s="2" t="str">
        <f t="shared" si="17"/>
        <v>poor</v>
      </c>
      <c r="U111" s="2"/>
    </row>
    <row r="112" spans="1:21" x14ac:dyDescent="0.3">
      <c r="A112">
        <v>111</v>
      </c>
      <c r="B112" t="s">
        <v>199</v>
      </c>
      <c r="C112" t="str">
        <f t="shared" si="9"/>
        <v>EMP_111</v>
      </c>
      <c r="D112" t="s">
        <v>11</v>
      </c>
      <c r="E112" t="str">
        <f t="shared" si="10"/>
        <v>EMP_111IT</v>
      </c>
      <c r="F112" t="s">
        <v>21</v>
      </c>
      <c r="G112" t="s">
        <v>25</v>
      </c>
      <c r="H112">
        <v>77766</v>
      </c>
      <c r="I112">
        <v>3770</v>
      </c>
      <c r="J112">
        <v>0</v>
      </c>
      <c r="K112">
        <v>0</v>
      </c>
      <c r="L112" s="4">
        <v>44114</v>
      </c>
      <c r="M112" s="4" t="str">
        <f t="shared" si="11"/>
        <v>2020</v>
      </c>
      <c r="N112" s="1">
        <f t="shared" ca="1" si="12"/>
        <v>46064</v>
      </c>
      <c r="O112" s="6">
        <f t="shared" ca="1" si="13"/>
        <v>5</v>
      </c>
      <c r="P112">
        <v>1</v>
      </c>
      <c r="Q112">
        <f t="shared" si="14"/>
        <v>81536</v>
      </c>
      <c r="R112" s="2">
        <f t="shared" si="15"/>
        <v>40768</v>
      </c>
      <c r="S112" s="2" t="str">
        <f t="shared" si="16"/>
        <v xml:space="preserve"> Not Achieved</v>
      </c>
      <c r="T112" s="2" t="str">
        <f t="shared" si="17"/>
        <v xml:space="preserve"> Excellent</v>
      </c>
      <c r="U112" s="2"/>
    </row>
    <row r="113" spans="1:21" x14ac:dyDescent="0.3">
      <c r="A113">
        <v>112</v>
      </c>
      <c r="B113" t="s">
        <v>200</v>
      </c>
      <c r="C113" t="str">
        <f t="shared" si="9"/>
        <v>EMP_112</v>
      </c>
      <c r="D113" t="s">
        <v>11</v>
      </c>
      <c r="E113" t="str">
        <f t="shared" si="10"/>
        <v>EMP_112Sales</v>
      </c>
      <c r="F113" t="s">
        <v>7</v>
      </c>
      <c r="G113" t="s">
        <v>13</v>
      </c>
      <c r="H113">
        <v>76925</v>
      </c>
      <c r="I113">
        <v>8587</v>
      </c>
      <c r="J113">
        <v>130912</v>
      </c>
      <c r="K113">
        <v>221165</v>
      </c>
      <c r="L113" s="4" t="s">
        <v>201</v>
      </c>
      <c r="M113" s="4" t="str">
        <f t="shared" si="11"/>
        <v>3/30/2023</v>
      </c>
      <c r="N113" s="1">
        <f t="shared" ca="1" si="12"/>
        <v>46064</v>
      </c>
      <c r="O113" s="6" t="e">
        <f t="shared" ca="1" si="13"/>
        <v>#VALUE!</v>
      </c>
      <c r="P113">
        <v>3</v>
      </c>
      <c r="Q113">
        <f t="shared" si="14"/>
        <v>85512</v>
      </c>
      <c r="R113" s="2">
        <f t="shared" si="15"/>
        <v>42756</v>
      </c>
      <c r="S113" s="2" t="str">
        <f t="shared" si="16"/>
        <v xml:space="preserve"> Not Achieved</v>
      </c>
      <c r="T113" s="2" t="str">
        <f t="shared" si="17"/>
        <v xml:space="preserve"> Excellent</v>
      </c>
      <c r="U113" s="2"/>
    </row>
    <row r="114" spans="1:21" x14ac:dyDescent="0.3">
      <c r="A114">
        <v>113</v>
      </c>
      <c r="B114" t="s">
        <v>202</v>
      </c>
      <c r="C114" t="str">
        <f t="shared" si="9"/>
        <v>EMP_113</v>
      </c>
      <c r="D114" t="s">
        <v>11</v>
      </c>
      <c r="E114" t="str">
        <f t="shared" si="10"/>
        <v>EMP_113Marketing</v>
      </c>
      <c r="F114" t="s">
        <v>24</v>
      </c>
      <c r="G114" t="s">
        <v>16</v>
      </c>
      <c r="H114">
        <v>67459</v>
      </c>
      <c r="I114">
        <v>8408</v>
      </c>
      <c r="J114">
        <v>0</v>
      </c>
      <c r="K114">
        <v>0</v>
      </c>
      <c r="L114" s="4" t="s">
        <v>203</v>
      </c>
      <c r="M114" s="4" t="str">
        <f t="shared" si="11"/>
        <v>8/21/2023</v>
      </c>
      <c r="N114" s="1">
        <f t="shared" ca="1" si="12"/>
        <v>46064</v>
      </c>
      <c r="O114" s="6" t="e">
        <f t="shared" ca="1" si="13"/>
        <v>#VALUE!</v>
      </c>
      <c r="P114">
        <v>2</v>
      </c>
      <c r="Q114">
        <f t="shared" si="14"/>
        <v>75867</v>
      </c>
      <c r="R114" s="2">
        <f t="shared" si="15"/>
        <v>37933.5</v>
      </c>
      <c r="S114" s="2" t="str">
        <f t="shared" si="16"/>
        <v xml:space="preserve"> Not Achieved</v>
      </c>
      <c r="T114" s="2" t="str">
        <f t="shared" si="17"/>
        <v xml:space="preserve"> Excellent</v>
      </c>
      <c r="U114" s="2"/>
    </row>
    <row r="115" spans="1:21" x14ac:dyDescent="0.3">
      <c r="A115">
        <v>114</v>
      </c>
      <c r="B115" t="s">
        <v>204</v>
      </c>
      <c r="C115" t="str">
        <f t="shared" si="9"/>
        <v>EMP_114</v>
      </c>
      <c r="D115" t="s">
        <v>11</v>
      </c>
      <c r="E115" t="str">
        <f t="shared" si="10"/>
        <v>EMP_114Sales</v>
      </c>
      <c r="F115" t="s">
        <v>7</v>
      </c>
      <c r="G115" t="s">
        <v>22</v>
      </c>
      <c r="H115">
        <v>31878</v>
      </c>
      <c r="I115">
        <v>9603</v>
      </c>
      <c r="J115">
        <v>248378</v>
      </c>
      <c r="K115">
        <v>91314</v>
      </c>
      <c r="L115" s="4" t="s">
        <v>205</v>
      </c>
      <c r="M115" s="4" t="str">
        <f t="shared" si="11"/>
        <v>12/30/2020</v>
      </c>
      <c r="N115" s="1">
        <f t="shared" ca="1" si="12"/>
        <v>46064</v>
      </c>
      <c r="O115" s="6" t="e">
        <f t="shared" ca="1" si="13"/>
        <v>#VALUE!</v>
      </c>
      <c r="P115">
        <v>3</v>
      </c>
      <c r="Q115">
        <f t="shared" si="14"/>
        <v>41481</v>
      </c>
      <c r="R115" s="2">
        <f t="shared" si="15"/>
        <v>20740.5</v>
      </c>
      <c r="S115" s="2" t="str">
        <f t="shared" si="16"/>
        <v>Achieved</v>
      </c>
      <c r="T115" s="2" t="str">
        <f t="shared" si="17"/>
        <v>Average</v>
      </c>
      <c r="U115" s="2"/>
    </row>
    <row r="116" spans="1:21" x14ac:dyDescent="0.3">
      <c r="A116">
        <v>115</v>
      </c>
      <c r="B116" t="s">
        <v>206</v>
      </c>
      <c r="C116" t="str">
        <f t="shared" si="9"/>
        <v>EMP_115</v>
      </c>
      <c r="D116" t="s">
        <v>11</v>
      </c>
      <c r="E116" t="str">
        <f t="shared" si="10"/>
        <v>EMP_115IT</v>
      </c>
      <c r="F116" t="s">
        <v>21</v>
      </c>
      <c r="G116" t="s">
        <v>22</v>
      </c>
      <c r="H116">
        <v>30226</v>
      </c>
      <c r="I116">
        <v>4082</v>
      </c>
      <c r="J116">
        <v>0</v>
      </c>
      <c r="K116">
        <v>0</v>
      </c>
      <c r="L116" s="4" t="s">
        <v>207</v>
      </c>
      <c r="M116" s="4" t="str">
        <f t="shared" si="11"/>
        <v>6/14/2018</v>
      </c>
      <c r="N116" s="1">
        <f t="shared" ca="1" si="12"/>
        <v>46064</v>
      </c>
      <c r="O116" s="6" t="e">
        <f t="shared" ca="1" si="13"/>
        <v>#VALUE!</v>
      </c>
      <c r="P116">
        <v>5</v>
      </c>
      <c r="Q116">
        <f t="shared" si="14"/>
        <v>34308</v>
      </c>
      <c r="R116" s="2">
        <f t="shared" si="15"/>
        <v>17154</v>
      </c>
      <c r="S116" s="2" t="str">
        <f t="shared" si="16"/>
        <v xml:space="preserve"> Not Achieved</v>
      </c>
      <c r="T116" s="2" t="str">
        <f t="shared" si="17"/>
        <v>Average</v>
      </c>
      <c r="U116" s="2"/>
    </row>
    <row r="117" spans="1:21" x14ac:dyDescent="0.3">
      <c r="A117">
        <v>116</v>
      </c>
      <c r="B117" t="s">
        <v>208</v>
      </c>
      <c r="C117" t="str">
        <f t="shared" si="9"/>
        <v>EMP_116</v>
      </c>
      <c r="D117" t="s">
        <v>15</v>
      </c>
      <c r="E117" t="str">
        <f t="shared" si="10"/>
        <v>EMP_116Finance</v>
      </c>
      <c r="F117" t="s">
        <v>18</v>
      </c>
      <c r="G117" t="s">
        <v>22</v>
      </c>
      <c r="H117">
        <v>25026</v>
      </c>
      <c r="I117">
        <v>12843</v>
      </c>
      <c r="J117">
        <v>0</v>
      </c>
      <c r="K117">
        <v>0</v>
      </c>
      <c r="L117" s="4" t="s">
        <v>209</v>
      </c>
      <c r="M117" s="4" t="str">
        <f t="shared" si="11"/>
        <v>2/27/2023</v>
      </c>
      <c r="N117" s="1">
        <f t="shared" ca="1" si="12"/>
        <v>46064</v>
      </c>
      <c r="O117" s="6" t="e">
        <f t="shared" ca="1" si="13"/>
        <v>#VALUE!</v>
      </c>
      <c r="P117">
        <v>3</v>
      </c>
      <c r="Q117">
        <f t="shared" si="14"/>
        <v>37869</v>
      </c>
      <c r="R117" s="2">
        <f t="shared" si="15"/>
        <v>18934.5</v>
      </c>
      <c r="S117" s="2" t="str">
        <f t="shared" si="16"/>
        <v xml:space="preserve"> Not Achieved</v>
      </c>
      <c r="T117" s="2" t="str">
        <f t="shared" si="17"/>
        <v>poor</v>
      </c>
      <c r="U117" s="2"/>
    </row>
    <row r="118" spans="1:21" x14ac:dyDescent="0.3">
      <c r="A118">
        <v>117</v>
      </c>
      <c r="B118" t="s">
        <v>210</v>
      </c>
      <c r="C118" t="str">
        <f t="shared" si="9"/>
        <v>EMP_117</v>
      </c>
      <c r="D118" t="s">
        <v>11</v>
      </c>
      <c r="E118" t="str">
        <f t="shared" si="10"/>
        <v>EMP_117IT</v>
      </c>
      <c r="F118" t="s">
        <v>21</v>
      </c>
      <c r="G118" t="s">
        <v>13</v>
      </c>
      <c r="H118">
        <v>24823</v>
      </c>
      <c r="I118">
        <v>2675</v>
      </c>
      <c r="J118">
        <v>0</v>
      </c>
      <c r="K118">
        <v>0</v>
      </c>
      <c r="L118" s="4">
        <v>43864</v>
      </c>
      <c r="M118" s="4" t="str">
        <f t="shared" si="11"/>
        <v>2020</v>
      </c>
      <c r="N118" s="1">
        <f t="shared" ca="1" si="12"/>
        <v>46064</v>
      </c>
      <c r="O118" s="6">
        <f t="shared" ca="1" si="13"/>
        <v>6</v>
      </c>
      <c r="P118">
        <v>2</v>
      </c>
      <c r="Q118">
        <f t="shared" si="14"/>
        <v>27498</v>
      </c>
      <c r="R118" s="2">
        <f t="shared" si="15"/>
        <v>13749</v>
      </c>
      <c r="S118" s="2" t="str">
        <f t="shared" si="16"/>
        <v xml:space="preserve"> Not Achieved</v>
      </c>
      <c r="T118" s="2" t="str">
        <f t="shared" si="17"/>
        <v>poor</v>
      </c>
      <c r="U118" s="2"/>
    </row>
    <row r="119" spans="1:21" x14ac:dyDescent="0.3">
      <c r="A119">
        <v>118</v>
      </c>
      <c r="B119" t="s">
        <v>211</v>
      </c>
      <c r="C119" t="str">
        <f t="shared" si="9"/>
        <v>EMP_118</v>
      </c>
      <c r="D119" t="s">
        <v>11</v>
      </c>
      <c r="E119" t="str">
        <f t="shared" si="10"/>
        <v>EMP_118Marketing</v>
      </c>
      <c r="F119" t="s">
        <v>24</v>
      </c>
      <c r="G119" t="s">
        <v>25</v>
      </c>
      <c r="H119">
        <v>40409</v>
      </c>
      <c r="I119">
        <v>13390</v>
      </c>
      <c r="J119">
        <v>0</v>
      </c>
      <c r="K119">
        <v>0</v>
      </c>
      <c r="L119" s="4" t="s">
        <v>212</v>
      </c>
      <c r="M119" s="4" t="str">
        <f t="shared" si="11"/>
        <v>11/15/2022</v>
      </c>
      <c r="N119" s="1">
        <f t="shared" ca="1" si="12"/>
        <v>46064</v>
      </c>
      <c r="O119" s="6" t="e">
        <f t="shared" ca="1" si="13"/>
        <v>#VALUE!</v>
      </c>
      <c r="P119">
        <v>5</v>
      </c>
      <c r="Q119">
        <f t="shared" si="14"/>
        <v>53799</v>
      </c>
      <c r="R119" s="2">
        <f t="shared" si="15"/>
        <v>26899.5</v>
      </c>
      <c r="S119" s="2" t="str">
        <f t="shared" si="16"/>
        <v xml:space="preserve"> Not Achieved</v>
      </c>
      <c r="T119" s="2" t="str">
        <f t="shared" si="17"/>
        <v>Good</v>
      </c>
      <c r="U119" s="2"/>
    </row>
    <row r="120" spans="1:21" x14ac:dyDescent="0.3">
      <c r="A120">
        <v>119</v>
      </c>
      <c r="B120" t="s">
        <v>213</v>
      </c>
      <c r="C120" t="str">
        <f t="shared" si="9"/>
        <v>EMP_119</v>
      </c>
      <c r="D120" t="s">
        <v>15</v>
      </c>
      <c r="E120" t="str">
        <f t="shared" si="10"/>
        <v>EMP_119IT</v>
      </c>
      <c r="F120" t="s">
        <v>21</v>
      </c>
      <c r="G120" t="s">
        <v>16</v>
      </c>
      <c r="H120">
        <v>65327</v>
      </c>
      <c r="I120">
        <v>10741</v>
      </c>
      <c r="J120">
        <v>0</v>
      </c>
      <c r="K120">
        <v>0</v>
      </c>
      <c r="L120" s="4">
        <v>44506</v>
      </c>
      <c r="M120" s="4" t="str">
        <f t="shared" si="11"/>
        <v>2021</v>
      </c>
      <c r="N120" s="1">
        <f t="shared" ca="1" si="12"/>
        <v>46064</v>
      </c>
      <c r="O120" s="6">
        <f t="shared" ca="1" si="13"/>
        <v>4</v>
      </c>
      <c r="P120">
        <v>5</v>
      </c>
      <c r="Q120">
        <f t="shared" si="14"/>
        <v>76068</v>
      </c>
      <c r="R120" s="2">
        <f t="shared" si="15"/>
        <v>38034</v>
      </c>
      <c r="S120" s="2" t="str">
        <f t="shared" si="16"/>
        <v xml:space="preserve"> Not Achieved</v>
      </c>
      <c r="T120" s="2" t="str">
        <f t="shared" si="17"/>
        <v xml:space="preserve"> Excellent</v>
      </c>
      <c r="U120" s="2"/>
    </row>
    <row r="121" spans="1:21" x14ac:dyDescent="0.3">
      <c r="A121">
        <v>120</v>
      </c>
      <c r="B121" t="s">
        <v>214</v>
      </c>
      <c r="C121" t="str">
        <f t="shared" si="9"/>
        <v>EMP_120</v>
      </c>
      <c r="D121" t="s">
        <v>11</v>
      </c>
      <c r="E121" t="str">
        <f t="shared" si="10"/>
        <v>EMP_120Sales</v>
      </c>
      <c r="F121" t="s">
        <v>7</v>
      </c>
      <c r="G121" t="s">
        <v>22</v>
      </c>
      <c r="H121">
        <v>51530</v>
      </c>
      <c r="I121">
        <v>11528</v>
      </c>
      <c r="J121">
        <v>166320</v>
      </c>
      <c r="K121">
        <v>109876</v>
      </c>
      <c r="L121" s="4" t="s">
        <v>215</v>
      </c>
      <c r="M121" s="4" t="str">
        <f t="shared" si="11"/>
        <v>9/23/2020</v>
      </c>
      <c r="N121" s="1">
        <f t="shared" ca="1" si="12"/>
        <v>46064</v>
      </c>
      <c r="O121" s="6" t="e">
        <f t="shared" ca="1" si="13"/>
        <v>#VALUE!</v>
      </c>
      <c r="P121">
        <v>1</v>
      </c>
      <c r="Q121">
        <f t="shared" si="14"/>
        <v>63058</v>
      </c>
      <c r="R121" s="2">
        <f t="shared" si="15"/>
        <v>31529</v>
      </c>
      <c r="S121" s="2" t="str">
        <f t="shared" si="16"/>
        <v>Achieved</v>
      </c>
      <c r="T121" s="2" t="str">
        <f t="shared" si="17"/>
        <v xml:space="preserve"> Excellent</v>
      </c>
      <c r="U121" s="2"/>
    </row>
    <row r="122" spans="1:21" x14ac:dyDescent="0.3">
      <c r="A122">
        <v>121</v>
      </c>
      <c r="B122" t="s">
        <v>216</v>
      </c>
      <c r="C122" t="str">
        <f t="shared" si="9"/>
        <v>EMP_121</v>
      </c>
      <c r="D122" t="s">
        <v>15</v>
      </c>
      <c r="E122" t="str">
        <f t="shared" si="10"/>
        <v>EMP_121IT</v>
      </c>
      <c r="F122" t="s">
        <v>21</v>
      </c>
      <c r="G122" t="s">
        <v>13</v>
      </c>
      <c r="H122">
        <v>40617</v>
      </c>
      <c r="I122">
        <v>4727</v>
      </c>
      <c r="J122">
        <v>0</v>
      </c>
      <c r="K122">
        <v>0</v>
      </c>
      <c r="L122" s="4" t="s">
        <v>217</v>
      </c>
      <c r="M122" s="4" t="str">
        <f t="shared" si="11"/>
        <v>8/16/2019</v>
      </c>
      <c r="N122" s="1">
        <f t="shared" ca="1" si="12"/>
        <v>46064</v>
      </c>
      <c r="O122" s="6" t="e">
        <f t="shared" ca="1" si="13"/>
        <v>#VALUE!</v>
      </c>
      <c r="P122">
        <v>3</v>
      </c>
      <c r="Q122">
        <f t="shared" si="14"/>
        <v>45344</v>
      </c>
      <c r="R122" s="2">
        <f t="shared" si="15"/>
        <v>22672</v>
      </c>
      <c r="S122" s="2" t="str">
        <f t="shared" si="16"/>
        <v xml:space="preserve"> Not Achieved</v>
      </c>
      <c r="T122" s="2" t="str">
        <f t="shared" si="17"/>
        <v>Good</v>
      </c>
      <c r="U122" s="2"/>
    </row>
    <row r="123" spans="1:21" x14ac:dyDescent="0.3">
      <c r="A123">
        <v>122</v>
      </c>
      <c r="B123" t="s">
        <v>218</v>
      </c>
      <c r="C123" t="str">
        <f t="shared" si="9"/>
        <v>EMP_122</v>
      </c>
      <c r="D123" t="s">
        <v>15</v>
      </c>
      <c r="E123" t="str">
        <f t="shared" si="10"/>
        <v>EMP_122HR</v>
      </c>
      <c r="F123" t="s">
        <v>12</v>
      </c>
      <c r="G123" t="s">
        <v>19</v>
      </c>
      <c r="H123">
        <v>50686</v>
      </c>
      <c r="I123">
        <v>2151</v>
      </c>
      <c r="J123">
        <v>0</v>
      </c>
      <c r="K123">
        <v>0</v>
      </c>
      <c r="L123" s="4" t="s">
        <v>219</v>
      </c>
      <c r="M123" s="4" t="str">
        <f t="shared" si="11"/>
        <v>4/27/2022</v>
      </c>
      <c r="N123" s="1">
        <f t="shared" ca="1" si="12"/>
        <v>46064</v>
      </c>
      <c r="O123" s="6" t="e">
        <f t="shared" ca="1" si="13"/>
        <v>#VALUE!</v>
      </c>
      <c r="P123">
        <v>1</v>
      </c>
      <c r="Q123">
        <f t="shared" si="14"/>
        <v>52837</v>
      </c>
      <c r="R123" s="2">
        <f t="shared" si="15"/>
        <v>26418.5</v>
      </c>
      <c r="S123" s="2" t="str">
        <f t="shared" si="16"/>
        <v xml:space="preserve"> Not Achieved</v>
      </c>
      <c r="T123" s="2" t="str">
        <f t="shared" si="17"/>
        <v xml:space="preserve"> Excellent</v>
      </c>
      <c r="U123" s="2"/>
    </row>
    <row r="124" spans="1:21" x14ac:dyDescent="0.3">
      <c r="A124">
        <v>123</v>
      </c>
      <c r="B124" t="s">
        <v>220</v>
      </c>
      <c r="C124" t="str">
        <f t="shared" si="9"/>
        <v>EMP_123</v>
      </c>
      <c r="D124" t="s">
        <v>11</v>
      </c>
      <c r="E124" t="str">
        <f t="shared" si="10"/>
        <v>EMP_123Finance</v>
      </c>
      <c r="F124" t="s">
        <v>18</v>
      </c>
      <c r="G124" t="s">
        <v>19</v>
      </c>
      <c r="H124">
        <v>33740</v>
      </c>
      <c r="I124">
        <v>7661</v>
      </c>
      <c r="J124">
        <v>0</v>
      </c>
      <c r="K124">
        <v>0</v>
      </c>
      <c r="L124" s="4">
        <v>45174</v>
      </c>
      <c r="M124" s="4" t="str">
        <f t="shared" si="11"/>
        <v>2023</v>
      </c>
      <c r="N124" s="1">
        <f t="shared" ca="1" si="12"/>
        <v>46064</v>
      </c>
      <c r="O124" s="6">
        <f t="shared" ca="1" si="13"/>
        <v>2</v>
      </c>
      <c r="P124">
        <v>1</v>
      </c>
      <c r="Q124">
        <f t="shared" si="14"/>
        <v>41401</v>
      </c>
      <c r="R124" s="2">
        <f t="shared" si="15"/>
        <v>20700.5</v>
      </c>
      <c r="S124" s="2" t="str">
        <f t="shared" si="16"/>
        <v xml:space="preserve"> Not Achieved</v>
      </c>
      <c r="T124" s="2" t="str">
        <f t="shared" si="17"/>
        <v>Average</v>
      </c>
      <c r="U124" s="2"/>
    </row>
    <row r="125" spans="1:21" x14ac:dyDescent="0.3">
      <c r="A125">
        <v>124</v>
      </c>
      <c r="B125" t="s">
        <v>221</v>
      </c>
      <c r="C125" t="str">
        <f t="shared" si="9"/>
        <v>EMP_124</v>
      </c>
      <c r="D125" t="s">
        <v>11</v>
      </c>
      <c r="E125" t="str">
        <f t="shared" si="10"/>
        <v>EMP_124Marketing</v>
      </c>
      <c r="F125" t="s">
        <v>24</v>
      </c>
      <c r="G125" t="s">
        <v>16</v>
      </c>
      <c r="H125">
        <v>71454</v>
      </c>
      <c r="I125">
        <v>3083</v>
      </c>
      <c r="J125">
        <v>0</v>
      </c>
      <c r="K125">
        <v>0</v>
      </c>
      <c r="L125" s="4" t="s">
        <v>222</v>
      </c>
      <c r="M125" s="4" t="str">
        <f t="shared" si="11"/>
        <v>3/14/2018</v>
      </c>
      <c r="N125" s="1">
        <f t="shared" ca="1" si="12"/>
        <v>46064</v>
      </c>
      <c r="O125" s="6" t="e">
        <f t="shared" ca="1" si="13"/>
        <v>#VALUE!</v>
      </c>
      <c r="P125">
        <v>5</v>
      </c>
      <c r="Q125">
        <f t="shared" si="14"/>
        <v>74537</v>
      </c>
      <c r="R125" s="2">
        <f t="shared" si="15"/>
        <v>37268.5</v>
      </c>
      <c r="S125" s="2" t="str">
        <f t="shared" si="16"/>
        <v xml:space="preserve"> Not Achieved</v>
      </c>
      <c r="T125" s="2" t="str">
        <f t="shared" si="17"/>
        <v xml:space="preserve"> Excellent</v>
      </c>
      <c r="U125" s="2"/>
    </row>
    <row r="126" spans="1:21" x14ac:dyDescent="0.3">
      <c r="A126">
        <v>125</v>
      </c>
      <c r="B126" t="s">
        <v>223</v>
      </c>
      <c r="C126" t="str">
        <f t="shared" si="9"/>
        <v>EMP_125</v>
      </c>
      <c r="D126" t="s">
        <v>15</v>
      </c>
      <c r="E126" t="str">
        <f t="shared" si="10"/>
        <v>EMP_125Finance</v>
      </c>
      <c r="F126" t="s">
        <v>18</v>
      </c>
      <c r="G126" t="s">
        <v>22</v>
      </c>
      <c r="H126">
        <v>74914</v>
      </c>
      <c r="I126">
        <v>5817</v>
      </c>
      <c r="J126">
        <v>0</v>
      </c>
      <c r="K126">
        <v>0</v>
      </c>
      <c r="L126" s="4" t="s">
        <v>224</v>
      </c>
      <c r="M126" s="4" t="str">
        <f t="shared" si="11"/>
        <v>2/23/2023</v>
      </c>
      <c r="N126" s="1">
        <f t="shared" ca="1" si="12"/>
        <v>46064</v>
      </c>
      <c r="O126" s="6" t="e">
        <f t="shared" ca="1" si="13"/>
        <v>#VALUE!</v>
      </c>
      <c r="P126">
        <v>3</v>
      </c>
      <c r="Q126">
        <f t="shared" si="14"/>
        <v>80731</v>
      </c>
      <c r="R126" s="2">
        <f t="shared" si="15"/>
        <v>40365.5</v>
      </c>
      <c r="S126" s="2" t="str">
        <f t="shared" si="16"/>
        <v xml:space="preserve"> Not Achieved</v>
      </c>
      <c r="T126" s="2" t="str">
        <f t="shared" si="17"/>
        <v xml:space="preserve"> Excellent</v>
      </c>
      <c r="U126" s="2"/>
    </row>
    <row r="127" spans="1:21" x14ac:dyDescent="0.3">
      <c r="A127">
        <v>126</v>
      </c>
      <c r="B127" t="s">
        <v>225</v>
      </c>
      <c r="C127" t="str">
        <f t="shared" si="9"/>
        <v>EMP_126</v>
      </c>
      <c r="D127" t="s">
        <v>11</v>
      </c>
      <c r="E127" t="str">
        <f t="shared" si="10"/>
        <v>EMP_126IT</v>
      </c>
      <c r="F127" t="s">
        <v>21</v>
      </c>
      <c r="G127" t="s">
        <v>25</v>
      </c>
      <c r="H127">
        <v>62359</v>
      </c>
      <c r="I127">
        <v>5347</v>
      </c>
      <c r="J127">
        <v>0</v>
      </c>
      <c r="K127">
        <v>0</v>
      </c>
      <c r="L127" s="4" t="s">
        <v>226</v>
      </c>
      <c r="M127" s="4" t="str">
        <f t="shared" si="11"/>
        <v>5/14/2019</v>
      </c>
      <c r="N127" s="1">
        <f t="shared" ca="1" si="12"/>
        <v>46064</v>
      </c>
      <c r="O127" s="6" t="e">
        <f t="shared" ca="1" si="13"/>
        <v>#VALUE!</v>
      </c>
      <c r="P127">
        <v>4</v>
      </c>
      <c r="Q127">
        <f t="shared" si="14"/>
        <v>67706</v>
      </c>
      <c r="R127" s="2">
        <f t="shared" si="15"/>
        <v>33853</v>
      </c>
      <c r="S127" s="2" t="str">
        <f t="shared" si="16"/>
        <v xml:space="preserve"> Not Achieved</v>
      </c>
      <c r="T127" s="2" t="str">
        <f t="shared" si="17"/>
        <v xml:space="preserve"> Excellent</v>
      </c>
      <c r="U127" s="2"/>
    </row>
    <row r="128" spans="1:21" x14ac:dyDescent="0.3">
      <c r="A128">
        <v>127</v>
      </c>
      <c r="B128" t="s">
        <v>227</v>
      </c>
      <c r="C128" t="str">
        <f t="shared" si="9"/>
        <v>EMP_127</v>
      </c>
      <c r="D128" t="s">
        <v>11</v>
      </c>
      <c r="E128" t="str">
        <f t="shared" si="10"/>
        <v>EMP_127IT</v>
      </c>
      <c r="F128" t="s">
        <v>21</v>
      </c>
      <c r="G128" t="s">
        <v>25</v>
      </c>
      <c r="H128">
        <v>54971</v>
      </c>
      <c r="I128">
        <v>6807</v>
      </c>
      <c r="J128">
        <v>0</v>
      </c>
      <c r="K128">
        <v>0</v>
      </c>
      <c r="L128" s="4" t="s">
        <v>228</v>
      </c>
      <c r="M128" s="4" t="str">
        <f t="shared" si="11"/>
        <v>3/30/2022</v>
      </c>
      <c r="N128" s="1">
        <f t="shared" ca="1" si="12"/>
        <v>46064</v>
      </c>
      <c r="O128" s="6" t="e">
        <f t="shared" ca="1" si="13"/>
        <v>#VALUE!</v>
      </c>
      <c r="P128">
        <v>3</v>
      </c>
      <c r="Q128">
        <f t="shared" si="14"/>
        <v>61778</v>
      </c>
      <c r="R128" s="2">
        <f t="shared" si="15"/>
        <v>30889</v>
      </c>
      <c r="S128" s="2" t="str">
        <f t="shared" si="16"/>
        <v xml:space="preserve"> Not Achieved</v>
      </c>
      <c r="T128" s="2" t="str">
        <f t="shared" si="17"/>
        <v xml:space="preserve"> Excellent</v>
      </c>
      <c r="U128" s="2"/>
    </row>
    <row r="129" spans="1:21" x14ac:dyDescent="0.3">
      <c r="A129">
        <v>128</v>
      </c>
      <c r="B129" t="s">
        <v>229</v>
      </c>
      <c r="C129" t="str">
        <f t="shared" si="9"/>
        <v>EMP_128</v>
      </c>
      <c r="D129" t="s">
        <v>11</v>
      </c>
      <c r="E129" t="str">
        <f t="shared" si="10"/>
        <v>EMP_128Finance</v>
      </c>
      <c r="F129" t="s">
        <v>18</v>
      </c>
      <c r="G129" t="s">
        <v>16</v>
      </c>
      <c r="H129">
        <v>73058</v>
      </c>
      <c r="I129">
        <v>6310</v>
      </c>
      <c r="J129">
        <v>0</v>
      </c>
      <c r="K129">
        <v>0</v>
      </c>
      <c r="L129" s="4" t="s">
        <v>230</v>
      </c>
      <c r="M129" s="4" t="str">
        <f t="shared" si="11"/>
        <v>7/25/2024</v>
      </c>
      <c r="N129" s="1">
        <f t="shared" ca="1" si="12"/>
        <v>46064</v>
      </c>
      <c r="O129" s="6" t="e">
        <f t="shared" ca="1" si="13"/>
        <v>#VALUE!</v>
      </c>
      <c r="P129">
        <v>2</v>
      </c>
      <c r="Q129">
        <f t="shared" si="14"/>
        <v>79368</v>
      </c>
      <c r="R129" s="2">
        <f t="shared" si="15"/>
        <v>39684</v>
      </c>
      <c r="S129" s="2" t="str">
        <f t="shared" si="16"/>
        <v xml:space="preserve"> Not Achieved</v>
      </c>
      <c r="T129" s="2" t="str">
        <f t="shared" si="17"/>
        <v xml:space="preserve"> Excellent</v>
      </c>
      <c r="U129" s="2"/>
    </row>
    <row r="130" spans="1:21" x14ac:dyDescent="0.3">
      <c r="A130">
        <v>129</v>
      </c>
      <c r="B130" t="s">
        <v>231</v>
      </c>
      <c r="C130" t="str">
        <f t="shared" si="9"/>
        <v>EMP_129</v>
      </c>
      <c r="D130" t="s">
        <v>11</v>
      </c>
      <c r="E130" t="str">
        <f t="shared" si="10"/>
        <v>EMP_129Finance</v>
      </c>
      <c r="F130" t="s">
        <v>18</v>
      </c>
      <c r="G130" t="s">
        <v>13</v>
      </c>
      <c r="H130">
        <v>28599</v>
      </c>
      <c r="I130">
        <v>11045</v>
      </c>
      <c r="J130">
        <v>0</v>
      </c>
      <c r="K130">
        <v>0</v>
      </c>
      <c r="L130" s="4" t="s">
        <v>232</v>
      </c>
      <c r="M130" s="4" t="str">
        <f t="shared" si="11"/>
        <v>5/23/2022</v>
      </c>
      <c r="N130" s="1">
        <f t="shared" ca="1" si="12"/>
        <v>46064</v>
      </c>
      <c r="O130" s="6" t="e">
        <f t="shared" ca="1" si="13"/>
        <v>#VALUE!</v>
      </c>
      <c r="P130">
        <v>1</v>
      </c>
      <c r="Q130">
        <f t="shared" si="14"/>
        <v>39644</v>
      </c>
      <c r="R130" s="2">
        <f t="shared" si="15"/>
        <v>19822</v>
      </c>
      <c r="S130" s="2" t="str">
        <f t="shared" si="16"/>
        <v xml:space="preserve"> Not Achieved</v>
      </c>
      <c r="T130" s="2" t="str">
        <f t="shared" si="17"/>
        <v>poor</v>
      </c>
      <c r="U130" s="2"/>
    </row>
    <row r="131" spans="1:21" x14ac:dyDescent="0.3">
      <c r="A131">
        <v>130</v>
      </c>
      <c r="B131" t="s">
        <v>233</v>
      </c>
      <c r="C131" t="str">
        <f t="shared" ref="C131:C194" si="18">UPPER(B131)</f>
        <v>EMP_130</v>
      </c>
      <c r="D131" t="s">
        <v>11</v>
      </c>
      <c r="E131" t="str">
        <f t="shared" ref="E131:E194" si="19">_xlfn.CONCAT(C131,F131)</f>
        <v>EMP_130Marketing</v>
      </c>
      <c r="F131" t="s">
        <v>24</v>
      </c>
      <c r="G131" t="s">
        <v>13</v>
      </c>
      <c r="H131">
        <v>52101</v>
      </c>
      <c r="I131">
        <v>2786</v>
      </c>
      <c r="J131">
        <v>0</v>
      </c>
      <c r="K131">
        <v>0</v>
      </c>
      <c r="L131" s="4">
        <v>43469</v>
      </c>
      <c r="M131" s="4" t="str">
        <f t="shared" ref="M131:M194" si="20">TEXT(L131,"yyyy")</f>
        <v>2019</v>
      </c>
      <c r="N131" s="1">
        <f t="shared" ref="N131:N194" ca="1" si="21">TODAY()</f>
        <v>46064</v>
      </c>
      <c r="O131" s="6">
        <f t="shared" ref="O131:O194" ca="1" si="22">DATEDIF(L131, TODAY(), "y")</f>
        <v>7</v>
      </c>
      <c r="P131">
        <v>5</v>
      </c>
      <c r="Q131">
        <f t="shared" ref="Q131:Q194" si="23">SUM(H131,I131)</f>
        <v>54887</v>
      </c>
      <c r="R131" s="2">
        <f t="shared" ref="R131:R194" si="24">AVERAGE(H131,I131)</f>
        <v>27443.5</v>
      </c>
      <c r="S131" s="2" t="str">
        <f t="shared" ref="S131:S194" si="25">IF(J131&gt;K131,"Achieved"," Not Achieved")</f>
        <v xml:space="preserve"> Not Achieved</v>
      </c>
      <c r="T131" s="2" t="str">
        <f t="shared" ref="T131:T194" si="26">_xlfn.IFS(H131&gt;=50000," Excellent",H131&gt;=40000,"Good",H131&gt;=30000,"Average",H131&lt;30000,"poor")</f>
        <v xml:space="preserve"> Excellent</v>
      </c>
      <c r="U131" s="2"/>
    </row>
    <row r="132" spans="1:21" x14ac:dyDescent="0.3">
      <c r="A132">
        <v>131</v>
      </c>
      <c r="B132" t="s">
        <v>234</v>
      </c>
      <c r="C132" t="str">
        <f t="shared" si="18"/>
        <v>EMP_131</v>
      </c>
      <c r="D132" t="s">
        <v>11</v>
      </c>
      <c r="E132" t="str">
        <f t="shared" si="19"/>
        <v>EMP_131Marketing</v>
      </c>
      <c r="F132" t="s">
        <v>24</v>
      </c>
      <c r="G132" t="s">
        <v>25</v>
      </c>
      <c r="H132">
        <v>46287</v>
      </c>
      <c r="I132">
        <v>9570</v>
      </c>
      <c r="J132">
        <v>0</v>
      </c>
      <c r="K132">
        <v>0</v>
      </c>
      <c r="L132" s="4" t="s">
        <v>182</v>
      </c>
      <c r="M132" s="4" t="str">
        <f t="shared" si="20"/>
        <v>3/26/2023</v>
      </c>
      <c r="N132" s="1">
        <f t="shared" ca="1" si="21"/>
        <v>46064</v>
      </c>
      <c r="O132" s="6" t="e">
        <f t="shared" ca="1" si="22"/>
        <v>#VALUE!</v>
      </c>
      <c r="P132">
        <v>2</v>
      </c>
      <c r="Q132">
        <f t="shared" si="23"/>
        <v>55857</v>
      </c>
      <c r="R132" s="2">
        <f t="shared" si="24"/>
        <v>27928.5</v>
      </c>
      <c r="S132" s="2" t="str">
        <f t="shared" si="25"/>
        <v xml:space="preserve"> Not Achieved</v>
      </c>
      <c r="T132" s="2" t="str">
        <f t="shared" si="26"/>
        <v>Good</v>
      </c>
      <c r="U132" s="2"/>
    </row>
    <row r="133" spans="1:21" x14ac:dyDescent="0.3">
      <c r="A133">
        <v>132</v>
      </c>
      <c r="B133" t="s">
        <v>235</v>
      </c>
      <c r="C133" t="str">
        <f t="shared" si="18"/>
        <v>EMP_132</v>
      </c>
      <c r="D133" t="s">
        <v>15</v>
      </c>
      <c r="E133" t="str">
        <f t="shared" si="19"/>
        <v>EMP_132Finance</v>
      </c>
      <c r="F133" t="s">
        <v>18</v>
      </c>
      <c r="G133" t="s">
        <v>13</v>
      </c>
      <c r="H133">
        <v>67941</v>
      </c>
      <c r="I133">
        <v>2735</v>
      </c>
      <c r="J133">
        <v>0</v>
      </c>
      <c r="K133">
        <v>0</v>
      </c>
      <c r="L133" s="4" t="s">
        <v>236</v>
      </c>
      <c r="M133" s="4" t="str">
        <f t="shared" si="20"/>
        <v>11/15/2023</v>
      </c>
      <c r="N133" s="1">
        <f t="shared" ca="1" si="21"/>
        <v>46064</v>
      </c>
      <c r="O133" s="6" t="e">
        <f t="shared" ca="1" si="22"/>
        <v>#VALUE!</v>
      </c>
      <c r="P133">
        <v>3</v>
      </c>
      <c r="Q133">
        <f t="shared" si="23"/>
        <v>70676</v>
      </c>
      <c r="R133" s="2">
        <f t="shared" si="24"/>
        <v>35338</v>
      </c>
      <c r="S133" s="2" t="str">
        <f t="shared" si="25"/>
        <v xml:space="preserve"> Not Achieved</v>
      </c>
      <c r="T133" s="2" t="str">
        <f t="shared" si="26"/>
        <v xml:space="preserve"> Excellent</v>
      </c>
      <c r="U133" s="2"/>
    </row>
    <row r="134" spans="1:21" x14ac:dyDescent="0.3">
      <c r="A134">
        <v>133</v>
      </c>
      <c r="B134" t="s">
        <v>237</v>
      </c>
      <c r="C134" t="str">
        <f t="shared" si="18"/>
        <v>EMP_133</v>
      </c>
      <c r="D134" t="s">
        <v>11</v>
      </c>
      <c r="E134" t="str">
        <f t="shared" si="19"/>
        <v>EMP_133Finance</v>
      </c>
      <c r="F134" t="s">
        <v>18</v>
      </c>
      <c r="G134" t="s">
        <v>25</v>
      </c>
      <c r="H134">
        <v>78843</v>
      </c>
      <c r="I134">
        <v>13273</v>
      </c>
      <c r="J134">
        <v>0</v>
      </c>
      <c r="K134">
        <v>0</v>
      </c>
      <c r="L134" s="4">
        <v>43468</v>
      </c>
      <c r="M134" s="4" t="str">
        <f t="shared" si="20"/>
        <v>2019</v>
      </c>
      <c r="N134" s="1">
        <f t="shared" ca="1" si="21"/>
        <v>46064</v>
      </c>
      <c r="O134" s="6">
        <f t="shared" ca="1" si="22"/>
        <v>7</v>
      </c>
      <c r="P134">
        <v>3</v>
      </c>
      <c r="Q134">
        <f t="shared" si="23"/>
        <v>92116</v>
      </c>
      <c r="R134" s="2">
        <f t="shared" si="24"/>
        <v>46058</v>
      </c>
      <c r="S134" s="2" t="str">
        <f t="shared" si="25"/>
        <v xml:space="preserve"> Not Achieved</v>
      </c>
      <c r="T134" s="2" t="str">
        <f t="shared" si="26"/>
        <v xml:space="preserve"> Excellent</v>
      </c>
      <c r="U134" s="2"/>
    </row>
    <row r="135" spans="1:21" x14ac:dyDescent="0.3">
      <c r="A135">
        <v>134</v>
      </c>
      <c r="B135" t="s">
        <v>238</v>
      </c>
      <c r="C135" t="str">
        <f t="shared" si="18"/>
        <v>EMP_134</v>
      </c>
      <c r="D135" t="s">
        <v>15</v>
      </c>
      <c r="E135" t="str">
        <f t="shared" si="19"/>
        <v>EMP_134HR</v>
      </c>
      <c r="F135" t="s">
        <v>12</v>
      </c>
      <c r="G135" t="s">
        <v>25</v>
      </c>
      <c r="H135">
        <v>35575</v>
      </c>
      <c r="I135">
        <v>9989</v>
      </c>
      <c r="J135">
        <v>0</v>
      </c>
      <c r="K135">
        <v>0</v>
      </c>
      <c r="L135" s="4" t="s">
        <v>239</v>
      </c>
      <c r="M135" s="4" t="str">
        <f t="shared" si="20"/>
        <v>8/23/2019</v>
      </c>
      <c r="N135" s="1">
        <f t="shared" ca="1" si="21"/>
        <v>46064</v>
      </c>
      <c r="O135" s="6" t="e">
        <f t="shared" ca="1" si="22"/>
        <v>#VALUE!</v>
      </c>
      <c r="P135">
        <v>3</v>
      </c>
      <c r="Q135">
        <f t="shared" si="23"/>
        <v>45564</v>
      </c>
      <c r="R135" s="2">
        <f t="shared" si="24"/>
        <v>22782</v>
      </c>
      <c r="S135" s="2" t="str">
        <f t="shared" si="25"/>
        <v xml:space="preserve"> Not Achieved</v>
      </c>
      <c r="T135" s="2" t="str">
        <f t="shared" si="26"/>
        <v>Average</v>
      </c>
      <c r="U135" s="2"/>
    </row>
    <row r="136" spans="1:21" x14ac:dyDescent="0.3">
      <c r="A136">
        <v>135</v>
      </c>
      <c r="B136" t="s">
        <v>240</v>
      </c>
      <c r="C136" t="str">
        <f t="shared" si="18"/>
        <v>EMP_135</v>
      </c>
      <c r="D136" t="s">
        <v>11</v>
      </c>
      <c r="E136" t="str">
        <f t="shared" si="19"/>
        <v>EMP_135HR</v>
      </c>
      <c r="F136" t="s">
        <v>12</v>
      </c>
      <c r="G136" t="s">
        <v>22</v>
      </c>
      <c r="H136">
        <v>71572</v>
      </c>
      <c r="I136">
        <v>5240</v>
      </c>
      <c r="J136">
        <v>0</v>
      </c>
      <c r="K136">
        <v>0</v>
      </c>
      <c r="L136" s="4" t="s">
        <v>241</v>
      </c>
      <c r="M136" s="4" t="str">
        <f t="shared" si="20"/>
        <v>6/15/2018</v>
      </c>
      <c r="N136" s="1">
        <f t="shared" ca="1" si="21"/>
        <v>46064</v>
      </c>
      <c r="O136" s="6" t="e">
        <f t="shared" ca="1" si="22"/>
        <v>#VALUE!</v>
      </c>
      <c r="P136">
        <v>4</v>
      </c>
      <c r="Q136">
        <f t="shared" si="23"/>
        <v>76812</v>
      </c>
      <c r="R136" s="2">
        <f t="shared" si="24"/>
        <v>38406</v>
      </c>
      <c r="S136" s="2" t="str">
        <f t="shared" si="25"/>
        <v xml:space="preserve"> Not Achieved</v>
      </c>
      <c r="T136" s="2" t="str">
        <f t="shared" si="26"/>
        <v xml:space="preserve"> Excellent</v>
      </c>
      <c r="U136" s="2"/>
    </row>
    <row r="137" spans="1:21" x14ac:dyDescent="0.3">
      <c r="A137">
        <v>136</v>
      </c>
      <c r="B137" t="s">
        <v>242</v>
      </c>
      <c r="C137" t="str">
        <f t="shared" si="18"/>
        <v>EMP_136</v>
      </c>
      <c r="D137" t="s">
        <v>11</v>
      </c>
      <c r="E137" t="str">
        <f t="shared" si="19"/>
        <v>EMP_136Sales</v>
      </c>
      <c r="F137" t="s">
        <v>7</v>
      </c>
      <c r="G137" t="s">
        <v>16</v>
      </c>
      <c r="H137">
        <v>29535</v>
      </c>
      <c r="I137">
        <v>13405</v>
      </c>
      <c r="J137">
        <v>79584</v>
      </c>
      <c r="K137">
        <v>119342</v>
      </c>
      <c r="L137" s="4" t="s">
        <v>243</v>
      </c>
      <c r="M137" s="4" t="str">
        <f t="shared" si="20"/>
        <v>8/24/2018</v>
      </c>
      <c r="N137" s="1">
        <f t="shared" ca="1" si="21"/>
        <v>46064</v>
      </c>
      <c r="O137" s="6" t="e">
        <f t="shared" ca="1" si="22"/>
        <v>#VALUE!</v>
      </c>
      <c r="P137">
        <v>5</v>
      </c>
      <c r="Q137">
        <f t="shared" si="23"/>
        <v>42940</v>
      </c>
      <c r="R137" s="2">
        <f t="shared" si="24"/>
        <v>21470</v>
      </c>
      <c r="S137" s="2" t="str">
        <f t="shared" si="25"/>
        <v xml:space="preserve"> Not Achieved</v>
      </c>
      <c r="T137" s="2" t="str">
        <f t="shared" si="26"/>
        <v>poor</v>
      </c>
      <c r="U137" s="2"/>
    </row>
    <row r="138" spans="1:21" x14ac:dyDescent="0.3">
      <c r="A138">
        <v>137</v>
      </c>
      <c r="B138" t="s">
        <v>244</v>
      </c>
      <c r="C138" t="str">
        <f t="shared" si="18"/>
        <v>EMP_137</v>
      </c>
      <c r="D138" t="s">
        <v>11</v>
      </c>
      <c r="E138" t="str">
        <f t="shared" si="19"/>
        <v>EMP_137HR</v>
      </c>
      <c r="F138" t="s">
        <v>12</v>
      </c>
      <c r="G138" t="s">
        <v>16</v>
      </c>
      <c r="H138">
        <v>75462</v>
      </c>
      <c r="I138">
        <v>8766</v>
      </c>
      <c r="J138">
        <v>0</v>
      </c>
      <c r="K138">
        <v>0</v>
      </c>
      <c r="L138" s="4">
        <v>45445</v>
      </c>
      <c r="M138" s="4" t="str">
        <f t="shared" si="20"/>
        <v>2024</v>
      </c>
      <c r="N138" s="1">
        <f t="shared" ca="1" si="21"/>
        <v>46064</v>
      </c>
      <c r="O138" s="6">
        <f t="shared" ca="1" si="22"/>
        <v>1</v>
      </c>
      <c r="P138">
        <v>4</v>
      </c>
      <c r="Q138">
        <f t="shared" si="23"/>
        <v>84228</v>
      </c>
      <c r="R138" s="2">
        <f t="shared" si="24"/>
        <v>42114</v>
      </c>
      <c r="S138" s="2" t="str">
        <f t="shared" si="25"/>
        <v xml:space="preserve"> Not Achieved</v>
      </c>
      <c r="T138" s="2" t="str">
        <f t="shared" si="26"/>
        <v xml:space="preserve"> Excellent</v>
      </c>
      <c r="U138" s="2"/>
    </row>
    <row r="139" spans="1:21" x14ac:dyDescent="0.3">
      <c r="A139">
        <v>138</v>
      </c>
      <c r="B139" t="s">
        <v>245</v>
      </c>
      <c r="C139" t="str">
        <f t="shared" si="18"/>
        <v>EMP_138</v>
      </c>
      <c r="D139" t="s">
        <v>11</v>
      </c>
      <c r="E139" t="str">
        <f t="shared" si="19"/>
        <v>EMP_138Sales</v>
      </c>
      <c r="F139" t="s">
        <v>7</v>
      </c>
      <c r="G139" t="s">
        <v>22</v>
      </c>
      <c r="H139">
        <v>32638</v>
      </c>
      <c r="I139">
        <v>6405</v>
      </c>
      <c r="J139">
        <v>54975</v>
      </c>
      <c r="K139">
        <v>188319</v>
      </c>
      <c r="L139" s="4" t="s">
        <v>246</v>
      </c>
      <c r="M139" s="4" t="str">
        <f t="shared" si="20"/>
        <v>12/22/2023</v>
      </c>
      <c r="N139" s="1">
        <f t="shared" ca="1" si="21"/>
        <v>46064</v>
      </c>
      <c r="O139" s="6" t="e">
        <f t="shared" ca="1" si="22"/>
        <v>#VALUE!</v>
      </c>
      <c r="P139">
        <v>2</v>
      </c>
      <c r="Q139">
        <f t="shared" si="23"/>
        <v>39043</v>
      </c>
      <c r="R139" s="2">
        <f t="shared" si="24"/>
        <v>19521.5</v>
      </c>
      <c r="S139" s="2" t="str">
        <f t="shared" si="25"/>
        <v xml:space="preserve"> Not Achieved</v>
      </c>
      <c r="T139" s="2" t="str">
        <f t="shared" si="26"/>
        <v>Average</v>
      </c>
      <c r="U139" s="2"/>
    </row>
    <row r="140" spans="1:21" x14ac:dyDescent="0.3">
      <c r="A140">
        <v>139</v>
      </c>
      <c r="B140" t="s">
        <v>247</v>
      </c>
      <c r="C140" t="str">
        <f t="shared" si="18"/>
        <v>EMP_139</v>
      </c>
      <c r="D140" t="s">
        <v>15</v>
      </c>
      <c r="E140" t="str">
        <f t="shared" si="19"/>
        <v>EMP_139HR</v>
      </c>
      <c r="F140" t="s">
        <v>12</v>
      </c>
      <c r="G140" t="s">
        <v>16</v>
      </c>
      <c r="H140">
        <v>70957</v>
      </c>
      <c r="I140">
        <v>3976</v>
      </c>
      <c r="J140">
        <v>0</v>
      </c>
      <c r="K140">
        <v>0</v>
      </c>
      <c r="L140" s="4">
        <v>44840</v>
      </c>
      <c r="M140" s="4" t="str">
        <f t="shared" si="20"/>
        <v>2022</v>
      </c>
      <c r="N140" s="1">
        <f t="shared" ca="1" si="21"/>
        <v>46064</v>
      </c>
      <c r="O140" s="6">
        <f t="shared" ca="1" si="22"/>
        <v>3</v>
      </c>
      <c r="P140">
        <v>1</v>
      </c>
      <c r="Q140">
        <f t="shared" si="23"/>
        <v>74933</v>
      </c>
      <c r="R140" s="2">
        <f t="shared" si="24"/>
        <v>37466.5</v>
      </c>
      <c r="S140" s="2" t="str">
        <f t="shared" si="25"/>
        <v xml:space="preserve"> Not Achieved</v>
      </c>
      <c r="T140" s="2" t="str">
        <f t="shared" si="26"/>
        <v xml:space="preserve"> Excellent</v>
      </c>
      <c r="U140" s="2"/>
    </row>
    <row r="141" spans="1:21" x14ac:dyDescent="0.3">
      <c r="A141">
        <v>140</v>
      </c>
      <c r="B141" t="s">
        <v>248</v>
      </c>
      <c r="C141" t="str">
        <f t="shared" si="18"/>
        <v>EMP_140</v>
      </c>
      <c r="D141" t="s">
        <v>15</v>
      </c>
      <c r="E141" t="str">
        <f t="shared" si="19"/>
        <v>EMP_140IT</v>
      </c>
      <c r="F141" t="s">
        <v>21</v>
      </c>
      <c r="G141" t="s">
        <v>16</v>
      </c>
      <c r="H141">
        <v>41161</v>
      </c>
      <c r="I141">
        <v>9195</v>
      </c>
      <c r="J141">
        <v>0</v>
      </c>
      <c r="K141">
        <v>0</v>
      </c>
      <c r="L141" s="4">
        <v>44662</v>
      </c>
      <c r="M141" s="4" t="str">
        <f t="shared" si="20"/>
        <v>2022</v>
      </c>
      <c r="N141" s="1">
        <f t="shared" ca="1" si="21"/>
        <v>46064</v>
      </c>
      <c r="O141" s="6">
        <f t="shared" ca="1" si="22"/>
        <v>3</v>
      </c>
      <c r="P141">
        <v>2</v>
      </c>
      <c r="Q141">
        <f t="shared" si="23"/>
        <v>50356</v>
      </c>
      <c r="R141" s="2">
        <f t="shared" si="24"/>
        <v>25178</v>
      </c>
      <c r="S141" s="2" t="str">
        <f t="shared" si="25"/>
        <v xml:space="preserve"> Not Achieved</v>
      </c>
      <c r="T141" s="2" t="str">
        <f t="shared" si="26"/>
        <v>Good</v>
      </c>
      <c r="U141" s="2"/>
    </row>
    <row r="142" spans="1:21" x14ac:dyDescent="0.3">
      <c r="A142">
        <v>141</v>
      </c>
      <c r="B142" t="s">
        <v>249</v>
      </c>
      <c r="C142" t="str">
        <f t="shared" si="18"/>
        <v>EMP_141</v>
      </c>
      <c r="D142" t="s">
        <v>15</v>
      </c>
      <c r="E142" t="str">
        <f t="shared" si="19"/>
        <v>EMP_141HR</v>
      </c>
      <c r="F142" t="s">
        <v>12</v>
      </c>
      <c r="G142" t="s">
        <v>22</v>
      </c>
      <c r="H142">
        <v>55403</v>
      </c>
      <c r="I142">
        <v>2967</v>
      </c>
      <c r="J142">
        <v>0</v>
      </c>
      <c r="K142">
        <v>0</v>
      </c>
      <c r="L142" s="4">
        <v>43807</v>
      </c>
      <c r="M142" s="4" t="str">
        <f t="shared" si="20"/>
        <v>2019</v>
      </c>
      <c r="N142" s="1">
        <f t="shared" ca="1" si="21"/>
        <v>46064</v>
      </c>
      <c r="O142" s="6">
        <f t="shared" ca="1" si="22"/>
        <v>6</v>
      </c>
      <c r="P142">
        <v>1</v>
      </c>
      <c r="Q142">
        <f t="shared" si="23"/>
        <v>58370</v>
      </c>
      <c r="R142" s="2">
        <f t="shared" si="24"/>
        <v>29185</v>
      </c>
      <c r="S142" s="2" t="str">
        <f t="shared" si="25"/>
        <v xml:space="preserve"> Not Achieved</v>
      </c>
      <c r="T142" s="2" t="str">
        <f t="shared" si="26"/>
        <v xml:space="preserve"> Excellent</v>
      </c>
      <c r="U142" s="2"/>
    </row>
    <row r="143" spans="1:21" x14ac:dyDescent="0.3">
      <c r="A143">
        <v>142</v>
      </c>
      <c r="B143" t="s">
        <v>250</v>
      </c>
      <c r="C143" t="str">
        <f t="shared" si="18"/>
        <v>EMP_142</v>
      </c>
      <c r="D143" t="s">
        <v>11</v>
      </c>
      <c r="E143" t="str">
        <f t="shared" si="19"/>
        <v>EMP_142HR</v>
      </c>
      <c r="F143" t="s">
        <v>12</v>
      </c>
      <c r="G143" t="s">
        <v>19</v>
      </c>
      <c r="H143">
        <v>47019</v>
      </c>
      <c r="I143">
        <v>7750</v>
      </c>
      <c r="J143">
        <v>0</v>
      </c>
      <c r="K143">
        <v>0</v>
      </c>
      <c r="L143" s="4">
        <v>44629</v>
      </c>
      <c r="M143" s="4" t="str">
        <f t="shared" si="20"/>
        <v>2022</v>
      </c>
      <c r="N143" s="1">
        <f t="shared" ca="1" si="21"/>
        <v>46064</v>
      </c>
      <c r="O143" s="6">
        <f t="shared" ca="1" si="22"/>
        <v>3</v>
      </c>
      <c r="P143">
        <v>2</v>
      </c>
      <c r="Q143">
        <f t="shared" si="23"/>
        <v>54769</v>
      </c>
      <c r="R143" s="2">
        <f t="shared" si="24"/>
        <v>27384.5</v>
      </c>
      <c r="S143" s="2" t="str">
        <f t="shared" si="25"/>
        <v xml:space="preserve"> Not Achieved</v>
      </c>
      <c r="T143" s="2" t="str">
        <f t="shared" si="26"/>
        <v>Good</v>
      </c>
      <c r="U143" s="2"/>
    </row>
    <row r="144" spans="1:21" x14ac:dyDescent="0.3">
      <c r="A144">
        <v>143</v>
      </c>
      <c r="B144" t="s">
        <v>251</v>
      </c>
      <c r="C144" t="str">
        <f t="shared" si="18"/>
        <v>EMP_143</v>
      </c>
      <c r="D144" t="s">
        <v>11</v>
      </c>
      <c r="E144" t="str">
        <f t="shared" si="19"/>
        <v>EMP_143IT</v>
      </c>
      <c r="F144" t="s">
        <v>21</v>
      </c>
      <c r="G144" t="s">
        <v>19</v>
      </c>
      <c r="H144">
        <v>70260</v>
      </c>
      <c r="I144">
        <v>9547</v>
      </c>
      <c r="J144">
        <v>0</v>
      </c>
      <c r="K144">
        <v>0</v>
      </c>
      <c r="L144" s="4" t="s">
        <v>252</v>
      </c>
      <c r="M144" s="4" t="str">
        <f t="shared" si="20"/>
        <v>5/16/2021</v>
      </c>
      <c r="N144" s="1">
        <f t="shared" ca="1" si="21"/>
        <v>46064</v>
      </c>
      <c r="O144" s="6" t="e">
        <f t="shared" ca="1" si="22"/>
        <v>#VALUE!</v>
      </c>
      <c r="P144">
        <v>5</v>
      </c>
      <c r="Q144">
        <f t="shared" si="23"/>
        <v>79807</v>
      </c>
      <c r="R144" s="2">
        <f t="shared" si="24"/>
        <v>39903.5</v>
      </c>
      <c r="S144" s="2" t="str">
        <f t="shared" si="25"/>
        <v xml:space="preserve"> Not Achieved</v>
      </c>
      <c r="T144" s="2" t="str">
        <f t="shared" si="26"/>
        <v xml:space="preserve"> Excellent</v>
      </c>
      <c r="U144" s="2"/>
    </row>
    <row r="145" spans="1:21" x14ac:dyDescent="0.3">
      <c r="A145">
        <v>144</v>
      </c>
      <c r="B145" t="s">
        <v>253</v>
      </c>
      <c r="C145" t="str">
        <f t="shared" si="18"/>
        <v>EMP_144</v>
      </c>
      <c r="D145" t="s">
        <v>15</v>
      </c>
      <c r="E145" t="str">
        <f t="shared" si="19"/>
        <v>EMP_144HR</v>
      </c>
      <c r="F145" t="s">
        <v>12</v>
      </c>
      <c r="G145" t="s">
        <v>13</v>
      </c>
      <c r="H145">
        <v>53578</v>
      </c>
      <c r="I145">
        <v>7432</v>
      </c>
      <c r="J145">
        <v>0</v>
      </c>
      <c r="K145">
        <v>0</v>
      </c>
      <c r="L145" s="4" t="s">
        <v>254</v>
      </c>
      <c r="M145" s="4" t="str">
        <f t="shared" si="20"/>
        <v>7/20/2019</v>
      </c>
      <c r="N145" s="1">
        <f t="shared" ca="1" si="21"/>
        <v>46064</v>
      </c>
      <c r="O145" s="6" t="e">
        <f t="shared" ca="1" si="22"/>
        <v>#VALUE!</v>
      </c>
      <c r="P145">
        <v>2</v>
      </c>
      <c r="Q145">
        <f t="shared" si="23"/>
        <v>61010</v>
      </c>
      <c r="R145" s="2">
        <f t="shared" si="24"/>
        <v>30505</v>
      </c>
      <c r="S145" s="2" t="str">
        <f t="shared" si="25"/>
        <v xml:space="preserve"> Not Achieved</v>
      </c>
      <c r="T145" s="2" t="str">
        <f t="shared" si="26"/>
        <v xml:space="preserve"> Excellent</v>
      </c>
      <c r="U145" s="2"/>
    </row>
    <row r="146" spans="1:21" x14ac:dyDescent="0.3">
      <c r="A146">
        <v>145</v>
      </c>
      <c r="B146" t="s">
        <v>255</v>
      </c>
      <c r="C146" t="str">
        <f t="shared" si="18"/>
        <v>EMP_145</v>
      </c>
      <c r="D146" t="s">
        <v>11</v>
      </c>
      <c r="E146" t="str">
        <f t="shared" si="19"/>
        <v>EMP_145Marketing</v>
      </c>
      <c r="F146" t="s">
        <v>24</v>
      </c>
      <c r="G146" t="s">
        <v>16</v>
      </c>
      <c r="H146">
        <v>39928</v>
      </c>
      <c r="I146">
        <v>13377</v>
      </c>
      <c r="J146">
        <v>0</v>
      </c>
      <c r="K146">
        <v>0</v>
      </c>
      <c r="L146" s="4" t="s">
        <v>256</v>
      </c>
      <c r="M146" s="4" t="str">
        <f t="shared" si="20"/>
        <v>1/19/2021</v>
      </c>
      <c r="N146" s="1">
        <f t="shared" ca="1" si="21"/>
        <v>46064</v>
      </c>
      <c r="O146" s="6" t="e">
        <f t="shared" ca="1" si="22"/>
        <v>#VALUE!</v>
      </c>
      <c r="P146">
        <v>4</v>
      </c>
      <c r="Q146">
        <f t="shared" si="23"/>
        <v>53305</v>
      </c>
      <c r="R146" s="2">
        <f t="shared" si="24"/>
        <v>26652.5</v>
      </c>
      <c r="S146" s="2" t="str">
        <f t="shared" si="25"/>
        <v xml:space="preserve"> Not Achieved</v>
      </c>
      <c r="T146" s="2" t="str">
        <f t="shared" si="26"/>
        <v>Average</v>
      </c>
      <c r="U146" s="2"/>
    </row>
    <row r="147" spans="1:21" x14ac:dyDescent="0.3">
      <c r="A147">
        <v>146</v>
      </c>
      <c r="B147" t="s">
        <v>257</v>
      </c>
      <c r="C147" t="str">
        <f t="shared" si="18"/>
        <v>EMP_146</v>
      </c>
      <c r="D147" t="s">
        <v>15</v>
      </c>
      <c r="E147" t="str">
        <f t="shared" si="19"/>
        <v>EMP_146Finance</v>
      </c>
      <c r="F147" t="s">
        <v>18</v>
      </c>
      <c r="G147" t="s">
        <v>25</v>
      </c>
      <c r="H147">
        <v>61905</v>
      </c>
      <c r="I147">
        <v>9864</v>
      </c>
      <c r="J147">
        <v>0</v>
      </c>
      <c r="K147">
        <v>0</v>
      </c>
      <c r="L147" s="4" t="s">
        <v>258</v>
      </c>
      <c r="M147" s="4" t="str">
        <f t="shared" si="20"/>
        <v>10/22/2021</v>
      </c>
      <c r="N147" s="1">
        <f t="shared" ca="1" si="21"/>
        <v>46064</v>
      </c>
      <c r="O147" s="6" t="e">
        <f t="shared" ca="1" si="22"/>
        <v>#VALUE!</v>
      </c>
      <c r="P147">
        <v>2</v>
      </c>
      <c r="Q147">
        <f t="shared" si="23"/>
        <v>71769</v>
      </c>
      <c r="R147" s="2">
        <f t="shared" si="24"/>
        <v>35884.5</v>
      </c>
      <c r="S147" s="2" t="str">
        <f t="shared" si="25"/>
        <v xml:space="preserve"> Not Achieved</v>
      </c>
      <c r="T147" s="2" t="str">
        <f t="shared" si="26"/>
        <v xml:space="preserve"> Excellent</v>
      </c>
      <c r="U147" s="2"/>
    </row>
    <row r="148" spans="1:21" x14ac:dyDescent="0.3">
      <c r="A148">
        <v>147</v>
      </c>
      <c r="B148" t="s">
        <v>259</v>
      </c>
      <c r="C148" t="str">
        <f t="shared" si="18"/>
        <v>EMP_147</v>
      </c>
      <c r="D148" t="s">
        <v>15</v>
      </c>
      <c r="E148" t="str">
        <f t="shared" si="19"/>
        <v>EMP_147HR</v>
      </c>
      <c r="F148" t="s">
        <v>12</v>
      </c>
      <c r="G148" t="s">
        <v>13</v>
      </c>
      <c r="H148">
        <v>46914</v>
      </c>
      <c r="I148">
        <v>10791</v>
      </c>
      <c r="J148">
        <v>0</v>
      </c>
      <c r="K148">
        <v>0</v>
      </c>
      <c r="L148" s="4">
        <v>43193</v>
      </c>
      <c r="M148" s="4" t="str">
        <f t="shared" si="20"/>
        <v>2018</v>
      </c>
      <c r="N148" s="1">
        <f t="shared" ca="1" si="21"/>
        <v>46064</v>
      </c>
      <c r="O148" s="6">
        <f t="shared" ca="1" si="22"/>
        <v>7</v>
      </c>
      <c r="P148">
        <v>1</v>
      </c>
      <c r="Q148">
        <f t="shared" si="23"/>
        <v>57705</v>
      </c>
      <c r="R148" s="2">
        <f t="shared" si="24"/>
        <v>28852.5</v>
      </c>
      <c r="S148" s="2" t="str">
        <f t="shared" si="25"/>
        <v xml:space="preserve"> Not Achieved</v>
      </c>
      <c r="T148" s="2" t="str">
        <f t="shared" si="26"/>
        <v>Good</v>
      </c>
      <c r="U148" s="2"/>
    </row>
    <row r="149" spans="1:21" x14ac:dyDescent="0.3">
      <c r="A149">
        <v>148</v>
      </c>
      <c r="B149" t="s">
        <v>260</v>
      </c>
      <c r="C149" t="str">
        <f t="shared" si="18"/>
        <v>EMP_148</v>
      </c>
      <c r="D149" t="s">
        <v>11</v>
      </c>
      <c r="E149" t="str">
        <f t="shared" si="19"/>
        <v>EMP_148HR</v>
      </c>
      <c r="F149" t="s">
        <v>12</v>
      </c>
      <c r="G149" t="s">
        <v>19</v>
      </c>
      <c r="H149">
        <v>62027</v>
      </c>
      <c r="I149">
        <v>9106</v>
      </c>
      <c r="J149">
        <v>0</v>
      </c>
      <c r="K149">
        <v>0</v>
      </c>
      <c r="L149" s="4">
        <v>43473</v>
      </c>
      <c r="M149" s="4" t="str">
        <f t="shared" si="20"/>
        <v>2019</v>
      </c>
      <c r="N149" s="1">
        <f t="shared" ca="1" si="21"/>
        <v>46064</v>
      </c>
      <c r="O149" s="6">
        <f t="shared" ca="1" si="22"/>
        <v>7</v>
      </c>
      <c r="P149">
        <v>2</v>
      </c>
      <c r="Q149">
        <f t="shared" si="23"/>
        <v>71133</v>
      </c>
      <c r="R149" s="2">
        <f t="shared" si="24"/>
        <v>35566.5</v>
      </c>
      <c r="S149" s="2" t="str">
        <f t="shared" si="25"/>
        <v xml:space="preserve"> Not Achieved</v>
      </c>
      <c r="T149" s="2" t="str">
        <f t="shared" si="26"/>
        <v xml:space="preserve"> Excellent</v>
      </c>
      <c r="U149" s="2"/>
    </row>
    <row r="150" spans="1:21" x14ac:dyDescent="0.3">
      <c r="A150">
        <v>149</v>
      </c>
      <c r="B150" t="s">
        <v>261</v>
      </c>
      <c r="C150" t="str">
        <f t="shared" si="18"/>
        <v>EMP_149</v>
      </c>
      <c r="D150" t="s">
        <v>11</v>
      </c>
      <c r="E150" t="str">
        <f t="shared" si="19"/>
        <v>EMP_149HR</v>
      </c>
      <c r="F150" t="s">
        <v>12</v>
      </c>
      <c r="G150" t="s">
        <v>25</v>
      </c>
      <c r="H150">
        <v>62686</v>
      </c>
      <c r="I150">
        <v>7921</v>
      </c>
      <c r="J150">
        <v>0</v>
      </c>
      <c r="K150">
        <v>0</v>
      </c>
      <c r="L150" s="4" t="s">
        <v>262</v>
      </c>
      <c r="M150" s="4" t="str">
        <f t="shared" si="20"/>
        <v>8/28/2018</v>
      </c>
      <c r="N150" s="1">
        <f t="shared" ca="1" si="21"/>
        <v>46064</v>
      </c>
      <c r="O150" s="6" t="e">
        <f t="shared" ca="1" si="22"/>
        <v>#VALUE!</v>
      </c>
      <c r="P150">
        <v>2</v>
      </c>
      <c r="Q150">
        <f t="shared" si="23"/>
        <v>70607</v>
      </c>
      <c r="R150" s="2">
        <f t="shared" si="24"/>
        <v>35303.5</v>
      </c>
      <c r="S150" s="2" t="str">
        <f t="shared" si="25"/>
        <v xml:space="preserve"> Not Achieved</v>
      </c>
      <c r="T150" s="2" t="str">
        <f t="shared" si="26"/>
        <v xml:space="preserve"> Excellent</v>
      </c>
      <c r="U150" s="2"/>
    </row>
    <row r="151" spans="1:21" x14ac:dyDescent="0.3">
      <c r="A151">
        <v>150</v>
      </c>
      <c r="B151" t="s">
        <v>263</v>
      </c>
      <c r="C151" t="str">
        <f t="shared" si="18"/>
        <v>EMP_150</v>
      </c>
      <c r="D151" t="s">
        <v>11</v>
      </c>
      <c r="E151" t="str">
        <f t="shared" si="19"/>
        <v>EMP_150HR</v>
      </c>
      <c r="F151" t="s">
        <v>12</v>
      </c>
      <c r="G151" t="s">
        <v>13</v>
      </c>
      <c r="H151">
        <v>55363</v>
      </c>
      <c r="I151">
        <v>9689</v>
      </c>
      <c r="J151">
        <v>0</v>
      </c>
      <c r="K151">
        <v>0</v>
      </c>
      <c r="L151" s="4">
        <v>44479</v>
      </c>
      <c r="M151" s="4" t="str">
        <f t="shared" si="20"/>
        <v>2021</v>
      </c>
      <c r="N151" s="1">
        <f t="shared" ca="1" si="21"/>
        <v>46064</v>
      </c>
      <c r="O151" s="6">
        <f t="shared" ca="1" si="22"/>
        <v>4</v>
      </c>
      <c r="P151">
        <v>2</v>
      </c>
      <c r="Q151">
        <f t="shared" si="23"/>
        <v>65052</v>
      </c>
      <c r="R151" s="2">
        <f t="shared" si="24"/>
        <v>32526</v>
      </c>
      <c r="S151" s="2" t="str">
        <f t="shared" si="25"/>
        <v xml:space="preserve"> Not Achieved</v>
      </c>
      <c r="T151" s="2" t="str">
        <f t="shared" si="26"/>
        <v xml:space="preserve"> Excellent</v>
      </c>
      <c r="U151" s="2"/>
    </row>
    <row r="152" spans="1:21" x14ac:dyDescent="0.3">
      <c r="A152">
        <v>151</v>
      </c>
      <c r="B152" t="s">
        <v>264</v>
      </c>
      <c r="C152" t="str">
        <f t="shared" si="18"/>
        <v>EMP_151</v>
      </c>
      <c r="D152" t="s">
        <v>15</v>
      </c>
      <c r="E152" t="str">
        <f t="shared" si="19"/>
        <v>EMP_151Sales</v>
      </c>
      <c r="F152" t="s">
        <v>7</v>
      </c>
      <c r="G152" t="s">
        <v>16</v>
      </c>
      <c r="H152">
        <v>67043</v>
      </c>
      <c r="I152">
        <v>6693</v>
      </c>
      <c r="J152">
        <v>148691</v>
      </c>
      <c r="K152">
        <v>87798</v>
      </c>
      <c r="L152" s="4">
        <v>43223</v>
      </c>
      <c r="M152" s="4" t="str">
        <f t="shared" si="20"/>
        <v>2018</v>
      </c>
      <c r="N152" s="1">
        <f t="shared" ca="1" si="21"/>
        <v>46064</v>
      </c>
      <c r="O152" s="6">
        <f t="shared" ca="1" si="22"/>
        <v>7</v>
      </c>
      <c r="P152">
        <v>5</v>
      </c>
      <c r="Q152">
        <f t="shared" si="23"/>
        <v>73736</v>
      </c>
      <c r="R152" s="2">
        <f t="shared" si="24"/>
        <v>36868</v>
      </c>
      <c r="S152" s="2" t="str">
        <f t="shared" si="25"/>
        <v>Achieved</v>
      </c>
      <c r="T152" s="2" t="str">
        <f t="shared" si="26"/>
        <v xml:space="preserve"> Excellent</v>
      </c>
      <c r="U152" s="2"/>
    </row>
    <row r="153" spans="1:21" x14ac:dyDescent="0.3">
      <c r="A153">
        <v>152</v>
      </c>
      <c r="B153" t="s">
        <v>265</v>
      </c>
      <c r="C153" t="str">
        <f t="shared" si="18"/>
        <v>EMP_152</v>
      </c>
      <c r="D153" t="s">
        <v>15</v>
      </c>
      <c r="E153" t="str">
        <f t="shared" si="19"/>
        <v>EMP_152IT</v>
      </c>
      <c r="F153" t="s">
        <v>21</v>
      </c>
      <c r="G153" t="s">
        <v>25</v>
      </c>
      <c r="H153">
        <v>79367</v>
      </c>
      <c r="I153">
        <v>13354</v>
      </c>
      <c r="J153">
        <v>0</v>
      </c>
      <c r="K153">
        <v>0</v>
      </c>
      <c r="L153" s="4" t="s">
        <v>266</v>
      </c>
      <c r="M153" s="4" t="str">
        <f t="shared" si="20"/>
        <v>9/19/2020</v>
      </c>
      <c r="N153" s="1">
        <f t="shared" ca="1" si="21"/>
        <v>46064</v>
      </c>
      <c r="O153" s="6" t="e">
        <f t="shared" ca="1" si="22"/>
        <v>#VALUE!</v>
      </c>
      <c r="P153">
        <v>2</v>
      </c>
      <c r="Q153">
        <f t="shared" si="23"/>
        <v>92721</v>
      </c>
      <c r="R153" s="2">
        <f t="shared" si="24"/>
        <v>46360.5</v>
      </c>
      <c r="S153" s="2" t="str">
        <f t="shared" si="25"/>
        <v xml:space="preserve"> Not Achieved</v>
      </c>
      <c r="T153" s="2" t="str">
        <f t="shared" si="26"/>
        <v xml:space="preserve"> Excellent</v>
      </c>
      <c r="U153" s="2"/>
    </row>
    <row r="154" spans="1:21" x14ac:dyDescent="0.3">
      <c r="A154">
        <v>153</v>
      </c>
      <c r="B154" t="s">
        <v>267</v>
      </c>
      <c r="C154" t="str">
        <f t="shared" si="18"/>
        <v>EMP_153</v>
      </c>
      <c r="D154" t="s">
        <v>15</v>
      </c>
      <c r="E154" t="str">
        <f t="shared" si="19"/>
        <v>EMP_153Finance</v>
      </c>
      <c r="F154" t="s">
        <v>18</v>
      </c>
      <c r="G154" t="s">
        <v>25</v>
      </c>
      <c r="H154">
        <v>24867</v>
      </c>
      <c r="I154">
        <v>3313</v>
      </c>
      <c r="J154">
        <v>0</v>
      </c>
      <c r="K154">
        <v>0</v>
      </c>
      <c r="L154" s="4" t="s">
        <v>268</v>
      </c>
      <c r="M154" s="4" t="str">
        <f t="shared" si="20"/>
        <v>1/21/2022</v>
      </c>
      <c r="N154" s="1">
        <f t="shared" ca="1" si="21"/>
        <v>46064</v>
      </c>
      <c r="O154" s="6" t="e">
        <f t="shared" ca="1" si="22"/>
        <v>#VALUE!</v>
      </c>
      <c r="P154">
        <v>5</v>
      </c>
      <c r="Q154">
        <f t="shared" si="23"/>
        <v>28180</v>
      </c>
      <c r="R154" s="2">
        <f t="shared" si="24"/>
        <v>14090</v>
      </c>
      <c r="S154" s="2" t="str">
        <f t="shared" si="25"/>
        <v xml:space="preserve"> Not Achieved</v>
      </c>
      <c r="T154" s="2" t="str">
        <f t="shared" si="26"/>
        <v>poor</v>
      </c>
      <c r="U154" s="2"/>
    </row>
    <row r="155" spans="1:21" x14ac:dyDescent="0.3">
      <c r="A155">
        <v>154</v>
      </c>
      <c r="B155" t="s">
        <v>269</v>
      </c>
      <c r="C155" t="str">
        <f t="shared" si="18"/>
        <v>EMP_154</v>
      </c>
      <c r="D155" t="s">
        <v>15</v>
      </c>
      <c r="E155" t="str">
        <f t="shared" si="19"/>
        <v>EMP_154Marketing</v>
      </c>
      <c r="F155" t="s">
        <v>24</v>
      </c>
      <c r="G155" t="s">
        <v>13</v>
      </c>
      <c r="H155">
        <v>35028</v>
      </c>
      <c r="I155">
        <v>11948</v>
      </c>
      <c r="J155">
        <v>0</v>
      </c>
      <c r="K155">
        <v>0</v>
      </c>
      <c r="L155" s="4" t="s">
        <v>270</v>
      </c>
      <c r="M155" s="4" t="str">
        <f t="shared" si="20"/>
        <v>9/29/2018</v>
      </c>
      <c r="N155" s="1">
        <f t="shared" ca="1" si="21"/>
        <v>46064</v>
      </c>
      <c r="O155" s="6" t="e">
        <f t="shared" ca="1" si="22"/>
        <v>#VALUE!</v>
      </c>
      <c r="P155">
        <v>4</v>
      </c>
      <c r="Q155">
        <f t="shared" si="23"/>
        <v>46976</v>
      </c>
      <c r="R155" s="2">
        <f t="shared" si="24"/>
        <v>23488</v>
      </c>
      <c r="S155" s="2" t="str">
        <f t="shared" si="25"/>
        <v xml:space="preserve"> Not Achieved</v>
      </c>
      <c r="T155" s="2" t="str">
        <f t="shared" si="26"/>
        <v>Average</v>
      </c>
      <c r="U155" s="2"/>
    </row>
    <row r="156" spans="1:21" x14ac:dyDescent="0.3">
      <c r="A156">
        <v>155</v>
      </c>
      <c r="B156" t="s">
        <v>271</v>
      </c>
      <c r="C156" t="str">
        <f t="shared" si="18"/>
        <v>EMP_155</v>
      </c>
      <c r="D156" t="s">
        <v>11</v>
      </c>
      <c r="E156" t="str">
        <f t="shared" si="19"/>
        <v>EMP_155Sales</v>
      </c>
      <c r="F156" t="s">
        <v>7</v>
      </c>
      <c r="G156" t="s">
        <v>16</v>
      </c>
      <c r="H156">
        <v>44216</v>
      </c>
      <c r="I156">
        <v>3630</v>
      </c>
      <c r="J156">
        <v>265128</v>
      </c>
      <c r="K156">
        <v>152659</v>
      </c>
      <c r="L156" s="4" t="s">
        <v>272</v>
      </c>
      <c r="M156" s="4" t="str">
        <f t="shared" si="20"/>
        <v>5/17/2022</v>
      </c>
      <c r="N156" s="1">
        <f t="shared" ca="1" si="21"/>
        <v>46064</v>
      </c>
      <c r="O156" s="6" t="e">
        <f t="shared" ca="1" si="22"/>
        <v>#VALUE!</v>
      </c>
      <c r="P156">
        <v>2</v>
      </c>
      <c r="Q156">
        <f t="shared" si="23"/>
        <v>47846</v>
      </c>
      <c r="R156" s="2">
        <f t="shared" si="24"/>
        <v>23923</v>
      </c>
      <c r="S156" s="2" t="str">
        <f t="shared" si="25"/>
        <v>Achieved</v>
      </c>
      <c r="T156" s="2" t="str">
        <f t="shared" si="26"/>
        <v>Good</v>
      </c>
      <c r="U156" s="2"/>
    </row>
    <row r="157" spans="1:21" x14ac:dyDescent="0.3">
      <c r="A157">
        <v>156</v>
      </c>
      <c r="B157" t="s">
        <v>273</v>
      </c>
      <c r="C157" t="str">
        <f t="shared" si="18"/>
        <v>EMP_156</v>
      </c>
      <c r="D157" t="s">
        <v>15</v>
      </c>
      <c r="E157" t="str">
        <f t="shared" si="19"/>
        <v>EMP_156IT</v>
      </c>
      <c r="F157" t="s">
        <v>21</v>
      </c>
      <c r="G157" t="s">
        <v>13</v>
      </c>
      <c r="H157">
        <v>61184</v>
      </c>
      <c r="I157">
        <v>12754</v>
      </c>
      <c r="J157">
        <v>0</v>
      </c>
      <c r="K157">
        <v>0</v>
      </c>
      <c r="L157" s="4" t="s">
        <v>274</v>
      </c>
      <c r="M157" s="4" t="str">
        <f t="shared" si="20"/>
        <v>8/31/2023</v>
      </c>
      <c r="N157" s="1">
        <f t="shared" ca="1" si="21"/>
        <v>46064</v>
      </c>
      <c r="O157" s="6" t="e">
        <f t="shared" ca="1" si="22"/>
        <v>#VALUE!</v>
      </c>
      <c r="P157">
        <v>1</v>
      </c>
      <c r="Q157">
        <f t="shared" si="23"/>
        <v>73938</v>
      </c>
      <c r="R157" s="2">
        <f t="shared" si="24"/>
        <v>36969</v>
      </c>
      <c r="S157" s="2" t="str">
        <f t="shared" si="25"/>
        <v xml:space="preserve"> Not Achieved</v>
      </c>
      <c r="T157" s="2" t="str">
        <f t="shared" si="26"/>
        <v xml:space="preserve"> Excellent</v>
      </c>
      <c r="U157" s="2"/>
    </row>
    <row r="158" spans="1:21" x14ac:dyDescent="0.3">
      <c r="A158">
        <v>157</v>
      </c>
      <c r="B158" t="s">
        <v>275</v>
      </c>
      <c r="C158" t="str">
        <f t="shared" si="18"/>
        <v>EMP_157</v>
      </c>
      <c r="D158" t="s">
        <v>11</v>
      </c>
      <c r="E158" t="str">
        <f t="shared" si="19"/>
        <v>EMP_157Marketing</v>
      </c>
      <c r="F158" t="s">
        <v>24</v>
      </c>
      <c r="G158" t="s">
        <v>25</v>
      </c>
      <c r="H158">
        <v>71477</v>
      </c>
      <c r="I158">
        <v>6214</v>
      </c>
      <c r="J158">
        <v>0</v>
      </c>
      <c r="K158">
        <v>0</v>
      </c>
      <c r="L158" s="4">
        <v>43627</v>
      </c>
      <c r="M158" s="4" t="str">
        <f t="shared" si="20"/>
        <v>2019</v>
      </c>
      <c r="N158" s="1">
        <f t="shared" ca="1" si="21"/>
        <v>46064</v>
      </c>
      <c r="O158" s="6">
        <f t="shared" ca="1" si="22"/>
        <v>6</v>
      </c>
      <c r="P158">
        <v>2</v>
      </c>
      <c r="Q158">
        <f t="shared" si="23"/>
        <v>77691</v>
      </c>
      <c r="R158" s="2">
        <f t="shared" si="24"/>
        <v>38845.5</v>
      </c>
      <c r="S158" s="2" t="str">
        <f t="shared" si="25"/>
        <v xml:space="preserve"> Not Achieved</v>
      </c>
      <c r="T158" s="2" t="str">
        <f t="shared" si="26"/>
        <v xml:space="preserve"> Excellent</v>
      </c>
      <c r="U158" s="2"/>
    </row>
    <row r="159" spans="1:21" x14ac:dyDescent="0.3">
      <c r="A159">
        <v>158</v>
      </c>
      <c r="B159" t="s">
        <v>276</v>
      </c>
      <c r="C159" t="str">
        <f t="shared" si="18"/>
        <v>EMP_158</v>
      </c>
      <c r="D159" t="s">
        <v>11</v>
      </c>
      <c r="E159" t="str">
        <f t="shared" si="19"/>
        <v>EMP_158IT</v>
      </c>
      <c r="F159" t="s">
        <v>21</v>
      </c>
      <c r="G159" t="s">
        <v>19</v>
      </c>
      <c r="H159">
        <v>28812</v>
      </c>
      <c r="I159">
        <v>2923</v>
      </c>
      <c r="J159">
        <v>0</v>
      </c>
      <c r="K159">
        <v>0</v>
      </c>
      <c r="L159" s="4" t="s">
        <v>277</v>
      </c>
      <c r="M159" s="4" t="str">
        <f t="shared" si="20"/>
        <v>3/18/2022</v>
      </c>
      <c r="N159" s="1">
        <f t="shared" ca="1" si="21"/>
        <v>46064</v>
      </c>
      <c r="O159" s="6" t="e">
        <f t="shared" ca="1" si="22"/>
        <v>#VALUE!</v>
      </c>
      <c r="P159">
        <v>1</v>
      </c>
      <c r="Q159">
        <f t="shared" si="23"/>
        <v>31735</v>
      </c>
      <c r="R159" s="2">
        <f t="shared" si="24"/>
        <v>15867.5</v>
      </c>
      <c r="S159" s="2" t="str">
        <f t="shared" si="25"/>
        <v xml:space="preserve"> Not Achieved</v>
      </c>
      <c r="T159" s="2" t="str">
        <f t="shared" si="26"/>
        <v>poor</v>
      </c>
      <c r="U159" s="2"/>
    </row>
    <row r="160" spans="1:21" x14ac:dyDescent="0.3">
      <c r="A160">
        <v>159</v>
      </c>
      <c r="B160" t="s">
        <v>278</v>
      </c>
      <c r="C160" t="str">
        <f t="shared" si="18"/>
        <v>EMP_159</v>
      </c>
      <c r="D160" t="s">
        <v>11</v>
      </c>
      <c r="E160" t="str">
        <f t="shared" si="19"/>
        <v>EMP_159IT</v>
      </c>
      <c r="F160" t="s">
        <v>21</v>
      </c>
      <c r="G160" t="s">
        <v>16</v>
      </c>
      <c r="H160">
        <v>52370</v>
      </c>
      <c r="I160">
        <v>11509</v>
      </c>
      <c r="J160">
        <v>0</v>
      </c>
      <c r="K160">
        <v>0</v>
      </c>
      <c r="L160" s="4" t="s">
        <v>279</v>
      </c>
      <c r="M160" s="4" t="str">
        <f t="shared" si="20"/>
        <v>12/15/2022</v>
      </c>
      <c r="N160" s="1">
        <f t="shared" ca="1" si="21"/>
        <v>46064</v>
      </c>
      <c r="O160" s="6" t="e">
        <f t="shared" ca="1" si="22"/>
        <v>#VALUE!</v>
      </c>
      <c r="P160">
        <v>2</v>
      </c>
      <c r="Q160">
        <f t="shared" si="23"/>
        <v>63879</v>
      </c>
      <c r="R160" s="2">
        <f t="shared" si="24"/>
        <v>31939.5</v>
      </c>
      <c r="S160" s="2" t="str">
        <f t="shared" si="25"/>
        <v xml:space="preserve"> Not Achieved</v>
      </c>
      <c r="T160" s="2" t="str">
        <f t="shared" si="26"/>
        <v xml:space="preserve"> Excellent</v>
      </c>
      <c r="U160" s="2"/>
    </row>
    <row r="161" spans="1:21" x14ac:dyDescent="0.3">
      <c r="A161">
        <v>160</v>
      </c>
      <c r="B161" t="s">
        <v>280</v>
      </c>
      <c r="C161" t="str">
        <f t="shared" si="18"/>
        <v>EMP_160</v>
      </c>
      <c r="D161" t="s">
        <v>15</v>
      </c>
      <c r="E161" t="str">
        <f t="shared" si="19"/>
        <v>EMP_160HR</v>
      </c>
      <c r="F161" t="s">
        <v>12</v>
      </c>
      <c r="G161" t="s">
        <v>13</v>
      </c>
      <c r="H161">
        <v>45199</v>
      </c>
      <c r="I161">
        <v>5754</v>
      </c>
      <c r="J161">
        <v>0</v>
      </c>
      <c r="K161">
        <v>0</v>
      </c>
      <c r="L161" s="4" t="s">
        <v>137</v>
      </c>
      <c r="M161" s="4" t="str">
        <f t="shared" si="20"/>
        <v>4/20/2020</v>
      </c>
      <c r="N161" s="1">
        <f t="shared" ca="1" si="21"/>
        <v>46064</v>
      </c>
      <c r="O161" s="6" t="e">
        <f t="shared" ca="1" si="22"/>
        <v>#VALUE!</v>
      </c>
      <c r="P161">
        <v>4</v>
      </c>
      <c r="Q161">
        <f t="shared" si="23"/>
        <v>50953</v>
      </c>
      <c r="R161" s="2">
        <f t="shared" si="24"/>
        <v>25476.5</v>
      </c>
      <c r="S161" s="2" t="str">
        <f t="shared" si="25"/>
        <v xml:space="preserve"> Not Achieved</v>
      </c>
      <c r="T161" s="2" t="str">
        <f t="shared" si="26"/>
        <v>Good</v>
      </c>
      <c r="U161" s="2"/>
    </row>
    <row r="162" spans="1:21" x14ac:dyDescent="0.3">
      <c r="A162">
        <v>161</v>
      </c>
      <c r="B162" t="s">
        <v>281</v>
      </c>
      <c r="C162" t="str">
        <f t="shared" si="18"/>
        <v>EMP_161</v>
      </c>
      <c r="D162" t="s">
        <v>11</v>
      </c>
      <c r="E162" t="str">
        <f t="shared" si="19"/>
        <v>EMP_161IT</v>
      </c>
      <c r="F162" t="s">
        <v>21</v>
      </c>
      <c r="G162" t="s">
        <v>25</v>
      </c>
      <c r="H162">
        <v>52349</v>
      </c>
      <c r="I162">
        <v>8604</v>
      </c>
      <c r="J162">
        <v>0</v>
      </c>
      <c r="K162">
        <v>0</v>
      </c>
      <c r="L162" s="4">
        <v>43440</v>
      </c>
      <c r="M162" s="4" t="str">
        <f t="shared" si="20"/>
        <v>2018</v>
      </c>
      <c r="N162" s="1">
        <f t="shared" ca="1" si="21"/>
        <v>46064</v>
      </c>
      <c r="O162" s="6">
        <f t="shared" ca="1" si="22"/>
        <v>7</v>
      </c>
      <c r="P162">
        <v>1</v>
      </c>
      <c r="Q162">
        <f t="shared" si="23"/>
        <v>60953</v>
      </c>
      <c r="R162" s="2">
        <f t="shared" si="24"/>
        <v>30476.5</v>
      </c>
      <c r="S162" s="2" t="str">
        <f t="shared" si="25"/>
        <v xml:space="preserve"> Not Achieved</v>
      </c>
      <c r="T162" s="2" t="str">
        <f t="shared" si="26"/>
        <v xml:space="preserve"> Excellent</v>
      </c>
      <c r="U162" s="2"/>
    </row>
    <row r="163" spans="1:21" x14ac:dyDescent="0.3">
      <c r="A163">
        <v>162</v>
      </c>
      <c r="B163" t="s">
        <v>282</v>
      </c>
      <c r="C163" t="str">
        <f t="shared" si="18"/>
        <v>EMP_162</v>
      </c>
      <c r="D163" t="s">
        <v>15</v>
      </c>
      <c r="E163" t="str">
        <f t="shared" si="19"/>
        <v>EMP_162Finance</v>
      </c>
      <c r="F163" t="s">
        <v>18</v>
      </c>
      <c r="G163" t="s">
        <v>19</v>
      </c>
      <c r="H163">
        <v>26369</v>
      </c>
      <c r="I163">
        <v>10530</v>
      </c>
      <c r="J163">
        <v>0</v>
      </c>
      <c r="K163">
        <v>0</v>
      </c>
      <c r="L163" s="4" t="s">
        <v>283</v>
      </c>
      <c r="M163" s="4" t="str">
        <f t="shared" si="20"/>
        <v>8/25/2019</v>
      </c>
      <c r="N163" s="1">
        <f t="shared" ca="1" si="21"/>
        <v>46064</v>
      </c>
      <c r="O163" s="6" t="e">
        <f t="shared" ca="1" si="22"/>
        <v>#VALUE!</v>
      </c>
      <c r="P163">
        <v>2</v>
      </c>
      <c r="Q163">
        <f t="shared" si="23"/>
        <v>36899</v>
      </c>
      <c r="R163" s="2">
        <f t="shared" si="24"/>
        <v>18449.5</v>
      </c>
      <c r="S163" s="2" t="str">
        <f t="shared" si="25"/>
        <v xml:space="preserve"> Not Achieved</v>
      </c>
      <c r="T163" s="2" t="str">
        <f t="shared" si="26"/>
        <v>poor</v>
      </c>
      <c r="U163" s="2"/>
    </row>
    <row r="164" spans="1:21" x14ac:dyDescent="0.3">
      <c r="A164">
        <v>163</v>
      </c>
      <c r="B164" t="s">
        <v>284</v>
      </c>
      <c r="C164" t="str">
        <f t="shared" si="18"/>
        <v>EMP_163</v>
      </c>
      <c r="D164" t="s">
        <v>15</v>
      </c>
      <c r="E164" t="str">
        <f t="shared" si="19"/>
        <v>EMP_163Finance</v>
      </c>
      <c r="F164" t="s">
        <v>18</v>
      </c>
      <c r="G164" t="s">
        <v>25</v>
      </c>
      <c r="H164">
        <v>68502</v>
      </c>
      <c r="I164">
        <v>8806</v>
      </c>
      <c r="J164">
        <v>0</v>
      </c>
      <c r="K164">
        <v>0</v>
      </c>
      <c r="L164" s="4" t="s">
        <v>285</v>
      </c>
      <c r="M164" s="4" t="str">
        <f t="shared" si="20"/>
        <v>8/14/2021</v>
      </c>
      <c r="N164" s="1">
        <f t="shared" ca="1" si="21"/>
        <v>46064</v>
      </c>
      <c r="O164" s="6" t="e">
        <f t="shared" ca="1" si="22"/>
        <v>#VALUE!</v>
      </c>
      <c r="P164">
        <v>4</v>
      </c>
      <c r="Q164">
        <f t="shared" si="23"/>
        <v>77308</v>
      </c>
      <c r="R164" s="2">
        <f t="shared" si="24"/>
        <v>38654</v>
      </c>
      <c r="S164" s="2" t="str">
        <f t="shared" si="25"/>
        <v xml:space="preserve"> Not Achieved</v>
      </c>
      <c r="T164" s="2" t="str">
        <f t="shared" si="26"/>
        <v xml:space="preserve"> Excellent</v>
      </c>
      <c r="U164" s="2"/>
    </row>
    <row r="165" spans="1:21" x14ac:dyDescent="0.3">
      <c r="A165">
        <v>164</v>
      </c>
      <c r="B165" t="s">
        <v>286</v>
      </c>
      <c r="C165" t="str">
        <f t="shared" si="18"/>
        <v>EMP_164</v>
      </c>
      <c r="D165" t="s">
        <v>11</v>
      </c>
      <c r="E165" t="str">
        <f t="shared" si="19"/>
        <v>EMP_164Marketing</v>
      </c>
      <c r="F165" t="s">
        <v>24</v>
      </c>
      <c r="G165" t="s">
        <v>13</v>
      </c>
      <c r="H165">
        <v>24787</v>
      </c>
      <c r="I165">
        <v>12319</v>
      </c>
      <c r="J165">
        <v>0</v>
      </c>
      <c r="K165">
        <v>0</v>
      </c>
      <c r="L165" s="4" t="s">
        <v>287</v>
      </c>
      <c r="M165" s="4" t="str">
        <f t="shared" si="20"/>
        <v>1/30/2018</v>
      </c>
      <c r="N165" s="1">
        <f t="shared" ca="1" si="21"/>
        <v>46064</v>
      </c>
      <c r="O165" s="6" t="e">
        <f t="shared" ca="1" si="22"/>
        <v>#VALUE!</v>
      </c>
      <c r="P165">
        <v>1</v>
      </c>
      <c r="Q165">
        <f t="shared" si="23"/>
        <v>37106</v>
      </c>
      <c r="R165" s="2">
        <f t="shared" si="24"/>
        <v>18553</v>
      </c>
      <c r="S165" s="2" t="str">
        <f t="shared" si="25"/>
        <v xml:space="preserve"> Not Achieved</v>
      </c>
      <c r="T165" s="2" t="str">
        <f t="shared" si="26"/>
        <v>poor</v>
      </c>
      <c r="U165" s="2"/>
    </row>
    <row r="166" spans="1:21" x14ac:dyDescent="0.3">
      <c r="A166">
        <v>165</v>
      </c>
      <c r="B166" t="s">
        <v>288</v>
      </c>
      <c r="C166" t="str">
        <f t="shared" si="18"/>
        <v>EMP_165</v>
      </c>
      <c r="D166" t="s">
        <v>15</v>
      </c>
      <c r="E166" t="str">
        <f t="shared" si="19"/>
        <v>EMP_165Sales</v>
      </c>
      <c r="F166" t="s">
        <v>7</v>
      </c>
      <c r="G166" t="s">
        <v>25</v>
      </c>
      <c r="H166">
        <v>43097</v>
      </c>
      <c r="I166">
        <v>11127</v>
      </c>
      <c r="J166">
        <v>220392</v>
      </c>
      <c r="K166">
        <v>159191</v>
      </c>
      <c r="L166" s="4">
        <v>43838</v>
      </c>
      <c r="M166" s="4" t="str">
        <f t="shared" si="20"/>
        <v>2020</v>
      </c>
      <c r="N166" s="1">
        <f t="shared" ca="1" si="21"/>
        <v>46064</v>
      </c>
      <c r="O166" s="6">
        <f t="shared" ca="1" si="22"/>
        <v>6</v>
      </c>
      <c r="P166">
        <v>1</v>
      </c>
      <c r="Q166">
        <f t="shared" si="23"/>
        <v>54224</v>
      </c>
      <c r="R166" s="2">
        <f t="shared" si="24"/>
        <v>27112</v>
      </c>
      <c r="S166" s="2" t="str">
        <f t="shared" si="25"/>
        <v>Achieved</v>
      </c>
      <c r="T166" s="2" t="str">
        <f t="shared" si="26"/>
        <v>Good</v>
      </c>
      <c r="U166" s="2"/>
    </row>
    <row r="167" spans="1:21" x14ac:dyDescent="0.3">
      <c r="A167">
        <v>166</v>
      </c>
      <c r="B167" t="s">
        <v>289</v>
      </c>
      <c r="C167" t="str">
        <f t="shared" si="18"/>
        <v>EMP_166</v>
      </c>
      <c r="D167" t="s">
        <v>15</v>
      </c>
      <c r="E167" t="str">
        <f t="shared" si="19"/>
        <v>EMP_166Sales</v>
      </c>
      <c r="F167" t="s">
        <v>7</v>
      </c>
      <c r="G167" t="s">
        <v>13</v>
      </c>
      <c r="H167">
        <v>47159</v>
      </c>
      <c r="I167">
        <v>7454</v>
      </c>
      <c r="J167">
        <v>247612</v>
      </c>
      <c r="K167">
        <v>80762</v>
      </c>
      <c r="L167" s="4" t="s">
        <v>290</v>
      </c>
      <c r="M167" s="4" t="str">
        <f t="shared" si="20"/>
        <v>10/13/2018</v>
      </c>
      <c r="N167" s="1">
        <f t="shared" ca="1" si="21"/>
        <v>46064</v>
      </c>
      <c r="O167" s="6" t="e">
        <f t="shared" ca="1" si="22"/>
        <v>#VALUE!</v>
      </c>
      <c r="P167">
        <v>4</v>
      </c>
      <c r="Q167">
        <f t="shared" si="23"/>
        <v>54613</v>
      </c>
      <c r="R167" s="2">
        <f t="shared" si="24"/>
        <v>27306.5</v>
      </c>
      <c r="S167" s="2" t="str">
        <f t="shared" si="25"/>
        <v>Achieved</v>
      </c>
      <c r="T167" s="2" t="str">
        <f t="shared" si="26"/>
        <v>Good</v>
      </c>
      <c r="U167" s="2"/>
    </row>
    <row r="168" spans="1:21" x14ac:dyDescent="0.3">
      <c r="A168">
        <v>167</v>
      </c>
      <c r="B168" t="s">
        <v>291</v>
      </c>
      <c r="C168" t="str">
        <f t="shared" si="18"/>
        <v>EMP_167</v>
      </c>
      <c r="D168" t="s">
        <v>15</v>
      </c>
      <c r="E168" t="str">
        <f t="shared" si="19"/>
        <v>EMP_167IT</v>
      </c>
      <c r="F168" t="s">
        <v>21</v>
      </c>
      <c r="G168" t="s">
        <v>19</v>
      </c>
      <c r="H168">
        <v>38278</v>
      </c>
      <c r="I168">
        <v>2766</v>
      </c>
      <c r="J168">
        <v>0</v>
      </c>
      <c r="K168">
        <v>0</v>
      </c>
      <c r="L168" s="4" t="s">
        <v>292</v>
      </c>
      <c r="M168" s="4" t="str">
        <f t="shared" si="20"/>
        <v>6/26/2021</v>
      </c>
      <c r="N168" s="1">
        <f t="shared" ca="1" si="21"/>
        <v>46064</v>
      </c>
      <c r="O168" s="6" t="e">
        <f t="shared" ca="1" si="22"/>
        <v>#VALUE!</v>
      </c>
      <c r="P168">
        <v>3</v>
      </c>
      <c r="Q168">
        <f t="shared" si="23"/>
        <v>41044</v>
      </c>
      <c r="R168" s="2">
        <f t="shared" si="24"/>
        <v>20522</v>
      </c>
      <c r="S168" s="2" t="str">
        <f t="shared" si="25"/>
        <v xml:space="preserve"> Not Achieved</v>
      </c>
      <c r="T168" s="2" t="str">
        <f t="shared" si="26"/>
        <v>Average</v>
      </c>
      <c r="U168" s="2"/>
    </row>
    <row r="169" spans="1:21" x14ac:dyDescent="0.3">
      <c r="A169">
        <v>168</v>
      </c>
      <c r="B169" t="s">
        <v>293</v>
      </c>
      <c r="C169" t="str">
        <f t="shared" si="18"/>
        <v>EMP_168</v>
      </c>
      <c r="D169" t="s">
        <v>11</v>
      </c>
      <c r="E169" t="str">
        <f t="shared" si="19"/>
        <v>EMP_168Sales</v>
      </c>
      <c r="F169" t="s">
        <v>7</v>
      </c>
      <c r="G169" t="s">
        <v>22</v>
      </c>
      <c r="H169">
        <v>39050</v>
      </c>
      <c r="I169">
        <v>5252</v>
      </c>
      <c r="J169">
        <v>99033</v>
      </c>
      <c r="K169">
        <v>106443</v>
      </c>
      <c r="L169" s="4" t="s">
        <v>294</v>
      </c>
      <c r="M169" s="4" t="str">
        <f t="shared" si="20"/>
        <v>3/19/2022</v>
      </c>
      <c r="N169" s="1">
        <f t="shared" ca="1" si="21"/>
        <v>46064</v>
      </c>
      <c r="O169" s="6" t="e">
        <f t="shared" ca="1" si="22"/>
        <v>#VALUE!</v>
      </c>
      <c r="P169">
        <v>5</v>
      </c>
      <c r="Q169">
        <f t="shared" si="23"/>
        <v>44302</v>
      </c>
      <c r="R169" s="2">
        <f t="shared" si="24"/>
        <v>22151</v>
      </c>
      <c r="S169" s="2" t="str">
        <f t="shared" si="25"/>
        <v xml:space="preserve"> Not Achieved</v>
      </c>
      <c r="T169" s="2" t="str">
        <f t="shared" si="26"/>
        <v>Average</v>
      </c>
      <c r="U169" s="2"/>
    </row>
    <row r="170" spans="1:21" x14ac:dyDescent="0.3">
      <c r="A170">
        <v>169</v>
      </c>
      <c r="B170" t="s">
        <v>295</v>
      </c>
      <c r="C170" t="str">
        <f t="shared" si="18"/>
        <v>EMP_169</v>
      </c>
      <c r="D170" t="s">
        <v>15</v>
      </c>
      <c r="E170" t="str">
        <f t="shared" si="19"/>
        <v>EMP_169IT</v>
      </c>
      <c r="F170" t="s">
        <v>21</v>
      </c>
      <c r="G170" t="s">
        <v>16</v>
      </c>
      <c r="H170">
        <v>69734</v>
      </c>
      <c r="I170">
        <v>6075</v>
      </c>
      <c r="J170">
        <v>0</v>
      </c>
      <c r="K170">
        <v>0</v>
      </c>
      <c r="L170" s="4">
        <v>43749</v>
      </c>
      <c r="M170" s="4" t="str">
        <f t="shared" si="20"/>
        <v>2019</v>
      </c>
      <c r="N170" s="1">
        <f t="shared" ca="1" si="21"/>
        <v>46064</v>
      </c>
      <c r="O170" s="6">
        <f t="shared" ca="1" si="22"/>
        <v>6</v>
      </c>
      <c r="P170">
        <v>4</v>
      </c>
      <c r="Q170">
        <f t="shared" si="23"/>
        <v>75809</v>
      </c>
      <c r="R170" s="2">
        <f t="shared" si="24"/>
        <v>37904.5</v>
      </c>
      <c r="S170" s="2" t="str">
        <f t="shared" si="25"/>
        <v xml:space="preserve"> Not Achieved</v>
      </c>
      <c r="T170" s="2" t="str">
        <f t="shared" si="26"/>
        <v xml:space="preserve"> Excellent</v>
      </c>
      <c r="U170" s="2"/>
    </row>
    <row r="171" spans="1:21" x14ac:dyDescent="0.3">
      <c r="A171">
        <v>170</v>
      </c>
      <c r="B171" t="s">
        <v>296</v>
      </c>
      <c r="C171" t="str">
        <f t="shared" si="18"/>
        <v>EMP_170</v>
      </c>
      <c r="D171" t="s">
        <v>11</v>
      </c>
      <c r="E171" t="str">
        <f t="shared" si="19"/>
        <v>EMP_170IT</v>
      </c>
      <c r="F171" t="s">
        <v>21</v>
      </c>
      <c r="G171" t="s">
        <v>13</v>
      </c>
      <c r="H171">
        <v>59337</v>
      </c>
      <c r="I171">
        <v>11114</v>
      </c>
      <c r="J171">
        <v>0</v>
      </c>
      <c r="K171">
        <v>0</v>
      </c>
      <c r="L171" s="4">
        <v>45544</v>
      </c>
      <c r="M171" s="4" t="str">
        <f t="shared" si="20"/>
        <v>2024</v>
      </c>
      <c r="N171" s="1">
        <f t="shared" ca="1" si="21"/>
        <v>46064</v>
      </c>
      <c r="O171" s="6">
        <f t="shared" ca="1" si="22"/>
        <v>1</v>
      </c>
      <c r="P171">
        <v>3</v>
      </c>
      <c r="Q171">
        <f t="shared" si="23"/>
        <v>70451</v>
      </c>
      <c r="R171" s="2">
        <f t="shared" si="24"/>
        <v>35225.5</v>
      </c>
      <c r="S171" s="2" t="str">
        <f t="shared" si="25"/>
        <v xml:space="preserve"> Not Achieved</v>
      </c>
      <c r="T171" s="2" t="str">
        <f t="shared" si="26"/>
        <v xml:space="preserve"> Excellent</v>
      </c>
      <c r="U171" s="2"/>
    </row>
    <row r="172" spans="1:21" x14ac:dyDescent="0.3">
      <c r="A172">
        <v>171</v>
      </c>
      <c r="B172" t="s">
        <v>297</v>
      </c>
      <c r="C172" t="str">
        <f t="shared" si="18"/>
        <v>EMP_171</v>
      </c>
      <c r="D172" t="s">
        <v>15</v>
      </c>
      <c r="E172" t="str">
        <f t="shared" si="19"/>
        <v>EMP_171Marketing</v>
      </c>
      <c r="F172" t="s">
        <v>24</v>
      </c>
      <c r="G172" t="s">
        <v>13</v>
      </c>
      <c r="H172">
        <v>39316</v>
      </c>
      <c r="I172">
        <v>5024</v>
      </c>
      <c r="J172">
        <v>0</v>
      </c>
      <c r="K172">
        <v>0</v>
      </c>
      <c r="L172" s="4">
        <v>43531</v>
      </c>
      <c r="M172" s="4" t="str">
        <f t="shared" si="20"/>
        <v>2019</v>
      </c>
      <c r="N172" s="1">
        <f t="shared" ca="1" si="21"/>
        <v>46064</v>
      </c>
      <c r="O172" s="6">
        <f t="shared" ca="1" si="22"/>
        <v>6</v>
      </c>
      <c r="P172">
        <v>1</v>
      </c>
      <c r="Q172">
        <f t="shared" si="23"/>
        <v>44340</v>
      </c>
      <c r="R172" s="2">
        <f t="shared" si="24"/>
        <v>22170</v>
      </c>
      <c r="S172" s="2" t="str">
        <f t="shared" si="25"/>
        <v xml:space="preserve"> Not Achieved</v>
      </c>
      <c r="T172" s="2" t="str">
        <f t="shared" si="26"/>
        <v>Average</v>
      </c>
      <c r="U172" s="2"/>
    </row>
    <row r="173" spans="1:21" x14ac:dyDescent="0.3">
      <c r="A173">
        <v>172</v>
      </c>
      <c r="B173" t="s">
        <v>298</v>
      </c>
      <c r="C173" t="str">
        <f t="shared" si="18"/>
        <v>EMP_172</v>
      </c>
      <c r="D173" t="s">
        <v>15</v>
      </c>
      <c r="E173" t="str">
        <f t="shared" si="19"/>
        <v>EMP_172Marketing</v>
      </c>
      <c r="F173" t="s">
        <v>24</v>
      </c>
      <c r="G173" t="s">
        <v>16</v>
      </c>
      <c r="H173">
        <v>47657</v>
      </c>
      <c r="I173">
        <v>4152</v>
      </c>
      <c r="J173">
        <v>0</v>
      </c>
      <c r="K173">
        <v>0</v>
      </c>
      <c r="L173" s="4">
        <v>43258</v>
      </c>
      <c r="M173" s="4" t="str">
        <f t="shared" si="20"/>
        <v>2018</v>
      </c>
      <c r="N173" s="1">
        <f t="shared" ca="1" si="21"/>
        <v>46064</v>
      </c>
      <c r="O173" s="6">
        <f t="shared" ca="1" si="22"/>
        <v>7</v>
      </c>
      <c r="P173">
        <v>1</v>
      </c>
      <c r="Q173">
        <f t="shared" si="23"/>
        <v>51809</v>
      </c>
      <c r="R173" s="2">
        <f t="shared" si="24"/>
        <v>25904.5</v>
      </c>
      <c r="S173" s="2" t="str">
        <f t="shared" si="25"/>
        <v xml:space="preserve"> Not Achieved</v>
      </c>
      <c r="T173" s="2" t="str">
        <f t="shared" si="26"/>
        <v>Good</v>
      </c>
      <c r="U173" s="2"/>
    </row>
    <row r="174" spans="1:21" x14ac:dyDescent="0.3">
      <c r="A174">
        <v>173</v>
      </c>
      <c r="B174" t="s">
        <v>299</v>
      </c>
      <c r="C174" t="str">
        <f t="shared" si="18"/>
        <v>EMP_173</v>
      </c>
      <c r="D174" t="s">
        <v>15</v>
      </c>
      <c r="E174" t="str">
        <f t="shared" si="19"/>
        <v>EMP_173Marketing</v>
      </c>
      <c r="F174" t="s">
        <v>24</v>
      </c>
      <c r="G174" t="s">
        <v>13</v>
      </c>
      <c r="H174">
        <v>65613</v>
      </c>
      <c r="I174">
        <v>7482</v>
      </c>
      <c r="J174">
        <v>0</v>
      </c>
      <c r="K174">
        <v>0</v>
      </c>
      <c r="L174" s="4" t="s">
        <v>300</v>
      </c>
      <c r="M174" s="4" t="str">
        <f t="shared" si="20"/>
        <v>10/25/2019</v>
      </c>
      <c r="N174" s="1">
        <f t="shared" ca="1" si="21"/>
        <v>46064</v>
      </c>
      <c r="O174" s="6" t="e">
        <f t="shared" ca="1" si="22"/>
        <v>#VALUE!</v>
      </c>
      <c r="P174">
        <v>1</v>
      </c>
      <c r="Q174">
        <f t="shared" si="23"/>
        <v>73095</v>
      </c>
      <c r="R174" s="2">
        <f t="shared" si="24"/>
        <v>36547.5</v>
      </c>
      <c r="S174" s="2" t="str">
        <f t="shared" si="25"/>
        <v xml:space="preserve"> Not Achieved</v>
      </c>
      <c r="T174" s="2" t="str">
        <f t="shared" si="26"/>
        <v xml:space="preserve"> Excellent</v>
      </c>
      <c r="U174" s="2"/>
    </row>
    <row r="175" spans="1:21" x14ac:dyDescent="0.3">
      <c r="A175">
        <v>174</v>
      </c>
      <c r="B175" t="s">
        <v>301</v>
      </c>
      <c r="C175" t="str">
        <f t="shared" si="18"/>
        <v>EMP_174</v>
      </c>
      <c r="D175" t="s">
        <v>15</v>
      </c>
      <c r="E175" t="str">
        <f t="shared" si="19"/>
        <v>EMP_174IT</v>
      </c>
      <c r="F175" t="s">
        <v>21</v>
      </c>
      <c r="G175" t="s">
        <v>13</v>
      </c>
      <c r="H175">
        <v>69385</v>
      </c>
      <c r="I175">
        <v>7743</v>
      </c>
      <c r="J175">
        <v>0</v>
      </c>
      <c r="K175">
        <v>0</v>
      </c>
      <c r="L175" s="4" t="s">
        <v>302</v>
      </c>
      <c r="M175" s="4" t="str">
        <f t="shared" si="20"/>
        <v>4/17/2024</v>
      </c>
      <c r="N175" s="1">
        <f t="shared" ca="1" si="21"/>
        <v>46064</v>
      </c>
      <c r="O175" s="6" t="e">
        <f t="shared" ca="1" si="22"/>
        <v>#VALUE!</v>
      </c>
      <c r="P175">
        <v>3</v>
      </c>
      <c r="Q175">
        <f t="shared" si="23"/>
        <v>77128</v>
      </c>
      <c r="R175" s="2">
        <f t="shared" si="24"/>
        <v>38564</v>
      </c>
      <c r="S175" s="2" t="str">
        <f t="shared" si="25"/>
        <v xml:space="preserve"> Not Achieved</v>
      </c>
      <c r="T175" s="2" t="str">
        <f t="shared" si="26"/>
        <v xml:space="preserve"> Excellent</v>
      </c>
      <c r="U175" s="2"/>
    </row>
    <row r="176" spans="1:21" x14ac:dyDescent="0.3">
      <c r="A176">
        <v>175</v>
      </c>
      <c r="B176" t="s">
        <v>303</v>
      </c>
      <c r="C176" t="str">
        <f t="shared" si="18"/>
        <v>EMP_175</v>
      </c>
      <c r="D176" t="s">
        <v>15</v>
      </c>
      <c r="E176" t="str">
        <f t="shared" si="19"/>
        <v>EMP_175IT</v>
      </c>
      <c r="F176" t="s">
        <v>21</v>
      </c>
      <c r="G176" t="s">
        <v>25</v>
      </c>
      <c r="H176">
        <v>28623</v>
      </c>
      <c r="I176">
        <v>8545</v>
      </c>
      <c r="J176">
        <v>0</v>
      </c>
      <c r="K176">
        <v>0</v>
      </c>
      <c r="L176" s="4">
        <v>44810</v>
      </c>
      <c r="M176" s="4" t="str">
        <f t="shared" si="20"/>
        <v>2022</v>
      </c>
      <c r="N176" s="1">
        <f t="shared" ca="1" si="21"/>
        <v>46064</v>
      </c>
      <c r="O176" s="6">
        <f t="shared" ca="1" si="22"/>
        <v>3</v>
      </c>
      <c r="P176">
        <v>2</v>
      </c>
      <c r="Q176">
        <f t="shared" si="23"/>
        <v>37168</v>
      </c>
      <c r="R176" s="2">
        <f t="shared" si="24"/>
        <v>18584</v>
      </c>
      <c r="S176" s="2" t="str">
        <f t="shared" si="25"/>
        <v xml:space="preserve"> Not Achieved</v>
      </c>
      <c r="T176" s="2" t="str">
        <f t="shared" si="26"/>
        <v>poor</v>
      </c>
      <c r="U176" s="2"/>
    </row>
    <row r="177" spans="1:21" x14ac:dyDescent="0.3">
      <c r="A177">
        <v>176</v>
      </c>
      <c r="B177" t="s">
        <v>304</v>
      </c>
      <c r="C177" t="str">
        <f t="shared" si="18"/>
        <v>EMP_176</v>
      </c>
      <c r="D177" t="s">
        <v>15</v>
      </c>
      <c r="E177" t="str">
        <f t="shared" si="19"/>
        <v>EMP_176Marketing</v>
      </c>
      <c r="F177" t="s">
        <v>24</v>
      </c>
      <c r="G177" t="s">
        <v>19</v>
      </c>
      <c r="H177">
        <v>35562</v>
      </c>
      <c r="I177">
        <v>7829</v>
      </c>
      <c r="J177">
        <v>0</v>
      </c>
      <c r="K177">
        <v>0</v>
      </c>
      <c r="L177" s="4">
        <v>43710</v>
      </c>
      <c r="M177" s="4" t="str">
        <f t="shared" si="20"/>
        <v>2019</v>
      </c>
      <c r="N177" s="1">
        <f t="shared" ca="1" si="21"/>
        <v>46064</v>
      </c>
      <c r="O177" s="6">
        <f t="shared" ca="1" si="22"/>
        <v>6</v>
      </c>
      <c r="P177">
        <v>2</v>
      </c>
      <c r="Q177">
        <f t="shared" si="23"/>
        <v>43391</v>
      </c>
      <c r="R177" s="2">
        <f t="shared" si="24"/>
        <v>21695.5</v>
      </c>
      <c r="S177" s="2" t="str">
        <f t="shared" si="25"/>
        <v xml:space="preserve"> Not Achieved</v>
      </c>
      <c r="T177" s="2" t="str">
        <f t="shared" si="26"/>
        <v>Average</v>
      </c>
      <c r="U177" s="2"/>
    </row>
    <row r="178" spans="1:21" x14ac:dyDescent="0.3">
      <c r="A178">
        <v>177</v>
      </c>
      <c r="B178" t="s">
        <v>305</v>
      </c>
      <c r="C178" t="str">
        <f t="shared" si="18"/>
        <v>EMP_177</v>
      </c>
      <c r="D178" t="s">
        <v>11</v>
      </c>
      <c r="E178" t="str">
        <f t="shared" si="19"/>
        <v>EMP_177Sales</v>
      </c>
      <c r="F178" t="s">
        <v>7</v>
      </c>
      <c r="G178" t="s">
        <v>22</v>
      </c>
      <c r="H178">
        <v>42842</v>
      </c>
      <c r="I178">
        <v>4759</v>
      </c>
      <c r="J178">
        <v>245467</v>
      </c>
      <c r="K178">
        <v>180281</v>
      </c>
      <c r="L178" s="4" t="s">
        <v>306</v>
      </c>
      <c r="M178" s="4" t="str">
        <f t="shared" si="20"/>
        <v>3/27/2020</v>
      </c>
      <c r="N178" s="1">
        <f t="shared" ca="1" si="21"/>
        <v>46064</v>
      </c>
      <c r="O178" s="6" t="e">
        <f t="shared" ca="1" si="22"/>
        <v>#VALUE!</v>
      </c>
      <c r="P178">
        <v>2</v>
      </c>
      <c r="Q178">
        <f t="shared" si="23"/>
        <v>47601</v>
      </c>
      <c r="R178" s="2">
        <f t="shared" si="24"/>
        <v>23800.5</v>
      </c>
      <c r="S178" s="2" t="str">
        <f t="shared" si="25"/>
        <v>Achieved</v>
      </c>
      <c r="T178" s="2" t="str">
        <f t="shared" si="26"/>
        <v>Good</v>
      </c>
      <c r="U178" s="2"/>
    </row>
    <row r="179" spans="1:21" x14ac:dyDescent="0.3">
      <c r="A179">
        <v>178</v>
      </c>
      <c r="B179" t="s">
        <v>307</v>
      </c>
      <c r="C179" t="str">
        <f t="shared" si="18"/>
        <v>EMP_178</v>
      </c>
      <c r="D179" t="s">
        <v>15</v>
      </c>
      <c r="E179" t="str">
        <f t="shared" si="19"/>
        <v>EMP_178Finance</v>
      </c>
      <c r="F179" t="s">
        <v>18</v>
      </c>
      <c r="G179" t="s">
        <v>19</v>
      </c>
      <c r="H179">
        <v>30708</v>
      </c>
      <c r="I179">
        <v>13834</v>
      </c>
      <c r="J179">
        <v>0</v>
      </c>
      <c r="K179">
        <v>0</v>
      </c>
      <c r="L179" s="4" t="s">
        <v>308</v>
      </c>
      <c r="M179" s="4" t="str">
        <f t="shared" si="20"/>
        <v>8/20/2020</v>
      </c>
      <c r="N179" s="1">
        <f t="shared" ca="1" si="21"/>
        <v>46064</v>
      </c>
      <c r="O179" s="6" t="e">
        <f t="shared" ca="1" si="22"/>
        <v>#VALUE!</v>
      </c>
      <c r="P179">
        <v>4</v>
      </c>
      <c r="Q179">
        <f t="shared" si="23"/>
        <v>44542</v>
      </c>
      <c r="R179" s="2">
        <f t="shared" si="24"/>
        <v>22271</v>
      </c>
      <c r="S179" s="2" t="str">
        <f t="shared" si="25"/>
        <v xml:space="preserve"> Not Achieved</v>
      </c>
      <c r="T179" s="2" t="str">
        <f t="shared" si="26"/>
        <v>Average</v>
      </c>
      <c r="U179" s="2"/>
    </row>
    <row r="180" spans="1:21" x14ac:dyDescent="0.3">
      <c r="A180">
        <v>179</v>
      </c>
      <c r="B180" t="s">
        <v>309</v>
      </c>
      <c r="C180" t="str">
        <f t="shared" si="18"/>
        <v>EMP_179</v>
      </c>
      <c r="D180" t="s">
        <v>15</v>
      </c>
      <c r="E180" t="str">
        <f t="shared" si="19"/>
        <v>EMP_179IT</v>
      </c>
      <c r="F180" t="s">
        <v>21</v>
      </c>
      <c r="G180" t="s">
        <v>16</v>
      </c>
      <c r="H180">
        <v>65970</v>
      </c>
      <c r="I180">
        <v>9949</v>
      </c>
      <c r="J180">
        <v>0</v>
      </c>
      <c r="K180">
        <v>0</v>
      </c>
      <c r="L180" s="4">
        <v>43439</v>
      </c>
      <c r="M180" s="4" t="str">
        <f t="shared" si="20"/>
        <v>2018</v>
      </c>
      <c r="N180" s="1">
        <f t="shared" ca="1" si="21"/>
        <v>46064</v>
      </c>
      <c r="O180" s="6">
        <f t="shared" ca="1" si="22"/>
        <v>7</v>
      </c>
      <c r="P180">
        <v>1</v>
      </c>
      <c r="Q180">
        <f t="shared" si="23"/>
        <v>75919</v>
      </c>
      <c r="R180" s="2">
        <f t="shared" si="24"/>
        <v>37959.5</v>
      </c>
      <c r="S180" s="2" t="str">
        <f t="shared" si="25"/>
        <v xml:space="preserve"> Not Achieved</v>
      </c>
      <c r="T180" s="2" t="str">
        <f t="shared" si="26"/>
        <v xml:space="preserve"> Excellent</v>
      </c>
      <c r="U180" s="2"/>
    </row>
    <row r="181" spans="1:21" x14ac:dyDescent="0.3">
      <c r="A181">
        <v>180</v>
      </c>
      <c r="B181" t="s">
        <v>310</v>
      </c>
      <c r="C181" t="str">
        <f t="shared" si="18"/>
        <v>EMP_180</v>
      </c>
      <c r="D181" t="s">
        <v>15</v>
      </c>
      <c r="E181" t="str">
        <f t="shared" si="19"/>
        <v>EMP_180Finance</v>
      </c>
      <c r="F181" t="s">
        <v>18</v>
      </c>
      <c r="G181" t="s">
        <v>19</v>
      </c>
      <c r="H181">
        <v>58383</v>
      </c>
      <c r="I181">
        <v>6470</v>
      </c>
      <c r="J181">
        <v>0</v>
      </c>
      <c r="K181">
        <v>0</v>
      </c>
      <c r="L181" s="4" t="s">
        <v>311</v>
      </c>
      <c r="M181" s="4" t="str">
        <f t="shared" si="20"/>
        <v>8/25/2023</v>
      </c>
      <c r="N181" s="1">
        <f t="shared" ca="1" si="21"/>
        <v>46064</v>
      </c>
      <c r="O181" s="6" t="e">
        <f t="shared" ca="1" si="22"/>
        <v>#VALUE!</v>
      </c>
      <c r="P181">
        <v>5</v>
      </c>
      <c r="Q181">
        <f t="shared" si="23"/>
        <v>64853</v>
      </c>
      <c r="R181" s="2">
        <f t="shared" si="24"/>
        <v>32426.5</v>
      </c>
      <c r="S181" s="2" t="str">
        <f t="shared" si="25"/>
        <v xml:space="preserve"> Not Achieved</v>
      </c>
      <c r="T181" s="2" t="str">
        <f t="shared" si="26"/>
        <v xml:space="preserve"> Excellent</v>
      </c>
      <c r="U181" s="2"/>
    </row>
    <row r="182" spans="1:21" x14ac:dyDescent="0.3">
      <c r="A182">
        <v>181</v>
      </c>
      <c r="B182" t="s">
        <v>312</v>
      </c>
      <c r="C182" t="str">
        <f t="shared" si="18"/>
        <v>EMP_181</v>
      </c>
      <c r="D182" t="s">
        <v>11</v>
      </c>
      <c r="E182" t="str">
        <f t="shared" si="19"/>
        <v>EMP_181Marketing</v>
      </c>
      <c r="F182" t="s">
        <v>24</v>
      </c>
      <c r="G182" t="s">
        <v>19</v>
      </c>
      <c r="H182">
        <v>37218</v>
      </c>
      <c r="I182">
        <v>13732</v>
      </c>
      <c r="J182">
        <v>0</v>
      </c>
      <c r="K182">
        <v>0</v>
      </c>
      <c r="L182" s="4" t="s">
        <v>313</v>
      </c>
      <c r="M182" s="4" t="str">
        <f t="shared" si="20"/>
        <v>5/27/2019</v>
      </c>
      <c r="N182" s="1">
        <f t="shared" ca="1" si="21"/>
        <v>46064</v>
      </c>
      <c r="O182" s="6" t="e">
        <f t="shared" ca="1" si="22"/>
        <v>#VALUE!</v>
      </c>
      <c r="P182">
        <v>4</v>
      </c>
      <c r="Q182">
        <f t="shared" si="23"/>
        <v>50950</v>
      </c>
      <c r="R182" s="2">
        <f t="shared" si="24"/>
        <v>25475</v>
      </c>
      <c r="S182" s="2" t="str">
        <f t="shared" si="25"/>
        <v xml:space="preserve"> Not Achieved</v>
      </c>
      <c r="T182" s="2" t="str">
        <f t="shared" si="26"/>
        <v>Average</v>
      </c>
      <c r="U182" s="2"/>
    </row>
    <row r="183" spans="1:21" x14ac:dyDescent="0.3">
      <c r="A183">
        <v>182</v>
      </c>
      <c r="B183" t="s">
        <v>314</v>
      </c>
      <c r="C183" t="str">
        <f t="shared" si="18"/>
        <v>EMP_182</v>
      </c>
      <c r="D183" t="s">
        <v>11</v>
      </c>
      <c r="E183" t="str">
        <f t="shared" si="19"/>
        <v>EMP_182IT</v>
      </c>
      <c r="F183" t="s">
        <v>21</v>
      </c>
      <c r="G183" t="s">
        <v>22</v>
      </c>
      <c r="H183">
        <v>41616</v>
      </c>
      <c r="I183">
        <v>5897</v>
      </c>
      <c r="J183">
        <v>0</v>
      </c>
      <c r="K183">
        <v>0</v>
      </c>
      <c r="L183" s="4" t="s">
        <v>315</v>
      </c>
      <c r="M183" s="4" t="str">
        <f t="shared" si="20"/>
        <v>5/21/2021</v>
      </c>
      <c r="N183" s="1">
        <f t="shared" ca="1" si="21"/>
        <v>46064</v>
      </c>
      <c r="O183" s="6" t="e">
        <f t="shared" ca="1" si="22"/>
        <v>#VALUE!</v>
      </c>
      <c r="P183">
        <v>2</v>
      </c>
      <c r="Q183">
        <f t="shared" si="23"/>
        <v>47513</v>
      </c>
      <c r="R183" s="2">
        <f t="shared" si="24"/>
        <v>23756.5</v>
      </c>
      <c r="S183" s="2" t="str">
        <f t="shared" si="25"/>
        <v xml:space="preserve"> Not Achieved</v>
      </c>
      <c r="T183" s="2" t="str">
        <f t="shared" si="26"/>
        <v>Good</v>
      </c>
      <c r="U183" s="2"/>
    </row>
    <row r="184" spans="1:21" x14ac:dyDescent="0.3">
      <c r="A184">
        <v>183</v>
      </c>
      <c r="B184" t="s">
        <v>316</v>
      </c>
      <c r="C184" t="str">
        <f t="shared" si="18"/>
        <v>EMP_183</v>
      </c>
      <c r="D184" t="s">
        <v>15</v>
      </c>
      <c r="E184" t="str">
        <f t="shared" si="19"/>
        <v>EMP_183IT</v>
      </c>
      <c r="F184" t="s">
        <v>21</v>
      </c>
      <c r="G184" t="s">
        <v>22</v>
      </c>
      <c r="H184">
        <v>30165</v>
      </c>
      <c r="I184">
        <v>5069</v>
      </c>
      <c r="J184">
        <v>0</v>
      </c>
      <c r="K184">
        <v>0</v>
      </c>
      <c r="L184" s="4">
        <v>44348</v>
      </c>
      <c r="M184" s="4" t="str">
        <f t="shared" si="20"/>
        <v>2021</v>
      </c>
      <c r="N184" s="1">
        <f t="shared" ca="1" si="21"/>
        <v>46064</v>
      </c>
      <c r="O184" s="6">
        <f t="shared" ca="1" si="22"/>
        <v>4</v>
      </c>
      <c r="P184">
        <v>3</v>
      </c>
      <c r="Q184">
        <f t="shared" si="23"/>
        <v>35234</v>
      </c>
      <c r="R184" s="2">
        <f t="shared" si="24"/>
        <v>17617</v>
      </c>
      <c r="S184" s="2" t="str">
        <f t="shared" si="25"/>
        <v xml:space="preserve"> Not Achieved</v>
      </c>
      <c r="T184" s="2" t="str">
        <f t="shared" si="26"/>
        <v>Average</v>
      </c>
      <c r="U184" s="2"/>
    </row>
    <row r="185" spans="1:21" x14ac:dyDescent="0.3">
      <c r="A185">
        <v>184</v>
      </c>
      <c r="B185" t="s">
        <v>317</v>
      </c>
      <c r="C185" t="str">
        <f t="shared" si="18"/>
        <v>EMP_184</v>
      </c>
      <c r="D185" t="s">
        <v>11</v>
      </c>
      <c r="E185" t="str">
        <f t="shared" si="19"/>
        <v>EMP_184Sales</v>
      </c>
      <c r="F185" t="s">
        <v>7</v>
      </c>
      <c r="G185" t="s">
        <v>13</v>
      </c>
      <c r="H185">
        <v>28167</v>
      </c>
      <c r="I185">
        <v>2555</v>
      </c>
      <c r="J185">
        <v>73976</v>
      </c>
      <c r="K185">
        <v>233941</v>
      </c>
      <c r="L185" s="4" t="s">
        <v>318</v>
      </c>
      <c r="M185" s="4" t="str">
        <f t="shared" si="20"/>
        <v>3/14/2021</v>
      </c>
      <c r="N185" s="1">
        <f t="shared" ca="1" si="21"/>
        <v>46064</v>
      </c>
      <c r="O185" s="6" t="e">
        <f t="shared" ca="1" si="22"/>
        <v>#VALUE!</v>
      </c>
      <c r="P185">
        <v>1</v>
      </c>
      <c r="Q185">
        <f t="shared" si="23"/>
        <v>30722</v>
      </c>
      <c r="R185" s="2">
        <f t="shared" si="24"/>
        <v>15361</v>
      </c>
      <c r="S185" s="2" t="str">
        <f t="shared" si="25"/>
        <v xml:space="preserve"> Not Achieved</v>
      </c>
      <c r="T185" s="2" t="str">
        <f t="shared" si="26"/>
        <v>poor</v>
      </c>
      <c r="U185" s="2"/>
    </row>
    <row r="186" spans="1:21" x14ac:dyDescent="0.3">
      <c r="A186">
        <v>185</v>
      </c>
      <c r="B186" t="s">
        <v>319</v>
      </c>
      <c r="C186" t="str">
        <f t="shared" si="18"/>
        <v>EMP_185</v>
      </c>
      <c r="D186" t="s">
        <v>11</v>
      </c>
      <c r="E186" t="str">
        <f t="shared" si="19"/>
        <v>EMP_185IT</v>
      </c>
      <c r="F186" t="s">
        <v>21</v>
      </c>
      <c r="G186" t="s">
        <v>19</v>
      </c>
      <c r="H186">
        <v>42499</v>
      </c>
      <c r="I186">
        <v>6269</v>
      </c>
      <c r="J186">
        <v>0</v>
      </c>
      <c r="K186">
        <v>0</v>
      </c>
      <c r="L186" s="4">
        <v>44055</v>
      </c>
      <c r="M186" s="4" t="str">
        <f t="shared" si="20"/>
        <v>2020</v>
      </c>
      <c r="N186" s="1">
        <f t="shared" ca="1" si="21"/>
        <v>46064</v>
      </c>
      <c r="O186" s="6">
        <f t="shared" ca="1" si="22"/>
        <v>5</v>
      </c>
      <c r="P186">
        <v>5</v>
      </c>
      <c r="Q186">
        <f t="shared" si="23"/>
        <v>48768</v>
      </c>
      <c r="R186" s="2">
        <f t="shared" si="24"/>
        <v>24384</v>
      </c>
      <c r="S186" s="2" t="str">
        <f t="shared" si="25"/>
        <v xml:space="preserve"> Not Achieved</v>
      </c>
      <c r="T186" s="2" t="str">
        <f t="shared" si="26"/>
        <v>Good</v>
      </c>
      <c r="U186" s="2"/>
    </row>
    <row r="187" spans="1:21" x14ac:dyDescent="0.3">
      <c r="A187">
        <v>186</v>
      </c>
      <c r="B187" t="s">
        <v>320</v>
      </c>
      <c r="C187" t="str">
        <f t="shared" si="18"/>
        <v>EMP_186</v>
      </c>
      <c r="D187" t="s">
        <v>11</v>
      </c>
      <c r="E187" t="str">
        <f t="shared" si="19"/>
        <v>EMP_186Sales</v>
      </c>
      <c r="F187" t="s">
        <v>7</v>
      </c>
      <c r="G187" t="s">
        <v>25</v>
      </c>
      <c r="H187">
        <v>71147</v>
      </c>
      <c r="I187">
        <v>3740</v>
      </c>
      <c r="J187">
        <v>231333</v>
      </c>
      <c r="K187">
        <v>172197</v>
      </c>
      <c r="L187" s="4">
        <v>43804</v>
      </c>
      <c r="M187" s="4" t="str">
        <f t="shared" si="20"/>
        <v>2019</v>
      </c>
      <c r="N187" s="1">
        <f t="shared" ca="1" si="21"/>
        <v>46064</v>
      </c>
      <c r="O187" s="6">
        <f t="shared" ca="1" si="22"/>
        <v>6</v>
      </c>
      <c r="P187">
        <v>1</v>
      </c>
      <c r="Q187">
        <f t="shared" si="23"/>
        <v>74887</v>
      </c>
      <c r="R187" s="2">
        <f t="shared" si="24"/>
        <v>37443.5</v>
      </c>
      <c r="S187" s="2" t="str">
        <f t="shared" si="25"/>
        <v>Achieved</v>
      </c>
      <c r="T187" s="2" t="str">
        <f t="shared" si="26"/>
        <v xml:space="preserve"> Excellent</v>
      </c>
      <c r="U187" s="2"/>
    </row>
    <row r="188" spans="1:21" x14ac:dyDescent="0.3">
      <c r="A188">
        <v>187</v>
      </c>
      <c r="B188" t="s">
        <v>321</v>
      </c>
      <c r="C188" t="str">
        <f t="shared" si="18"/>
        <v>EMP_187</v>
      </c>
      <c r="D188" t="s">
        <v>15</v>
      </c>
      <c r="E188" t="str">
        <f t="shared" si="19"/>
        <v>EMP_187Marketing</v>
      </c>
      <c r="F188" t="s">
        <v>24</v>
      </c>
      <c r="G188" t="s">
        <v>13</v>
      </c>
      <c r="H188">
        <v>79161</v>
      </c>
      <c r="I188">
        <v>2126</v>
      </c>
      <c r="J188">
        <v>0</v>
      </c>
      <c r="K188">
        <v>0</v>
      </c>
      <c r="L188" s="4">
        <v>44450</v>
      </c>
      <c r="M188" s="4" t="str">
        <f t="shared" si="20"/>
        <v>2021</v>
      </c>
      <c r="N188" s="1">
        <f t="shared" ca="1" si="21"/>
        <v>46064</v>
      </c>
      <c r="O188" s="6">
        <f t="shared" ca="1" si="22"/>
        <v>4</v>
      </c>
      <c r="P188">
        <v>5</v>
      </c>
      <c r="Q188">
        <f t="shared" si="23"/>
        <v>81287</v>
      </c>
      <c r="R188" s="2">
        <f t="shared" si="24"/>
        <v>40643.5</v>
      </c>
      <c r="S188" s="2" t="str">
        <f t="shared" si="25"/>
        <v xml:space="preserve"> Not Achieved</v>
      </c>
      <c r="T188" s="2" t="str">
        <f t="shared" si="26"/>
        <v xml:space="preserve"> Excellent</v>
      </c>
      <c r="U188" s="2"/>
    </row>
    <row r="189" spans="1:21" x14ac:dyDescent="0.3">
      <c r="A189">
        <v>188</v>
      </c>
      <c r="B189" t="s">
        <v>322</v>
      </c>
      <c r="C189" t="str">
        <f t="shared" si="18"/>
        <v>EMP_188</v>
      </c>
      <c r="D189" t="s">
        <v>11</v>
      </c>
      <c r="E189" t="str">
        <f t="shared" si="19"/>
        <v>EMP_188Finance</v>
      </c>
      <c r="F189" t="s">
        <v>18</v>
      </c>
      <c r="G189" t="s">
        <v>22</v>
      </c>
      <c r="H189">
        <v>21750</v>
      </c>
      <c r="I189">
        <v>8922</v>
      </c>
      <c r="J189">
        <v>0</v>
      </c>
      <c r="K189">
        <v>0</v>
      </c>
      <c r="L189" s="4">
        <v>43893</v>
      </c>
      <c r="M189" s="4" t="str">
        <f t="shared" si="20"/>
        <v>2020</v>
      </c>
      <c r="N189" s="1">
        <f t="shared" ca="1" si="21"/>
        <v>46064</v>
      </c>
      <c r="O189" s="6">
        <f t="shared" ca="1" si="22"/>
        <v>5</v>
      </c>
      <c r="P189">
        <v>1</v>
      </c>
      <c r="Q189">
        <f t="shared" si="23"/>
        <v>30672</v>
      </c>
      <c r="R189" s="2">
        <f t="shared" si="24"/>
        <v>15336</v>
      </c>
      <c r="S189" s="2" t="str">
        <f t="shared" si="25"/>
        <v xml:space="preserve"> Not Achieved</v>
      </c>
      <c r="T189" s="2" t="str">
        <f t="shared" si="26"/>
        <v>poor</v>
      </c>
      <c r="U189" s="2"/>
    </row>
    <row r="190" spans="1:21" x14ac:dyDescent="0.3">
      <c r="A190">
        <v>189</v>
      </c>
      <c r="B190" t="s">
        <v>323</v>
      </c>
      <c r="C190" t="str">
        <f t="shared" si="18"/>
        <v>EMP_189</v>
      </c>
      <c r="D190" t="s">
        <v>11</v>
      </c>
      <c r="E190" t="str">
        <f t="shared" si="19"/>
        <v>EMP_189Finance</v>
      </c>
      <c r="F190" t="s">
        <v>18</v>
      </c>
      <c r="G190" t="s">
        <v>13</v>
      </c>
      <c r="H190">
        <v>55987</v>
      </c>
      <c r="I190">
        <v>9179</v>
      </c>
      <c r="J190">
        <v>0</v>
      </c>
      <c r="K190">
        <v>0</v>
      </c>
      <c r="L190" s="4">
        <v>43314</v>
      </c>
      <c r="M190" s="4" t="str">
        <f t="shared" si="20"/>
        <v>2018</v>
      </c>
      <c r="N190" s="1">
        <f t="shared" ca="1" si="21"/>
        <v>46064</v>
      </c>
      <c r="O190" s="6">
        <f t="shared" ca="1" si="22"/>
        <v>7</v>
      </c>
      <c r="P190">
        <v>2</v>
      </c>
      <c r="Q190">
        <f t="shared" si="23"/>
        <v>65166</v>
      </c>
      <c r="R190" s="2">
        <f t="shared" si="24"/>
        <v>32583</v>
      </c>
      <c r="S190" s="2" t="str">
        <f t="shared" si="25"/>
        <v xml:space="preserve"> Not Achieved</v>
      </c>
      <c r="T190" s="2" t="str">
        <f t="shared" si="26"/>
        <v xml:space="preserve"> Excellent</v>
      </c>
      <c r="U190" s="2"/>
    </row>
    <row r="191" spans="1:21" x14ac:dyDescent="0.3">
      <c r="A191">
        <v>190</v>
      </c>
      <c r="B191" t="s">
        <v>324</v>
      </c>
      <c r="C191" t="str">
        <f t="shared" si="18"/>
        <v>EMP_190</v>
      </c>
      <c r="D191" t="s">
        <v>15</v>
      </c>
      <c r="E191" t="str">
        <f t="shared" si="19"/>
        <v>EMP_190Finance</v>
      </c>
      <c r="F191" t="s">
        <v>18</v>
      </c>
      <c r="G191" t="s">
        <v>16</v>
      </c>
      <c r="H191">
        <v>51758</v>
      </c>
      <c r="I191">
        <v>4325</v>
      </c>
      <c r="J191">
        <v>0</v>
      </c>
      <c r="K191">
        <v>0</v>
      </c>
      <c r="L191" s="4" t="s">
        <v>325</v>
      </c>
      <c r="M191" s="4" t="str">
        <f t="shared" si="20"/>
        <v>10/28/2019</v>
      </c>
      <c r="N191" s="1">
        <f t="shared" ca="1" si="21"/>
        <v>46064</v>
      </c>
      <c r="O191" s="6" t="e">
        <f t="shared" ca="1" si="22"/>
        <v>#VALUE!</v>
      </c>
      <c r="P191">
        <v>5</v>
      </c>
      <c r="Q191">
        <f t="shared" si="23"/>
        <v>56083</v>
      </c>
      <c r="R191" s="2">
        <f t="shared" si="24"/>
        <v>28041.5</v>
      </c>
      <c r="S191" s="2" t="str">
        <f t="shared" si="25"/>
        <v xml:space="preserve"> Not Achieved</v>
      </c>
      <c r="T191" s="2" t="str">
        <f t="shared" si="26"/>
        <v xml:space="preserve"> Excellent</v>
      </c>
      <c r="U191" s="2"/>
    </row>
    <row r="192" spans="1:21" x14ac:dyDescent="0.3">
      <c r="A192">
        <v>191</v>
      </c>
      <c r="B192" t="s">
        <v>326</v>
      </c>
      <c r="C192" t="str">
        <f t="shared" si="18"/>
        <v>EMP_191</v>
      </c>
      <c r="D192" t="s">
        <v>15</v>
      </c>
      <c r="E192" t="str">
        <f t="shared" si="19"/>
        <v>EMP_191Marketing</v>
      </c>
      <c r="F192" t="s">
        <v>24</v>
      </c>
      <c r="G192" t="s">
        <v>16</v>
      </c>
      <c r="H192">
        <v>51642</v>
      </c>
      <c r="I192">
        <v>2962</v>
      </c>
      <c r="J192">
        <v>0</v>
      </c>
      <c r="K192">
        <v>0</v>
      </c>
      <c r="L192" s="4">
        <v>45210</v>
      </c>
      <c r="M192" s="4" t="str">
        <f t="shared" si="20"/>
        <v>2023</v>
      </c>
      <c r="N192" s="1">
        <f t="shared" ca="1" si="21"/>
        <v>46064</v>
      </c>
      <c r="O192" s="6">
        <f t="shared" ca="1" si="22"/>
        <v>2</v>
      </c>
      <c r="P192">
        <v>5</v>
      </c>
      <c r="Q192">
        <f t="shared" si="23"/>
        <v>54604</v>
      </c>
      <c r="R192" s="2">
        <f t="shared" si="24"/>
        <v>27302</v>
      </c>
      <c r="S192" s="2" t="str">
        <f t="shared" si="25"/>
        <v xml:space="preserve"> Not Achieved</v>
      </c>
      <c r="T192" s="2" t="str">
        <f t="shared" si="26"/>
        <v xml:space="preserve"> Excellent</v>
      </c>
      <c r="U192" s="2"/>
    </row>
    <row r="193" spans="1:21" x14ac:dyDescent="0.3">
      <c r="A193">
        <v>192</v>
      </c>
      <c r="B193" t="s">
        <v>327</v>
      </c>
      <c r="C193" t="str">
        <f t="shared" si="18"/>
        <v>EMP_192</v>
      </c>
      <c r="D193" t="s">
        <v>11</v>
      </c>
      <c r="E193" t="str">
        <f t="shared" si="19"/>
        <v>EMP_192Marketing</v>
      </c>
      <c r="F193" t="s">
        <v>24</v>
      </c>
      <c r="G193" t="s">
        <v>13</v>
      </c>
      <c r="H193">
        <v>44542</v>
      </c>
      <c r="I193">
        <v>7664</v>
      </c>
      <c r="J193">
        <v>0</v>
      </c>
      <c r="K193">
        <v>0</v>
      </c>
      <c r="L193" s="4">
        <v>45392</v>
      </c>
      <c r="M193" s="4" t="str">
        <f t="shared" si="20"/>
        <v>2024</v>
      </c>
      <c r="N193" s="1">
        <f t="shared" ca="1" si="21"/>
        <v>46064</v>
      </c>
      <c r="O193" s="6">
        <f t="shared" ca="1" si="22"/>
        <v>1</v>
      </c>
      <c r="P193">
        <v>2</v>
      </c>
      <c r="Q193">
        <f t="shared" si="23"/>
        <v>52206</v>
      </c>
      <c r="R193" s="2">
        <f t="shared" si="24"/>
        <v>26103</v>
      </c>
      <c r="S193" s="2" t="str">
        <f t="shared" si="25"/>
        <v xml:space="preserve"> Not Achieved</v>
      </c>
      <c r="T193" s="2" t="str">
        <f t="shared" si="26"/>
        <v>Good</v>
      </c>
      <c r="U193" s="2"/>
    </row>
    <row r="194" spans="1:21" x14ac:dyDescent="0.3">
      <c r="A194">
        <v>193</v>
      </c>
      <c r="B194" t="s">
        <v>328</v>
      </c>
      <c r="C194" t="str">
        <f t="shared" si="18"/>
        <v>EMP_193</v>
      </c>
      <c r="D194" t="s">
        <v>15</v>
      </c>
      <c r="E194" t="str">
        <f t="shared" si="19"/>
        <v>EMP_193HR</v>
      </c>
      <c r="F194" t="s">
        <v>12</v>
      </c>
      <c r="G194" t="s">
        <v>19</v>
      </c>
      <c r="H194">
        <v>52294</v>
      </c>
      <c r="I194">
        <v>12202</v>
      </c>
      <c r="J194">
        <v>0</v>
      </c>
      <c r="K194">
        <v>0</v>
      </c>
      <c r="L194" s="4">
        <v>44298</v>
      </c>
      <c r="M194" s="4" t="str">
        <f t="shared" si="20"/>
        <v>2021</v>
      </c>
      <c r="N194" s="1">
        <f t="shared" ca="1" si="21"/>
        <v>46064</v>
      </c>
      <c r="O194" s="6">
        <f t="shared" ca="1" si="22"/>
        <v>4</v>
      </c>
      <c r="P194">
        <v>1</v>
      </c>
      <c r="Q194">
        <f t="shared" si="23"/>
        <v>64496</v>
      </c>
      <c r="R194" s="2">
        <f t="shared" si="24"/>
        <v>32248</v>
      </c>
      <c r="S194" s="2" t="str">
        <f t="shared" si="25"/>
        <v xml:space="preserve"> Not Achieved</v>
      </c>
      <c r="T194" s="2" t="str">
        <f t="shared" si="26"/>
        <v xml:space="preserve"> Excellent</v>
      </c>
      <c r="U194" s="2"/>
    </row>
    <row r="195" spans="1:21" x14ac:dyDescent="0.3">
      <c r="A195">
        <v>194</v>
      </c>
      <c r="B195" t="s">
        <v>329</v>
      </c>
      <c r="C195" t="str">
        <f t="shared" ref="C195:C258" si="27">UPPER(B195)</f>
        <v>EMP_194</v>
      </c>
      <c r="D195" t="s">
        <v>11</v>
      </c>
      <c r="E195" t="str">
        <f t="shared" ref="E195:E258" si="28">_xlfn.CONCAT(C195,F195)</f>
        <v>EMP_194Marketing</v>
      </c>
      <c r="F195" t="s">
        <v>24</v>
      </c>
      <c r="G195" t="s">
        <v>16</v>
      </c>
      <c r="H195">
        <v>21433</v>
      </c>
      <c r="I195">
        <v>9124</v>
      </c>
      <c r="J195">
        <v>0</v>
      </c>
      <c r="K195">
        <v>0</v>
      </c>
      <c r="L195" s="4">
        <v>45079</v>
      </c>
      <c r="M195" s="4" t="str">
        <f t="shared" ref="M195:M258" si="29">TEXT(L195,"yyyy")</f>
        <v>2023</v>
      </c>
      <c r="N195" s="1">
        <f t="shared" ref="N195:N258" ca="1" si="30">TODAY()</f>
        <v>46064</v>
      </c>
      <c r="O195" s="6">
        <f t="shared" ref="O195:O258" ca="1" si="31">DATEDIF(L195, TODAY(), "y")</f>
        <v>2</v>
      </c>
      <c r="P195">
        <v>3</v>
      </c>
      <c r="Q195">
        <f t="shared" ref="Q195:Q258" si="32">SUM(H195,I195)</f>
        <v>30557</v>
      </c>
      <c r="R195" s="2">
        <f t="shared" ref="R195:R258" si="33">AVERAGE(H195,I195)</f>
        <v>15278.5</v>
      </c>
      <c r="S195" s="2" t="str">
        <f t="shared" ref="S195:S258" si="34">IF(J195&gt;K195,"Achieved"," Not Achieved")</f>
        <v xml:space="preserve"> Not Achieved</v>
      </c>
      <c r="T195" s="2" t="str">
        <f t="shared" ref="T195:T258" si="35">_xlfn.IFS(H195&gt;=50000," Excellent",H195&gt;=40000,"Good",H195&gt;=30000,"Average",H195&lt;30000,"poor")</f>
        <v>poor</v>
      </c>
      <c r="U195" s="2"/>
    </row>
    <row r="196" spans="1:21" x14ac:dyDescent="0.3">
      <c r="A196">
        <v>195</v>
      </c>
      <c r="B196" t="s">
        <v>330</v>
      </c>
      <c r="C196" t="str">
        <f t="shared" si="27"/>
        <v>EMP_195</v>
      </c>
      <c r="D196" t="s">
        <v>11</v>
      </c>
      <c r="E196" t="str">
        <f t="shared" si="28"/>
        <v>EMP_195HR</v>
      </c>
      <c r="F196" t="s">
        <v>12</v>
      </c>
      <c r="G196" t="s">
        <v>13</v>
      </c>
      <c r="H196">
        <v>66380</v>
      </c>
      <c r="I196">
        <v>8649</v>
      </c>
      <c r="J196">
        <v>0</v>
      </c>
      <c r="K196">
        <v>0</v>
      </c>
      <c r="L196" s="4">
        <v>45232</v>
      </c>
      <c r="M196" s="4" t="str">
        <f t="shared" si="29"/>
        <v>2023</v>
      </c>
      <c r="N196" s="1">
        <f t="shared" ca="1" si="30"/>
        <v>46064</v>
      </c>
      <c r="O196" s="6">
        <f t="shared" ca="1" si="31"/>
        <v>2</v>
      </c>
      <c r="P196">
        <v>1</v>
      </c>
      <c r="Q196">
        <f t="shared" si="32"/>
        <v>75029</v>
      </c>
      <c r="R196" s="2">
        <f t="shared" si="33"/>
        <v>37514.5</v>
      </c>
      <c r="S196" s="2" t="str">
        <f t="shared" si="34"/>
        <v xml:space="preserve"> Not Achieved</v>
      </c>
      <c r="T196" s="2" t="str">
        <f t="shared" si="35"/>
        <v xml:space="preserve"> Excellent</v>
      </c>
      <c r="U196" s="2"/>
    </row>
    <row r="197" spans="1:21" x14ac:dyDescent="0.3">
      <c r="A197">
        <v>196</v>
      </c>
      <c r="B197" t="s">
        <v>331</v>
      </c>
      <c r="C197" t="str">
        <f t="shared" si="27"/>
        <v>EMP_196</v>
      </c>
      <c r="D197" t="s">
        <v>15</v>
      </c>
      <c r="E197" t="str">
        <f t="shared" si="28"/>
        <v>EMP_196Finance</v>
      </c>
      <c r="F197" t="s">
        <v>18</v>
      </c>
      <c r="G197" t="s">
        <v>16</v>
      </c>
      <c r="H197">
        <v>75245</v>
      </c>
      <c r="I197">
        <v>9752</v>
      </c>
      <c r="J197">
        <v>0</v>
      </c>
      <c r="K197">
        <v>0</v>
      </c>
      <c r="L197" s="4">
        <v>43808</v>
      </c>
      <c r="M197" s="4" t="str">
        <f t="shared" si="29"/>
        <v>2019</v>
      </c>
      <c r="N197" s="1">
        <f t="shared" ca="1" si="30"/>
        <v>46064</v>
      </c>
      <c r="O197" s="6">
        <f t="shared" ca="1" si="31"/>
        <v>6</v>
      </c>
      <c r="P197">
        <v>4</v>
      </c>
      <c r="Q197">
        <f t="shared" si="32"/>
        <v>84997</v>
      </c>
      <c r="R197" s="2">
        <f t="shared" si="33"/>
        <v>42498.5</v>
      </c>
      <c r="S197" s="2" t="str">
        <f t="shared" si="34"/>
        <v xml:space="preserve"> Not Achieved</v>
      </c>
      <c r="T197" s="2" t="str">
        <f t="shared" si="35"/>
        <v xml:space="preserve"> Excellent</v>
      </c>
      <c r="U197" s="2"/>
    </row>
    <row r="198" spans="1:21" x14ac:dyDescent="0.3">
      <c r="A198">
        <v>197</v>
      </c>
      <c r="B198" t="s">
        <v>332</v>
      </c>
      <c r="C198" t="str">
        <f t="shared" si="27"/>
        <v>EMP_197</v>
      </c>
      <c r="D198" t="s">
        <v>15</v>
      </c>
      <c r="E198" t="str">
        <f t="shared" si="28"/>
        <v>EMP_197Marketing</v>
      </c>
      <c r="F198" t="s">
        <v>24</v>
      </c>
      <c r="G198" t="s">
        <v>19</v>
      </c>
      <c r="H198">
        <v>59114</v>
      </c>
      <c r="I198">
        <v>3254</v>
      </c>
      <c r="J198">
        <v>0</v>
      </c>
      <c r="K198">
        <v>0</v>
      </c>
      <c r="L198" s="4" t="s">
        <v>333</v>
      </c>
      <c r="M198" s="4" t="str">
        <f t="shared" si="29"/>
        <v>9/13/2023</v>
      </c>
      <c r="N198" s="1">
        <f t="shared" ca="1" si="30"/>
        <v>46064</v>
      </c>
      <c r="O198" s="6" t="e">
        <f t="shared" ca="1" si="31"/>
        <v>#VALUE!</v>
      </c>
      <c r="P198">
        <v>3</v>
      </c>
      <c r="Q198">
        <f t="shared" si="32"/>
        <v>62368</v>
      </c>
      <c r="R198" s="2">
        <f t="shared" si="33"/>
        <v>31184</v>
      </c>
      <c r="S198" s="2" t="str">
        <f t="shared" si="34"/>
        <v xml:space="preserve"> Not Achieved</v>
      </c>
      <c r="T198" s="2" t="str">
        <f t="shared" si="35"/>
        <v xml:space="preserve"> Excellent</v>
      </c>
      <c r="U198" s="2"/>
    </row>
    <row r="199" spans="1:21" x14ac:dyDescent="0.3">
      <c r="A199">
        <v>198</v>
      </c>
      <c r="B199" t="s">
        <v>334</v>
      </c>
      <c r="C199" t="str">
        <f t="shared" si="27"/>
        <v>EMP_198</v>
      </c>
      <c r="D199" t="s">
        <v>11</v>
      </c>
      <c r="E199" t="str">
        <f t="shared" si="28"/>
        <v>EMP_198IT</v>
      </c>
      <c r="F199" t="s">
        <v>21</v>
      </c>
      <c r="G199" t="s">
        <v>22</v>
      </c>
      <c r="H199">
        <v>47501</v>
      </c>
      <c r="I199">
        <v>4971</v>
      </c>
      <c r="J199">
        <v>0</v>
      </c>
      <c r="K199">
        <v>0</v>
      </c>
      <c r="L199" s="4" t="s">
        <v>335</v>
      </c>
      <c r="M199" s="4" t="str">
        <f t="shared" si="29"/>
        <v>5/13/2023</v>
      </c>
      <c r="N199" s="1">
        <f t="shared" ca="1" si="30"/>
        <v>46064</v>
      </c>
      <c r="O199" s="6" t="e">
        <f t="shared" ca="1" si="31"/>
        <v>#VALUE!</v>
      </c>
      <c r="P199">
        <v>2</v>
      </c>
      <c r="Q199">
        <f t="shared" si="32"/>
        <v>52472</v>
      </c>
      <c r="R199" s="2">
        <f t="shared" si="33"/>
        <v>26236</v>
      </c>
      <c r="S199" s="2" t="str">
        <f t="shared" si="34"/>
        <v xml:space="preserve"> Not Achieved</v>
      </c>
      <c r="T199" s="2" t="str">
        <f t="shared" si="35"/>
        <v>Good</v>
      </c>
      <c r="U199" s="2"/>
    </row>
    <row r="200" spans="1:21" x14ac:dyDescent="0.3">
      <c r="A200">
        <v>199</v>
      </c>
      <c r="B200" t="s">
        <v>336</v>
      </c>
      <c r="C200" t="str">
        <f t="shared" si="27"/>
        <v>EMP_199</v>
      </c>
      <c r="D200" t="s">
        <v>15</v>
      </c>
      <c r="E200" t="str">
        <f t="shared" si="28"/>
        <v>EMP_199Marketing</v>
      </c>
      <c r="F200" t="s">
        <v>24</v>
      </c>
      <c r="G200" t="s">
        <v>16</v>
      </c>
      <c r="H200">
        <v>48422</v>
      </c>
      <c r="I200">
        <v>9907</v>
      </c>
      <c r="J200">
        <v>0</v>
      </c>
      <c r="K200">
        <v>0</v>
      </c>
      <c r="L200" s="4">
        <v>43592</v>
      </c>
      <c r="M200" s="4" t="str">
        <f t="shared" si="29"/>
        <v>2019</v>
      </c>
      <c r="N200" s="1">
        <f t="shared" ca="1" si="30"/>
        <v>46064</v>
      </c>
      <c r="O200" s="6">
        <f t="shared" ca="1" si="31"/>
        <v>6</v>
      </c>
      <c r="P200">
        <v>3</v>
      </c>
      <c r="Q200">
        <f t="shared" si="32"/>
        <v>58329</v>
      </c>
      <c r="R200" s="2">
        <f t="shared" si="33"/>
        <v>29164.5</v>
      </c>
      <c r="S200" s="2" t="str">
        <f t="shared" si="34"/>
        <v xml:space="preserve"> Not Achieved</v>
      </c>
      <c r="T200" s="2" t="str">
        <f t="shared" si="35"/>
        <v>Good</v>
      </c>
      <c r="U200" s="2"/>
    </row>
    <row r="201" spans="1:21" x14ac:dyDescent="0.3">
      <c r="A201">
        <v>200</v>
      </c>
      <c r="B201" t="s">
        <v>337</v>
      </c>
      <c r="C201" t="str">
        <f t="shared" si="27"/>
        <v>EMP_200</v>
      </c>
      <c r="D201" t="s">
        <v>15</v>
      </c>
      <c r="E201" t="str">
        <f t="shared" si="28"/>
        <v>EMP_200HR</v>
      </c>
      <c r="F201" t="s">
        <v>12</v>
      </c>
      <c r="G201" t="s">
        <v>25</v>
      </c>
      <c r="H201">
        <v>62376</v>
      </c>
      <c r="I201">
        <v>11994</v>
      </c>
      <c r="J201">
        <v>0</v>
      </c>
      <c r="K201">
        <v>0</v>
      </c>
      <c r="L201" s="4" t="s">
        <v>338</v>
      </c>
      <c r="M201" s="4" t="str">
        <f t="shared" si="29"/>
        <v>8/27/2022</v>
      </c>
      <c r="N201" s="1">
        <f t="shared" ca="1" si="30"/>
        <v>46064</v>
      </c>
      <c r="O201" s="6" t="e">
        <f t="shared" ca="1" si="31"/>
        <v>#VALUE!</v>
      </c>
      <c r="P201">
        <v>3</v>
      </c>
      <c r="Q201">
        <f t="shared" si="32"/>
        <v>74370</v>
      </c>
      <c r="R201" s="2">
        <f t="shared" si="33"/>
        <v>37185</v>
      </c>
      <c r="S201" s="2" t="str">
        <f t="shared" si="34"/>
        <v xml:space="preserve"> Not Achieved</v>
      </c>
      <c r="T201" s="2" t="str">
        <f t="shared" si="35"/>
        <v xml:space="preserve"> Excellent</v>
      </c>
      <c r="U201" s="2"/>
    </row>
    <row r="202" spans="1:21" x14ac:dyDescent="0.3">
      <c r="A202">
        <v>201</v>
      </c>
      <c r="B202" t="s">
        <v>339</v>
      </c>
      <c r="C202" t="str">
        <f t="shared" si="27"/>
        <v>EMP_201</v>
      </c>
      <c r="D202" t="s">
        <v>11</v>
      </c>
      <c r="E202" t="str">
        <f t="shared" si="28"/>
        <v>EMP_201HR</v>
      </c>
      <c r="F202" t="s">
        <v>12</v>
      </c>
      <c r="G202" t="s">
        <v>19</v>
      </c>
      <c r="H202">
        <v>33531</v>
      </c>
      <c r="I202">
        <v>5839</v>
      </c>
      <c r="J202">
        <v>0</v>
      </c>
      <c r="K202">
        <v>0</v>
      </c>
      <c r="L202" s="4">
        <v>45420</v>
      </c>
      <c r="M202" s="4" t="str">
        <f t="shared" si="29"/>
        <v>2024</v>
      </c>
      <c r="N202" s="1">
        <f t="shared" ca="1" si="30"/>
        <v>46064</v>
      </c>
      <c r="O202" s="6">
        <f t="shared" ca="1" si="31"/>
        <v>1</v>
      </c>
      <c r="P202">
        <v>5</v>
      </c>
      <c r="Q202">
        <f t="shared" si="32"/>
        <v>39370</v>
      </c>
      <c r="R202" s="2">
        <f t="shared" si="33"/>
        <v>19685</v>
      </c>
      <c r="S202" s="2" t="str">
        <f t="shared" si="34"/>
        <v xml:space="preserve"> Not Achieved</v>
      </c>
      <c r="T202" s="2" t="str">
        <f t="shared" si="35"/>
        <v>Average</v>
      </c>
      <c r="U202" s="2"/>
    </row>
    <row r="203" spans="1:21" x14ac:dyDescent="0.3">
      <c r="A203">
        <v>202</v>
      </c>
      <c r="B203" t="s">
        <v>340</v>
      </c>
      <c r="C203" t="str">
        <f t="shared" si="27"/>
        <v>EMP_202</v>
      </c>
      <c r="D203" t="s">
        <v>11</v>
      </c>
      <c r="E203" t="str">
        <f t="shared" si="28"/>
        <v>EMP_202Sales</v>
      </c>
      <c r="F203" t="s">
        <v>7</v>
      </c>
      <c r="G203" t="s">
        <v>16</v>
      </c>
      <c r="H203">
        <v>32643</v>
      </c>
      <c r="I203">
        <v>10301</v>
      </c>
      <c r="J203">
        <v>215633</v>
      </c>
      <c r="K203">
        <v>151350</v>
      </c>
      <c r="L203" s="4" t="s">
        <v>341</v>
      </c>
      <c r="M203" s="4" t="str">
        <f t="shared" si="29"/>
        <v>11/18/2018</v>
      </c>
      <c r="N203" s="1">
        <f t="shared" ca="1" si="30"/>
        <v>46064</v>
      </c>
      <c r="O203" s="6" t="e">
        <f t="shared" ca="1" si="31"/>
        <v>#VALUE!</v>
      </c>
      <c r="P203">
        <v>1</v>
      </c>
      <c r="Q203">
        <f t="shared" si="32"/>
        <v>42944</v>
      </c>
      <c r="R203" s="2">
        <f t="shared" si="33"/>
        <v>21472</v>
      </c>
      <c r="S203" s="2" t="str">
        <f t="shared" si="34"/>
        <v>Achieved</v>
      </c>
      <c r="T203" s="2" t="str">
        <f t="shared" si="35"/>
        <v>Average</v>
      </c>
      <c r="U203" s="2"/>
    </row>
    <row r="204" spans="1:21" x14ac:dyDescent="0.3">
      <c r="A204">
        <v>203</v>
      </c>
      <c r="B204" t="s">
        <v>342</v>
      </c>
      <c r="C204" t="str">
        <f t="shared" si="27"/>
        <v>EMP_203</v>
      </c>
      <c r="D204" t="s">
        <v>11</v>
      </c>
      <c r="E204" t="str">
        <f t="shared" si="28"/>
        <v>EMP_203Sales</v>
      </c>
      <c r="F204" t="s">
        <v>7</v>
      </c>
      <c r="G204" t="s">
        <v>16</v>
      </c>
      <c r="H204">
        <v>29892</v>
      </c>
      <c r="I204">
        <v>5145</v>
      </c>
      <c r="J204">
        <v>173974</v>
      </c>
      <c r="K204">
        <v>160968</v>
      </c>
      <c r="L204" s="4" t="s">
        <v>343</v>
      </c>
      <c r="M204" s="4" t="str">
        <f t="shared" si="29"/>
        <v>6/19/2020</v>
      </c>
      <c r="N204" s="1">
        <f t="shared" ca="1" si="30"/>
        <v>46064</v>
      </c>
      <c r="O204" s="6" t="e">
        <f t="shared" ca="1" si="31"/>
        <v>#VALUE!</v>
      </c>
      <c r="P204">
        <v>4</v>
      </c>
      <c r="Q204">
        <f t="shared" si="32"/>
        <v>35037</v>
      </c>
      <c r="R204" s="2">
        <f t="shared" si="33"/>
        <v>17518.5</v>
      </c>
      <c r="S204" s="2" t="str">
        <f t="shared" si="34"/>
        <v>Achieved</v>
      </c>
      <c r="T204" s="2" t="str">
        <f t="shared" si="35"/>
        <v>poor</v>
      </c>
      <c r="U204" s="2"/>
    </row>
    <row r="205" spans="1:21" x14ac:dyDescent="0.3">
      <c r="A205">
        <v>204</v>
      </c>
      <c r="B205" t="s">
        <v>344</v>
      </c>
      <c r="C205" t="str">
        <f t="shared" si="27"/>
        <v>EMP_204</v>
      </c>
      <c r="D205" t="s">
        <v>11</v>
      </c>
      <c r="E205" t="str">
        <f t="shared" si="28"/>
        <v>EMP_204Marketing</v>
      </c>
      <c r="F205" t="s">
        <v>24</v>
      </c>
      <c r="G205" t="s">
        <v>25</v>
      </c>
      <c r="H205">
        <v>31770</v>
      </c>
      <c r="I205">
        <v>8355</v>
      </c>
      <c r="J205">
        <v>0</v>
      </c>
      <c r="K205">
        <v>0</v>
      </c>
      <c r="L205" s="4" t="s">
        <v>345</v>
      </c>
      <c r="M205" s="4" t="str">
        <f t="shared" si="29"/>
        <v>10/24/2023</v>
      </c>
      <c r="N205" s="1">
        <f t="shared" ca="1" si="30"/>
        <v>46064</v>
      </c>
      <c r="O205" s="6" t="e">
        <f t="shared" ca="1" si="31"/>
        <v>#VALUE!</v>
      </c>
      <c r="P205">
        <v>4</v>
      </c>
      <c r="Q205">
        <f t="shared" si="32"/>
        <v>40125</v>
      </c>
      <c r="R205" s="2">
        <f t="shared" si="33"/>
        <v>20062.5</v>
      </c>
      <c r="S205" s="2" t="str">
        <f t="shared" si="34"/>
        <v xml:space="preserve"> Not Achieved</v>
      </c>
      <c r="T205" s="2" t="str">
        <f t="shared" si="35"/>
        <v>Average</v>
      </c>
      <c r="U205" s="2"/>
    </row>
    <row r="206" spans="1:21" x14ac:dyDescent="0.3">
      <c r="A206">
        <v>205</v>
      </c>
      <c r="B206" t="s">
        <v>346</v>
      </c>
      <c r="C206" t="str">
        <f t="shared" si="27"/>
        <v>EMP_205</v>
      </c>
      <c r="D206" t="s">
        <v>15</v>
      </c>
      <c r="E206" t="str">
        <f t="shared" si="28"/>
        <v>EMP_205HR</v>
      </c>
      <c r="F206" t="s">
        <v>12</v>
      </c>
      <c r="G206" t="s">
        <v>16</v>
      </c>
      <c r="H206">
        <v>37886</v>
      </c>
      <c r="I206">
        <v>8890</v>
      </c>
      <c r="J206">
        <v>0</v>
      </c>
      <c r="K206">
        <v>0</v>
      </c>
      <c r="L206" s="4" t="s">
        <v>347</v>
      </c>
      <c r="M206" s="4" t="str">
        <f t="shared" si="29"/>
        <v>8/21/2024</v>
      </c>
      <c r="N206" s="1">
        <f t="shared" ca="1" si="30"/>
        <v>46064</v>
      </c>
      <c r="O206" s="6" t="e">
        <f t="shared" ca="1" si="31"/>
        <v>#VALUE!</v>
      </c>
      <c r="P206">
        <v>5</v>
      </c>
      <c r="Q206">
        <f t="shared" si="32"/>
        <v>46776</v>
      </c>
      <c r="R206" s="2">
        <f t="shared" si="33"/>
        <v>23388</v>
      </c>
      <c r="S206" s="2" t="str">
        <f t="shared" si="34"/>
        <v xml:space="preserve"> Not Achieved</v>
      </c>
      <c r="T206" s="2" t="str">
        <f t="shared" si="35"/>
        <v>Average</v>
      </c>
      <c r="U206" s="2"/>
    </row>
    <row r="207" spans="1:21" x14ac:dyDescent="0.3">
      <c r="A207">
        <v>206</v>
      </c>
      <c r="B207" t="s">
        <v>348</v>
      </c>
      <c r="C207" t="str">
        <f t="shared" si="27"/>
        <v>EMP_206</v>
      </c>
      <c r="D207" t="s">
        <v>15</v>
      </c>
      <c r="E207" t="str">
        <f t="shared" si="28"/>
        <v>EMP_206Sales</v>
      </c>
      <c r="F207" t="s">
        <v>7</v>
      </c>
      <c r="G207" t="s">
        <v>25</v>
      </c>
      <c r="H207">
        <v>49411</v>
      </c>
      <c r="I207">
        <v>8684</v>
      </c>
      <c r="J207">
        <v>250228</v>
      </c>
      <c r="K207">
        <v>151402</v>
      </c>
      <c r="L207" s="4" t="s">
        <v>239</v>
      </c>
      <c r="M207" s="4" t="str">
        <f t="shared" si="29"/>
        <v>8/23/2019</v>
      </c>
      <c r="N207" s="1">
        <f t="shared" ca="1" si="30"/>
        <v>46064</v>
      </c>
      <c r="O207" s="6" t="e">
        <f t="shared" ca="1" si="31"/>
        <v>#VALUE!</v>
      </c>
      <c r="P207">
        <v>2</v>
      </c>
      <c r="Q207">
        <f t="shared" si="32"/>
        <v>58095</v>
      </c>
      <c r="R207" s="2">
        <f t="shared" si="33"/>
        <v>29047.5</v>
      </c>
      <c r="S207" s="2" t="str">
        <f t="shared" si="34"/>
        <v>Achieved</v>
      </c>
      <c r="T207" s="2" t="str">
        <f t="shared" si="35"/>
        <v>Good</v>
      </c>
      <c r="U207" s="2"/>
    </row>
    <row r="208" spans="1:21" x14ac:dyDescent="0.3">
      <c r="A208">
        <v>207</v>
      </c>
      <c r="B208" t="s">
        <v>349</v>
      </c>
      <c r="C208" t="str">
        <f t="shared" si="27"/>
        <v>EMP_207</v>
      </c>
      <c r="D208" t="s">
        <v>11</v>
      </c>
      <c r="E208" t="str">
        <f t="shared" si="28"/>
        <v>EMP_207IT</v>
      </c>
      <c r="F208" t="s">
        <v>21</v>
      </c>
      <c r="G208" t="s">
        <v>19</v>
      </c>
      <c r="H208">
        <v>61734</v>
      </c>
      <c r="I208">
        <v>9331</v>
      </c>
      <c r="J208">
        <v>0</v>
      </c>
      <c r="K208">
        <v>0</v>
      </c>
      <c r="L208" s="4" t="s">
        <v>350</v>
      </c>
      <c r="M208" s="4" t="str">
        <f t="shared" si="29"/>
        <v>2/25/2021</v>
      </c>
      <c r="N208" s="1">
        <f t="shared" ca="1" si="30"/>
        <v>46064</v>
      </c>
      <c r="O208" s="6" t="e">
        <f t="shared" ca="1" si="31"/>
        <v>#VALUE!</v>
      </c>
      <c r="P208">
        <v>5</v>
      </c>
      <c r="Q208">
        <f t="shared" si="32"/>
        <v>71065</v>
      </c>
      <c r="R208" s="2">
        <f t="shared" si="33"/>
        <v>35532.5</v>
      </c>
      <c r="S208" s="2" t="str">
        <f t="shared" si="34"/>
        <v xml:space="preserve"> Not Achieved</v>
      </c>
      <c r="T208" s="2" t="str">
        <f t="shared" si="35"/>
        <v xml:space="preserve"> Excellent</v>
      </c>
      <c r="U208" s="2"/>
    </row>
    <row r="209" spans="1:21" x14ac:dyDescent="0.3">
      <c r="A209">
        <v>208</v>
      </c>
      <c r="B209" t="s">
        <v>351</v>
      </c>
      <c r="C209" t="str">
        <f t="shared" si="27"/>
        <v>EMP_208</v>
      </c>
      <c r="D209" t="s">
        <v>11</v>
      </c>
      <c r="E209" t="str">
        <f t="shared" si="28"/>
        <v>EMP_208Sales</v>
      </c>
      <c r="F209" t="s">
        <v>7</v>
      </c>
      <c r="G209" t="s">
        <v>16</v>
      </c>
      <c r="H209">
        <v>37394</v>
      </c>
      <c r="I209">
        <v>4753</v>
      </c>
      <c r="J209">
        <v>229937</v>
      </c>
      <c r="K209">
        <v>119087</v>
      </c>
      <c r="L209" s="4">
        <v>43719</v>
      </c>
      <c r="M209" s="4" t="str">
        <f t="shared" si="29"/>
        <v>2019</v>
      </c>
      <c r="N209" s="1">
        <f t="shared" ca="1" si="30"/>
        <v>46064</v>
      </c>
      <c r="O209" s="6">
        <f t="shared" ca="1" si="31"/>
        <v>6</v>
      </c>
      <c r="P209">
        <v>4</v>
      </c>
      <c r="Q209">
        <f t="shared" si="32"/>
        <v>42147</v>
      </c>
      <c r="R209" s="2">
        <f t="shared" si="33"/>
        <v>21073.5</v>
      </c>
      <c r="S209" s="2" t="str">
        <f t="shared" si="34"/>
        <v>Achieved</v>
      </c>
      <c r="T209" s="2" t="str">
        <f t="shared" si="35"/>
        <v>Average</v>
      </c>
      <c r="U209" s="2"/>
    </row>
    <row r="210" spans="1:21" x14ac:dyDescent="0.3">
      <c r="A210">
        <v>209</v>
      </c>
      <c r="B210" t="s">
        <v>352</v>
      </c>
      <c r="C210" t="str">
        <f t="shared" si="27"/>
        <v>EMP_209</v>
      </c>
      <c r="D210" t="s">
        <v>15</v>
      </c>
      <c r="E210" t="str">
        <f t="shared" si="28"/>
        <v>EMP_209Sales</v>
      </c>
      <c r="F210" t="s">
        <v>7</v>
      </c>
      <c r="G210" t="s">
        <v>25</v>
      </c>
      <c r="H210">
        <v>72150</v>
      </c>
      <c r="I210">
        <v>3115</v>
      </c>
      <c r="J210">
        <v>264374</v>
      </c>
      <c r="K210">
        <v>243347</v>
      </c>
      <c r="L210" s="4">
        <v>45326</v>
      </c>
      <c r="M210" s="4" t="str">
        <f t="shared" si="29"/>
        <v>2024</v>
      </c>
      <c r="N210" s="1">
        <f t="shared" ca="1" si="30"/>
        <v>46064</v>
      </c>
      <c r="O210" s="6">
        <f t="shared" ca="1" si="31"/>
        <v>2</v>
      </c>
      <c r="P210">
        <v>3</v>
      </c>
      <c r="Q210">
        <f t="shared" si="32"/>
        <v>75265</v>
      </c>
      <c r="R210" s="2">
        <f t="shared" si="33"/>
        <v>37632.5</v>
      </c>
      <c r="S210" s="2" t="str">
        <f t="shared" si="34"/>
        <v>Achieved</v>
      </c>
      <c r="T210" s="2" t="str">
        <f t="shared" si="35"/>
        <v xml:space="preserve"> Excellent</v>
      </c>
      <c r="U210" s="2"/>
    </row>
    <row r="211" spans="1:21" x14ac:dyDescent="0.3">
      <c r="A211">
        <v>210</v>
      </c>
      <c r="B211" t="s">
        <v>353</v>
      </c>
      <c r="C211" t="str">
        <f t="shared" si="27"/>
        <v>EMP_210</v>
      </c>
      <c r="D211" t="s">
        <v>11</v>
      </c>
      <c r="E211" t="str">
        <f t="shared" si="28"/>
        <v>EMP_210HR</v>
      </c>
      <c r="F211" t="s">
        <v>12</v>
      </c>
      <c r="G211" t="s">
        <v>13</v>
      </c>
      <c r="H211">
        <v>60399</v>
      </c>
      <c r="I211">
        <v>11524</v>
      </c>
      <c r="J211">
        <v>0</v>
      </c>
      <c r="K211">
        <v>0</v>
      </c>
      <c r="L211" s="4" t="s">
        <v>354</v>
      </c>
      <c r="M211" s="4" t="str">
        <f t="shared" si="29"/>
        <v>8/21/2022</v>
      </c>
      <c r="N211" s="1">
        <f t="shared" ca="1" si="30"/>
        <v>46064</v>
      </c>
      <c r="O211" s="6" t="e">
        <f t="shared" ca="1" si="31"/>
        <v>#VALUE!</v>
      </c>
      <c r="P211">
        <v>3</v>
      </c>
      <c r="Q211">
        <f t="shared" si="32"/>
        <v>71923</v>
      </c>
      <c r="R211" s="2">
        <f t="shared" si="33"/>
        <v>35961.5</v>
      </c>
      <c r="S211" s="2" t="str">
        <f t="shared" si="34"/>
        <v xml:space="preserve"> Not Achieved</v>
      </c>
      <c r="T211" s="2" t="str">
        <f t="shared" si="35"/>
        <v xml:space="preserve"> Excellent</v>
      </c>
      <c r="U211" s="2"/>
    </row>
    <row r="212" spans="1:21" x14ac:dyDescent="0.3">
      <c r="A212">
        <v>211</v>
      </c>
      <c r="B212" t="s">
        <v>355</v>
      </c>
      <c r="C212" t="str">
        <f t="shared" si="27"/>
        <v>EMP_211</v>
      </c>
      <c r="D212" t="s">
        <v>15</v>
      </c>
      <c r="E212" t="str">
        <f t="shared" si="28"/>
        <v>EMP_211IT</v>
      </c>
      <c r="F212" t="s">
        <v>21</v>
      </c>
      <c r="G212" t="s">
        <v>13</v>
      </c>
      <c r="H212">
        <v>63170</v>
      </c>
      <c r="I212">
        <v>12110</v>
      </c>
      <c r="J212">
        <v>0</v>
      </c>
      <c r="K212">
        <v>0</v>
      </c>
      <c r="L212" s="4" t="s">
        <v>356</v>
      </c>
      <c r="M212" s="4" t="str">
        <f t="shared" si="29"/>
        <v>6/25/2023</v>
      </c>
      <c r="N212" s="1">
        <f t="shared" ca="1" si="30"/>
        <v>46064</v>
      </c>
      <c r="O212" s="6" t="e">
        <f t="shared" ca="1" si="31"/>
        <v>#VALUE!</v>
      </c>
      <c r="P212">
        <v>3</v>
      </c>
      <c r="Q212">
        <f t="shared" si="32"/>
        <v>75280</v>
      </c>
      <c r="R212" s="2">
        <f t="shared" si="33"/>
        <v>37640</v>
      </c>
      <c r="S212" s="2" t="str">
        <f t="shared" si="34"/>
        <v xml:space="preserve"> Not Achieved</v>
      </c>
      <c r="T212" s="2" t="str">
        <f t="shared" si="35"/>
        <v xml:space="preserve"> Excellent</v>
      </c>
      <c r="U212" s="2"/>
    </row>
    <row r="213" spans="1:21" x14ac:dyDescent="0.3">
      <c r="A213">
        <v>212</v>
      </c>
      <c r="B213" t="s">
        <v>357</v>
      </c>
      <c r="C213" t="str">
        <f t="shared" si="27"/>
        <v>EMP_212</v>
      </c>
      <c r="D213" t="s">
        <v>11</v>
      </c>
      <c r="E213" t="str">
        <f t="shared" si="28"/>
        <v>EMP_212IT</v>
      </c>
      <c r="F213" t="s">
        <v>21</v>
      </c>
      <c r="G213" t="s">
        <v>13</v>
      </c>
      <c r="H213">
        <v>41778</v>
      </c>
      <c r="I213">
        <v>8073</v>
      </c>
      <c r="J213">
        <v>0</v>
      </c>
      <c r="K213">
        <v>0</v>
      </c>
      <c r="L213" s="4" t="s">
        <v>358</v>
      </c>
      <c r="M213" s="4" t="str">
        <f t="shared" si="29"/>
        <v>2/23/2018</v>
      </c>
      <c r="N213" s="1">
        <f t="shared" ca="1" si="30"/>
        <v>46064</v>
      </c>
      <c r="O213" s="6" t="e">
        <f t="shared" ca="1" si="31"/>
        <v>#VALUE!</v>
      </c>
      <c r="P213">
        <v>3</v>
      </c>
      <c r="Q213">
        <f t="shared" si="32"/>
        <v>49851</v>
      </c>
      <c r="R213" s="2">
        <f t="shared" si="33"/>
        <v>24925.5</v>
      </c>
      <c r="S213" s="2" t="str">
        <f t="shared" si="34"/>
        <v xml:space="preserve"> Not Achieved</v>
      </c>
      <c r="T213" s="2" t="str">
        <f t="shared" si="35"/>
        <v>Good</v>
      </c>
      <c r="U213" s="2"/>
    </row>
    <row r="214" spans="1:21" x14ac:dyDescent="0.3">
      <c r="A214">
        <v>213</v>
      </c>
      <c r="B214" t="s">
        <v>359</v>
      </c>
      <c r="C214" t="str">
        <f t="shared" si="27"/>
        <v>EMP_213</v>
      </c>
      <c r="D214" t="s">
        <v>15</v>
      </c>
      <c r="E214" t="str">
        <f t="shared" si="28"/>
        <v>EMP_213Finance</v>
      </c>
      <c r="F214" t="s">
        <v>18</v>
      </c>
      <c r="G214" t="s">
        <v>13</v>
      </c>
      <c r="H214">
        <v>32492</v>
      </c>
      <c r="I214">
        <v>6911</v>
      </c>
      <c r="J214">
        <v>0</v>
      </c>
      <c r="K214">
        <v>0</v>
      </c>
      <c r="L214" s="4">
        <v>43405</v>
      </c>
      <c r="M214" s="4" t="str">
        <f t="shared" si="29"/>
        <v>2018</v>
      </c>
      <c r="N214" s="1">
        <f t="shared" ca="1" si="30"/>
        <v>46064</v>
      </c>
      <c r="O214" s="6">
        <f t="shared" ca="1" si="31"/>
        <v>7</v>
      </c>
      <c r="P214">
        <v>5</v>
      </c>
      <c r="Q214">
        <f t="shared" si="32"/>
        <v>39403</v>
      </c>
      <c r="R214" s="2">
        <f t="shared" si="33"/>
        <v>19701.5</v>
      </c>
      <c r="S214" s="2" t="str">
        <f t="shared" si="34"/>
        <v xml:space="preserve"> Not Achieved</v>
      </c>
      <c r="T214" s="2" t="str">
        <f t="shared" si="35"/>
        <v>Average</v>
      </c>
      <c r="U214" s="2"/>
    </row>
    <row r="215" spans="1:21" x14ac:dyDescent="0.3">
      <c r="A215">
        <v>214</v>
      </c>
      <c r="B215" t="s">
        <v>360</v>
      </c>
      <c r="C215" t="str">
        <f t="shared" si="27"/>
        <v>EMP_214</v>
      </c>
      <c r="D215" t="s">
        <v>11</v>
      </c>
      <c r="E215" t="str">
        <f t="shared" si="28"/>
        <v>EMP_214Finance</v>
      </c>
      <c r="F215" t="s">
        <v>18</v>
      </c>
      <c r="G215" t="s">
        <v>16</v>
      </c>
      <c r="H215">
        <v>47713</v>
      </c>
      <c r="I215">
        <v>10636</v>
      </c>
      <c r="J215">
        <v>0</v>
      </c>
      <c r="K215">
        <v>0</v>
      </c>
      <c r="L215" s="4" t="s">
        <v>361</v>
      </c>
      <c r="M215" s="4" t="str">
        <f t="shared" si="29"/>
        <v>10/16/2018</v>
      </c>
      <c r="N215" s="1">
        <f t="shared" ca="1" si="30"/>
        <v>46064</v>
      </c>
      <c r="O215" s="6" t="e">
        <f t="shared" ca="1" si="31"/>
        <v>#VALUE!</v>
      </c>
      <c r="P215">
        <v>4</v>
      </c>
      <c r="Q215">
        <f t="shared" si="32"/>
        <v>58349</v>
      </c>
      <c r="R215" s="2">
        <f t="shared" si="33"/>
        <v>29174.5</v>
      </c>
      <c r="S215" s="2" t="str">
        <f t="shared" si="34"/>
        <v xml:space="preserve"> Not Achieved</v>
      </c>
      <c r="T215" s="2" t="str">
        <f t="shared" si="35"/>
        <v>Good</v>
      </c>
      <c r="U215" s="2"/>
    </row>
    <row r="216" spans="1:21" x14ac:dyDescent="0.3">
      <c r="A216">
        <v>215</v>
      </c>
      <c r="B216" t="s">
        <v>362</v>
      </c>
      <c r="C216" t="str">
        <f t="shared" si="27"/>
        <v>EMP_215</v>
      </c>
      <c r="D216" t="s">
        <v>15</v>
      </c>
      <c r="E216" t="str">
        <f t="shared" si="28"/>
        <v>EMP_215Finance</v>
      </c>
      <c r="F216" t="s">
        <v>18</v>
      </c>
      <c r="G216" t="s">
        <v>13</v>
      </c>
      <c r="H216">
        <v>57637</v>
      </c>
      <c r="I216">
        <v>8843</v>
      </c>
      <c r="J216">
        <v>0</v>
      </c>
      <c r="K216">
        <v>0</v>
      </c>
      <c r="L216" s="4">
        <v>44532</v>
      </c>
      <c r="M216" s="4" t="str">
        <f t="shared" si="29"/>
        <v>2021</v>
      </c>
      <c r="N216" s="1">
        <f t="shared" ca="1" si="30"/>
        <v>46064</v>
      </c>
      <c r="O216" s="6">
        <f t="shared" ca="1" si="31"/>
        <v>4</v>
      </c>
      <c r="P216">
        <v>2</v>
      </c>
      <c r="Q216">
        <f t="shared" si="32"/>
        <v>66480</v>
      </c>
      <c r="R216" s="2">
        <f t="shared" si="33"/>
        <v>33240</v>
      </c>
      <c r="S216" s="2" t="str">
        <f t="shared" si="34"/>
        <v xml:space="preserve"> Not Achieved</v>
      </c>
      <c r="T216" s="2" t="str">
        <f t="shared" si="35"/>
        <v xml:space="preserve"> Excellent</v>
      </c>
      <c r="U216" s="2"/>
    </row>
    <row r="217" spans="1:21" x14ac:dyDescent="0.3">
      <c r="A217">
        <v>216</v>
      </c>
      <c r="B217" t="s">
        <v>363</v>
      </c>
      <c r="C217" t="str">
        <f t="shared" si="27"/>
        <v>EMP_216</v>
      </c>
      <c r="D217" t="s">
        <v>11</v>
      </c>
      <c r="E217" t="str">
        <f t="shared" si="28"/>
        <v>EMP_216IT</v>
      </c>
      <c r="F217" t="s">
        <v>21</v>
      </c>
      <c r="G217" t="s">
        <v>13</v>
      </c>
      <c r="H217">
        <v>25195</v>
      </c>
      <c r="I217">
        <v>6293</v>
      </c>
      <c r="J217">
        <v>0</v>
      </c>
      <c r="K217">
        <v>0</v>
      </c>
      <c r="L217" s="4" t="s">
        <v>364</v>
      </c>
      <c r="M217" s="4" t="str">
        <f t="shared" si="29"/>
        <v>3/17/2022</v>
      </c>
      <c r="N217" s="1">
        <f t="shared" ca="1" si="30"/>
        <v>46064</v>
      </c>
      <c r="O217" s="6" t="e">
        <f t="shared" ca="1" si="31"/>
        <v>#VALUE!</v>
      </c>
      <c r="P217">
        <v>2</v>
      </c>
      <c r="Q217">
        <f t="shared" si="32"/>
        <v>31488</v>
      </c>
      <c r="R217" s="2">
        <f t="shared" si="33"/>
        <v>15744</v>
      </c>
      <c r="S217" s="2" t="str">
        <f t="shared" si="34"/>
        <v xml:space="preserve"> Not Achieved</v>
      </c>
      <c r="T217" s="2" t="str">
        <f t="shared" si="35"/>
        <v>poor</v>
      </c>
      <c r="U217" s="2"/>
    </row>
    <row r="218" spans="1:21" x14ac:dyDescent="0.3">
      <c r="A218">
        <v>217</v>
      </c>
      <c r="B218" t="s">
        <v>365</v>
      </c>
      <c r="C218" t="str">
        <f t="shared" si="27"/>
        <v>EMP_217</v>
      </c>
      <c r="D218" t="s">
        <v>11</v>
      </c>
      <c r="E218" t="str">
        <f t="shared" si="28"/>
        <v>EMP_217Finance</v>
      </c>
      <c r="F218" t="s">
        <v>18</v>
      </c>
      <c r="G218" t="s">
        <v>25</v>
      </c>
      <c r="H218">
        <v>31195</v>
      </c>
      <c r="I218">
        <v>2344</v>
      </c>
      <c r="J218">
        <v>0</v>
      </c>
      <c r="K218">
        <v>0</v>
      </c>
      <c r="L218" s="4">
        <v>43445</v>
      </c>
      <c r="M218" s="4" t="str">
        <f t="shared" si="29"/>
        <v>2018</v>
      </c>
      <c r="N218" s="1">
        <f t="shared" ca="1" si="30"/>
        <v>46064</v>
      </c>
      <c r="O218" s="6">
        <f t="shared" ca="1" si="31"/>
        <v>7</v>
      </c>
      <c r="P218">
        <v>2</v>
      </c>
      <c r="Q218">
        <f t="shared" si="32"/>
        <v>33539</v>
      </c>
      <c r="R218" s="2">
        <f t="shared" si="33"/>
        <v>16769.5</v>
      </c>
      <c r="S218" s="2" t="str">
        <f t="shared" si="34"/>
        <v xml:space="preserve"> Not Achieved</v>
      </c>
      <c r="T218" s="2" t="str">
        <f t="shared" si="35"/>
        <v>Average</v>
      </c>
      <c r="U218" s="2"/>
    </row>
    <row r="219" spans="1:21" x14ac:dyDescent="0.3">
      <c r="A219">
        <v>218</v>
      </c>
      <c r="B219" t="s">
        <v>366</v>
      </c>
      <c r="C219" t="str">
        <f t="shared" si="27"/>
        <v>EMP_218</v>
      </c>
      <c r="D219" t="s">
        <v>15</v>
      </c>
      <c r="E219" t="str">
        <f t="shared" si="28"/>
        <v>EMP_218HR</v>
      </c>
      <c r="F219" t="s">
        <v>12</v>
      </c>
      <c r="G219" t="s">
        <v>19</v>
      </c>
      <c r="H219">
        <v>60015</v>
      </c>
      <c r="I219">
        <v>7713</v>
      </c>
      <c r="J219">
        <v>0</v>
      </c>
      <c r="K219">
        <v>0</v>
      </c>
      <c r="L219" s="4" t="s">
        <v>367</v>
      </c>
      <c r="M219" s="4" t="str">
        <f t="shared" si="29"/>
        <v>3/31/2023</v>
      </c>
      <c r="N219" s="1">
        <f t="shared" ca="1" si="30"/>
        <v>46064</v>
      </c>
      <c r="O219" s="6" t="e">
        <f t="shared" ca="1" si="31"/>
        <v>#VALUE!</v>
      </c>
      <c r="P219">
        <v>1</v>
      </c>
      <c r="Q219">
        <f t="shared" si="32"/>
        <v>67728</v>
      </c>
      <c r="R219" s="2">
        <f t="shared" si="33"/>
        <v>33864</v>
      </c>
      <c r="S219" s="2" t="str">
        <f t="shared" si="34"/>
        <v xml:space="preserve"> Not Achieved</v>
      </c>
      <c r="T219" s="2" t="str">
        <f t="shared" si="35"/>
        <v xml:space="preserve"> Excellent</v>
      </c>
      <c r="U219" s="2"/>
    </row>
    <row r="220" spans="1:21" x14ac:dyDescent="0.3">
      <c r="A220">
        <v>219</v>
      </c>
      <c r="B220" t="s">
        <v>368</v>
      </c>
      <c r="C220" t="str">
        <f t="shared" si="27"/>
        <v>EMP_219</v>
      </c>
      <c r="D220" t="s">
        <v>15</v>
      </c>
      <c r="E220" t="str">
        <f t="shared" si="28"/>
        <v>EMP_219Marketing</v>
      </c>
      <c r="F220" t="s">
        <v>24</v>
      </c>
      <c r="G220" t="s">
        <v>22</v>
      </c>
      <c r="H220">
        <v>68998</v>
      </c>
      <c r="I220">
        <v>9790</v>
      </c>
      <c r="J220">
        <v>0</v>
      </c>
      <c r="K220">
        <v>0</v>
      </c>
      <c r="L220" s="4">
        <v>44110</v>
      </c>
      <c r="M220" s="4" t="str">
        <f t="shared" si="29"/>
        <v>2020</v>
      </c>
      <c r="N220" s="1">
        <f t="shared" ca="1" si="30"/>
        <v>46064</v>
      </c>
      <c r="O220" s="6">
        <f t="shared" ca="1" si="31"/>
        <v>5</v>
      </c>
      <c r="P220">
        <v>1</v>
      </c>
      <c r="Q220">
        <f t="shared" si="32"/>
        <v>78788</v>
      </c>
      <c r="R220" s="2">
        <f t="shared" si="33"/>
        <v>39394</v>
      </c>
      <c r="S220" s="2" t="str">
        <f t="shared" si="34"/>
        <v xml:space="preserve"> Not Achieved</v>
      </c>
      <c r="T220" s="2" t="str">
        <f t="shared" si="35"/>
        <v xml:space="preserve"> Excellent</v>
      </c>
      <c r="U220" s="2"/>
    </row>
    <row r="221" spans="1:21" x14ac:dyDescent="0.3">
      <c r="A221">
        <v>220</v>
      </c>
      <c r="B221" t="s">
        <v>369</v>
      </c>
      <c r="C221" t="str">
        <f t="shared" si="27"/>
        <v>EMP_220</v>
      </c>
      <c r="D221" t="s">
        <v>15</v>
      </c>
      <c r="E221" t="str">
        <f t="shared" si="28"/>
        <v>EMP_220Finance</v>
      </c>
      <c r="F221" t="s">
        <v>18</v>
      </c>
      <c r="G221" t="s">
        <v>22</v>
      </c>
      <c r="H221">
        <v>47980</v>
      </c>
      <c r="I221">
        <v>13781</v>
      </c>
      <c r="J221">
        <v>0</v>
      </c>
      <c r="K221">
        <v>0</v>
      </c>
      <c r="L221" s="4" t="s">
        <v>370</v>
      </c>
      <c r="M221" s="4" t="str">
        <f t="shared" si="29"/>
        <v>11/26/2023</v>
      </c>
      <c r="N221" s="1">
        <f t="shared" ca="1" si="30"/>
        <v>46064</v>
      </c>
      <c r="O221" s="6" t="e">
        <f t="shared" ca="1" si="31"/>
        <v>#VALUE!</v>
      </c>
      <c r="P221">
        <v>1</v>
      </c>
      <c r="Q221">
        <f t="shared" si="32"/>
        <v>61761</v>
      </c>
      <c r="R221" s="2">
        <f t="shared" si="33"/>
        <v>30880.5</v>
      </c>
      <c r="S221" s="2" t="str">
        <f t="shared" si="34"/>
        <v xml:space="preserve"> Not Achieved</v>
      </c>
      <c r="T221" s="2" t="str">
        <f t="shared" si="35"/>
        <v>Good</v>
      </c>
      <c r="U221" s="2"/>
    </row>
    <row r="222" spans="1:21" x14ac:dyDescent="0.3">
      <c r="A222">
        <v>221</v>
      </c>
      <c r="B222" t="s">
        <v>371</v>
      </c>
      <c r="C222" t="str">
        <f t="shared" si="27"/>
        <v>EMP_221</v>
      </c>
      <c r="D222" t="s">
        <v>15</v>
      </c>
      <c r="E222" t="str">
        <f t="shared" si="28"/>
        <v>EMP_221Sales</v>
      </c>
      <c r="F222" t="s">
        <v>7</v>
      </c>
      <c r="G222" t="s">
        <v>13</v>
      </c>
      <c r="H222">
        <v>73946</v>
      </c>
      <c r="I222">
        <v>10279</v>
      </c>
      <c r="J222">
        <v>86717</v>
      </c>
      <c r="K222">
        <v>215826</v>
      </c>
      <c r="L222" s="4" t="s">
        <v>372</v>
      </c>
      <c r="M222" s="4" t="str">
        <f t="shared" si="29"/>
        <v>2/25/2024</v>
      </c>
      <c r="N222" s="1">
        <f t="shared" ca="1" si="30"/>
        <v>46064</v>
      </c>
      <c r="O222" s="6" t="e">
        <f t="shared" ca="1" si="31"/>
        <v>#VALUE!</v>
      </c>
      <c r="P222">
        <v>1</v>
      </c>
      <c r="Q222">
        <f t="shared" si="32"/>
        <v>84225</v>
      </c>
      <c r="R222" s="2">
        <f t="shared" si="33"/>
        <v>42112.5</v>
      </c>
      <c r="S222" s="2" t="str">
        <f t="shared" si="34"/>
        <v xml:space="preserve"> Not Achieved</v>
      </c>
      <c r="T222" s="2" t="str">
        <f t="shared" si="35"/>
        <v xml:space="preserve"> Excellent</v>
      </c>
      <c r="U222" s="2"/>
    </row>
    <row r="223" spans="1:21" x14ac:dyDescent="0.3">
      <c r="A223">
        <v>222</v>
      </c>
      <c r="B223" t="s">
        <v>373</v>
      </c>
      <c r="C223" t="str">
        <f t="shared" si="27"/>
        <v>EMP_222</v>
      </c>
      <c r="D223" t="s">
        <v>11</v>
      </c>
      <c r="E223" t="str">
        <f t="shared" si="28"/>
        <v>EMP_222IT</v>
      </c>
      <c r="F223" t="s">
        <v>21</v>
      </c>
      <c r="G223" t="s">
        <v>25</v>
      </c>
      <c r="H223">
        <v>49128</v>
      </c>
      <c r="I223">
        <v>3805</v>
      </c>
      <c r="J223">
        <v>0</v>
      </c>
      <c r="K223">
        <v>0</v>
      </c>
      <c r="L223" s="4" t="s">
        <v>374</v>
      </c>
      <c r="M223" s="4" t="str">
        <f t="shared" si="29"/>
        <v>9/21/2018</v>
      </c>
      <c r="N223" s="1">
        <f t="shared" ca="1" si="30"/>
        <v>46064</v>
      </c>
      <c r="O223" s="6" t="e">
        <f t="shared" ca="1" si="31"/>
        <v>#VALUE!</v>
      </c>
      <c r="P223">
        <v>2</v>
      </c>
      <c r="Q223">
        <f t="shared" si="32"/>
        <v>52933</v>
      </c>
      <c r="R223" s="2">
        <f t="shared" si="33"/>
        <v>26466.5</v>
      </c>
      <c r="S223" s="2" t="str">
        <f t="shared" si="34"/>
        <v xml:space="preserve"> Not Achieved</v>
      </c>
      <c r="T223" s="2" t="str">
        <f t="shared" si="35"/>
        <v>Good</v>
      </c>
      <c r="U223" s="2"/>
    </row>
    <row r="224" spans="1:21" x14ac:dyDescent="0.3">
      <c r="A224">
        <v>223</v>
      </c>
      <c r="B224" t="s">
        <v>375</v>
      </c>
      <c r="C224" t="str">
        <f t="shared" si="27"/>
        <v>EMP_223</v>
      </c>
      <c r="D224" t="s">
        <v>15</v>
      </c>
      <c r="E224" t="str">
        <f t="shared" si="28"/>
        <v>EMP_223Marketing</v>
      </c>
      <c r="F224" t="s">
        <v>24</v>
      </c>
      <c r="G224" t="s">
        <v>22</v>
      </c>
      <c r="H224">
        <v>22629</v>
      </c>
      <c r="I224">
        <v>2479</v>
      </c>
      <c r="J224">
        <v>0</v>
      </c>
      <c r="K224">
        <v>0</v>
      </c>
      <c r="L224" s="4" t="s">
        <v>376</v>
      </c>
      <c r="M224" s="4" t="str">
        <f t="shared" si="29"/>
        <v>3/28/2018</v>
      </c>
      <c r="N224" s="1">
        <f t="shared" ca="1" si="30"/>
        <v>46064</v>
      </c>
      <c r="O224" s="6" t="e">
        <f t="shared" ca="1" si="31"/>
        <v>#VALUE!</v>
      </c>
      <c r="P224">
        <v>1</v>
      </c>
      <c r="Q224">
        <f t="shared" si="32"/>
        <v>25108</v>
      </c>
      <c r="R224" s="2">
        <f t="shared" si="33"/>
        <v>12554</v>
      </c>
      <c r="S224" s="2" t="str">
        <f t="shared" si="34"/>
        <v xml:space="preserve"> Not Achieved</v>
      </c>
      <c r="T224" s="2" t="str">
        <f t="shared" si="35"/>
        <v>poor</v>
      </c>
      <c r="U224" s="2"/>
    </row>
    <row r="225" spans="1:21" x14ac:dyDescent="0.3">
      <c r="A225">
        <v>224</v>
      </c>
      <c r="B225" t="s">
        <v>377</v>
      </c>
      <c r="C225" t="str">
        <f t="shared" si="27"/>
        <v>EMP_224</v>
      </c>
      <c r="D225" t="s">
        <v>11</v>
      </c>
      <c r="E225" t="str">
        <f t="shared" si="28"/>
        <v>EMP_224Sales</v>
      </c>
      <c r="F225" t="s">
        <v>7</v>
      </c>
      <c r="G225" t="s">
        <v>25</v>
      </c>
      <c r="H225">
        <v>77816</v>
      </c>
      <c r="I225">
        <v>7269</v>
      </c>
      <c r="J225">
        <v>211496</v>
      </c>
      <c r="K225">
        <v>188530</v>
      </c>
      <c r="L225" s="4">
        <v>44505</v>
      </c>
      <c r="M225" s="4" t="str">
        <f t="shared" si="29"/>
        <v>2021</v>
      </c>
      <c r="N225" s="1">
        <f t="shared" ca="1" si="30"/>
        <v>46064</v>
      </c>
      <c r="O225" s="6">
        <f t="shared" ca="1" si="31"/>
        <v>4</v>
      </c>
      <c r="P225">
        <v>4</v>
      </c>
      <c r="Q225">
        <f t="shared" si="32"/>
        <v>85085</v>
      </c>
      <c r="R225" s="2">
        <f t="shared" si="33"/>
        <v>42542.5</v>
      </c>
      <c r="S225" s="2" t="str">
        <f t="shared" si="34"/>
        <v>Achieved</v>
      </c>
      <c r="T225" s="2" t="str">
        <f t="shared" si="35"/>
        <v xml:space="preserve"> Excellent</v>
      </c>
      <c r="U225" s="2"/>
    </row>
    <row r="226" spans="1:21" x14ac:dyDescent="0.3">
      <c r="A226">
        <v>225</v>
      </c>
      <c r="B226" t="s">
        <v>378</v>
      </c>
      <c r="C226" t="str">
        <f t="shared" si="27"/>
        <v>EMP_225</v>
      </c>
      <c r="D226" t="s">
        <v>11</v>
      </c>
      <c r="E226" t="str">
        <f t="shared" si="28"/>
        <v>EMP_225Marketing</v>
      </c>
      <c r="F226" t="s">
        <v>24</v>
      </c>
      <c r="G226" t="s">
        <v>19</v>
      </c>
      <c r="H226">
        <v>42425</v>
      </c>
      <c r="I226">
        <v>11166</v>
      </c>
      <c r="J226">
        <v>0</v>
      </c>
      <c r="K226">
        <v>0</v>
      </c>
      <c r="L226" s="4" t="s">
        <v>379</v>
      </c>
      <c r="M226" s="4" t="str">
        <f t="shared" si="29"/>
        <v>5/23/2023</v>
      </c>
      <c r="N226" s="1">
        <f t="shared" ca="1" si="30"/>
        <v>46064</v>
      </c>
      <c r="O226" s="6" t="e">
        <f t="shared" ca="1" si="31"/>
        <v>#VALUE!</v>
      </c>
      <c r="P226">
        <v>1</v>
      </c>
      <c r="Q226">
        <f t="shared" si="32"/>
        <v>53591</v>
      </c>
      <c r="R226" s="2">
        <f t="shared" si="33"/>
        <v>26795.5</v>
      </c>
      <c r="S226" s="2" t="str">
        <f t="shared" si="34"/>
        <v xml:space="preserve"> Not Achieved</v>
      </c>
      <c r="T226" s="2" t="str">
        <f t="shared" si="35"/>
        <v>Good</v>
      </c>
      <c r="U226" s="2"/>
    </row>
    <row r="227" spans="1:21" x14ac:dyDescent="0.3">
      <c r="A227">
        <v>226</v>
      </c>
      <c r="B227" t="s">
        <v>380</v>
      </c>
      <c r="C227" t="str">
        <f t="shared" si="27"/>
        <v>EMP_226</v>
      </c>
      <c r="D227" t="s">
        <v>11</v>
      </c>
      <c r="E227" t="str">
        <f t="shared" si="28"/>
        <v>EMP_226HR</v>
      </c>
      <c r="F227" t="s">
        <v>12</v>
      </c>
      <c r="G227" t="s">
        <v>22</v>
      </c>
      <c r="H227">
        <v>78053</v>
      </c>
      <c r="I227">
        <v>4779</v>
      </c>
      <c r="J227">
        <v>0</v>
      </c>
      <c r="K227">
        <v>0</v>
      </c>
      <c r="L227" s="4">
        <v>45329</v>
      </c>
      <c r="M227" s="4" t="str">
        <f t="shared" si="29"/>
        <v>2024</v>
      </c>
      <c r="N227" s="1">
        <f t="shared" ca="1" si="30"/>
        <v>46064</v>
      </c>
      <c r="O227" s="6">
        <f t="shared" ca="1" si="31"/>
        <v>2</v>
      </c>
      <c r="P227">
        <v>4</v>
      </c>
      <c r="Q227">
        <f t="shared" si="32"/>
        <v>82832</v>
      </c>
      <c r="R227" s="2">
        <f t="shared" si="33"/>
        <v>41416</v>
      </c>
      <c r="S227" s="2" t="str">
        <f t="shared" si="34"/>
        <v xml:space="preserve"> Not Achieved</v>
      </c>
      <c r="T227" s="2" t="str">
        <f t="shared" si="35"/>
        <v xml:space="preserve"> Excellent</v>
      </c>
      <c r="U227" s="2"/>
    </row>
    <row r="228" spans="1:21" x14ac:dyDescent="0.3">
      <c r="A228">
        <v>227</v>
      </c>
      <c r="B228" t="s">
        <v>381</v>
      </c>
      <c r="C228" t="str">
        <f t="shared" si="27"/>
        <v>EMP_227</v>
      </c>
      <c r="D228" t="s">
        <v>15</v>
      </c>
      <c r="E228" t="str">
        <f t="shared" si="28"/>
        <v>EMP_227Marketing</v>
      </c>
      <c r="F228" t="s">
        <v>24</v>
      </c>
      <c r="G228" t="s">
        <v>25</v>
      </c>
      <c r="H228">
        <v>62026</v>
      </c>
      <c r="I228">
        <v>9690</v>
      </c>
      <c r="J228">
        <v>0</v>
      </c>
      <c r="K228">
        <v>0</v>
      </c>
      <c r="L228" s="4" t="s">
        <v>201</v>
      </c>
      <c r="M228" s="4" t="str">
        <f t="shared" si="29"/>
        <v>3/30/2023</v>
      </c>
      <c r="N228" s="1">
        <f t="shared" ca="1" si="30"/>
        <v>46064</v>
      </c>
      <c r="O228" s="6" t="e">
        <f t="shared" ca="1" si="31"/>
        <v>#VALUE!</v>
      </c>
      <c r="P228">
        <v>5</v>
      </c>
      <c r="Q228">
        <f t="shared" si="32"/>
        <v>71716</v>
      </c>
      <c r="R228" s="2">
        <f t="shared" si="33"/>
        <v>35858</v>
      </c>
      <c r="S228" s="2" t="str">
        <f t="shared" si="34"/>
        <v xml:space="preserve"> Not Achieved</v>
      </c>
      <c r="T228" s="2" t="str">
        <f t="shared" si="35"/>
        <v xml:space="preserve"> Excellent</v>
      </c>
      <c r="U228" s="2"/>
    </row>
    <row r="229" spans="1:21" x14ac:dyDescent="0.3">
      <c r="A229">
        <v>228</v>
      </c>
      <c r="B229" t="s">
        <v>382</v>
      </c>
      <c r="C229" t="str">
        <f t="shared" si="27"/>
        <v>EMP_228</v>
      </c>
      <c r="D229" t="s">
        <v>11</v>
      </c>
      <c r="E229" t="str">
        <f t="shared" si="28"/>
        <v>EMP_228Finance</v>
      </c>
      <c r="F229" t="s">
        <v>18</v>
      </c>
      <c r="G229" t="s">
        <v>13</v>
      </c>
      <c r="H229">
        <v>53351</v>
      </c>
      <c r="I229">
        <v>9468</v>
      </c>
      <c r="J229">
        <v>0</v>
      </c>
      <c r="K229">
        <v>0</v>
      </c>
      <c r="L229" s="4" t="s">
        <v>383</v>
      </c>
      <c r="M229" s="4" t="str">
        <f t="shared" si="29"/>
        <v>9/16/2024</v>
      </c>
      <c r="N229" s="1">
        <f t="shared" ca="1" si="30"/>
        <v>46064</v>
      </c>
      <c r="O229" s="6" t="e">
        <f t="shared" ca="1" si="31"/>
        <v>#VALUE!</v>
      </c>
      <c r="P229">
        <v>1</v>
      </c>
      <c r="Q229">
        <f t="shared" si="32"/>
        <v>62819</v>
      </c>
      <c r="R229" s="2">
        <f t="shared" si="33"/>
        <v>31409.5</v>
      </c>
      <c r="S229" s="2" t="str">
        <f t="shared" si="34"/>
        <v xml:space="preserve"> Not Achieved</v>
      </c>
      <c r="T229" s="2" t="str">
        <f t="shared" si="35"/>
        <v xml:space="preserve"> Excellent</v>
      </c>
      <c r="U229" s="2"/>
    </row>
    <row r="230" spans="1:21" x14ac:dyDescent="0.3">
      <c r="A230">
        <v>229</v>
      </c>
      <c r="B230" t="s">
        <v>384</v>
      </c>
      <c r="C230" t="str">
        <f t="shared" si="27"/>
        <v>EMP_229</v>
      </c>
      <c r="D230" t="s">
        <v>15</v>
      </c>
      <c r="E230" t="str">
        <f t="shared" si="28"/>
        <v>EMP_229Finance</v>
      </c>
      <c r="F230" t="s">
        <v>18</v>
      </c>
      <c r="G230" t="s">
        <v>16</v>
      </c>
      <c r="H230">
        <v>53136</v>
      </c>
      <c r="I230">
        <v>4328</v>
      </c>
      <c r="J230">
        <v>0</v>
      </c>
      <c r="K230">
        <v>0</v>
      </c>
      <c r="L230" s="4" t="s">
        <v>385</v>
      </c>
      <c r="M230" s="4" t="str">
        <f t="shared" si="29"/>
        <v>9/14/2020</v>
      </c>
      <c r="N230" s="1">
        <f t="shared" ca="1" si="30"/>
        <v>46064</v>
      </c>
      <c r="O230" s="6" t="e">
        <f t="shared" ca="1" si="31"/>
        <v>#VALUE!</v>
      </c>
      <c r="P230">
        <v>3</v>
      </c>
      <c r="Q230">
        <f t="shared" si="32"/>
        <v>57464</v>
      </c>
      <c r="R230" s="2">
        <f t="shared" si="33"/>
        <v>28732</v>
      </c>
      <c r="S230" s="2" t="str">
        <f t="shared" si="34"/>
        <v xml:space="preserve"> Not Achieved</v>
      </c>
      <c r="T230" s="2" t="str">
        <f t="shared" si="35"/>
        <v xml:space="preserve"> Excellent</v>
      </c>
      <c r="U230" s="2"/>
    </row>
    <row r="231" spans="1:21" x14ac:dyDescent="0.3">
      <c r="A231">
        <v>230</v>
      </c>
      <c r="B231" t="s">
        <v>386</v>
      </c>
      <c r="C231" t="str">
        <f t="shared" si="27"/>
        <v>EMP_230</v>
      </c>
      <c r="D231" t="s">
        <v>11</v>
      </c>
      <c r="E231" t="str">
        <f t="shared" si="28"/>
        <v>EMP_230Sales</v>
      </c>
      <c r="F231" t="s">
        <v>7</v>
      </c>
      <c r="G231" t="s">
        <v>22</v>
      </c>
      <c r="H231">
        <v>29467</v>
      </c>
      <c r="I231">
        <v>3506</v>
      </c>
      <c r="J231">
        <v>211030</v>
      </c>
      <c r="K231">
        <v>171203</v>
      </c>
      <c r="L231" s="4" t="s">
        <v>230</v>
      </c>
      <c r="M231" s="4" t="str">
        <f t="shared" si="29"/>
        <v>7/25/2024</v>
      </c>
      <c r="N231" s="1">
        <f t="shared" ca="1" si="30"/>
        <v>46064</v>
      </c>
      <c r="O231" s="6" t="e">
        <f t="shared" ca="1" si="31"/>
        <v>#VALUE!</v>
      </c>
      <c r="P231">
        <v>3</v>
      </c>
      <c r="Q231">
        <f t="shared" si="32"/>
        <v>32973</v>
      </c>
      <c r="R231" s="2">
        <f t="shared" si="33"/>
        <v>16486.5</v>
      </c>
      <c r="S231" s="2" t="str">
        <f t="shared" si="34"/>
        <v>Achieved</v>
      </c>
      <c r="T231" s="2" t="str">
        <f t="shared" si="35"/>
        <v>poor</v>
      </c>
      <c r="U231" s="2"/>
    </row>
    <row r="232" spans="1:21" x14ac:dyDescent="0.3">
      <c r="A232">
        <v>231</v>
      </c>
      <c r="B232" t="s">
        <v>387</v>
      </c>
      <c r="C232" t="str">
        <f t="shared" si="27"/>
        <v>EMP_231</v>
      </c>
      <c r="D232" t="s">
        <v>15</v>
      </c>
      <c r="E232" t="str">
        <f t="shared" si="28"/>
        <v>EMP_231HR</v>
      </c>
      <c r="F232" t="s">
        <v>12</v>
      </c>
      <c r="G232" t="s">
        <v>16</v>
      </c>
      <c r="H232">
        <v>47957</v>
      </c>
      <c r="I232">
        <v>8469</v>
      </c>
      <c r="J232">
        <v>0</v>
      </c>
      <c r="K232">
        <v>0</v>
      </c>
      <c r="L232" s="4" t="s">
        <v>388</v>
      </c>
      <c r="M232" s="4" t="str">
        <f t="shared" si="29"/>
        <v>6/13/2022</v>
      </c>
      <c r="N232" s="1">
        <f t="shared" ca="1" si="30"/>
        <v>46064</v>
      </c>
      <c r="O232" s="6" t="e">
        <f t="shared" ca="1" si="31"/>
        <v>#VALUE!</v>
      </c>
      <c r="P232">
        <v>1</v>
      </c>
      <c r="Q232">
        <f t="shared" si="32"/>
        <v>56426</v>
      </c>
      <c r="R232" s="2">
        <f t="shared" si="33"/>
        <v>28213</v>
      </c>
      <c r="S232" s="2" t="str">
        <f t="shared" si="34"/>
        <v xml:space="preserve"> Not Achieved</v>
      </c>
      <c r="T232" s="2" t="str">
        <f t="shared" si="35"/>
        <v>Good</v>
      </c>
      <c r="U232" s="2"/>
    </row>
    <row r="233" spans="1:21" x14ac:dyDescent="0.3">
      <c r="A233">
        <v>232</v>
      </c>
      <c r="B233" t="s">
        <v>389</v>
      </c>
      <c r="C233" t="str">
        <f t="shared" si="27"/>
        <v>EMP_232</v>
      </c>
      <c r="D233" t="s">
        <v>15</v>
      </c>
      <c r="E233" t="str">
        <f t="shared" si="28"/>
        <v>EMP_232IT</v>
      </c>
      <c r="F233" t="s">
        <v>21</v>
      </c>
      <c r="G233" t="s">
        <v>22</v>
      </c>
      <c r="H233">
        <v>54255</v>
      </c>
      <c r="I233">
        <v>6482</v>
      </c>
      <c r="J233">
        <v>0</v>
      </c>
      <c r="K233">
        <v>0</v>
      </c>
      <c r="L233" s="4">
        <v>43773</v>
      </c>
      <c r="M233" s="4" t="str">
        <f t="shared" si="29"/>
        <v>2019</v>
      </c>
      <c r="N233" s="1">
        <f t="shared" ca="1" si="30"/>
        <v>46064</v>
      </c>
      <c r="O233" s="6">
        <f t="shared" ca="1" si="31"/>
        <v>6</v>
      </c>
      <c r="P233">
        <v>2</v>
      </c>
      <c r="Q233">
        <f t="shared" si="32"/>
        <v>60737</v>
      </c>
      <c r="R233" s="2">
        <f t="shared" si="33"/>
        <v>30368.5</v>
      </c>
      <c r="S233" s="2" t="str">
        <f t="shared" si="34"/>
        <v xml:space="preserve"> Not Achieved</v>
      </c>
      <c r="T233" s="2" t="str">
        <f t="shared" si="35"/>
        <v xml:space="preserve"> Excellent</v>
      </c>
      <c r="U233" s="2"/>
    </row>
    <row r="234" spans="1:21" x14ac:dyDescent="0.3">
      <c r="A234">
        <v>233</v>
      </c>
      <c r="B234" t="s">
        <v>390</v>
      </c>
      <c r="C234" t="str">
        <f t="shared" si="27"/>
        <v>EMP_233</v>
      </c>
      <c r="D234" t="s">
        <v>15</v>
      </c>
      <c r="E234" t="str">
        <f t="shared" si="28"/>
        <v>EMP_233Sales</v>
      </c>
      <c r="F234" t="s">
        <v>7</v>
      </c>
      <c r="G234" t="s">
        <v>16</v>
      </c>
      <c r="H234">
        <v>53878</v>
      </c>
      <c r="I234">
        <v>6478</v>
      </c>
      <c r="J234">
        <v>200948</v>
      </c>
      <c r="K234">
        <v>164939</v>
      </c>
      <c r="L234" s="4" t="s">
        <v>266</v>
      </c>
      <c r="M234" s="4" t="str">
        <f t="shared" si="29"/>
        <v>9/19/2020</v>
      </c>
      <c r="N234" s="1">
        <f t="shared" ca="1" si="30"/>
        <v>46064</v>
      </c>
      <c r="O234" s="6" t="e">
        <f t="shared" ca="1" si="31"/>
        <v>#VALUE!</v>
      </c>
      <c r="P234">
        <v>2</v>
      </c>
      <c r="Q234">
        <f t="shared" si="32"/>
        <v>60356</v>
      </c>
      <c r="R234" s="2">
        <f t="shared" si="33"/>
        <v>30178</v>
      </c>
      <c r="S234" s="2" t="str">
        <f t="shared" si="34"/>
        <v>Achieved</v>
      </c>
      <c r="T234" s="2" t="str">
        <f t="shared" si="35"/>
        <v xml:space="preserve"> Excellent</v>
      </c>
      <c r="U234" s="2"/>
    </row>
    <row r="235" spans="1:21" x14ac:dyDescent="0.3">
      <c r="A235">
        <v>234</v>
      </c>
      <c r="B235" t="s">
        <v>391</v>
      </c>
      <c r="C235" t="str">
        <f t="shared" si="27"/>
        <v>EMP_234</v>
      </c>
      <c r="D235" t="s">
        <v>15</v>
      </c>
      <c r="E235" t="str">
        <f t="shared" si="28"/>
        <v>EMP_234Sales</v>
      </c>
      <c r="F235" t="s">
        <v>7</v>
      </c>
      <c r="G235" t="s">
        <v>16</v>
      </c>
      <c r="H235">
        <v>37766</v>
      </c>
      <c r="I235">
        <v>2331</v>
      </c>
      <c r="J235">
        <v>69565</v>
      </c>
      <c r="K235">
        <v>228032</v>
      </c>
      <c r="L235" s="4">
        <v>44139</v>
      </c>
      <c r="M235" s="4" t="str">
        <f t="shared" si="29"/>
        <v>2020</v>
      </c>
      <c r="N235" s="1">
        <f t="shared" ca="1" si="30"/>
        <v>46064</v>
      </c>
      <c r="O235" s="6">
        <f t="shared" ca="1" si="31"/>
        <v>5</v>
      </c>
      <c r="P235">
        <v>1</v>
      </c>
      <c r="Q235">
        <f t="shared" si="32"/>
        <v>40097</v>
      </c>
      <c r="R235" s="2">
        <f t="shared" si="33"/>
        <v>20048.5</v>
      </c>
      <c r="S235" s="2" t="str">
        <f t="shared" si="34"/>
        <v xml:space="preserve"> Not Achieved</v>
      </c>
      <c r="T235" s="2" t="str">
        <f t="shared" si="35"/>
        <v>Average</v>
      </c>
      <c r="U235" s="2"/>
    </row>
    <row r="236" spans="1:21" x14ac:dyDescent="0.3">
      <c r="A236">
        <v>235</v>
      </c>
      <c r="B236" t="s">
        <v>392</v>
      </c>
      <c r="C236" t="str">
        <f t="shared" si="27"/>
        <v>EMP_235</v>
      </c>
      <c r="D236" t="s">
        <v>15</v>
      </c>
      <c r="E236" t="str">
        <f t="shared" si="28"/>
        <v>EMP_235HR</v>
      </c>
      <c r="F236" t="s">
        <v>12</v>
      </c>
      <c r="G236" t="s">
        <v>22</v>
      </c>
      <c r="H236">
        <v>51715</v>
      </c>
      <c r="I236">
        <v>6965</v>
      </c>
      <c r="J236">
        <v>0</v>
      </c>
      <c r="K236">
        <v>0</v>
      </c>
      <c r="L236" s="4" t="s">
        <v>393</v>
      </c>
      <c r="M236" s="4" t="str">
        <f t="shared" si="29"/>
        <v>9/28/2020</v>
      </c>
      <c r="N236" s="1">
        <f t="shared" ca="1" si="30"/>
        <v>46064</v>
      </c>
      <c r="O236" s="6" t="e">
        <f t="shared" ca="1" si="31"/>
        <v>#VALUE!</v>
      </c>
      <c r="P236">
        <v>3</v>
      </c>
      <c r="Q236">
        <f t="shared" si="32"/>
        <v>58680</v>
      </c>
      <c r="R236" s="2">
        <f t="shared" si="33"/>
        <v>29340</v>
      </c>
      <c r="S236" s="2" t="str">
        <f t="shared" si="34"/>
        <v xml:space="preserve"> Not Achieved</v>
      </c>
      <c r="T236" s="2" t="str">
        <f t="shared" si="35"/>
        <v xml:space="preserve"> Excellent</v>
      </c>
      <c r="U236" s="2"/>
    </row>
    <row r="237" spans="1:21" x14ac:dyDescent="0.3">
      <c r="A237">
        <v>236</v>
      </c>
      <c r="B237" t="s">
        <v>394</v>
      </c>
      <c r="C237" t="str">
        <f t="shared" si="27"/>
        <v>EMP_236</v>
      </c>
      <c r="D237" t="s">
        <v>11</v>
      </c>
      <c r="E237" t="str">
        <f t="shared" si="28"/>
        <v>EMP_236Finance</v>
      </c>
      <c r="F237" t="s">
        <v>18</v>
      </c>
      <c r="G237" t="s">
        <v>22</v>
      </c>
      <c r="H237">
        <v>50058</v>
      </c>
      <c r="I237">
        <v>4161</v>
      </c>
      <c r="J237">
        <v>0</v>
      </c>
      <c r="K237">
        <v>0</v>
      </c>
      <c r="L237" s="4" t="s">
        <v>395</v>
      </c>
      <c r="M237" s="4" t="str">
        <f t="shared" si="29"/>
        <v>12/25/2018</v>
      </c>
      <c r="N237" s="1">
        <f t="shared" ca="1" si="30"/>
        <v>46064</v>
      </c>
      <c r="O237" s="6" t="e">
        <f t="shared" ca="1" si="31"/>
        <v>#VALUE!</v>
      </c>
      <c r="P237">
        <v>3</v>
      </c>
      <c r="Q237">
        <f t="shared" si="32"/>
        <v>54219</v>
      </c>
      <c r="R237" s="2">
        <f t="shared" si="33"/>
        <v>27109.5</v>
      </c>
      <c r="S237" s="2" t="str">
        <f t="shared" si="34"/>
        <v xml:space="preserve"> Not Achieved</v>
      </c>
      <c r="T237" s="2" t="str">
        <f t="shared" si="35"/>
        <v xml:space="preserve"> Excellent</v>
      </c>
      <c r="U237" s="2"/>
    </row>
    <row r="238" spans="1:21" x14ac:dyDescent="0.3">
      <c r="A238">
        <v>237</v>
      </c>
      <c r="B238" t="s">
        <v>396</v>
      </c>
      <c r="C238" t="str">
        <f t="shared" si="27"/>
        <v>EMP_237</v>
      </c>
      <c r="D238" t="s">
        <v>15</v>
      </c>
      <c r="E238" t="str">
        <f t="shared" si="28"/>
        <v>EMP_237IT</v>
      </c>
      <c r="F238" t="s">
        <v>21</v>
      </c>
      <c r="G238" t="s">
        <v>16</v>
      </c>
      <c r="H238">
        <v>69072</v>
      </c>
      <c r="I238">
        <v>9322</v>
      </c>
      <c r="J238">
        <v>0</v>
      </c>
      <c r="K238">
        <v>0</v>
      </c>
      <c r="L238" s="4" t="s">
        <v>397</v>
      </c>
      <c r="M238" s="4" t="str">
        <f t="shared" si="29"/>
        <v>2/17/2024</v>
      </c>
      <c r="N238" s="1">
        <f t="shared" ca="1" si="30"/>
        <v>46064</v>
      </c>
      <c r="O238" s="6" t="e">
        <f t="shared" ca="1" si="31"/>
        <v>#VALUE!</v>
      </c>
      <c r="P238">
        <v>1</v>
      </c>
      <c r="Q238">
        <f t="shared" si="32"/>
        <v>78394</v>
      </c>
      <c r="R238" s="2">
        <f t="shared" si="33"/>
        <v>39197</v>
      </c>
      <c r="S238" s="2" t="str">
        <f t="shared" si="34"/>
        <v xml:space="preserve"> Not Achieved</v>
      </c>
      <c r="T238" s="2" t="str">
        <f t="shared" si="35"/>
        <v xml:space="preserve"> Excellent</v>
      </c>
      <c r="U238" s="2"/>
    </row>
    <row r="239" spans="1:21" x14ac:dyDescent="0.3">
      <c r="A239">
        <v>238</v>
      </c>
      <c r="B239" t="s">
        <v>398</v>
      </c>
      <c r="C239" t="str">
        <f t="shared" si="27"/>
        <v>EMP_238</v>
      </c>
      <c r="D239" t="s">
        <v>15</v>
      </c>
      <c r="E239" t="str">
        <f t="shared" si="28"/>
        <v>EMP_238HR</v>
      </c>
      <c r="F239" t="s">
        <v>12</v>
      </c>
      <c r="G239" t="s">
        <v>16</v>
      </c>
      <c r="H239">
        <v>48736</v>
      </c>
      <c r="I239">
        <v>2033</v>
      </c>
      <c r="J239">
        <v>0</v>
      </c>
      <c r="K239">
        <v>0</v>
      </c>
      <c r="L239" s="4" t="s">
        <v>399</v>
      </c>
      <c r="M239" s="4" t="str">
        <f t="shared" si="29"/>
        <v>12/15/2020</v>
      </c>
      <c r="N239" s="1">
        <f t="shared" ca="1" si="30"/>
        <v>46064</v>
      </c>
      <c r="O239" s="6" t="e">
        <f t="shared" ca="1" si="31"/>
        <v>#VALUE!</v>
      </c>
      <c r="P239">
        <v>2</v>
      </c>
      <c r="Q239">
        <f t="shared" si="32"/>
        <v>50769</v>
      </c>
      <c r="R239" s="2">
        <f t="shared" si="33"/>
        <v>25384.5</v>
      </c>
      <c r="S239" s="2" t="str">
        <f t="shared" si="34"/>
        <v xml:space="preserve"> Not Achieved</v>
      </c>
      <c r="T239" s="2" t="str">
        <f t="shared" si="35"/>
        <v>Good</v>
      </c>
      <c r="U239" s="2"/>
    </row>
    <row r="240" spans="1:21" x14ac:dyDescent="0.3">
      <c r="A240">
        <v>239</v>
      </c>
      <c r="B240" t="s">
        <v>400</v>
      </c>
      <c r="C240" t="str">
        <f t="shared" si="27"/>
        <v>EMP_239</v>
      </c>
      <c r="D240" t="s">
        <v>11</v>
      </c>
      <c r="E240" t="str">
        <f t="shared" si="28"/>
        <v>EMP_239Sales</v>
      </c>
      <c r="F240" t="s">
        <v>7</v>
      </c>
      <c r="G240" t="s">
        <v>25</v>
      </c>
      <c r="H240">
        <v>60065</v>
      </c>
      <c r="I240">
        <v>3719</v>
      </c>
      <c r="J240">
        <v>296344</v>
      </c>
      <c r="K240">
        <v>143469</v>
      </c>
      <c r="L240" s="4">
        <v>44902</v>
      </c>
      <c r="M240" s="4" t="str">
        <f t="shared" si="29"/>
        <v>2022</v>
      </c>
      <c r="N240" s="1">
        <f t="shared" ca="1" si="30"/>
        <v>46064</v>
      </c>
      <c r="O240" s="6">
        <f t="shared" ca="1" si="31"/>
        <v>3</v>
      </c>
      <c r="P240">
        <v>1</v>
      </c>
      <c r="Q240">
        <f t="shared" si="32"/>
        <v>63784</v>
      </c>
      <c r="R240" s="2">
        <f t="shared" si="33"/>
        <v>31892</v>
      </c>
      <c r="S240" s="2" t="str">
        <f t="shared" si="34"/>
        <v>Achieved</v>
      </c>
      <c r="T240" s="2" t="str">
        <f t="shared" si="35"/>
        <v xml:space="preserve"> Excellent</v>
      </c>
      <c r="U240" s="2"/>
    </row>
    <row r="241" spans="1:21" x14ac:dyDescent="0.3">
      <c r="A241">
        <v>240</v>
      </c>
      <c r="B241" t="s">
        <v>401</v>
      </c>
      <c r="C241" t="str">
        <f t="shared" si="27"/>
        <v>EMP_240</v>
      </c>
      <c r="D241" t="s">
        <v>15</v>
      </c>
      <c r="E241" t="str">
        <f t="shared" si="28"/>
        <v>EMP_240Finance</v>
      </c>
      <c r="F241" t="s">
        <v>18</v>
      </c>
      <c r="G241" t="s">
        <v>13</v>
      </c>
      <c r="H241">
        <v>65602</v>
      </c>
      <c r="I241">
        <v>2069</v>
      </c>
      <c r="J241">
        <v>0</v>
      </c>
      <c r="K241">
        <v>0</v>
      </c>
      <c r="L241" s="4" t="s">
        <v>402</v>
      </c>
      <c r="M241" s="4" t="str">
        <f t="shared" si="29"/>
        <v>10/17/2021</v>
      </c>
      <c r="N241" s="1">
        <f t="shared" ca="1" si="30"/>
        <v>46064</v>
      </c>
      <c r="O241" s="6" t="e">
        <f t="shared" ca="1" si="31"/>
        <v>#VALUE!</v>
      </c>
      <c r="P241">
        <v>3</v>
      </c>
      <c r="Q241">
        <f t="shared" si="32"/>
        <v>67671</v>
      </c>
      <c r="R241" s="2">
        <f t="shared" si="33"/>
        <v>33835.5</v>
      </c>
      <c r="S241" s="2" t="str">
        <f t="shared" si="34"/>
        <v xml:space="preserve"> Not Achieved</v>
      </c>
      <c r="T241" s="2" t="str">
        <f t="shared" si="35"/>
        <v xml:space="preserve"> Excellent</v>
      </c>
      <c r="U241" s="2"/>
    </row>
    <row r="242" spans="1:21" x14ac:dyDescent="0.3">
      <c r="A242">
        <v>241</v>
      </c>
      <c r="B242" t="s">
        <v>403</v>
      </c>
      <c r="C242" t="str">
        <f t="shared" si="27"/>
        <v>EMP_241</v>
      </c>
      <c r="D242" t="s">
        <v>11</v>
      </c>
      <c r="E242" t="str">
        <f t="shared" si="28"/>
        <v>EMP_241Marketing</v>
      </c>
      <c r="F242" t="s">
        <v>24</v>
      </c>
      <c r="G242" t="s">
        <v>19</v>
      </c>
      <c r="H242">
        <v>66313</v>
      </c>
      <c r="I242">
        <v>13102</v>
      </c>
      <c r="J242">
        <v>0</v>
      </c>
      <c r="K242">
        <v>0</v>
      </c>
      <c r="L242" s="4">
        <v>44230</v>
      </c>
      <c r="M242" s="4" t="str">
        <f t="shared" si="29"/>
        <v>2021</v>
      </c>
      <c r="N242" s="1">
        <f t="shared" ca="1" si="30"/>
        <v>46064</v>
      </c>
      <c r="O242" s="6">
        <f t="shared" ca="1" si="31"/>
        <v>5</v>
      </c>
      <c r="P242">
        <v>4</v>
      </c>
      <c r="Q242">
        <f t="shared" si="32"/>
        <v>79415</v>
      </c>
      <c r="R242" s="2">
        <f t="shared" si="33"/>
        <v>39707.5</v>
      </c>
      <c r="S242" s="2" t="str">
        <f t="shared" si="34"/>
        <v xml:space="preserve"> Not Achieved</v>
      </c>
      <c r="T242" s="2" t="str">
        <f t="shared" si="35"/>
        <v xml:space="preserve"> Excellent</v>
      </c>
      <c r="U242" s="2"/>
    </row>
    <row r="243" spans="1:21" x14ac:dyDescent="0.3">
      <c r="A243">
        <v>242</v>
      </c>
      <c r="B243" t="s">
        <v>404</v>
      </c>
      <c r="C243" t="str">
        <f t="shared" si="27"/>
        <v>EMP_242</v>
      </c>
      <c r="D243" t="s">
        <v>11</v>
      </c>
      <c r="E243" t="str">
        <f t="shared" si="28"/>
        <v>EMP_242Marketing</v>
      </c>
      <c r="F243" t="s">
        <v>24</v>
      </c>
      <c r="G243" t="s">
        <v>13</v>
      </c>
      <c r="H243">
        <v>72954</v>
      </c>
      <c r="I243">
        <v>12757</v>
      </c>
      <c r="J243">
        <v>0</v>
      </c>
      <c r="K243">
        <v>0</v>
      </c>
      <c r="L243" s="4">
        <v>44897</v>
      </c>
      <c r="M243" s="4" t="str">
        <f t="shared" si="29"/>
        <v>2022</v>
      </c>
      <c r="N243" s="1">
        <f t="shared" ca="1" si="30"/>
        <v>46064</v>
      </c>
      <c r="O243" s="6">
        <f t="shared" ca="1" si="31"/>
        <v>3</v>
      </c>
      <c r="P243">
        <v>4</v>
      </c>
      <c r="Q243">
        <f t="shared" si="32"/>
        <v>85711</v>
      </c>
      <c r="R243" s="2">
        <f t="shared" si="33"/>
        <v>42855.5</v>
      </c>
      <c r="S243" s="2" t="str">
        <f t="shared" si="34"/>
        <v xml:space="preserve"> Not Achieved</v>
      </c>
      <c r="T243" s="2" t="str">
        <f t="shared" si="35"/>
        <v xml:space="preserve"> Excellent</v>
      </c>
      <c r="U243" s="2"/>
    </row>
    <row r="244" spans="1:21" x14ac:dyDescent="0.3">
      <c r="A244">
        <v>243</v>
      </c>
      <c r="B244" t="s">
        <v>405</v>
      </c>
      <c r="C244" t="str">
        <f t="shared" si="27"/>
        <v>EMP_243</v>
      </c>
      <c r="D244" t="s">
        <v>11</v>
      </c>
      <c r="E244" t="str">
        <f t="shared" si="28"/>
        <v>EMP_243Sales</v>
      </c>
      <c r="F244" t="s">
        <v>7</v>
      </c>
      <c r="G244" t="s">
        <v>13</v>
      </c>
      <c r="H244">
        <v>31183</v>
      </c>
      <c r="I244">
        <v>5253</v>
      </c>
      <c r="J244">
        <v>199393</v>
      </c>
      <c r="K244">
        <v>147626</v>
      </c>
      <c r="L244" s="4" t="s">
        <v>406</v>
      </c>
      <c r="M244" s="4" t="str">
        <f t="shared" si="29"/>
        <v>10/22/2023</v>
      </c>
      <c r="N244" s="1">
        <f t="shared" ca="1" si="30"/>
        <v>46064</v>
      </c>
      <c r="O244" s="6" t="e">
        <f t="shared" ca="1" si="31"/>
        <v>#VALUE!</v>
      </c>
      <c r="P244">
        <v>3</v>
      </c>
      <c r="Q244">
        <f t="shared" si="32"/>
        <v>36436</v>
      </c>
      <c r="R244" s="2">
        <f t="shared" si="33"/>
        <v>18218</v>
      </c>
      <c r="S244" s="2" t="str">
        <f t="shared" si="34"/>
        <v>Achieved</v>
      </c>
      <c r="T244" s="2" t="str">
        <f t="shared" si="35"/>
        <v>Average</v>
      </c>
      <c r="U244" s="2"/>
    </row>
    <row r="245" spans="1:21" x14ac:dyDescent="0.3">
      <c r="A245">
        <v>244</v>
      </c>
      <c r="B245" t="s">
        <v>407</v>
      </c>
      <c r="C245" t="str">
        <f t="shared" si="27"/>
        <v>EMP_244</v>
      </c>
      <c r="D245" t="s">
        <v>15</v>
      </c>
      <c r="E245" t="str">
        <f t="shared" si="28"/>
        <v>EMP_244IT</v>
      </c>
      <c r="F245" t="s">
        <v>21</v>
      </c>
      <c r="G245" t="s">
        <v>22</v>
      </c>
      <c r="H245">
        <v>46389</v>
      </c>
      <c r="I245">
        <v>5697</v>
      </c>
      <c r="J245">
        <v>0</v>
      </c>
      <c r="K245">
        <v>0</v>
      </c>
      <c r="L245" s="4">
        <v>43680</v>
      </c>
      <c r="M245" s="4" t="str">
        <f t="shared" si="29"/>
        <v>2019</v>
      </c>
      <c r="N245" s="1">
        <f t="shared" ca="1" si="30"/>
        <v>46064</v>
      </c>
      <c r="O245" s="6">
        <f t="shared" ca="1" si="31"/>
        <v>6</v>
      </c>
      <c r="P245">
        <v>5</v>
      </c>
      <c r="Q245">
        <f t="shared" si="32"/>
        <v>52086</v>
      </c>
      <c r="R245" s="2">
        <f t="shared" si="33"/>
        <v>26043</v>
      </c>
      <c r="S245" s="2" t="str">
        <f t="shared" si="34"/>
        <v xml:space="preserve"> Not Achieved</v>
      </c>
      <c r="T245" s="2" t="str">
        <f t="shared" si="35"/>
        <v>Good</v>
      </c>
      <c r="U245" s="2"/>
    </row>
    <row r="246" spans="1:21" x14ac:dyDescent="0.3">
      <c r="A246">
        <v>245</v>
      </c>
      <c r="B246" t="s">
        <v>408</v>
      </c>
      <c r="C246" t="str">
        <f t="shared" si="27"/>
        <v>EMP_245</v>
      </c>
      <c r="D246" t="s">
        <v>15</v>
      </c>
      <c r="E246" t="str">
        <f t="shared" si="28"/>
        <v>EMP_245Finance</v>
      </c>
      <c r="F246" t="s">
        <v>18</v>
      </c>
      <c r="G246" t="s">
        <v>16</v>
      </c>
      <c r="H246">
        <v>64803</v>
      </c>
      <c r="I246">
        <v>4207</v>
      </c>
      <c r="J246">
        <v>0</v>
      </c>
      <c r="K246">
        <v>0</v>
      </c>
      <c r="L246" s="4">
        <v>44597</v>
      </c>
      <c r="M246" s="4" t="str">
        <f t="shared" si="29"/>
        <v>2022</v>
      </c>
      <c r="N246" s="1">
        <f t="shared" ca="1" si="30"/>
        <v>46064</v>
      </c>
      <c r="O246" s="6">
        <f t="shared" ca="1" si="31"/>
        <v>4</v>
      </c>
      <c r="P246">
        <v>5</v>
      </c>
      <c r="Q246">
        <f t="shared" si="32"/>
        <v>69010</v>
      </c>
      <c r="R246" s="2">
        <f t="shared" si="33"/>
        <v>34505</v>
      </c>
      <c r="S246" s="2" t="str">
        <f t="shared" si="34"/>
        <v xml:space="preserve"> Not Achieved</v>
      </c>
      <c r="T246" s="2" t="str">
        <f t="shared" si="35"/>
        <v xml:space="preserve"> Excellent</v>
      </c>
      <c r="U246" s="2"/>
    </row>
    <row r="247" spans="1:21" x14ac:dyDescent="0.3">
      <c r="A247">
        <v>246</v>
      </c>
      <c r="B247" t="s">
        <v>409</v>
      </c>
      <c r="C247" t="str">
        <f t="shared" si="27"/>
        <v>EMP_246</v>
      </c>
      <c r="D247" t="s">
        <v>11</v>
      </c>
      <c r="E247" t="str">
        <f t="shared" si="28"/>
        <v>EMP_246HR</v>
      </c>
      <c r="F247" t="s">
        <v>12</v>
      </c>
      <c r="G247" t="s">
        <v>22</v>
      </c>
      <c r="H247">
        <v>54872</v>
      </c>
      <c r="I247">
        <v>10342</v>
      </c>
      <c r="J247">
        <v>0</v>
      </c>
      <c r="K247">
        <v>0</v>
      </c>
      <c r="L247" s="4" t="s">
        <v>410</v>
      </c>
      <c r="M247" s="4" t="str">
        <f t="shared" si="29"/>
        <v>11/17/2021</v>
      </c>
      <c r="N247" s="1">
        <f t="shared" ca="1" si="30"/>
        <v>46064</v>
      </c>
      <c r="O247" s="6" t="e">
        <f t="shared" ca="1" si="31"/>
        <v>#VALUE!</v>
      </c>
      <c r="P247">
        <v>1</v>
      </c>
      <c r="Q247">
        <f t="shared" si="32"/>
        <v>65214</v>
      </c>
      <c r="R247" s="2">
        <f t="shared" si="33"/>
        <v>32607</v>
      </c>
      <c r="S247" s="2" t="str">
        <f t="shared" si="34"/>
        <v xml:space="preserve"> Not Achieved</v>
      </c>
      <c r="T247" s="2" t="str">
        <f t="shared" si="35"/>
        <v xml:space="preserve"> Excellent</v>
      </c>
      <c r="U247" s="2"/>
    </row>
    <row r="248" spans="1:21" x14ac:dyDescent="0.3">
      <c r="A248">
        <v>247</v>
      </c>
      <c r="B248" t="s">
        <v>411</v>
      </c>
      <c r="C248" t="str">
        <f t="shared" si="27"/>
        <v>EMP_247</v>
      </c>
      <c r="D248" t="s">
        <v>11</v>
      </c>
      <c r="E248" t="str">
        <f t="shared" si="28"/>
        <v>EMP_247Sales</v>
      </c>
      <c r="F248" t="s">
        <v>7</v>
      </c>
      <c r="G248" t="s">
        <v>13</v>
      </c>
      <c r="H248">
        <v>53485</v>
      </c>
      <c r="I248">
        <v>2721</v>
      </c>
      <c r="J248">
        <v>234446</v>
      </c>
      <c r="K248">
        <v>178979</v>
      </c>
      <c r="L248" s="4" t="s">
        <v>412</v>
      </c>
      <c r="M248" s="4" t="str">
        <f t="shared" si="29"/>
        <v>4/29/2024</v>
      </c>
      <c r="N248" s="1">
        <f t="shared" ca="1" si="30"/>
        <v>46064</v>
      </c>
      <c r="O248" s="6" t="e">
        <f t="shared" ca="1" si="31"/>
        <v>#VALUE!</v>
      </c>
      <c r="P248">
        <v>1</v>
      </c>
      <c r="Q248">
        <f t="shared" si="32"/>
        <v>56206</v>
      </c>
      <c r="R248" s="2">
        <f t="shared" si="33"/>
        <v>28103</v>
      </c>
      <c r="S248" s="2" t="str">
        <f t="shared" si="34"/>
        <v>Achieved</v>
      </c>
      <c r="T248" s="2" t="str">
        <f t="shared" si="35"/>
        <v xml:space="preserve"> Excellent</v>
      </c>
      <c r="U248" s="2"/>
    </row>
    <row r="249" spans="1:21" x14ac:dyDescent="0.3">
      <c r="A249">
        <v>248</v>
      </c>
      <c r="B249" t="s">
        <v>413</v>
      </c>
      <c r="C249" t="str">
        <f t="shared" si="27"/>
        <v>EMP_248</v>
      </c>
      <c r="D249" t="s">
        <v>15</v>
      </c>
      <c r="E249" t="str">
        <f t="shared" si="28"/>
        <v>EMP_248Finance</v>
      </c>
      <c r="F249" t="s">
        <v>18</v>
      </c>
      <c r="G249" t="s">
        <v>13</v>
      </c>
      <c r="H249">
        <v>51558</v>
      </c>
      <c r="I249">
        <v>7605</v>
      </c>
      <c r="J249">
        <v>0</v>
      </c>
      <c r="K249">
        <v>0</v>
      </c>
      <c r="L249" s="4">
        <v>44021</v>
      </c>
      <c r="M249" s="4" t="str">
        <f t="shared" si="29"/>
        <v>2020</v>
      </c>
      <c r="N249" s="1">
        <f t="shared" ca="1" si="30"/>
        <v>46064</v>
      </c>
      <c r="O249" s="6">
        <f t="shared" ca="1" si="31"/>
        <v>5</v>
      </c>
      <c r="P249">
        <v>1</v>
      </c>
      <c r="Q249">
        <f t="shared" si="32"/>
        <v>59163</v>
      </c>
      <c r="R249" s="2">
        <f t="shared" si="33"/>
        <v>29581.5</v>
      </c>
      <c r="S249" s="2" t="str">
        <f t="shared" si="34"/>
        <v xml:space="preserve"> Not Achieved</v>
      </c>
      <c r="T249" s="2" t="str">
        <f t="shared" si="35"/>
        <v xml:space="preserve"> Excellent</v>
      </c>
      <c r="U249" s="2"/>
    </row>
    <row r="250" spans="1:21" x14ac:dyDescent="0.3">
      <c r="A250">
        <v>249</v>
      </c>
      <c r="B250" t="s">
        <v>414</v>
      </c>
      <c r="C250" t="str">
        <f t="shared" si="27"/>
        <v>EMP_249</v>
      </c>
      <c r="D250" t="s">
        <v>15</v>
      </c>
      <c r="E250" t="str">
        <f t="shared" si="28"/>
        <v>EMP_249HR</v>
      </c>
      <c r="F250" t="s">
        <v>12</v>
      </c>
      <c r="G250" t="s">
        <v>16</v>
      </c>
      <c r="H250">
        <v>23686</v>
      </c>
      <c r="I250">
        <v>10393</v>
      </c>
      <c r="J250">
        <v>0</v>
      </c>
      <c r="K250">
        <v>0</v>
      </c>
      <c r="L250" s="4" t="s">
        <v>415</v>
      </c>
      <c r="M250" s="4" t="str">
        <f t="shared" si="29"/>
        <v>3/16/2022</v>
      </c>
      <c r="N250" s="1">
        <f t="shared" ca="1" si="30"/>
        <v>46064</v>
      </c>
      <c r="O250" s="6" t="e">
        <f t="shared" ca="1" si="31"/>
        <v>#VALUE!</v>
      </c>
      <c r="P250">
        <v>4</v>
      </c>
      <c r="Q250">
        <f t="shared" si="32"/>
        <v>34079</v>
      </c>
      <c r="R250" s="2">
        <f t="shared" si="33"/>
        <v>17039.5</v>
      </c>
      <c r="S250" s="2" t="str">
        <f t="shared" si="34"/>
        <v xml:space="preserve"> Not Achieved</v>
      </c>
      <c r="T250" s="2" t="str">
        <f t="shared" si="35"/>
        <v>poor</v>
      </c>
      <c r="U250" s="2"/>
    </row>
    <row r="251" spans="1:21" x14ac:dyDescent="0.3">
      <c r="A251">
        <v>250</v>
      </c>
      <c r="B251" t="s">
        <v>416</v>
      </c>
      <c r="C251" t="str">
        <f t="shared" si="27"/>
        <v>EMP_250</v>
      </c>
      <c r="D251" t="s">
        <v>15</v>
      </c>
      <c r="E251" t="str">
        <f t="shared" si="28"/>
        <v>EMP_250HR</v>
      </c>
      <c r="F251" t="s">
        <v>12</v>
      </c>
      <c r="G251" t="s">
        <v>19</v>
      </c>
      <c r="H251">
        <v>28511</v>
      </c>
      <c r="I251">
        <v>5602</v>
      </c>
      <c r="J251">
        <v>0</v>
      </c>
      <c r="K251">
        <v>0</v>
      </c>
      <c r="L251" s="4">
        <v>43586</v>
      </c>
      <c r="M251" s="4" t="str">
        <f t="shared" si="29"/>
        <v>2019</v>
      </c>
      <c r="N251" s="1">
        <f t="shared" ca="1" si="30"/>
        <v>46064</v>
      </c>
      <c r="O251" s="6">
        <f t="shared" ca="1" si="31"/>
        <v>6</v>
      </c>
      <c r="P251">
        <v>5</v>
      </c>
      <c r="Q251">
        <f t="shared" si="32"/>
        <v>34113</v>
      </c>
      <c r="R251" s="2">
        <f t="shared" si="33"/>
        <v>17056.5</v>
      </c>
      <c r="S251" s="2" t="str">
        <f t="shared" si="34"/>
        <v xml:space="preserve"> Not Achieved</v>
      </c>
      <c r="T251" s="2" t="str">
        <f t="shared" si="35"/>
        <v>poor</v>
      </c>
      <c r="U251" s="2"/>
    </row>
    <row r="252" spans="1:21" x14ac:dyDescent="0.3">
      <c r="A252">
        <v>251</v>
      </c>
      <c r="B252" t="s">
        <v>417</v>
      </c>
      <c r="C252" t="str">
        <f t="shared" si="27"/>
        <v>EMP_251</v>
      </c>
      <c r="D252" t="s">
        <v>11</v>
      </c>
      <c r="E252" t="str">
        <f t="shared" si="28"/>
        <v>EMP_251IT</v>
      </c>
      <c r="F252" t="s">
        <v>21</v>
      </c>
      <c r="G252" t="s">
        <v>13</v>
      </c>
      <c r="H252">
        <v>77192</v>
      </c>
      <c r="I252">
        <v>3186</v>
      </c>
      <c r="J252">
        <v>0</v>
      </c>
      <c r="K252">
        <v>0</v>
      </c>
      <c r="L252" s="4">
        <v>43773</v>
      </c>
      <c r="M252" s="4" t="str">
        <f t="shared" si="29"/>
        <v>2019</v>
      </c>
      <c r="N252" s="1">
        <f t="shared" ca="1" si="30"/>
        <v>46064</v>
      </c>
      <c r="O252" s="6">
        <f t="shared" ca="1" si="31"/>
        <v>6</v>
      </c>
      <c r="P252">
        <v>3</v>
      </c>
      <c r="Q252">
        <f t="shared" si="32"/>
        <v>80378</v>
      </c>
      <c r="R252" s="2">
        <f t="shared" si="33"/>
        <v>40189</v>
      </c>
      <c r="S252" s="2" t="str">
        <f t="shared" si="34"/>
        <v xml:space="preserve"> Not Achieved</v>
      </c>
      <c r="T252" s="2" t="str">
        <f t="shared" si="35"/>
        <v xml:space="preserve"> Excellent</v>
      </c>
      <c r="U252" s="2"/>
    </row>
    <row r="253" spans="1:21" x14ac:dyDescent="0.3">
      <c r="A253">
        <v>252</v>
      </c>
      <c r="B253" t="s">
        <v>418</v>
      </c>
      <c r="C253" t="str">
        <f t="shared" si="27"/>
        <v>EMP_252</v>
      </c>
      <c r="D253" t="s">
        <v>11</v>
      </c>
      <c r="E253" t="str">
        <f t="shared" si="28"/>
        <v>EMP_252Marketing</v>
      </c>
      <c r="F253" t="s">
        <v>24</v>
      </c>
      <c r="G253" t="s">
        <v>19</v>
      </c>
      <c r="H253">
        <v>32729</v>
      </c>
      <c r="I253">
        <v>6462</v>
      </c>
      <c r="J253">
        <v>0</v>
      </c>
      <c r="K253">
        <v>0</v>
      </c>
      <c r="L253" s="4">
        <v>44572</v>
      </c>
      <c r="M253" s="4" t="str">
        <f t="shared" si="29"/>
        <v>2022</v>
      </c>
      <c r="N253" s="1">
        <f t="shared" ca="1" si="30"/>
        <v>46064</v>
      </c>
      <c r="O253" s="6">
        <f t="shared" ca="1" si="31"/>
        <v>4</v>
      </c>
      <c r="P253">
        <v>4</v>
      </c>
      <c r="Q253">
        <f t="shared" si="32"/>
        <v>39191</v>
      </c>
      <c r="R253" s="2">
        <f t="shared" si="33"/>
        <v>19595.5</v>
      </c>
      <c r="S253" s="2" t="str">
        <f t="shared" si="34"/>
        <v xml:space="preserve"> Not Achieved</v>
      </c>
      <c r="T253" s="2" t="str">
        <f t="shared" si="35"/>
        <v>Average</v>
      </c>
      <c r="U253" s="2"/>
    </row>
    <row r="254" spans="1:21" x14ac:dyDescent="0.3">
      <c r="A254">
        <v>253</v>
      </c>
      <c r="B254" t="s">
        <v>419</v>
      </c>
      <c r="C254" t="str">
        <f t="shared" si="27"/>
        <v>EMP_253</v>
      </c>
      <c r="D254" t="s">
        <v>15</v>
      </c>
      <c r="E254" t="str">
        <f t="shared" si="28"/>
        <v>EMP_253Marketing</v>
      </c>
      <c r="F254" t="s">
        <v>24</v>
      </c>
      <c r="G254" t="s">
        <v>16</v>
      </c>
      <c r="H254">
        <v>55147</v>
      </c>
      <c r="I254">
        <v>3806</v>
      </c>
      <c r="J254">
        <v>0</v>
      </c>
      <c r="K254">
        <v>0</v>
      </c>
      <c r="L254" s="4">
        <v>45236</v>
      </c>
      <c r="M254" s="4" t="str">
        <f t="shared" si="29"/>
        <v>2023</v>
      </c>
      <c r="N254" s="1">
        <f t="shared" ca="1" si="30"/>
        <v>46064</v>
      </c>
      <c r="O254" s="6">
        <f t="shared" ca="1" si="31"/>
        <v>2</v>
      </c>
      <c r="P254">
        <v>4</v>
      </c>
      <c r="Q254">
        <f t="shared" si="32"/>
        <v>58953</v>
      </c>
      <c r="R254" s="2">
        <f t="shared" si="33"/>
        <v>29476.5</v>
      </c>
      <c r="S254" s="2" t="str">
        <f t="shared" si="34"/>
        <v xml:space="preserve"> Not Achieved</v>
      </c>
      <c r="T254" s="2" t="str">
        <f t="shared" si="35"/>
        <v xml:space="preserve"> Excellent</v>
      </c>
      <c r="U254" s="2"/>
    </row>
    <row r="255" spans="1:21" x14ac:dyDescent="0.3">
      <c r="A255">
        <v>254</v>
      </c>
      <c r="B255" t="s">
        <v>420</v>
      </c>
      <c r="C255" t="str">
        <f t="shared" si="27"/>
        <v>EMP_254</v>
      </c>
      <c r="D255" t="s">
        <v>15</v>
      </c>
      <c r="E255" t="str">
        <f t="shared" si="28"/>
        <v>EMP_254Marketing</v>
      </c>
      <c r="F255" t="s">
        <v>24</v>
      </c>
      <c r="G255" t="s">
        <v>13</v>
      </c>
      <c r="H255">
        <v>24822</v>
      </c>
      <c r="I255">
        <v>13806</v>
      </c>
      <c r="J255">
        <v>0</v>
      </c>
      <c r="K255">
        <v>0</v>
      </c>
      <c r="L255" s="4" t="s">
        <v>421</v>
      </c>
      <c r="M255" s="4" t="str">
        <f t="shared" si="29"/>
        <v>11/15/2019</v>
      </c>
      <c r="N255" s="1">
        <f t="shared" ca="1" si="30"/>
        <v>46064</v>
      </c>
      <c r="O255" s="6" t="e">
        <f t="shared" ca="1" si="31"/>
        <v>#VALUE!</v>
      </c>
      <c r="P255">
        <v>5</v>
      </c>
      <c r="Q255">
        <f t="shared" si="32"/>
        <v>38628</v>
      </c>
      <c r="R255" s="2">
        <f t="shared" si="33"/>
        <v>19314</v>
      </c>
      <c r="S255" s="2" t="str">
        <f t="shared" si="34"/>
        <v xml:space="preserve"> Not Achieved</v>
      </c>
      <c r="T255" s="2" t="str">
        <f t="shared" si="35"/>
        <v>poor</v>
      </c>
      <c r="U255" s="2"/>
    </row>
    <row r="256" spans="1:21" x14ac:dyDescent="0.3">
      <c r="A256">
        <v>255</v>
      </c>
      <c r="B256" t="s">
        <v>422</v>
      </c>
      <c r="C256" t="str">
        <f t="shared" si="27"/>
        <v>EMP_255</v>
      </c>
      <c r="D256" t="s">
        <v>11</v>
      </c>
      <c r="E256" t="str">
        <f t="shared" si="28"/>
        <v>EMP_255Sales</v>
      </c>
      <c r="F256" t="s">
        <v>7</v>
      </c>
      <c r="G256" t="s">
        <v>16</v>
      </c>
      <c r="H256">
        <v>51819</v>
      </c>
      <c r="I256">
        <v>12748</v>
      </c>
      <c r="J256">
        <v>214906</v>
      </c>
      <c r="K256">
        <v>90580</v>
      </c>
      <c r="L256" s="4" t="s">
        <v>423</v>
      </c>
      <c r="M256" s="4" t="str">
        <f t="shared" si="29"/>
        <v>12/24/2024</v>
      </c>
      <c r="N256" s="1">
        <f t="shared" ca="1" si="30"/>
        <v>46064</v>
      </c>
      <c r="O256" s="6" t="e">
        <f t="shared" ca="1" si="31"/>
        <v>#VALUE!</v>
      </c>
      <c r="P256">
        <v>1</v>
      </c>
      <c r="Q256">
        <f t="shared" si="32"/>
        <v>64567</v>
      </c>
      <c r="R256" s="2">
        <f t="shared" si="33"/>
        <v>32283.5</v>
      </c>
      <c r="S256" s="2" t="str">
        <f t="shared" si="34"/>
        <v>Achieved</v>
      </c>
      <c r="T256" s="2" t="str">
        <f t="shared" si="35"/>
        <v xml:space="preserve"> Excellent</v>
      </c>
      <c r="U256" s="2"/>
    </row>
    <row r="257" spans="1:21" x14ac:dyDescent="0.3">
      <c r="A257">
        <v>256</v>
      </c>
      <c r="B257" t="s">
        <v>424</v>
      </c>
      <c r="C257" t="str">
        <f t="shared" si="27"/>
        <v>EMP_256</v>
      </c>
      <c r="D257" t="s">
        <v>11</v>
      </c>
      <c r="E257" t="str">
        <f t="shared" si="28"/>
        <v>EMP_256Marketing</v>
      </c>
      <c r="F257" t="s">
        <v>24</v>
      </c>
      <c r="G257" t="s">
        <v>25</v>
      </c>
      <c r="H257">
        <v>48259</v>
      </c>
      <c r="I257">
        <v>14276</v>
      </c>
      <c r="J257">
        <v>0</v>
      </c>
      <c r="K257">
        <v>0</v>
      </c>
      <c r="L257" s="4">
        <v>44540</v>
      </c>
      <c r="M257" s="4" t="str">
        <f t="shared" si="29"/>
        <v>2021</v>
      </c>
      <c r="N257" s="1">
        <f t="shared" ca="1" si="30"/>
        <v>46064</v>
      </c>
      <c r="O257" s="6">
        <f t="shared" ca="1" si="31"/>
        <v>4</v>
      </c>
      <c r="P257">
        <v>4</v>
      </c>
      <c r="Q257">
        <f t="shared" si="32"/>
        <v>62535</v>
      </c>
      <c r="R257" s="2">
        <f t="shared" si="33"/>
        <v>31267.5</v>
      </c>
      <c r="S257" s="2" t="str">
        <f t="shared" si="34"/>
        <v xml:space="preserve"> Not Achieved</v>
      </c>
      <c r="T257" s="2" t="str">
        <f t="shared" si="35"/>
        <v>Good</v>
      </c>
      <c r="U257" s="2"/>
    </row>
    <row r="258" spans="1:21" x14ac:dyDescent="0.3">
      <c r="A258">
        <v>257</v>
      </c>
      <c r="B258" t="s">
        <v>425</v>
      </c>
      <c r="C258" t="str">
        <f t="shared" si="27"/>
        <v>EMP_257</v>
      </c>
      <c r="D258" t="s">
        <v>15</v>
      </c>
      <c r="E258" t="str">
        <f t="shared" si="28"/>
        <v>EMP_257IT</v>
      </c>
      <c r="F258" t="s">
        <v>21</v>
      </c>
      <c r="G258" t="s">
        <v>22</v>
      </c>
      <c r="H258">
        <v>79791</v>
      </c>
      <c r="I258">
        <v>5644</v>
      </c>
      <c r="J258">
        <v>0</v>
      </c>
      <c r="K258">
        <v>0</v>
      </c>
      <c r="L258" s="4">
        <v>43653</v>
      </c>
      <c r="M258" s="4" t="str">
        <f t="shared" si="29"/>
        <v>2019</v>
      </c>
      <c r="N258" s="1">
        <f t="shared" ca="1" si="30"/>
        <v>46064</v>
      </c>
      <c r="O258" s="6">
        <f t="shared" ca="1" si="31"/>
        <v>6</v>
      </c>
      <c r="P258">
        <v>4</v>
      </c>
      <c r="Q258">
        <f t="shared" si="32"/>
        <v>85435</v>
      </c>
      <c r="R258" s="2">
        <f t="shared" si="33"/>
        <v>42717.5</v>
      </c>
      <c r="S258" s="2" t="str">
        <f t="shared" si="34"/>
        <v xml:space="preserve"> Not Achieved</v>
      </c>
      <c r="T258" s="2" t="str">
        <f t="shared" si="35"/>
        <v xml:space="preserve"> Excellent</v>
      </c>
      <c r="U258" s="2"/>
    </row>
    <row r="259" spans="1:21" x14ac:dyDescent="0.3">
      <c r="A259">
        <v>258</v>
      </c>
      <c r="B259" t="s">
        <v>426</v>
      </c>
      <c r="C259" t="str">
        <f t="shared" ref="C259:C322" si="36">UPPER(B259)</f>
        <v>EMP_258</v>
      </c>
      <c r="D259" t="s">
        <v>11</v>
      </c>
      <c r="E259" t="str">
        <f t="shared" ref="E259:E322" si="37">_xlfn.CONCAT(C259,F259)</f>
        <v>EMP_258Sales</v>
      </c>
      <c r="F259" t="s">
        <v>7</v>
      </c>
      <c r="G259" t="s">
        <v>13</v>
      </c>
      <c r="H259">
        <v>25523</v>
      </c>
      <c r="I259">
        <v>8024</v>
      </c>
      <c r="J259">
        <v>137131</v>
      </c>
      <c r="K259">
        <v>209782</v>
      </c>
      <c r="L259" s="4" t="s">
        <v>427</v>
      </c>
      <c r="M259" s="4" t="str">
        <f t="shared" ref="M259:M322" si="38">TEXT(L259,"yyyy")</f>
        <v>8/14/2019</v>
      </c>
      <c r="N259" s="1">
        <f t="shared" ref="N259:N322" ca="1" si="39">TODAY()</f>
        <v>46064</v>
      </c>
      <c r="O259" s="6" t="e">
        <f t="shared" ref="O259:O322" ca="1" si="40">DATEDIF(L259, TODAY(), "y")</f>
        <v>#VALUE!</v>
      </c>
      <c r="P259">
        <v>5</v>
      </c>
      <c r="Q259">
        <f t="shared" ref="Q259:Q322" si="41">SUM(H259,I259)</f>
        <v>33547</v>
      </c>
      <c r="R259" s="2">
        <f t="shared" ref="R259:R322" si="42">AVERAGE(H259,I259)</f>
        <v>16773.5</v>
      </c>
      <c r="S259" s="2" t="str">
        <f t="shared" ref="S259:S322" si="43">IF(J259&gt;K259,"Achieved"," Not Achieved")</f>
        <v xml:space="preserve"> Not Achieved</v>
      </c>
      <c r="T259" s="2" t="str">
        <f t="shared" ref="T259:T322" si="44">_xlfn.IFS(H259&gt;=50000," Excellent",H259&gt;=40000,"Good",H259&gt;=30000,"Average",H259&lt;30000,"poor")</f>
        <v>poor</v>
      </c>
      <c r="U259" s="2"/>
    </row>
    <row r="260" spans="1:21" x14ac:dyDescent="0.3">
      <c r="A260">
        <v>259</v>
      </c>
      <c r="B260" t="s">
        <v>428</v>
      </c>
      <c r="C260" t="str">
        <f t="shared" si="36"/>
        <v>EMP_259</v>
      </c>
      <c r="D260" t="s">
        <v>15</v>
      </c>
      <c r="E260" t="str">
        <f t="shared" si="37"/>
        <v>EMP_259IT</v>
      </c>
      <c r="F260" t="s">
        <v>21</v>
      </c>
      <c r="G260" t="s">
        <v>22</v>
      </c>
      <c r="H260">
        <v>35879</v>
      </c>
      <c r="I260">
        <v>13769</v>
      </c>
      <c r="J260">
        <v>0</v>
      </c>
      <c r="K260">
        <v>0</v>
      </c>
      <c r="L260" s="4">
        <v>43133</v>
      </c>
      <c r="M260" s="4" t="str">
        <f t="shared" si="38"/>
        <v>2018</v>
      </c>
      <c r="N260" s="1">
        <f t="shared" ca="1" si="39"/>
        <v>46064</v>
      </c>
      <c r="O260" s="6">
        <f t="shared" ca="1" si="40"/>
        <v>8</v>
      </c>
      <c r="P260">
        <v>5</v>
      </c>
      <c r="Q260">
        <f t="shared" si="41"/>
        <v>49648</v>
      </c>
      <c r="R260" s="2">
        <f t="shared" si="42"/>
        <v>24824</v>
      </c>
      <c r="S260" s="2" t="str">
        <f t="shared" si="43"/>
        <v xml:space="preserve"> Not Achieved</v>
      </c>
      <c r="T260" s="2" t="str">
        <f t="shared" si="44"/>
        <v>Average</v>
      </c>
      <c r="U260" s="2"/>
    </row>
    <row r="261" spans="1:21" x14ac:dyDescent="0.3">
      <c r="A261">
        <v>260</v>
      </c>
      <c r="B261" t="s">
        <v>429</v>
      </c>
      <c r="C261" t="str">
        <f t="shared" si="36"/>
        <v>EMP_260</v>
      </c>
      <c r="D261" t="s">
        <v>15</v>
      </c>
      <c r="E261" t="str">
        <f t="shared" si="37"/>
        <v>EMP_260HR</v>
      </c>
      <c r="F261" t="s">
        <v>12</v>
      </c>
      <c r="G261" t="s">
        <v>22</v>
      </c>
      <c r="H261">
        <v>71167</v>
      </c>
      <c r="I261">
        <v>11523</v>
      </c>
      <c r="J261">
        <v>0</v>
      </c>
      <c r="K261">
        <v>0</v>
      </c>
      <c r="L261" s="4">
        <v>44389</v>
      </c>
      <c r="M261" s="4" t="str">
        <f t="shared" si="38"/>
        <v>2021</v>
      </c>
      <c r="N261" s="1">
        <f t="shared" ca="1" si="39"/>
        <v>46064</v>
      </c>
      <c r="O261" s="6">
        <f t="shared" ca="1" si="40"/>
        <v>4</v>
      </c>
      <c r="P261">
        <v>5</v>
      </c>
      <c r="Q261">
        <f t="shared" si="41"/>
        <v>82690</v>
      </c>
      <c r="R261" s="2">
        <f t="shared" si="42"/>
        <v>41345</v>
      </c>
      <c r="S261" s="2" t="str">
        <f t="shared" si="43"/>
        <v xml:space="preserve"> Not Achieved</v>
      </c>
      <c r="T261" s="2" t="str">
        <f t="shared" si="44"/>
        <v xml:space="preserve"> Excellent</v>
      </c>
      <c r="U261" s="2"/>
    </row>
    <row r="262" spans="1:21" x14ac:dyDescent="0.3">
      <c r="A262">
        <v>261</v>
      </c>
      <c r="B262" t="s">
        <v>430</v>
      </c>
      <c r="C262" t="str">
        <f t="shared" si="36"/>
        <v>EMP_261</v>
      </c>
      <c r="D262" t="s">
        <v>15</v>
      </c>
      <c r="E262" t="str">
        <f t="shared" si="37"/>
        <v>EMP_261Sales</v>
      </c>
      <c r="F262" t="s">
        <v>7</v>
      </c>
      <c r="G262" t="s">
        <v>25</v>
      </c>
      <c r="H262">
        <v>39285</v>
      </c>
      <c r="I262">
        <v>11693</v>
      </c>
      <c r="J262">
        <v>101990</v>
      </c>
      <c r="K262">
        <v>244807</v>
      </c>
      <c r="L262" s="4" t="s">
        <v>431</v>
      </c>
      <c r="M262" s="4" t="str">
        <f t="shared" si="38"/>
        <v>10/20/2022</v>
      </c>
      <c r="N262" s="1">
        <f t="shared" ca="1" si="39"/>
        <v>46064</v>
      </c>
      <c r="O262" s="6" t="e">
        <f t="shared" ca="1" si="40"/>
        <v>#VALUE!</v>
      </c>
      <c r="P262">
        <v>3</v>
      </c>
      <c r="Q262">
        <f t="shared" si="41"/>
        <v>50978</v>
      </c>
      <c r="R262" s="2">
        <f t="shared" si="42"/>
        <v>25489</v>
      </c>
      <c r="S262" s="2" t="str">
        <f t="shared" si="43"/>
        <v xml:space="preserve"> Not Achieved</v>
      </c>
      <c r="T262" s="2" t="str">
        <f t="shared" si="44"/>
        <v>Average</v>
      </c>
      <c r="U262" s="2"/>
    </row>
    <row r="263" spans="1:21" x14ac:dyDescent="0.3">
      <c r="A263">
        <v>262</v>
      </c>
      <c r="B263" t="s">
        <v>432</v>
      </c>
      <c r="C263" t="str">
        <f t="shared" si="36"/>
        <v>EMP_262</v>
      </c>
      <c r="D263" t="s">
        <v>15</v>
      </c>
      <c r="E263" t="str">
        <f t="shared" si="37"/>
        <v>EMP_262Sales</v>
      </c>
      <c r="F263" t="s">
        <v>7</v>
      </c>
      <c r="G263" t="s">
        <v>25</v>
      </c>
      <c r="H263">
        <v>53623</v>
      </c>
      <c r="I263">
        <v>2864</v>
      </c>
      <c r="J263">
        <v>257886</v>
      </c>
      <c r="K263">
        <v>115455</v>
      </c>
      <c r="L263" s="4" t="s">
        <v>433</v>
      </c>
      <c r="M263" s="4" t="str">
        <f t="shared" si="38"/>
        <v>9/17/2018</v>
      </c>
      <c r="N263" s="1">
        <f t="shared" ca="1" si="39"/>
        <v>46064</v>
      </c>
      <c r="O263" s="6" t="e">
        <f t="shared" ca="1" si="40"/>
        <v>#VALUE!</v>
      </c>
      <c r="P263">
        <v>4</v>
      </c>
      <c r="Q263">
        <f t="shared" si="41"/>
        <v>56487</v>
      </c>
      <c r="R263" s="2">
        <f t="shared" si="42"/>
        <v>28243.5</v>
      </c>
      <c r="S263" s="2" t="str">
        <f t="shared" si="43"/>
        <v>Achieved</v>
      </c>
      <c r="T263" s="2" t="str">
        <f t="shared" si="44"/>
        <v xml:space="preserve"> Excellent</v>
      </c>
      <c r="U263" s="2"/>
    </row>
    <row r="264" spans="1:21" x14ac:dyDescent="0.3">
      <c r="A264">
        <v>263</v>
      </c>
      <c r="B264" t="s">
        <v>434</v>
      </c>
      <c r="C264" t="str">
        <f t="shared" si="36"/>
        <v>EMP_263</v>
      </c>
      <c r="D264" t="s">
        <v>11</v>
      </c>
      <c r="E264" t="str">
        <f t="shared" si="37"/>
        <v>EMP_263Marketing</v>
      </c>
      <c r="F264" t="s">
        <v>24</v>
      </c>
      <c r="G264" t="s">
        <v>13</v>
      </c>
      <c r="H264">
        <v>78477</v>
      </c>
      <c r="I264">
        <v>9752</v>
      </c>
      <c r="J264">
        <v>0</v>
      </c>
      <c r="K264">
        <v>0</v>
      </c>
      <c r="L264" s="4" t="s">
        <v>435</v>
      </c>
      <c r="M264" s="4" t="str">
        <f t="shared" si="38"/>
        <v>3/28/2021</v>
      </c>
      <c r="N264" s="1">
        <f t="shared" ca="1" si="39"/>
        <v>46064</v>
      </c>
      <c r="O264" s="6" t="e">
        <f t="shared" ca="1" si="40"/>
        <v>#VALUE!</v>
      </c>
      <c r="P264">
        <v>4</v>
      </c>
      <c r="Q264">
        <f t="shared" si="41"/>
        <v>88229</v>
      </c>
      <c r="R264" s="2">
        <f t="shared" si="42"/>
        <v>44114.5</v>
      </c>
      <c r="S264" s="2" t="str">
        <f t="shared" si="43"/>
        <v xml:space="preserve"> Not Achieved</v>
      </c>
      <c r="T264" s="2" t="str">
        <f t="shared" si="44"/>
        <v xml:space="preserve"> Excellent</v>
      </c>
      <c r="U264" s="2"/>
    </row>
    <row r="265" spans="1:21" x14ac:dyDescent="0.3">
      <c r="A265">
        <v>264</v>
      </c>
      <c r="B265" t="s">
        <v>436</v>
      </c>
      <c r="C265" t="str">
        <f t="shared" si="36"/>
        <v>EMP_264</v>
      </c>
      <c r="D265" t="s">
        <v>15</v>
      </c>
      <c r="E265" t="str">
        <f t="shared" si="37"/>
        <v>EMP_264Sales</v>
      </c>
      <c r="F265" t="s">
        <v>7</v>
      </c>
      <c r="G265" t="s">
        <v>19</v>
      </c>
      <c r="H265">
        <v>49363</v>
      </c>
      <c r="I265">
        <v>13033</v>
      </c>
      <c r="J265">
        <v>132549</v>
      </c>
      <c r="K265">
        <v>174376</v>
      </c>
      <c r="L265" s="4">
        <v>44024</v>
      </c>
      <c r="M265" s="4" t="str">
        <f t="shared" si="38"/>
        <v>2020</v>
      </c>
      <c r="N265" s="1">
        <f t="shared" ca="1" si="39"/>
        <v>46064</v>
      </c>
      <c r="O265" s="6">
        <f t="shared" ca="1" si="40"/>
        <v>5</v>
      </c>
      <c r="P265">
        <v>3</v>
      </c>
      <c r="Q265">
        <f t="shared" si="41"/>
        <v>62396</v>
      </c>
      <c r="R265" s="2">
        <f t="shared" si="42"/>
        <v>31198</v>
      </c>
      <c r="S265" s="2" t="str">
        <f t="shared" si="43"/>
        <v xml:space="preserve"> Not Achieved</v>
      </c>
      <c r="T265" s="2" t="str">
        <f t="shared" si="44"/>
        <v>Good</v>
      </c>
      <c r="U265" s="2"/>
    </row>
    <row r="266" spans="1:21" x14ac:dyDescent="0.3">
      <c r="A266">
        <v>265</v>
      </c>
      <c r="B266" t="s">
        <v>437</v>
      </c>
      <c r="C266" t="str">
        <f t="shared" si="36"/>
        <v>EMP_265</v>
      </c>
      <c r="D266" t="s">
        <v>15</v>
      </c>
      <c r="E266" t="str">
        <f t="shared" si="37"/>
        <v>EMP_265Finance</v>
      </c>
      <c r="F266" t="s">
        <v>18</v>
      </c>
      <c r="G266" t="s">
        <v>13</v>
      </c>
      <c r="H266">
        <v>53388</v>
      </c>
      <c r="I266">
        <v>8152</v>
      </c>
      <c r="J266">
        <v>0</v>
      </c>
      <c r="K266">
        <v>0</v>
      </c>
      <c r="L266" s="4" t="s">
        <v>438</v>
      </c>
      <c r="M266" s="4" t="str">
        <f t="shared" si="38"/>
        <v>11/13/2018</v>
      </c>
      <c r="N266" s="1">
        <f t="shared" ca="1" si="39"/>
        <v>46064</v>
      </c>
      <c r="O266" s="6" t="e">
        <f t="shared" ca="1" si="40"/>
        <v>#VALUE!</v>
      </c>
      <c r="P266">
        <v>4</v>
      </c>
      <c r="Q266">
        <f t="shared" si="41"/>
        <v>61540</v>
      </c>
      <c r="R266" s="2">
        <f t="shared" si="42"/>
        <v>30770</v>
      </c>
      <c r="S266" s="2" t="str">
        <f t="shared" si="43"/>
        <v xml:space="preserve"> Not Achieved</v>
      </c>
      <c r="T266" s="2" t="str">
        <f t="shared" si="44"/>
        <v xml:space="preserve"> Excellent</v>
      </c>
      <c r="U266" s="2"/>
    </row>
    <row r="267" spans="1:21" x14ac:dyDescent="0.3">
      <c r="A267">
        <v>266</v>
      </c>
      <c r="B267" t="s">
        <v>439</v>
      </c>
      <c r="C267" t="str">
        <f t="shared" si="36"/>
        <v>EMP_266</v>
      </c>
      <c r="D267" t="s">
        <v>15</v>
      </c>
      <c r="E267" t="str">
        <f t="shared" si="37"/>
        <v>EMP_266Marketing</v>
      </c>
      <c r="F267" t="s">
        <v>24</v>
      </c>
      <c r="G267" t="s">
        <v>22</v>
      </c>
      <c r="H267">
        <v>62009</v>
      </c>
      <c r="I267">
        <v>14732</v>
      </c>
      <c r="J267">
        <v>0</v>
      </c>
      <c r="K267">
        <v>0</v>
      </c>
      <c r="L267" s="4" t="s">
        <v>440</v>
      </c>
      <c r="M267" s="4" t="str">
        <f t="shared" si="38"/>
        <v>11/28/2023</v>
      </c>
      <c r="N267" s="1">
        <f t="shared" ca="1" si="39"/>
        <v>46064</v>
      </c>
      <c r="O267" s="6" t="e">
        <f t="shared" ca="1" si="40"/>
        <v>#VALUE!</v>
      </c>
      <c r="P267">
        <v>1</v>
      </c>
      <c r="Q267">
        <f t="shared" si="41"/>
        <v>76741</v>
      </c>
      <c r="R267" s="2">
        <f t="shared" si="42"/>
        <v>38370.5</v>
      </c>
      <c r="S267" s="2" t="str">
        <f t="shared" si="43"/>
        <v xml:space="preserve"> Not Achieved</v>
      </c>
      <c r="T267" s="2" t="str">
        <f t="shared" si="44"/>
        <v xml:space="preserve"> Excellent</v>
      </c>
      <c r="U267" s="2"/>
    </row>
    <row r="268" spans="1:21" x14ac:dyDescent="0.3">
      <c r="A268">
        <v>267</v>
      </c>
      <c r="B268" t="s">
        <v>441</v>
      </c>
      <c r="C268" t="str">
        <f t="shared" si="36"/>
        <v>EMP_267</v>
      </c>
      <c r="D268" t="s">
        <v>15</v>
      </c>
      <c r="E268" t="str">
        <f t="shared" si="37"/>
        <v>EMP_267Finance</v>
      </c>
      <c r="F268" t="s">
        <v>18</v>
      </c>
      <c r="G268" t="s">
        <v>19</v>
      </c>
      <c r="H268">
        <v>69656</v>
      </c>
      <c r="I268">
        <v>2368</v>
      </c>
      <c r="J268">
        <v>0</v>
      </c>
      <c r="K268">
        <v>0</v>
      </c>
      <c r="L268" s="4" t="s">
        <v>442</v>
      </c>
      <c r="M268" s="4" t="str">
        <f t="shared" si="38"/>
        <v>2/16/2019</v>
      </c>
      <c r="N268" s="1">
        <f t="shared" ca="1" si="39"/>
        <v>46064</v>
      </c>
      <c r="O268" s="6" t="e">
        <f t="shared" ca="1" si="40"/>
        <v>#VALUE!</v>
      </c>
      <c r="P268">
        <v>4</v>
      </c>
      <c r="Q268">
        <f t="shared" si="41"/>
        <v>72024</v>
      </c>
      <c r="R268" s="2">
        <f t="shared" si="42"/>
        <v>36012</v>
      </c>
      <c r="S268" s="2" t="str">
        <f t="shared" si="43"/>
        <v xml:space="preserve"> Not Achieved</v>
      </c>
      <c r="T268" s="2" t="str">
        <f t="shared" si="44"/>
        <v xml:space="preserve"> Excellent</v>
      </c>
      <c r="U268" s="2"/>
    </row>
    <row r="269" spans="1:21" x14ac:dyDescent="0.3">
      <c r="A269">
        <v>268</v>
      </c>
      <c r="B269" t="s">
        <v>443</v>
      </c>
      <c r="C269" t="str">
        <f t="shared" si="36"/>
        <v>EMP_268</v>
      </c>
      <c r="D269" t="s">
        <v>15</v>
      </c>
      <c r="E269" t="str">
        <f t="shared" si="37"/>
        <v>EMP_268Sales</v>
      </c>
      <c r="F269" t="s">
        <v>7</v>
      </c>
      <c r="G269" t="s">
        <v>19</v>
      </c>
      <c r="H269">
        <v>47074</v>
      </c>
      <c r="I269">
        <v>2200</v>
      </c>
      <c r="J269">
        <v>115544</v>
      </c>
      <c r="K269">
        <v>119445</v>
      </c>
      <c r="L269" s="4">
        <v>43285</v>
      </c>
      <c r="M269" s="4" t="str">
        <f t="shared" si="38"/>
        <v>2018</v>
      </c>
      <c r="N269" s="1">
        <f t="shared" ca="1" si="39"/>
        <v>46064</v>
      </c>
      <c r="O269" s="6">
        <f t="shared" ca="1" si="40"/>
        <v>7</v>
      </c>
      <c r="P269">
        <v>3</v>
      </c>
      <c r="Q269">
        <f t="shared" si="41"/>
        <v>49274</v>
      </c>
      <c r="R269" s="2">
        <f t="shared" si="42"/>
        <v>24637</v>
      </c>
      <c r="S269" s="2" t="str">
        <f t="shared" si="43"/>
        <v xml:space="preserve"> Not Achieved</v>
      </c>
      <c r="T269" s="2" t="str">
        <f t="shared" si="44"/>
        <v>Good</v>
      </c>
      <c r="U269" s="2"/>
    </row>
    <row r="270" spans="1:21" x14ac:dyDescent="0.3">
      <c r="A270">
        <v>269</v>
      </c>
      <c r="B270" t="s">
        <v>444</v>
      </c>
      <c r="C270" t="str">
        <f t="shared" si="36"/>
        <v>EMP_269</v>
      </c>
      <c r="D270" t="s">
        <v>11</v>
      </c>
      <c r="E270" t="str">
        <f t="shared" si="37"/>
        <v>EMP_269Sales</v>
      </c>
      <c r="F270" t="s">
        <v>7</v>
      </c>
      <c r="G270" t="s">
        <v>13</v>
      </c>
      <c r="H270">
        <v>53637</v>
      </c>
      <c r="I270">
        <v>6355</v>
      </c>
      <c r="J270">
        <v>285728</v>
      </c>
      <c r="K270">
        <v>195449</v>
      </c>
      <c r="L270" s="4" t="s">
        <v>445</v>
      </c>
      <c r="M270" s="4" t="str">
        <f t="shared" si="38"/>
        <v>6/23/2023</v>
      </c>
      <c r="N270" s="1">
        <f t="shared" ca="1" si="39"/>
        <v>46064</v>
      </c>
      <c r="O270" s="6" t="e">
        <f t="shared" ca="1" si="40"/>
        <v>#VALUE!</v>
      </c>
      <c r="P270">
        <v>1</v>
      </c>
      <c r="Q270">
        <f t="shared" si="41"/>
        <v>59992</v>
      </c>
      <c r="R270" s="2">
        <f t="shared" si="42"/>
        <v>29996</v>
      </c>
      <c r="S270" s="2" t="str">
        <f t="shared" si="43"/>
        <v>Achieved</v>
      </c>
      <c r="T270" s="2" t="str">
        <f t="shared" si="44"/>
        <v xml:space="preserve"> Excellent</v>
      </c>
      <c r="U270" s="2"/>
    </row>
    <row r="271" spans="1:21" x14ac:dyDescent="0.3">
      <c r="A271">
        <v>270</v>
      </c>
      <c r="B271" t="s">
        <v>446</v>
      </c>
      <c r="C271" t="str">
        <f t="shared" si="36"/>
        <v>EMP_270</v>
      </c>
      <c r="D271" t="s">
        <v>15</v>
      </c>
      <c r="E271" t="str">
        <f t="shared" si="37"/>
        <v>EMP_270Finance</v>
      </c>
      <c r="F271" t="s">
        <v>18</v>
      </c>
      <c r="G271" t="s">
        <v>25</v>
      </c>
      <c r="H271">
        <v>45926</v>
      </c>
      <c r="I271">
        <v>6602</v>
      </c>
      <c r="J271">
        <v>0</v>
      </c>
      <c r="K271">
        <v>0</v>
      </c>
      <c r="L271" s="4" t="s">
        <v>447</v>
      </c>
      <c r="M271" s="4" t="str">
        <f t="shared" si="38"/>
        <v>9/15/2019</v>
      </c>
      <c r="N271" s="1">
        <f t="shared" ca="1" si="39"/>
        <v>46064</v>
      </c>
      <c r="O271" s="6" t="e">
        <f t="shared" ca="1" si="40"/>
        <v>#VALUE!</v>
      </c>
      <c r="P271">
        <v>4</v>
      </c>
      <c r="Q271">
        <f t="shared" si="41"/>
        <v>52528</v>
      </c>
      <c r="R271" s="2">
        <f t="shared" si="42"/>
        <v>26264</v>
      </c>
      <c r="S271" s="2" t="str">
        <f t="shared" si="43"/>
        <v xml:space="preserve"> Not Achieved</v>
      </c>
      <c r="T271" s="2" t="str">
        <f t="shared" si="44"/>
        <v>Good</v>
      </c>
      <c r="U271" s="2"/>
    </row>
    <row r="272" spans="1:21" x14ac:dyDescent="0.3">
      <c r="A272">
        <v>271</v>
      </c>
      <c r="B272" t="s">
        <v>448</v>
      </c>
      <c r="C272" t="str">
        <f t="shared" si="36"/>
        <v>EMP_271</v>
      </c>
      <c r="D272" t="s">
        <v>11</v>
      </c>
      <c r="E272" t="str">
        <f t="shared" si="37"/>
        <v>EMP_271HR</v>
      </c>
      <c r="F272" t="s">
        <v>12</v>
      </c>
      <c r="G272" t="s">
        <v>25</v>
      </c>
      <c r="H272">
        <v>75691</v>
      </c>
      <c r="I272">
        <v>3652</v>
      </c>
      <c r="J272">
        <v>0</v>
      </c>
      <c r="K272">
        <v>0</v>
      </c>
      <c r="L272" s="4">
        <v>45147</v>
      </c>
      <c r="M272" s="4" t="str">
        <f t="shared" si="38"/>
        <v>2023</v>
      </c>
      <c r="N272" s="1">
        <f t="shared" ca="1" si="39"/>
        <v>46064</v>
      </c>
      <c r="O272" s="6">
        <f t="shared" ca="1" si="40"/>
        <v>2</v>
      </c>
      <c r="P272">
        <v>5</v>
      </c>
      <c r="Q272">
        <f t="shared" si="41"/>
        <v>79343</v>
      </c>
      <c r="R272" s="2">
        <f t="shared" si="42"/>
        <v>39671.5</v>
      </c>
      <c r="S272" s="2" t="str">
        <f t="shared" si="43"/>
        <v xml:space="preserve"> Not Achieved</v>
      </c>
      <c r="T272" s="2" t="str">
        <f t="shared" si="44"/>
        <v xml:space="preserve"> Excellent</v>
      </c>
      <c r="U272" s="2"/>
    </row>
    <row r="273" spans="1:21" x14ac:dyDescent="0.3">
      <c r="A273">
        <v>272</v>
      </c>
      <c r="B273" t="s">
        <v>449</v>
      </c>
      <c r="C273" t="str">
        <f t="shared" si="36"/>
        <v>EMP_272</v>
      </c>
      <c r="D273" t="s">
        <v>11</v>
      </c>
      <c r="E273" t="str">
        <f t="shared" si="37"/>
        <v>EMP_272Marketing</v>
      </c>
      <c r="F273" t="s">
        <v>24</v>
      </c>
      <c r="G273" t="s">
        <v>22</v>
      </c>
      <c r="H273">
        <v>29578</v>
      </c>
      <c r="I273">
        <v>3276</v>
      </c>
      <c r="J273">
        <v>0</v>
      </c>
      <c r="K273">
        <v>0</v>
      </c>
      <c r="L273" s="4" t="s">
        <v>450</v>
      </c>
      <c r="M273" s="4" t="str">
        <f t="shared" si="38"/>
        <v>2/19/2023</v>
      </c>
      <c r="N273" s="1">
        <f t="shared" ca="1" si="39"/>
        <v>46064</v>
      </c>
      <c r="O273" s="6" t="e">
        <f t="shared" ca="1" si="40"/>
        <v>#VALUE!</v>
      </c>
      <c r="P273">
        <v>2</v>
      </c>
      <c r="Q273">
        <f t="shared" si="41"/>
        <v>32854</v>
      </c>
      <c r="R273" s="2">
        <f t="shared" si="42"/>
        <v>16427</v>
      </c>
      <c r="S273" s="2" t="str">
        <f t="shared" si="43"/>
        <v xml:space="preserve"> Not Achieved</v>
      </c>
      <c r="T273" s="2" t="str">
        <f t="shared" si="44"/>
        <v>poor</v>
      </c>
      <c r="U273" s="2"/>
    </row>
    <row r="274" spans="1:21" x14ac:dyDescent="0.3">
      <c r="A274">
        <v>273</v>
      </c>
      <c r="B274" t="s">
        <v>451</v>
      </c>
      <c r="C274" t="str">
        <f t="shared" si="36"/>
        <v>EMP_273</v>
      </c>
      <c r="D274" t="s">
        <v>11</v>
      </c>
      <c r="E274" t="str">
        <f t="shared" si="37"/>
        <v>EMP_273Finance</v>
      </c>
      <c r="F274" t="s">
        <v>18</v>
      </c>
      <c r="G274" t="s">
        <v>19</v>
      </c>
      <c r="H274">
        <v>36290</v>
      </c>
      <c r="I274">
        <v>2661</v>
      </c>
      <c r="J274">
        <v>0</v>
      </c>
      <c r="K274">
        <v>0</v>
      </c>
      <c r="L274" s="4">
        <v>44565</v>
      </c>
      <c r="M274" s="4" t="str">
        <f t="shared" si="38"/>
        <v>2022</v>
      </c>
      <c r="N274" s="1">
        <f t="shared" ca="1" si="39"/>
        <v>46064</v>
      </c>
      <c r="O274" s="6">
        <f t="shared" ca="1" si="40"/>
        <v>4</v>
      </c>
      <c r="P274">
        <v>4</v>
      </c>
      <c r="Q274">
        <f t="shared" si="41"/>
        <v>38951</v>
      </c>
      <c r="R274" s="2">
        <f t="shared" si="42"/>
        <v>19475.5</v>
      </c>
      <c r="S274" s="2" t="str">
        <f t="shared" si="43"/>
        <v xml:space="preserve"> Not Achieved</v>
      </c>
      <c r="T274" s="2" t="str">
        <f t="shared" si="44"/>
        <v>Average</v>
      </c>
      <c r="U274" s="2"/>
    </row>
    <row r="275" spans="1:21" x14ac:dyDescent="0.3">
      <c r="A275">
        <v>274</v>
      </c>
      <c r="B275" t="s">
        <v>452</v>
      </c>
      <c r="C275" t="str">
        <f t="shared" si="36"/>
        <v>EMP_274</v>
      </c>
      <c r="D275" t="s">
        <v>15</v>
      </c>
      <c r="E275" t="str">
        <f t="shared" si="37"/>
        <v>EMP_274IT</v>
      </c>
      <c r="F275" t="s">
        <v>21</v>
      </c>
      <c r="G275" t="s">
        <v>22</v>
      </c>
      <c r="H275">
        <v>50454</v>
      </c>
      <c r="I275">
        <v>12407</v>
      </c>
      <c r="J275">
        <v>0</v>
      </c>
      <c r="K275">
        <v>0</v>
      </c>
      <c r="L275" s="4" t="s">
        <v>453</v>
      </c>
      <c r="M275" s="4" t="str">
        <f t="shared" si="38"/>
        <v>5/20/2019</v>
      </c>
      <c r="N275" s="1">
        <f t="shared" ca="1" si="39"/>
        <v>46064</v>
      </c>
      <c r="O275" s="6" t="e">
        <f t="shared" ca="1" si="40"/>
        <v>#VALUE!</v>
      </c>
      <c r="P275">
        <v>4</v>
      </c>
      <c r="Q275">
        <f t="shared" si="41"/>
        <v>62861</v>
      </c>
      <c r="R275" s="2">
        <f t="shared" si="42"/>
        <v>31430.5</v>
      </c>
      <c r="S275" s="2" t="str">
        <f t="shared" si="43"/>
        <v xml:space="preserve"> Not Achieved</v>
      </c>
      <c r="T275" s="2" t="str">
        <f t="shared" si="44"/>
        <v xml:space="preserve"> Excellent</v>
      </c>
      <c r="U275" s="2"/>
    </row>
    <row r="276" spans="1:21" x14ac:dyDescent="0.3">
      <c r="A276">
        <v>275</v>
      </c>
      <c r="B276" t="s">
        <v>454</v>
      </c>
      <c r="C276" t="str">
        <f t="shared" si="36"/>
        <v>EMP_275</v>
      </c>
      <c r="D276" t="s">
        <v>11</v>
      </c>
      <c r="E276" t="str">
        <f t="shared" si="37"/>
        <v>EMP_275IT</v>
      </c>
      <c r="F276" t="s">
        <v>21</v>
      </c>
      <c r="G276" t="s">
        <v>19</v>
      </c>
      <c r="H276">
        <v>56242</v>
      </c>
      <c r="I276">
        <v>11873</v>
      </c>
      <c r="J276">
        <v>0</v>
      </c>
      <c r="K276">
        <v>0</v>
      </c>
      <c r="L276" s="4">
        <v>45211</v>
      </c>
      <c r="M276" s="4" t="str">
        <f t="shared" si="38"/>
        <v>2023</v>
      </c>
      <c r="N276" s="1">
        <f t="shared" ca="1" si="39"/>
        <v>46064</v>
      </c>
      <c r="O276" s="6">
        <f t="shared" ca="1" si="40"/>
        <v>2</v>
      </c>
      <c r="P276">
        <v>5</v>
      </c>
      <c r="Q276">
        <f t="shared" si="41"/>
        <v>68115</v>
      </c>
      <c r="R276" s="2">
        <f t="shared" si="42"/>
        <v>34057.5</v>
      </c>
      <c r="S276" s="2" t="str">
        <f t="shared" si="43"/>
        <v xml:space="preserve"> Not Achieved</v>
      </c>
      <c r="T276" s="2" t="str">
        <f t="shared" si="44"/>
        <v xml:space="preserve"> Excellent</v>
      </c>
      <c r="U276" s="2"/>
    </row>
    <row r="277" spans="1:21" x14ac:dyDescent="0.3">
      <c r="A277">
        <v>276</v>
      </c>
      <c r="B277" t="s">
        <v>455</v>
      </c>
      <c r="C277" t="str">
        <f t="shared" si="36"/>
        <v>EMP_276</v>
      </c>
      <c r="D277" t="s">
        <v>15</v>
      </c>
      <c r="E277" t="str">
        <f t="shared" si="37"/>
        <v>EMP_276Sales</v>
      </c>
      <c r="F277" t="s">
        <v>7</v>
      </c>
      <c r="G277" t="s">
        <v>16</v>
      </c>
      <c r="H277">
        <v>36607</v>
      </c>
      <c r="I277">
        <v>2971</v>
      </c>
      <c r="J277">
        <v>145254</v>
      </c>
      <c r="K277">
        <v>133787</v>
      </c>
      <c r="L277" s="4">
        <v>43532</v>
      </c>
      <c r="M277" s="4" t="str">
        <f t="shared" si="38"/>
        <v>2019</v>
      </c>
      <c r="N277" s="1">
        <f t="shared" ca="1" si="39"/>
        <v>46064</v>
      </c>
      <c r="O277" s="6">
        <f t="shared" ca="1" si="40"/>
        <v>6</v>
      </c>
      <c r="P277">
        <v>5</v>
      </c>
      <c r="Q277">
        <f t="shared" si="41"/>
        <v>39578</v>
      </c>
      <c r="R277" s="2">
        <f t="shared" si="42"/>
        <v>19789</v>
      </c>
      <c r="S277" s="2" t="str">
        <f t="shared" si="43"/>
        <v>Achieved</v>
      </c>
      <c r="T277" s="2" t="str">
        <f t="shared" si="44"/>
        <v>Average</v>
      </c>
      <c r="U277" s="2"/>
    </row>
    <row r="278" spans="1:21" x14ac:dyDescent="0.3">
      <c r="A278">
        <v>277</v>
      </c>
      <c r="B278" t="s">
        <v>456</v>
      </c>
      <c r="C278" t="str">
        <f t="shared" si="36"/>
        <v>EMP_277</v>
      </c>
      <c r="D278" t="s">
        <v>15</v>
      </c>
      <c r="E278" t="str">
        <f t="shared" si="37"/>
        <v>EMP_277Sales</v>
      </c>
      <c r="F278" t="s">
        <v>7</v>
      </c>
      <c r="G278" t="s">
        <v>16</v>
      </c>
      <c r="H278">
        <v>79088</v>
      </c>
      <c r="I278">
        <v>9015</v>
      </c>
      <c r="J278">
        <v>161044</v>
      </c>
      <c r="K278">
        <v>238450</v>
      </c>
      <c r="L278" s="4" t="s">
        <v>457</v>
      </c>
      <c r="M278" s="4" t="str">
        <f t="shared" si="38"/>
        <v>9/14/2019</v>
      </c>
      <c r="N278" s="1">
        <f t="shared" ca="1" si="39"/>
        <v>46064</v>
      </c>
      <c r="O278" s="6" t="e">
        <f t="shared" ca="1" si="40"/>
        <v>#VALUE!</v>
      </c>
      <c r="P278">
        <v>1</v>
      </c>
      <c r="Q278">
        <f t="shared" si="41"/>
        <v>88103</v>
      </c>
      <c r="R278" s="2">
        <f t="shared" si="42"/>
        <v>44051.5</v>
      </c>
      <c r="S278" s="2" t="str">
        <f t="shared" si="43"/>
        <v xml:space="preserve"> Not Achieved</v>
      </c>
      <c r="T278" s="2" t="str">
        <f t="shared" si="44"/>
        <v xml:space="preserve"> Excellent</v>
      </c>
      <c r="U278" s="2"/>
    </row>
    <row r="279" spans="1:21" x14ac:dyDescent="0.3">
      <c r="A279">
        <v>278</v>
      </c>
      <c r="B279" t="s">
        <v>458</v>
      </c>
      <c r="C279" t="str">
        <f t="shared" si="36"/>
        <v>EMP_278</v>
      </c>
      <c r="D279" t="s">
        <v>11</v>
      </c>
      <c r="E279" t="str">
        <f t="shared" si="37"/>
        <v>EMP_278Marketing</v>
      </c>
      <c r="F279" t="s">
        <v>24</v>
      </c>
      <c r="G279" t="s">
        <v>16</v>
      </c>
      <c r="H279">
        <v>68675</v>
      </c>
      <c r="I279">
        <v>2113</v>
      </c>
      <c r="J279">
        <v>0</v>
      </c>
      <c r="K279">
        <v>0</v>
      </c>
      <c r="L279" s="4" t="s">
        <v>459</v>
      </c>
      <c r="M279" s="4" t="str">
        <f t="shared" si="38"/>
        <v>7/25/2021</v>
      </c>
      <c r="N279" s="1">
        <f t="shared" ca="1" si="39"/>
        <v>46064</v>
      </c>
      <c r="O279" s="6" t="e">
        <f t="shared" ca="1" si="40"/>
        <v>#VALUE!</v>
      </c>
      <c r="P279">
        <v>4</v>
      </c>
      <c r="Q279">
        <f t="shared" si="41"/>
        <v>70788</v>
      </c>
      <c r="R279" s="2">
        <f t="shared" si="42"/>
        <v>35394</v>
      </c>
      <c r="S279" s="2" t="str">
        <f t="shared" si="43"/>
        <v xml:space="preserve"> Not Achieved</v>
      </c>
      <c r="T279" s="2" t="str">
        <f t="shared" si="44"/>
        <v xml:space="preserve"> Excellent</v>
      </c>
      <c r="U279" s="2"/>
    </row>
    <row r="280" spans="1:21" x14ac:dyDescent="0.3">
      <c r="A280">
        <v>279</v>
      </c>
      <c r="B280" t="s">
        <v>460</v>
      </c>
      <c r="C280" t="str">
        <f t="shared" si="36"/>
        <v>EMP_279</v>
      </c>
      <c r="D280" t="s">
        <v>15</v>
      </c>
      <c r="E280" t="str">
        <f t="shared" si="37"/>
        <v>EMP_279IT</v>
      </c>
      <c r="F280" t="s">
        <v>21</v>
      </c>
      <c r="G280" t="s">
        <v>22</v>
      </c>
      <c r="H280">
        <v>23142</v>
      </c>
      <c r="I280">
        <v>14277</v>
      </c>
      <c r="J280">
        <v>0</v>
      </c>
      <c r="K280">
        <v>0</v>
      </c>
      <c r="L280" s="4" t="s">
        <v>461</v>
      </c>
      <c r="M280" s="4" t="str">
        <f t="shared" si="38"/>
        <v>9/25/2019</v>
      </c>
      <c r="N280" s="1">
        <f t="shared" ca="1" si="39"/>
        <v>46064</v>
      </c>
      <c r="O280" s="6" t="e">
        <f t="shared" ca="1" si="40"/>
        <v>#VALUE!</v>
      </c>
      <c r="P280">
        <v>4</v>
      </c>
      <c r="Q280">
        <f t="shared" si="41"/>
        <v>37419</v>
      </c>
      <c r="R280" s="2">
        <f t="shared" si="42"/>
        <v>18709.5</v>
      </c>
      <c r="S280" s="2" t="str">
        <f t="shared" si="43"/>
        <v xml:space="preserve"> Not Achieved</v>
      </c>
      <c r="T280" s="2" t="str">
        <f t="shared" si="44"/>
        <v>poor</v>
      </c>
      <c r="U280" s="2"/>
    </row>
    <row r="281" spans="1:21" x14ac:dyDescent="0.3">
      <c r="A281">
        <v>280</v>
      </c>
      <c r="B281" t="s">
        <v>462</v>
      </c>
      <c r="C281" t="str">
        <f t="shared" si="36"/>
        <v>EMP_280</v>
      </c>
      <c r="D281" t="s">
        <v>11</v>
      </c>
      <c r="E281" t="str">
        <f t="shared" si="37"/>
        <v>EMP_280Finance</v>
      </c>
      <c r="F281" t="s">
        <v>18</v>
      </c>
      <c r="G281" t="s">
        <v>13</v>
      </c>
      <c r="H281">
        <v>44267</v>
      </c>
      <c r="I281">
        <v>9632</v>
      </c>
      <c r="J281">
        <v>0</v>
      </c>
      <c r="K281">
        <v>0</v>
      </c>
      <c r="L281" s="4">
        <v>43740</v>
      </c>
      <c r="M281" s="4" t="str">
        <f t="shared" si="38"/>
        <v>2019</v>
      </c>
      <c r="N281" s="1">
        <f t="shared" ca="1" si="39"/>
        <v>46064</v>
      </c>
      <c r="O281" s="6">
        <f t="shared" ca="1" si="40"/>
        <v>6</v>
      </c>
      <c r="P281">
        <v>1</v>
      </c>
      <c r="Q281">
        <f t="shared" si="41"/>
        <v>53899</v>
      </c>
      <c r="R281" s="2">
        <f t="shared" si="42"/>
        <v>26949.5</v>
      </c>
      <c r="S281" s="2" t="str">
        <f t="shared" si="43"/>
        <v xml:space="preserve"> Not Achieved</v>
      </c>
      <c r="T281" s="2" t="str">
        <f t="shared" si="44"/>
        <v>Good</v>
      </c>
      <c r="U281" s="2"/>
    </row>
    <row r="282" spans="1:21" x14ac:dyDescent="0.3">
      <c r="A282">
        <v>281</v>
      </c>
      <c r="B282" t="s">
        <v>463</v>
      </c>
      <c r="C282" t="str">
        <f t="shared" si="36"/>
        <v>EMP_281</v>
      </c>
      <c r="D282" t="s">
        <v>15</v>
      </c>
      <c r="E282" t="str">
        <f t="shared" si="37"/>
        <v>EMP_281Sales</v>
      </c>
      <c r="F282" t="s">
        <v>7</v>
      </c>
      <c r="G282" t="s">
        <v>16</v>
      </c>
      <c r="H282">
        <v>49773</v>
      </c>
      <c r="I282">
        <v>11807</v>
      </c>
      <c r="J282">
        <v>161333</v>
      </c>
      <c r="K282">
        <v>246862</v>
      </c>
      <c r="L282" s="4" t="s">
        <v>464</v>
      </c>
      <c r="M282" s="4" t="str">
        <f t="shared" si="38"/>
        <v>9/13/2019</v>
      </c>
      <c r="N282" s="1">
        <f t="shared" ca="1" si="39"/>
        <v>46064</v>
      </c>
      <c r="O282" s="6" t="e">
        <f t="shared" ca="1" si="40"/>
        <v>#VALUE!</v>
      </c>
      <c r="P282">
        <v>4</v>
      </c>
      <c r="Q282">
        <f t="shared" si="41"/>
        <v>61580</v>
      </c>
      <c r="R282" s="2">
        <f t="shared" si="42"/>
        <v>30790</v>
      </c>
      <c r="S282" s="2" t="str">
        <f t="shared" si="43"/>
        <v xml:space="preserve"> Not Achieved</v>
      </c>
      <c r="T282" s="2" t="str">
        <f t="shared" si="44"/>
        <v>Good</v>
      </c>
      <c r="U282" s="2"/>
    </row>
    <row r="283" spans="1:21" x14ac:dyDescent="0.3">
      <c r="A283">
        <v>282</v>
      </c>
      <c r="B283" t="s">
        <v>465</v>
      </c>
      <c r="C283" t="str">
        <f t="shared" si="36"/>
        <v>EMP_282</v>
      </c>
      <c r="D283" t="s">
        <v>15</v>
      </c>
      <c r="E283" t="str">
        <f t="shared" si="37"/>
        <v>EMP_282Marketing</v>
      </c>
      <c r="F283" t="s">
        <v>24</v>
      </c>
      <c r="G283" t="s">
        <v>19</v>
      </c>
      <c r="H283">
        <v>43478</v>
      </c>
      <c r="I283">
        <v>3379</v>
      </c>
      <c r="J283">
        <v>0</v>
      </c>
      <c r="K283">
        <v>0</v>
      </c>
      <c r="L283" s="4" t="s">
        <v>466</v>
      </c>
      <c r="M283" s="4" t="str">
        <f t="shared" si="38"/>
        <v>9/26/2020</v>
      </c>
      <c r="N283" s="1">
        <f t="shared" ca="1" si="39"/>
        <v>46064</v>
      </c>
      <c r="O283" s="6" t="e">
        <f t="shared" ca="1" si="40"/>
        <v>#VALUE!</v>
      </c>
      <c r="P283">
        <v>3</v>
      </c>
      <c r="Q283">
        <f t="shared" si="41"/>
        <v>46857</v>
      </c>
      <c r="R283" s="2">
        <f t="shared" si="42"/>
        <v>23428.5</v>
      </c>
      <c r="S283" s="2" t="str">
        <f t="shared" si="43"/>
        <v xml:space="preserve"> Not Achieved</v>
      </c>
      <c r="T283" s="2" t="str">
        <f t="shared" si="44"/>
        <v>Good</v>
      </c>
      <c r="U283" s="2"/>
    </row>
    <row r="284" spans="1:21" x14ac:dyDescent="0.3">
      <c r="A284">
        <v>283</v>
      </c>
      <c r="B284" t="s">
        <v>467</v>
      </c>
      <c r="C284" t="str">
        <f t="shared" si="36"/>
        <v>EMP_283</v>
      </c>
      <c r="D284" t="s">
        <v>11</v>
      </c>
      <c r="E284" t="str">
        <f t="shared" si="37"/>
        <v>EMP_283Finance</v>
      </c>
      <c r="F284" t="s">
        <v>18</v>
      </c>
      <c r="G284" t="s">
        <v>13</v>
      </c>
      <c r="H284">
        <v>37670</v>
      </c>
      <c r="I284">
        <v>12195</v>
      </c>
      <c r="J284">
        <v>0</v>
      </c>
      <c r="K284">
        <v>0</v>
      </c>
      <c r="L284" s="4" t="s">
        <v>468</v>
      </c>
      <c r="M284" s="4" t="str">
        <f t="shared" si="38"/>
        <v>10/27/2020</v>
      </c>
      <c r="N284" s="1">
        <f t="shared" ca="1" si="39"/>
        <v>46064</v>
      </c>
      <c r="O284" s="6" t="e">
        <f t="shared" ca="1" si="40"/>
        <v>#VALUE!</v>
      </c>
      <c r="P284">
        <v>5</v>
      </c>
      <c r="Q284">
        <f t="shared" si="41"/>
        <v>49865</v>
      </c>
      <c r="R284" s="2">
        <f t="shared" si="42"/>
        <v>24932.5</v>
      </c>
      <c r="S284" s="2" t="str">
        <f t="shared" si="43"/>
        <v xml:space="preserve"> Not Achieved</v>
      </c>
      <c r="T284" s="2" t="str">
        <f t="shared" si="44"/>
        <v>Average</v>
      </c>
      <c r="U284" s="2"/>
    </row>
    <row r="285" spans="1:21" x14ac:dyDescent="0.3">
      <c r="A285">
        <v>284</v>
      </c>
      <c r="B285" t="s">
        <v>469</v>
      </c>
      <c r="C285" t="str">
        <f t="shared" si="36"/>
        <v>EMP_284</v>
      </c>
      <c r="D285" t="s">
        <v>11</v>
      </c>
      <c r="E285" t="str">
        <f t="shared" si="37"/>
        <v>EMP_284Marketing</v>
      </c>
      <c r="F285" t="s">
        <v>24</v>
      </c>
      <c r="G285" t="s">
        <v>25</v>
      </c>
      <c r="H285">
        <v>21057</v>
      </c>
      <c r="I285">
        <v>3058</v>
      </c>
      <c r="J285">
        <v>0</v>
      </c>
      <c r="K285">
        <v>0</v>
      </c>
      <c r="L285" s="4" t="s">
        <v>108</v>
      </c>
      <c r="M285" s="4" t="str">
        <f t="shared" si="38"/>
        <v>6/19/2022</v>
      </c>
      <c r="N285" s="1">
        <f t="shared" ca="1" si="39"/>
        <v>46064</v>
      </c>
      <c r="O285" s="6" t="e">
        <f t="shared" ca="1" si="40"/>
        <v>#VALUE!</v>
      </c>
      <c r="P285">
        <v>5</v>
      </c>
      <c r="Q285">
        <f t="shared" si="41"/>
        <v>24115</v>
      </c>
      <c r="R285" s="2">
        <f t="shared" si="42"/>
        <v>12057.5</v>
      </c>
      <c r="S285" s="2" t="str">
        <f t="shared" si="43"/>
        <v xml:space="preserve"> Not Achieved</v>
      </c>
      <c r="T285" s="2" t="str">
        <f t="shared" si="44"/>
        <v>poor</v>
      </c>
      <c r="U285" s="2"/>
    </row>
    <row r="286" spans="1:21" x14ac:dyDescent="0.3">
      <c r="A286">
        <v>285</v>
      </c>
      <c r="B286" t="s">
        <v>470</v>
      </c>
      <c r="C286" t="str">
        <f t="shared" si="36"/>
        <v>EMP_285</v>
      </c>
      <c r="D286" t="s">
        <v>11</v>
      </c>
      <c r="E286" t="str">
        <f t="shared" si="37"/>
        <v>EMP_285Finance</v>
      </c>
      <c r="F286" t="s">
        <v>18</v>
      </c>
      <c r="G286" t="s">
        <v>22</v>
      </c>
      <c r="H286">
        <v>74528</v>
      </c>
      <c r="I286">
        <v>10278</v>
      </c>
      <c r="J286">
        <v>0</v>
      </c>
      <c r="K286">
        <v>0</v>
      </c>
      <c r="L286" s="4" t="s">
        <v>471</v>
      </c>
      <c r="M286" s="4" t="str">
        <f t="shared" si="38"/>
        <v>7/20/2020</v>
      </c>
      <c r="N286" s="1">
        <f t="shared" ca="1" si="39"/>
        <v>46064</v>
      </c>
      <c r="O286" s="6" t="e">
        <f t="shared" ca="1" si="40"/>
        <v>#VALUE!</v>
      </c>
      <c r="P286">
        <v>4</v>
      </c>
      <c r="Q286">
        <f t="shared" si="41"/>
        <v>84806</v>
      </c>
      <c r="R286" s="2">
        <f t="shared" si="42"/>
        <v>42403</v>
      </c>
      <c r="S286" s="2" t="str">
        <f t="shared" si="43"/>
        <v xml:space="preserve"> Not Achieved</v>
      </c>
      <c r="T286" s="2" t="str">
        <f t="shared" si="44"/>
        <v xml:space="preserve"> Excellent</v>
      </c>
      <c r="U286" s="2"/>
    </row>
    <row r="287" spans="1:21" x14ac:dyDescent="0.3">
      <c r="A287">
        <v>286</v>
      </c>
      <c r="B287" t="s">
        <v>472</v>
      </c>
      <c r="C287" t="str">
        <f t="shared" si="36"/>
        <v>EMP_286</v>
      </c>
      <c r="D287" t="s">
        <v>15</v>
      </c>
      <c r="E287" t="str">
        <f t="shared" si="37"/>
        <v>EMP_286HR</v>
      </c>
      <c r="F287" t="s">
        <v>12</v>
      </c>
      <c r="G287" t="s">
        <v>22</v>
      </c>
      <c r="H287">
        <v>25096</v>
      </c>
      <c r="I287">
        <v>9998</v>
      </c>
      <c r="J287">
        <v>0</v>
      </c>
      <c r="K287">
        <v>0</v>
      </c>
      <c r="L287" s="4" t="s">
        <v>473</v>
      </c>
      <c r="M287" s="4" t="str">
        <f t="shared" si="38"/>
        <v>12/20/2018</v>
      </c>
      <c r="N287" s="1">
        <f t="shared" ca="1" si="39"/>
        <v>46064</v>
      </c>
      <c r="O287" s="6" t="e">
        <f t="shared" ca="1" si="40"/>
        <v>#VALUE!</v>
      </c>
      <c r="P287">
        <v>4</v>
      </c>
      <c r="Q287">
        <f t="shared" si="41"/>
        <v>35094</v>
      </c>
      <c r="R287" s="2">
        <f t="shared" si="42"/>
        <v>17547</v>
      </c>
      <c r="S287" s="2" t="str">
        <f t="shared" si="43"/>
        <v xml:space="preserve"> Not Achieved</v>
      </c>
      <c r="T287" s="2" t="str">
        <f t="shared" si="44"/>
        <v>poor</v>
      </c>
      <c r="U287" s="2"/>
    </row>
    <row r="288" spans="1:21" x14ac:dyDescent="0.3">
      <c r="A288">
        <v>287</v>
      </c>
      <c r="B288" t="s">
        <v>474</v>
      </c>
      <c r="C288" t="str">
        <f t="shared" si="36"/>
        <v>EMP_287</v>
      </c>
      <c r="D288" t="s">
        <v>11</v>
      </c>
      <c r="E288" t="str">
        <f t="shared" si="37"/>
        <v>EMP_287Marketing</v>
      </c>
      <c r="F288" t="s">
        <v>24</v>
      </c>
      <c r="G288" t="s">
        <v>16</v>
      </c>
      <c r="H288">
        <v>42781</v>
      </c>
      <c r="I288">
        <v>13738</v>
      </c>
      <c r="J288">
        <v>0</v>
      </c>
      <c r="K288">
        <v>0</v>
      </c>
      <c r="L288" s="4">
        <v>43559</v>
      </c>
      <c r="M288" s="4" t="str">
        <f t="shared" si="38"/>
        <v>2019</v>
      </c>
      <c r="N288" s="1">
        <f t="shared" ca="1" si="39"/>
        <v>46064</v>
      </c>
      <c r="O288" s="6">
        <f t="shared" ca="1" si="40"/>
        <v>6</v>
      </c>
      <c r="P288">
        <v>3</v>
      </c>
      <c r="Q288">
        <f t="shared" si="41"/>
        <v>56519</v>
      </c>
      <c r="R288" s="2">
        <f t="shared" si="42"/>
        <v>28259.5</v>
      </c>
      <c r="S288" s="2" t="str">
        <f t="shared" si="43"/>
        <v xml:space="preserve"> Not Achieved</v>
      </c>
      <c r="T288" s="2" t="str">
        <f t="shared" si="44"/>
        <v>Good</v>
      </c>
      <c r="U288" s="2"/>
    </row>
    <row r="289" spans="1:21" x14ac:dyDescent="0.3">
      <c r="A289">
        <v>288</v>
      </c>
      <c r="B289" t="s">
        <v>475</v>
      </c>
      <c r="C289" t="str">
        <f t="shared" si="36"/>
        <v>EMP_288</v>
      </c>
      <c r="D289" t="s">
        <v>11</v>
      </c>
      <c r="E289" t="str">
        <f t="shared" si="37"/>
        <v>EMP_288Marketing</v>
      </c>
      <c r="F289" t="s">
        <v>24</v>
      </c>
      <c r="G289" t="s">
        <v>22</v>
      </c>
      <c r="H289">
        <v>38143</v>
      </c>
      <c r="I289">
        <v>5161</v>
      </c>
      <c r="J289">
        <v>0</v>
      </c>
      <c r="K289">
        <v>0</v>
      </c>
      <c r="L289" s="4">
        <v>44289</v>
      </c>
      <c r="M289" s="4" t="str">
        <f t="shared" si="38"/>
        <v>2021</v>
      </c>
      <c r="N289" s="1">
        <f t="shared" ca="1" si="39"/>
        <v>46064</v>
      </c>
      <c r="O289" s="6">
        <f t="shared" ca="1" si="40"/>
        <v>4</v>
      </c>
      <c r="P289">
        <v>4</v>
      </c>
      <c r="Q289">
        <f t="shared" si="41"/>
        <v>43304</v>
      </c>
      <c r="R289" s="2">
        <f t="shared" si="42"/>
        <v>21652</v>
      </c>
      <c r="S289" s="2" t="str">
        <f t="shared" si="43"/>
        <v xml:space="preserve"> Not Achieved</v>
      </c>
      <c r="T289" s="2" t="str">
        <f t="shared" si="44"/>
        <v>Average</v>
      </c>
      <c r="U289" s="2"/>
    </row>
    <row r="290" spans="1:21" x14ac:dyDescent="0.3">
      <c r="A290">
        <v>289</v>
      </c>
      <c r="B290" t="s">
        <v>476</v>
      </c>
      <c r="C290" t="str">
        <f t="shared" si="36"/>
        <v>EMP_289</v>
      </c>
      <c r="D290" t="s">
        <v>11</v>
      </c>
      <c r="E290" t="str">
        <f t="shared" si="37"/>
        <v>EMP_289Marketing</v>
      </c>
      <c r="F290" t="s">
        <v>24</v>
      </c>
      <c r="G290" t="s">
        <v>22</v>
      </c>
      <c r="H290">
        <v>77076</v>
      </c>
      <c r="I290">
        <v>5385</v>
      </c>
      <c r="J290">
        <v>0</v>
      </c>
      <c r="K290">
        <v>0</v>
      </c>
      <c r="L290" s="4" t="s">
        <v>477</v>
      </c>
      <c r="M290" s="4" t="str">
        <f t="shared" si="38"/>
        <v>3/26/2019</v>
      </c>
      <c r="N290" s="1">
        <f t="shared" ca="1" si="39"/>
        <v>46064</v>
      </c>
      <c r="O290" s="6" t="e">
        <f t="shared" ca="1" si="40"/>
        <v>#VALUE!</v>
      </c>
      <c r="P290">
        <v>3</v>
      </c>
      <c r="Q290">
        <f t="shared" si="41"/>
        <v>82461</v>
      </c>
      <c r="R290" s="2">
        <f t="shared" si="42"/>
        <v>41230.5</v>
      </c>
      <c r="S290" s="2" t="str">
        <f t="shared" si="43"/>
        <v xml:space="preserve"> Not Achieved</v>
      </c>
      <c r="T290" s="2" t="str">
        <f t="shared" si="44"/>
        <v xml:space="preserve"> Excellent</v>
      </c>
      <c r="U290" s="2"/>
    </row>
    <row r="291" spans="1:21" x14ac:dyDescent="0.3">
      <c r="A291">
        <v>290</v>
      </c>
      <c r="B291" t="s">
        <v>478</v>
      </c>
      <c r="C291" t="str">
        <f t="shared" si="36"/>
        <v>EMP_290</v>
      </c>
      <c r="D291" t="s">
        <v>11</v>
      </c>
      <c r="E291" t="str">
        <f t="shared" si="37"/>
        <v>EMP_290Sales</v>
      </c>
      <c r="F291" t="s">
        <v>7</v>
      </c>
      <c r="G291" t="s">
        <v>19</v>
      </c>
      <c r="H291">
        <v>56451</v>
      </c>
      <c r="I291">
        <v>11148</v>
      </c>
      <c r="J291">
        <v>152888</v>
      </c>
      <c r="K291">
        <v>165727</v>
      </c>
      <c r="L291" s="4" t="s">
        <v>479</v>
      </c>
      <c r="M291" s="4" t="str">
        <f t="shared" si="38"/>
        <v>2/22/2020</v>
      </c>
      <c r="N291" s="1">
        <f t="shared" ca="1" si="39"/>
        <v>46064</v>
      </c>
      <c r="O291" s="6" t="e">
        <f t="shared" ca="1" si="40"/>
        <v>#VALUE!</v>
      </c>
      <c r="P291">
        <v>1</v>
      </c>
      <c r="Q291">
        <f t="shared" si="41"/>
        <v>67599</v>
      </c>
      <c r="R291" s="2">
        <f t="shared" si="42"/>
        <v>33799.5</v>
      </c>
      <c r="S291" s="2" t="str">
        <f t="shared" si="43"/>
        <v xml:space="preserve"> Not Achieved</v>
      </c>
      <c r="T291" s="2" t="str">
        <f t="shared" si="44"/>
        <v xml:space="preserve"> Excellent</v>
      </c>
      <c r="U291" s="2"/>
    </row>
    <row r="292" spans="1:21" x14ac:dyDescent="0.3">
      <c r="A292">
        <v>291</v>
      </c>
      <c r="B292" t="s">
        <v>480</v>
      </c>
      <c r="C292" t="str">
        <f t="shared" si="36"/>
        <v>EMP_291</v>
      </c>
      <c r="D292" t="s">
        <v>11</v>
      </c>
      <c r="E292" t="str">
        <f t="shared" si="37"/>
        <v>EMP_291IT</v>
      </c>
      <c r="F292" t="s">
        <v>21</v>
      </c>
      <c r="G292" t="s">
        <v>16</v>
      </c>
      <c r="H292">
        <v>30660</v>
      </c>
      <c r="I292">
        <v>2048</v>
      </c>
      <c r="J292">
        <v>0</v>
      </c>
      <c r="K292">
        <v>0</v>
      </c>
      <c r="L292" s="4" t="s">
        <v>481</v>
      </c>
      <c r="M292" s="4" t="str">
        <f t="shared" si="38"/>
        <v>11/30/2024</v>
      </c>
      <c r="N292" s="1">
        <f t="shared" ca="1" si="39"/>
        <v>46064</v>
      </c>
      <c r="O292" s="6" t="e">
        <f t="shared" ca="1" si="40"/>
        <v>#VALUE!</v>
      </c>
      <c r="P292">
        <v>4</v>
      </c>
      <c r="Q292">
        <f t="shared" si="41"/>
        <v>32708</v>
      </c>
      <c r="R292" s="2">
        <f t="shared" si="42"/>
        <v>16354</v>
      </c>
      <c r="S292" s="2" t="str">
        <f t="shared" si="43"/>
        <v xml:space="preserve"> Not Achieved</v>
      </c>
      <c r="T292" s="2" t="str">
        <f t="shared" si="44"/>
        <v>Average</v>
      </c>
      <c r="U292" s="2"/>
    </row>
    <row r="293" spans="1:21" x14ac:dyDescent="0.3">
      <c r="A293">
        <v>292</v>
      </c>
      <c r="B293" t="s">
        <v>482</v>
      </c>
      <c r="C293" t="str">
        <f t="shared" si="36"/>
        <v>EMP_292</v>
      </c>
      <c r="D293" t="s">
        <v>11</v>
      </c>
      <c r="E293" t="str">
        <f t="shared" si="37"/>
        <v>EMP_292Sales</v>
      </c>
      <c r="F293" t="s">
        <v>7</v>
      </c>
      <c r="G293" t="s">
        <v>25</v>
      </c>
      <c r="H293">
        <v>71589</v>
      </c>
      <c r="I293">
        <v>10684</v>
      </c>
      <c r="J293">
        <v>117460</v>
      </c>
      <c r="K293">
        <v>131139</v>
      </c>
      <c r="L293" s="4" t="s">
        <v>483</v>
      </c>
      <c r="M293" s="4" t="str">
        <f t="shared" si="38"/>
        <v>9/29/2022</v>
      </c>
      <c r="N293" s="1">
        <f t="shared" ca="1" si="39"/>
        <v>46064</v>
      </c>
      <c r="O293" s="6" t="e">
        <f t="shared" ca="1" si="40"/>
        <v>#VALUE!</v>
      </c>
      <c r="P293">
        <v>5</v>
      </c>
      <c r="Q293">
        <f t="shared" si="41"/>
        <v>82273</v>
      </c>
      <c r="R293" s="2">
        <f t="shared" si="42"/>
        <v>41136.5</v>
      </c>
      <c r="S293" s="2" t="str">
        <f t="shared" si="43"/>
        <v xml:space="preserve"> Not Achieved</v>
      </c>
      <c r="T293" s="2" t="str">
        <f t="shared" si="44"/>
        <v xml:space="preserve"> Excellent</v>
      </c>
      <c r="U293" s="2"/>
    </row>
    <row r="294" spans="1:21" x14ac:dyDescent="0.3">
      <c r="A294">
        <v>293</v>
      </c>
      <c r="B294" t="s">
        <v>484</v>
      </c>
      <c r="C294" t="str">
        <f t="shared" si="36"/>
        <v>EMP_293</v>
      </c>
      <c r="D294" t="s">
        <v>11</v>
      </c>
      <c r="E294" t="str">
        <f t="shared" si="37"/>
        <v>EMP_293HR</v>
      </c>
      <c r="F294" t="s">
        <v>12</v>
      </c>
      <c r="G294" t="s">
        <v>19</v>
      </c>
      <c r="H294">
        <v>46081</v>
      </c>
      <c r="I294">
        <v>13115</v>
      </c>
      <c r="J294">
        <v>0</v>
      </c>
      <c r="K294">
        <v>0</v>
      </c>
      <c r="L294" s="4">
        <v>44167</v>
      </c>
      <c r="M294" s="4" t="str">
        <f t="shared" si="38"/>
        <v>2020</v>
      </c>
      <c r="N294" s="1">
        <f t="shared" ca="1" si="39"/>
        <v>46064</v>
      </c>
      <c r="O294" s="6">
        <f t="shared" ca="1" si="40"/>
        <v>5</v>
      </c>
      <c r="P294">
        <v>4</v>
      </c>
      <c r="Q294">
        <f t="shared" si="41"/>
        <v>59196</v>
      </c>
      <c r="R294" s="2">
        <f t="shared" si="42"/>
        <v>29598</v>
      </c>
      <c r="S294" s="2" t="str">
        <f t="shared" si="43"/>
        <v xml:space="preserve"> Not Achieved</v>
      </c>
      <c r="T294" s="2" t="str">
        <f t="shared" si="44"/>
        <v>Good</v>
      </c>
      <c r="U294" s="2"/>
    </row>
    <row r="295" spans="1:21" x14ac:dyDescent="0.3">
      <c r="A295">
        <v>294</v>
      </c>
      <c r="B295" t="s">
        <v>485</v>
      </c>
      <c r="C295" t="str">
        <f t="shared" si="36"/>
        <v>EMP_294</v>
      </c>
      <c r="D295" t="s">
        <v>11</v>
      </c>
      <c r="E295" t="str">
        <f t="shared" si="37"/>
        <v>EMP_294HR</v>
      </c>
      <c r="F295" t="s">
        <v>12</v>
      </c>
      <c r="G295" t="s">
        <v>16</v>
      </c>
      <c r="H295">
        <v>77793</v>
      </c>
      <c r="I295">
        <v>9498</v>
      </c>
      <c r="J295">
        <v>0</v>
      </c>
      <c r="K295">
        <v>0</v>
      </c>
      <c r="L295" s="4" t="s">
        <v>486</v>
      </c>
      <c r="M295" s="4" t="str">
        <f t="shared" si="38"/>
        <v>3/13/2019</v>
      </c>
      <c r="N295" s="1">
        <f t="shared" ca="1" si="39"/>
        <v>46064</v>
      </c>
      <c r="O295" s="6" t="e">
        <f t="shared" ca="1" si="40"/>
        <v>#VALUE!</v>
      </c>
      <c r="P295">
        <v>2</v>
      </c>
      <c r="Q295">
        <f t="shared" si="41"/>
        <v>87291</v>
      </c>
      <c r="R295" s="2">
        <f t="shared" si="42"/>
        <v>43645.5</v>
      </c>
      <c r="S295" s="2" t="str">
        <f t="shared" si="43"/>
        <v xml:space="preserve"> Not Achieved</v>
      </c>
      <c r="T295" s="2" t="str">
        <f t="shared" si="44"/>
        <v xml:space="preserve"> Excellent</v>
      </c>
      <c r="U295" s="2"/>
    </row>
    <row r="296" spans="1:21" x14ac:dyDescent="0.3">
      <c r="A296">
        <v>295</v>
      </c>
      <c r="B296" t="s">
        <v>487</v>
      </c>
      <c r="C296" t="str">
        <f t="shared" si="36"/>
        <v>EMP_295</v>
      </c>
      <c r="D296" t="s">
        <v>11</v>
      </c>
      <c r="E296" t="str">
        <f t="shared" si="37"/>
        <v>EMP_295Finance</v>
      </c>
      <c r="F296" t="s">
        <v>18</v>
      </c>
      <c r="G296" t="s">
        <v>22</v>
      </c>
      <c r="H296">
        <v>40666</v>
      </c>
      <c r="I296">
        <v>3142</v>
      </c>
      <c r="J296">
        <v>0</v>
      </c>
      <c r="K296">
        <v>0</v>
      </c>
      <c r="L296" s="4">
        <v>43226</v>
      </c>
      <c r="M296" s="4" t="str">
        <f t="shared" si="38"/>
        <v>2018</v>
      </c>
      <c r="N296" s="1">
        <f t="shared" ca="1" si="39"/>
        <v>46064</v>
      </c>
      <c r="O296" s="6">
        <f t="shared" ca="1" si="40"/>
        <v>7</v>
      </c>
      <c r="P296">
        <v>4</v>
      </c>
      <c r="Q296">
        <f t="shared" si="41"/>
        <v>43808</v>
      </c>
      <c r="R296" s="2">
        <f t="shared" si="42"/>
        <v>21904</v>
      </c>
      <c r="S296" s="2" t="str">
        <f t="shared" si="43"/>
        <v xml:space="preserve"> Not Achieved</v>
      </c>
      <c r="T296" s="2" t="str">
        <f t="shared" si="44"/>
        <v>Good</v>
      </c>
      <c r="U296" s="2"/>
    </row>
    <row r="297" spans="1:21" x14ac:dyDescent="0.3">
      <c r="A297">
        <v>296</v>
      </c>
      <c r="B297" t="s">
        <v>488</v>
      </c>
      <c r="C297" t="str">
        <f t="shared" si="36"/>
        <v>EMP_296</v>
      </c>
      <c r="D297" t="s">
        <v>11</v>
      </c>
      <c r="E297" t="str">
        <f t="shared" si="37"/>
        <v>EMP_296Finance</v>
      </c>
      <c r="F297" t="s">
        <v>18</v>
      </c>
      <c r="G297" t="s">
        <v>25</v>
      </c>
      <c r="H297">
        <v>20602</v>
      </c>
      <c r="I297">
        <v>8199</v>
      </c>
      <c r="J297">
        <v>0</v>
      </c>
      <c r="K297">
        <v>0</v>
      </c>
      <c r="L297" s="4">
        <v>44930</v>
      </c>
      <c r="M297" s="4" t="str">
        <f t="shared" si="38"/>
        <v>2023</v>
      </c>
      <c r="N297" s="1">
        <f t="shared" ca="1" si="39"/>
        <v>46064</v>
      </c>
      <c r="O297" s="6">
        <f t="shared" ca="1" si="40"/>
        <v>3</v>
      </c>
      <c r="P297">
        <v>2</v>
      </c>
      <c r="Q297">
        <f t="shared" si="41"/>
        <v>28801</v>
      </c>
      <c r="R297" s="2">
        <f t="shared" si="42"/>
        <v>14400.5</v>
      </c>
      <c r="S297" s="2" t="str">
        <f t="shared" si="43"/>
        <v xml:space="preserve"> Not Achieved</v>
      </c>
      <c r="T297" s="2" t="str">
        <f t="shared" si="44"/>
        <v>poor</v>
      </c>
      <c r="U297" s="2"/>
    </row>
    <row r="298" spans="1:21" x14ac:dyDescent="0.3">
      <c r="A298">
        <v>297</v>
      </c>
      <c r="B298" t="s">
        <v>489</v>
      </c>
      <c r="C298" t="str">
        <f t="shared" si="36"/>
        <v>EMP_297</v>
      </c>
      <c r="D298" t="s">
        <v>11</v>
      </c>
      <c r="E298" t="str">
        <f t="shared" si="37"/>
        <v>EMP_297Finance</v>
      </c>
      <c r="F298" t="s">
        <v>18</v>
      </c>
      <c r="G298" t="s">
        <v>13</v>
      </c>
      <c r="H298">
        <v>30236</v>
      </c>
      <c r="I298">
        <v>7539</v>
      </c>
      <c r="J298">
        <v>0</v>
      </c>
      <c r="K298">
        <v>0</v>
      </c>
      <c r="L298" s="4" t="s">
        <v>120</v>
      </c>
      <c r="M298" s="4" t="str">
        <f t="shared" si="38"/>
        <v>8/30/2024</v>
      </c>
      <c r="N298" s="1">
        <f t="shared" ca="1" si="39"/>
        <v>46064</v>
      </c>
      <c r="O298" s="6" t="e">
        <f t="shared" ca="1" si="40"/>
        <v>#VALUE!</v>
      </c>
      <c r="P298">
        <v>3</v>
      </c>
      <c r="Q298">
        <f t="shared" si="41"/>
        <v>37775</v>
      </c>
      <c r="R298" s="2">
        <f t="shared" si="42"/>
        <v>18887.5</v>
      </c>
      <c r="S298" s="2" t="str">
        <f t="shared" si="43"/>
        <v xml:space="preserve"> Not Achieved</v>
      </c>
      <c r="T298" s="2" t="str">
        <f t="shared" si="44"/>
        <v>Average</v>
      </c>
      <c r="U298" s="2"/>
    </row>
    <row r="299" spans="1:21" x14ac:dyDescent="0.3">
      <c r="A299">
        <v>298</v>
      </c>
      <c r="B299" t="s">
        <v>490</v>
      </c>
      <c r="C299" t="str">
        <f t="shared" si="36"/>
        <v>EMP_298</v>
      </c>
      <c r="D299" t="s">
        <v>15</v>
      </c>
      <c r="E299" t="str">
        <f t="shared" si="37"/>
        <v>EMP_298HR</v>
      </c>
      <c r="F299" t="s">
        <v>12</v>
      </c>
      <c r="G299" t="s">
        <v>25</v>
      </c>
      <c r="H299">
        <v>39479</v>
      </c>
      <c r="I299">
        <v>5652</v>
      </c>
      <c r="J299">
        <v>0</v>
      </c>
      <c r="K299">
        <v>0</v>
      </c>
      <c r="L299" s="4">
        <v>45234</v>
      </c>
      <c r="M299" s="4" t="str">
        <f t="shared" si="38"/>
        <v>2023</v>
      </c>
      <c r="N299" s="1">
        <f t="shared" ca="1" si="39"/>
        <v>46064</v>
      </c>
      <c r="O299" s="6">
        <f t="shared" ca="1" si="40"/>
        <v>2</v>
      </c>
      <c r="P299">
        <v>2</v>
      </c>
      <c r="Q299">
        <f t="shared" si="41"/>
        <v>45131</v>
      </c>
      <c r="R299" s="2">
        <f t="shared" si="42"/>
        <v>22565.5</v>
      </c>
      <c r="S299" s="2" t="str">
        <f t="shared" si="43"/>
        <v xml:space="preserve"> Not Achieved</v>
      </c>
      <c r="T299" s="2" t="str">
        <f t="shared" si="44"/>
        <v>Average</v>
      </c>
      <c r="U299" s="2"/>
    </row>
    <row r="300" spans="1:21" x14ac:dyDescent="0.3">
      <c r="A300">
        <v>299</v>
      </c>
      <c r="B300" t="s">
        <v>491</v>
      </c>
      <c r="C300" t="str">
        <f t="shared" si="36"/>
        <v>EMP_299</v>
      </c>
      <c r="D300" t="s">
        <v>11</v>
      </c>
      <c r="E300" t="str">
        <f t="shared" si="37"/>
        <v>EMP_299Marketing</v>
      </c>
      <c r="F300" t="s">
        <v>24</v>
      </c>
      <c r="G300" t="s">
        <v>16</v>
      </c>
      <c r="H300">
        <v>56385</v>
      </c>
      <c r="I300">
        <v>5443</v>
      </c>
      <c r="J300">
        <v>0</v>
      </c>
      <c r="K300">
        <v>0</v>
      </c>
      <c r="L300" s="4" t="s">
        <v>492</v>
      </c>
      <c r="M300" s="4" t="str">
        <f t="shared" si="38"/>
        <v>10/25/2021</v>
      </c>
      <c r="N300" s="1">
        <f t="shared" ca="1" si="39"/>
        <v>46064</v>
      </c>
      <c r="O300" s="6" t="e">
        <f t="shared" ca="1" si="40"/>
        <v>#VALUE!</v>
      </c>
      <c r="P300">
        <v>3</v>
      </c>
      <c r="Q300">
        <f t="shared" si="41"/>
        <v>61828</v>
      </c>
      <c r="R300" s="2">
        <f t="shared" si="42"/>
        <v>30914</v>
      </c>
      <c r="S300" s="2" t="str">
        <f t="shared" si="43"/>
        <v xml:space="preserve"> Not Achieved</v>
      </c>
      <c r="T300" s="2" t="str">
        <f t="shared" si="44"/>
        <v xml:space="preserve"> Excellent</v>
      </c>
      <c r="U300" s="2"/>
    </row>
    <row r="301" spans="1:21" x14ac:dyDescent="0.3">
      <c r="A301">
        <v>300</v>
      </c>
      <c r="B301" t="s">
        <v>493</v>
      </c>
      <c r="C301" t="str">
        <f t="shared" si="36"/>
        <v>EMP_300</v>
      </c>
      <c r="D301" t="s">
        <v>11</v>
      </c>
      <c r="E301" t="str">
        <f t="shared" si="37"/>
        <v>EMP_300HR</v>
      </c>
      <c r="F301" t="s">
        <v>12</v>
      </c>
      <c r="G301" t="s">
        <v>13</v>
      </c>
      <c r="H301">
        <v>74158</v>
      </c>
      <c r="I301">
        <v>12384</v>
      </c>
      <c r="J301">
        <v>0</v>
      </c>
      <c r="K301">
        <v>0</v>
      </c>
      <c r="L301" s="4" t="s">
        <v>171</v>
      </c>
      <c r="M301" s="4" t="str">
        <f t="shared" si="38"/>
        <v>9/30/2023</v>
      </c>
      <c r="N301" s="1">
        <f t="shared" ca="1" si="39"/>
        <v>46064</v>
      </c>
      <c r="O301" s="6" t="e">
        <f t="shared" ca="1" si="40"/>
        <v>#VALUE!</v>
      </c>
      <c r="P301">
        <v>1</v>
      </c>
      <c r="Q301">
        <f t="shared" si="41"/>
        <v>86542</v>
      </c>
      <c r="R301" s="2">
        <f t="shared" si="42"/>
        <v>43271</v>
      </c>
      <c r="S301" s="2" t="str">
        <f t="shared" si="43"/>
        <v xml:space="preserve"> Not Achieved</v>
      </c>
      <c r="T301" s="2" t="str">
        <f t="shared" si="44"/>
        <v xml:space="preserve"> Excellent</v>
      </c>
      <c r="U301" s="2"/>
    </row>
    <row r="302" spans="1:21" x14ac:dyDescent="0.3">
      <c r="A302">
        <v>301</v>
      </c>
      <c r="B302" t="s">
        <v>494</v>
      </c>
      <c r="C302" t="str">
        <f t="shared" si="36"/>
        <v>EMP_301</v>
      </c>
      <c r="D302" t="s">
        <v>11</v>
      </c>
      <c r="E302" t="str">
        <f t="shared" si="37"/>
        <v>EMP_301IT</v>
      </c>
      <c r="F302" t="s">
        <v>21</v>
      </c>
      <c r="G302" t="s">
        <v>16</v>
      </c>
      <c r="H302">
        <v>24525</v>
      </c>
      <c r="I302">
        <v>3147</v>
      </c>
      <c r="J302">
        <v>0</v>
      </c>
      <c r="K302">
        <v>0</v>
      </c>
      <c r="L302" s="4" t="s">
        <v>495</v>
      </c>
      <c r="M302" s="4" t="str">
        <f t="shared" si="38"/>
        <v>5/26/2019</v>
      </c>
      <c r="N302" s="1">
        <f t="shared" ca="1" si="39"/>
        <v>46064</v>
      </c>
      <c r="O302" s="6" t="e">
        <f t="shared" ca="1" si="40"/>
        <v>#VALUE!</v>
      </c>
      <c r="P302">
        <v>2</v>
      </c>
      <c r="Q302">
        <f t="shared" si="41"/>
        <v>27672</v>
      </c>
      <c r="R302" s="2">
        <f t="shared" si="42"/>
        <v>13836</v>
      </c>
      <c r="S302" s="2" t="str">
        <f t="shared" si="43"/>
        <v xml:space="preserve"> Not Achieved</v>
      </c>
      <c r="T302" s="2" t="str">
        <f t="shared" si="44"/>
        <v>poor</v>
      </c>
      <c r="U302" s="2"/>
    </row>
    <row r="303" spans="1:21" x14ac:dyDescent="0.3">
      <c r="A303">
        <v>302</v>
      </c>
      <c r="B303" t="s">
        <v>496</v>
      </c>
      <c r="C303" t="str">
        <f t="shared" si="36"/>
        <v>EMP_302</v>
      </c>
      <c r="D303" t="s">
        <v>11</v>
      </c>
      <c r="E303" t="str">
        <f t="shared" si="37"/>
        <v>EMP_302IT</v>
      </c>
      <c r="F303" t="s">
        <v>21</v>
      </c>
      <c r="G303" t="s">
        <v>25</v>
      </c>
      <c r="H303">
        <v>60069</v>
      </c>
      <c r="I303">
        <v>7955</v>
      </c>
      <c r="J303">
        <v>0</v>
      </c>
      <c r="K303">
        <v>0</v>
      </c>
      <c r="L303" s="4" t="s">
        <v>497</v>
      </c>
      <c r="M303" s="4" t="str">
        <f t="shared" si="38"/>
        <v>4/30/2024</v>
      </c>
      <c r="N303" s="1">
        <f t="shared" ca="1" si="39"/>
        <v>46064</v>
      </c>
      <c r="O303" s="6" t="e">
        <f t="shared" ca="1" si="40"/>
        <v>#VALUE!</v>
      </c>
      <c r="P303">
        <v>4</v>
      </c>
      <c r="Q303">
        <f t="shared" si="41"/>
        <v>68024</v>
      </c>
      <c r="R303" s="2">
        <f t="shared" si="42"/>
        <v>34012</v>
      </c>
      <c r="S303" s="2" t="str">
        <f t="shared" si="43"/>
        <v xml:space="preserve"> Not Achieved</v>
      </c>
      <c r="T303" s="2" t="str">
        <f t="shared" si="44"/>
        <v xml:space="preserve"> Excellent</v>
      </c>
      <c r="U303" s="2"/>
    </row>
    <row r="304" spans="1:21" x14ac:dyDescent="0.3">
      <c r="A304">
        <v>303</v>
      </c>
      <c r="B304" t="s">
        <v>498</v>
      </c>
      <c r="C304" t="str">
        <f t="shared" si="36"/>
        <v>EMP_303</v>
      </c>
      <c r="D304" t="s">
        <v>11</v>
      </c>
      <c r="E304" t="str">
        <f t="shared" si="37"/>
        <v>EMP_303HR</v>
      </c>
      <c r="F304" t="s">
        <v>12</v>
      </c>
      <c r="G304" t="s">
        <v>16</v>
      </c>
      <c r="H304">
        <v>45823</v>
      </c>
      <c r="I304">
        <v>2781</v>
      </c>
      <c r="J304">
        <v>0</v>
      </c>
      <c r="K304">
        <v>0</v>
      </c>
      <c r="L304" s="4" t="s">
        <v>499</v>
      </c>
      <c r="M304" s="4" t="str">
        <f t="shared" si="38"/>
        <v>6/18/2023</v>
      </c>
      <c r="N304" s="1">
        <f t="shared" ca="1" si="39"/>
        <v>46064</v>
      </c>
      <c r="O304" s="6" t="e">
        <f t="shared" ca="1" si="40"/>
        <v>#VALUE!</v>
      </c>
      <c r="P304">
        <v>2</v>
      </c>
      <c r="Q304">
        <f t="shared" si="41"/>
        <v>48604</v>
      </c>
      <c r="R304" s="2">
        <f t="shared" si="42"/>
        <v>24302</v>
      </c>
      <c r="S304" s="2" t="str">
        <f t="shared" si="43"/>
        <v xml:space="preserve"> Not Achieved</v>
      </c>
      <c r="T304" s="2" t="str">
        <f t="shared" si="44"/>
        <v>Good</v>
      </c>
      <c r="U304" s="2"/>
    </row>
    <row r="305" spans="1:21" x14ac:dyDescent="0.3">
      <c r="A305">
        <v>304</v>
      </c>
      <c r="B305" t="s">
        <v>500</v>
      </c>
      <c r="C305" t="str">
        <f t="shared" si="36"/>
        <v>EMP_304</v>
      </c>
      <c r="D305" t="s">
        <v>15</v>
      </c>
      <c r="E305" t="str">
        <f t="shared" si="37"/>
        <v>EMP_304HR</v>
      </c>
      <c r="F305" t="s">
        <v>12</v>
      </c>
      <c r="G305" t="s">
        <v>16</v>
      </c>
      <c r="H305">
        <v>30136</v>
      </c>
      <c r="I305">
        <v>11391</v>
      </c>
      <c r="J305">
        <v>0</v>
      </c>
      <c r="K305">
        <v>0</v>
      </c>
      <c r="L305" s="4" t="s">
        <v>501</v>
      </c>
      <c r="M305" s="4" t="str">
        <f t="shared" si="38"/>
        <v>5/22/2018</v>
      </c>
      <c r="N305" s="1">
        <f t="shared" ca="1" si="39"/>
        <v>46064</v>
      </c>
      <c r="O305" s="6" t="e">
        <f t="shared" ca="1" si="40"/>
        <v>#VALUE!</v>
      </c>
      <c r="P305">
        <v>3</v>
      </c>
      <c r="Q305">
        <f t="shared" si="41"/>
        <v>41527</v>
      </c>
      <c r="R305" s="2">
        <f t="shared" si="42"/>
        <v>20763.5</v>
      </c>
      <c r="S305" s="2" t="str">
        <f t="shared" si="43"/>
        <v xml:space="preserve"> Not Achieved</v>
      </c>
      <c r="T305" s="2" t="str">
        <f t="shared" si="44"/>
        <v>Average</v>
      </c>
      <c r="U305" s="2"/>
    </row>
    <row r="306" spans="1:21" x14ac:dyDescent="0.3">
      <c r="A306">
        <v>305</v>
      </c>
      <c r="B306" t="s">
        <v>502</v>
      </c>
      <c r="C306" t="str">
        <f t="shared" si="36"/>
        <v>EMP_305</v>
      </c>
      <c r="D306" t="s">
        <v>11</v>
      </c>
      <c r="E306" t="str">
        <f t="shared" si="37"/>
        <v>EMP_305Finance</v>
      </c>
      <c r="F306" t="s">
        <v>18</v>
      </c>
      <c r="G306" t="s">
        <v>25</v>
      </c>
      <c r="H306">
        <v>79023</v>
      </c>
      <c r="I306">
        <v>3441</v>
      </c>
      <c r="J306">
        <v>0</v>
      </c>
      <c r="K306">
        <v>0</v>
      </c>
      <c r="L306" s="4" t="s">
        <v>503</v>
      </c>
      <c r="M306" s="4" t="str">
        <f t="shared" si="38"/>
        <v>7/27/2022</v>
      </c>
      <c r="N306" s="1">
        <f t="shared" ca="1" si="39"/>
        <v>46064</v>
      </c>
      <c r="O306" s="6" t="e">
        <f t="shared" ca="1" si="40"/>
        <v>#VALUE!</v>
      </c>
      <c r="P306">
        <v>4</v>
      </c>
      <c r="Q306">
        <f t="shared" si="41"/>
        <v>82464</v>
      </c>
      <c r="R306" s="2">
        <f t="shared" si="42"/>
        <v>41232</v>
      </c>
      <c r="S306" s="2" t="str">
        <f t="shared" si="43"/>
        <v xml:space="preserve"> Not Achieved</v>
      </c>
      <c r="T306" s="2" t="str">
        <f t="shared" si="44"/>
        <v xml:space="preserve"> Excellent</v>
      </c>
      <c r="U306" s="2"/>
    </row>
    <row r="307" spans="1:21" x14ac:dyDescent="0.3">
      <c r="A307">
        <v>306</v>
      </c>
      <c r="B307" t="s">
        <v>504</v>
      </c>
      <c r="C307" t="str">
        <f t="shared" si="36"/>
        <v>EMP_306</v>
      </c>
      <c r="D307" t="s">
        <v>11</v>
      </c>
      <c r="E307" t="str">
        <f t="shared" si="37"/>
        <v>EMP_306HR</v>
      </c>
      <c r="F307" t="s">
        <v>12</v>
      </c>
      <c r="G307" t="s">
        <v>22</v>
      </c>
      <c r="H307">
        <v>36097</v>
      </c>
      <c r="I307">
        <v>4050</v>
      </c>
      <c r="J307">
        <v>0</v>
      </c>
      <c r="K307">
        <v>0</v>
      </c>
      <c r="L307" s="4">
        <v>45324</v>
      </c>
      <c r="M307" s="4" t="str">
        <f t="shared" si="38"/>
        <v>2024</v>
      </c>
      <c r="N307" s="1">
        <f t="shared" ca="1" si="39"/>
        <v>46064</v>
      </c>
      <c r="O307" s="6">
        <f t="shared" ca="1" si="40"/>
        <v>2</v>
      </c>
      <c r="P307">
        <v>3</v>
      </c>
      <c r="Q307">
        <f t="shared" si="41"/>
        <v>40147</v>
      </c>
      <c r="R307" s="2">
        <f t="shared" si="42"/>
        <v>20073.5</v>
      </c>
      <c r="S307" s="2" t="str">
        <f t="shared" si="43"/>
        <v xml:space="preserve"> Not Achieved</v>
      </c>
      <c r="T307" s="2" t="str">
        <f t="shared" si="44"/>
        <v>Average</v>
      </c>
      <c r="U307" s="2"/>
    </row>
    <row r="308" spans="1:21" x14ac:dyDescent="0.3">
      <c r="A308">
        <v>307</v>
      </c>
      <c r="B308" t="s">
        <v>505</v>
      </c>
      <c r="C308" t="str">
        <f t="shared" si="36"/>
        <v>EMP_307</v>
      </c>
      <c r="D308" t="s">
        <v>11</v>
      </c>
      <c r="E308" t="str">
        <f t="shared" si="37"/>
        <v>EMP_307Marketing</v>
      </c>
      <c r="F308" t="s">
        <v>24</v>
      </c>
      <c r="G308" t="s">
        <v>25</v>
      </c>
      <c r="H308">
        <v>32663</v>
      </c>
      <c r="I308">
        <v>3784</v>
      </c>
      <c r="J308">
        <v>0</v>
      </c>
      <c r="K308">
        <v>0</v>
      </c>
      <c r="L308" s="4" t="s">
        <v>506</v>
      </c>
      <c r="M308" s="4" t="str">
        <f t="shared" si="38"/>
        <v>9/15/2024</v>
      </c>
      <c r="N308" s="1">
        <f t="shared" ca="1" si="39"/>
        <v>46064</v>
      </c>
      <c r="O308" s="6" t="e">
        <f t="shared" ca="1" si="40"/>
        <v>#VALUE!</v>
      </c>
      <c r="P308">
        <v>1</v>
      </c>
      <c r="Q308">
        <f t="shared" si="41"/>
        <v>36447</v>
      </c>
      <c r="R308" s="2">
        <f t="shared" si="42"/>
        <v>18223.5</v>
      </c>
      <c r="S308" s="2" t="str">
        <f t="shared" si="43"/>
        <v xml:space="preserve"> Not Achieved</v>
      </c>
      <c r="T308" s="2" t="str">
        <f t="shared" si="44"/>
        <v>Average</v>
      </c>
      <c r="U308" s="2"/>
    </row>
    <row r="309" spans="1:21" x14ac:dyDescent="0.3">
      <c r="A309">
        <v>308</v>
      </c>
      <c r="B309" t="s">
        <v>507</v>
      </c>
      <c r="C309" t="str">
        <f t="shared" si="36"/>
        <v>EMP_308</v>
      </c>
      <c r="D309" t="s">
        <v>11</v>
      </c>
      <c r="E309" t="str">
        <f t="shared" si="37"/>
        <v>EMP_308HR</v>
      </c>
      <c r="F309" t="s">
        <v>12</v>
      </c>
      <c r="G309" t="s">
        <v>25</v>
      </c>
      <c r="H309">
        <v>55816</v>
      </c>
      <c r="I309">
        <v>14075</v>
      </c>
      <c r="J309">
        <v>0</v>
      </c>
      <c r="K309">
        <v>0</v>
      </c>
      <c r="L309" s="4">
        <v>43924</v>
      </c>
      <c r="M309" s="4" t="str">
        <f t="shared" si="38"/>
        <v>2020</v>
      </c>
      <c r="N309" s="1">
        <f t="shared" ca="1" si="39"/>
        <v>46064</v>
      </c>
      <c r="O309" s="6">
        <f t="shared" ca="1" si="40"/>
        <v>5</v>
      </c>
      <c r="P309">
        <v>2</v>
      </c>
      <c r="Q309">
        <f t="shared" si="41"/>
        <v>69891</v>
      </c>
      <c r="R309" s="2">
        <f t="shared" si="42"/>
        <v>34945.5</v>
      </c>
      <c r="S309" s="2" t="str">
        <f t="shared" si="43"/>
        <v xml:space="preserve"> Not Achieved</v>
      </c>
      <c r="T309" s="2" t="str">
        <f t="shared" si="44"/>
        <v xml:space="preserve"> Excellent</v>
      </c>
      <c r="U309" s="2"/>
    </row>
    <row r="310" spans="1:21" x14ac:dyDescent="0.3">
      <c r="A310">
        <v>309</v>
      </c>
      <c r="B310" t="s">
        <v>508</v>
      </c>
      <c r="C310" t="str">
        <f t="shared" si="36"/>
        <v>EMP_309</v>
      </c>
      <c r="D310" t="s">
        <v>15</v>
      </c>
      <c r="E310" t="str">
        <f t="shared" si="37"/>
        <v>EMP_309HR</v>
      </c>
      <c r="F310" t="s">
        <v>12</v>
      </c>
      <c r="G310" t="s">
        <v>13</v>
      </c>
      <c r="H310">
        <v>22757</v>
      </c>
      <c r="I310">
        <v>10940</v>
      </c>
      <c r="J310">
        <v>0</v>
      </c>
      <c r="K310">
        <v>0</v>
      </c>
      <c r="L310" s="4" t="s">
        <v>509</v>
      </c>
      <c r="M310" s="4" t="str">
        <f t="shared" si="38"/>
        <v>2/23/2020</v>
      </c>
      <c r="N310" s="1">
        <f t="shared" ca="1" si="39"/>
        <v>46064</v>
      </c>
      <c r="O310" s="6" t="e">
        <f t="shared" ca="1" si="40"/>
        <v>#VALUE!</v>
      </c>
      <c r="P310">
        <v>5</v>
      </c>
      <c r="Q310">
        <f t="shared" si="41"/>
        <v>33697</v>
      </c>
      <c r="R310" s="2">
        <f t="shared" si="42"/>
        <v>16848.5</v>
      </c>
      <c r="S310" s="2" t="str">
        <f t="shared" si="43"/>
        <v xml:space="preserve"> Not Achieved</v>
      </c>
      <c r="T310" s="2" t="str">
        <f t="shared" si="44"/>
        <v>poor</v>
      </c>
      <c r="U310" s="2"/>
    </row>
    <row r="311" spans="1:21" x14ac:dyDescent="0.3">
      <c r="A311">
        <v>310</v>
      </c>
      <c r="B311" t="s">
        <v>510</v>
      </c>
      <c r="C311" t="str">
        <f t="shared" si="36"/>
        <v>EMP_310</v>
      </c>
      <c r="D311" t="s">
        <v>15</v>
      </c>
      <c r="E311" t="str">
        <f t="shared" si="37"/>
        <v>EMP_310Sales</v>
      </c>
      <c r="F311" t="s">
        <v>7</v>
      </c>
      <c r="G311" t="s">
        <v>19</v>
      </c>
      <c r="H311">
        <v>20745</v>
      </c>
      <c r="I311">
        <v>9092</v>
      </c>
      <c r="J311">
        <v>163026</v>
      </c>
      <c r="K311">
        <v>164839</v>
      </c>
      <c r="L311" s="4">
        <v>43377</v>
      </c>
      <c r="M311" s="4" t="str">
        <f t="shared" si="38"/>
        <v>2018</v>
      </c>
      <c r="N311" s="1">
        <f t="shared" ca="1" si="39"/>
        <v>46064</v>
      </c>
      <c r="O311" s="6">
        <f t="shared" ca="1" si="40"/>
        <v>7</v>
      </c>
      <c r="P311">
        <v>4</v>
      </c>
      <c r="Q311">
        <f t="shared" si="41"/>
        <v>29837</v>
      </c>
      <c r="R311" s="2">
        <f t="shared" si="42"/>
        <v>14918.5</v>
      </c>
      <c r="S311" s="2" t="str">
        <f t="shared" si="43"/>
        <v xml:space="preserve"> Not Achieved</v>
      </c>
      <c r="T311" s="2" t="str">
        <f t="shared" si="44"/>
        <v>poor</v>
      </c>
      <c r="U311" s="2"/>
    </row>
    <row r="312" spans="1:21" x14ac:dyDescent="0.3">
      <c r="A312">
        <v>311</v>
      </c>
      <c r="B312" t="s">
        <v>511</v>
      </c>
      <c r="C312" t="str">
        <f t="shared" si="36"/>
        <v>EMP_311</v>
      </c>
      <c r="D312" t="s">
        <v>15</v>
      </c>
      <c r="E312" t="str">
        <f t="shared" si="37"/>
        <v>EMP_311HR</v>
      </c>
      <c r="F312" t="s">
        <v>12</v>
      </c>
      <c r="G312" t="s">
        <v>13</v>
      </c>
      <c r="H312">
        <v>78828</v>
      </c>
      <c r="I312">
        <v>11134</v>
      </c>
      <c r="J312">
        <v>0</v>
      </c>
      <c r="K312">
        <v>0</v>
      </c>
      <c r="L312" s="4" t="s">
        <v>512</v>
      </c>
      <c r="M312" s="4" t="str">
        <f t="shared" si="38"/>
        <v>11/16/2022</v>
      </c>
      <c r="N312" s="1">
        <f t="shared" ca="1" si="39"/>
        <v>46064</v>
      </c>
      <c r="O312" s="6" t="e">
        <f t="shared" ca="1" si="40"/>
        <v>#VALUE!</v>
      </c>
      <c r="P312">
        <v>3</v>
      </c>
      <c r="Q312">
        <f t="shared" si="41"/>
        <v>89962</v>
      </c>
      <c r="R312" s="2">
        <f t="shared" si="42"/>
        <v>44981</v>
      </c>
      <c r="S312" s="2" t="str">
        <f t="shared" si="43"/>
        <v xml:space="preserve"> Not Achieved</v>
      </c>
      <c r="T312" s="2" t="str">
        <f t="shared" si="44"/>
        <v xml:space="preserve"> Excellent</v>
      </c>
      <c r="U312" s="2"/>
    </row>
    <row r="313" spans="1:21" x14ac:dyDescent="0.3">
      <c r="A313">
        <v>312</v>
      </c>
      <c r="B313" t="s">
        <v>513</v>
      </c>
      <c r="C313" t="str">
        <f t="shared" si="36"/>
        <v>EMP_312</v>
      </c>
      <c r="D313" t="s">
        <v>15</v>
      </c>
      <c r="E313" t="str">
        <f t="shared" si="37"/>
        <v>EMP_312Marketing</v>
      </c>
      <c r="F313" t="s">
        <v>24</v>
      </c>
      <c r="G313" t="s">
        <v>19</v>
      </c>
      <c r="H313">
        <v>35697</v>
      </c>
      <c r="I313">
        <v>2093</v>
      </c>
      <c r="J313">
        <v>0</v>
      </c>
      <c r="K313">
        <v>0</v>
      </c>
      <c r="L313" s="4" t="s">
        <v>370</v>
      </c>
      <c r="M313" s="4" t="str">
        <f t="shared" si="38"/>
        <v>11/26/2023</v>
      </c>
      <c r="N313" s="1">
        <f t="shared" ca="1" si="39"/>
        <v>46064</v>
      </c>
      <c r="O313" s="6" t="e">
        <f t="shared" ca="1" si="40"/>
        <v>#VALUE!</v>
      </c>
      <c r="P313">
        <v>1</v>
      </c>
      <c r="Q313">
        <f t="shared" si="41"/>
        <v>37790</v>
      </c>
      <c r="R313" s="2">
        <f t="shared" si="42"/>
        <v>18895</v>
      </c>
      <c r="S313" s="2" t="str">
        <f t="shared" si="43"/>
        <v xml:space="preserve"> Not Achieved</v>
      </c>
      <c r="T313" s="2" t="str">
        <f t="shared" si="44"/>
        <v>Average</v>
      </c>
      <c r="U313" s="2"/>
    </row>
    <row r="314" spans="1:21" x14ac:dyDescent="0.3">
      <c r="A314">
        <v>313</v>
      </c>
      <c r="B314" t="s">
        <v>514</v>
      </c>
      <c r="C314" t="str">
        <f t="shared" si="36"/>
        <v>EMP_313</v>
      </c>
      <c r="D314" t="s">
        <v>15</v>
      </c>
      <c r="E314" t="str">
        <f t="shared" si="37"/>
        <v>EMP_313Sales</v>
      </c>
      <c r="F314" t="s">
        <v>7</v>
      </c>
      <c r="G314" t="s">
        <v>22</v>
      </c>
      <c r="H314">
        <v>73050</v>
      </c>
      <c r="I314">
        <v>5801</v>
      </c>
      <c r="J314">
        <v>213493</v>
      </c>
      <c r="K314">
        <v>177720</v>
      </c>
      <c r="L314" s="4" t="s">
        <v>515</v>
      </c>
      <c r="M314" s="4" t="str">
        <f t="shared" si="38"/>
        <v>10/18/2024</v>
      </c>
      <c r="N314" s="1">
        <f t="shared" ca="1" si="39"/>
        <v>46064</v>
      </c>
      <c r="O314" s="6" t="e">
        <f t="shared" ca="1" si="40"/>
        <v>#VALUE!</v>
      </c>
      <c r="P314">
        <v>3</v>
      </c>
      <c r="Q314">
        <f t="shared" si="41"/>
        <v>78851</v>
      </c>
      <c r="R314" s="2">
        <f t="shared" si="42"/>
        <v>39425.5</v>
      </c>
      <c r="S314" s="2" t="str">
        <f t="shared" si="43"/>
        <v>Achieved</v>
      </c>
      <c r="T314" s="2" t="str">
        <f t="shared" si="44"/>
        <v xml:space="preserve"> Excellent</v>
      </c>
      <c r="U314" s="2"/>
    </row>
    <row r="315" spans="1:21" x14ac:dyDescent="0.3">
      <c r="A315">
        <v>314</v>
      </c>
      <c r="B315" t="s">
        <v>516</v>
      </c>
      <c r="C315" t="str">
        <f t="shared" si="36"/>
        <v>EMP_314</v>
      </c>
      <c r="D315" t="s">
        <v>11</v>
      </c>
      <c r="E315" t="str">
        <f t="shared" si="37"/>
        <v>EMP_314IT</v>
      </c>
      <c r="F315" t="s">
        <v>21</v>
      </c>
      <c r="G315" t="s">
        <v>13</v>
      </c>
      <c r="H315">
        <v>24432</v>
      </c>
      <c r="I315">
        <v>9316</v>
      </c>
      <c r="J315">
        <v>0</v>
      </c>
      <c r="K315">
        <v>0</v>
      </c>
      <c r="L315" s="4">
        <v>44116</v>
      </c>
      <c r="M315" s="4" t="str">
        <f t="shared" si="38"/>
        <v>2020</v>
      </c>
      <c r="N315" s="1">
        <f t="shared" ca="1" si="39"/>
        <v>46064</v>
      </c>
      <c r="O315" s="6">
        <f t="shared" ca="1" si="40"/>
        <v>5</v>
      </c>
      <c r="P315">
        <v>1</v>
      </c>
      <c r="Q315">
        <f t="shared" si="41"/>
        <v>33748</v>
      </c>
      <c r="R315" s="2">
        <f t="shared" si="42"/>
        <v>16874</v>
      </c>
      <c r="S315" s="2" t="str">
        <f t="shared" si="43"/>
        <v xml:space="preserve"> Not Achieved</v>
      </c>
      <c r="T315" s="2" t="str">
        <f t="shared" si="44"/>
        <v>poor</v>
      </c>
      <c r="U315" s="2"/>
    </row>
    <row r="316" spans="1:21" x14ac:dyDescent="0.3">
      <c r="A316">
        <v>315</v>
      </c>
      <c r="B316" t="s">
        <v>517</v>
      </c>
      <c r="C316" t="str">
        <f t="shared" si="36"/>
        <v>EMP_315</v>
      </c>
      <c r="D316" t="s">
        <v>15</v>
      </c>
      <c r="E316" t="str">
        <f t="shared" si="37"/>
        <v>EMP_315Sales</v>
      </c>
      <c r="F316" t="s">
        <v>7</v>
      </c>
      <c r="G316" t="s">
        <v>25</v>
      </c>
      <c r="H316">
        <v>20174</v>
      </c>
      <c r="I316">
        <v>3671</v>
      </c>
      <c r="J316">
        <v>238713</v>
      </c>
      <c r="K316">
        <v>201148</v>
      </c>
      <c r="L316" s="4">
        <v>43378</v>
      </c>
      <c r="M316" s="4" t="str">
        <f t="shared" si="38"/>
        <v>2018</v>
      </c>
      <c r="N316" s="1">
        <f t="shared" ca="1" si="39"/>
        <v>46064</v>
      </c>
      <c r="O316" s="6">
        <f t="shared" ca="1" si="40"/>
        <v>7</v>
      </c>
      <c r="P316">
        <v>5</v>
      </c>
      <c r="Q316">
        <f t="shared" si="41"/>
        <v>23845</v>
      </c>
      <c r="R316" s="2">
        <f t="shared" si="42"/>
        <v>11922.5</v>
      </c>
      <c r="S316" s="2" t="str">
        <f t="shared" si="43"/>
        <v>Achieved</v>
      </c>
      <c r="T316" s="2" t="str">
        <f t="shared" si="44"/>
        <v>poor</v>
      </c>
      <c r="U316" s="2"/>
    </row>
    <row r="317" spans="1:21" x14ac:dyDescent="0.3">
      <c r="A317">
        <v>316</v>
      </c>
      <c r="B317" t="s">
        <v>518</v>
      </c>
      <c r="C317" t="str">
        <f t="shared" si="36"/>
        <v>EMP_316</v>
      </c>
      <c r="D317" t="s">
        <v>11</v>
      </c>
      <c r="E317" t="str">
        <f t="shared" si="37"/>
        <v>EMP_316Sales</v>
      </c>
      <c r="F317" t="s">
        <v>7</v>
      </c>
      <c r="G317" t="s">
        <v>22</v>
      </c>
      <c r="H317">
        <v>47939</v>
      </c>
      <c r="I317">
        <v>8199</v>
      </c>
      <c r="J317">
        <v>240946</v>
      </c>
      <c r="K317">
        <v>201698</v>
      </c>
      <c r="L317" s="4" t="s">
        <v>519</v>
      </c>
      <c r="M317" s="4" t="str">
        <f t="shared" si="38"/>
        <v>7/20/2018</v>
      </c>
      <c r="N317" s="1">
        <f t="shared" ca="1" si="39"/>
        <v>46064</v>
      </c>
      <c r="O317" s="6" t="e">
        <f t="shared" ca="1" si="40"/>
        <v>#VALUE!</v>
      </c>
      <c r="P317">
        <v>2</v>
      </c>
      <c r="Q317">
        <f t="shared" si="41"/>
        <v>56138</v>
      </c>
      <c r="R317" s="2">
        <f t="shared" si="42"/>
        <v>28069</v>
      </c>
      <c r="S317" s="2" t="str">
        <f t="shared" si="43"/>
        <v>Achieved</v>
      </c>
      <c r="T317" s="2" t="str">
        <f t="shared" si="44"/>
        <v>Good</v>
      </c>
      <c r="U317" s="2"/>
    </row>
    <row r="318" spans="1:21" x14ac:dyDescent="0.3">
      <c r="A318">
        <v>317</v>
      </c>
      <c r="B318" t="s">
        <v>520</v>
      </c>
      <c r="C318" t="str">
        <f t="shared" si="36"/>
        <v>EMP_317</v>
      </c>
      <c r="D318" t="s">
        <v>11</v>
      </c>
      <c r="E318" t="str">
        <f t="shared" si="37"/>
        <v>EMP_317HR</v>
      </c>
      <c r="F318" t="s">
        <v>12</v>
      </c>
      <c r="G318" t="s">
        <v>22</v>
      </c>
      <c r="H318">
        <v>58353</v>
      </c>
      <c r="I318">
        <v>11931</v>
      </c>
      <c r="J318">
        <v>0</v>
      </c>
      <c r="K318">
        <v>0</v>
      </c>
      <c r="L318" s="4">
        <v>43531</v>
      </c>
      <c r="M318" s="4" t="str">
        <f t="shared" si="38"/>
        <v>2019</v>
      </c>
      <c r="N318" s="1">
        <f t="shared" ca="1" si="39"/>
        <v>46064</v>
      </c>
      <c r="O318" s="6">
        <f t="shared" ca="1" si="40"/>
        <v>6</v>
      </c>
      <c r="P318">
        <v>1</v>
      </c>
      <c r="Q318">
        <f t="shared" si="41"/>
        <v>70284</v>
      </c>
      <c r="R318" s="2">
        <f t="shared" si="42"/>
        <v>35142</v>
      </c>
      <c r="S318" s="2" t="str">
        <f t="shared" si="43"/>
        <v xml:space="preserve"> Not Achieved</v>
      </c>
      <c r="T318" s="2" t="str">
        <f t="shared" si="44"/>
        <v xml:space="preserve"> Excellent</v>
      </c>
      <c r="U318" s="2"/>
    </row>
    <row r="319" spans="1:21" x14ac:dyDescent="0.3">
      <c r="A319">
        <v>318</v>
      </c>
      <c r="B319" t="s">
        <v>521</v>
      </c>
      <c r="C319" t="str">
        <f t="shared" si="36"/>
        <v>EMP_318</v>
      </c>
      <c r="D319" t="s">
        <v>15</v>
      </c>
      <c r="E319" t="str">
        <f t="shared" si="37"/>
        <v>EMP_318IT</v>
      </c>
      <c r="F319" t="s">
        <v>21</v>
      </c>
      <c r="G319" t="s">
        <v>13</v>
      </c>
      <c r="H319">
        <v>74360</v>
      </c>
      <c r="I319">
        <v>14025</v>
      </c>
      <c r="J319">
        <v>0</v>
      </c>
      <c r="K319">
        <v>0</v>
      </c>
      <c r="L319" s="4" t="s">
        <v>522</v>
      </c>
      <c r="M319" s="4" t="str">
        <f t="shared" si="38"/>
        <v>3/15/2018</v>
      </c>
      <c r="N319" s="1">
        <f t="shared" ca="1" si="39"/>
        <v>46064</v>
      </c>
      <c r="O319" s="6" t="e">
        <f t="shared" ca="1" si="40"/>
        <v>#VALUE!</v>
      </c>
      <c r="P319">
        <v>1</v>
      </c>
      <c r="Q319">
        <f t="shared" si="41"/>
        <v>88385</v>
      </c>
      <c r="R319" s="2">
        <f t="shared" si="42"/>
        <v>44192.5</v>
      </c>
      <c r="S319" s="2" t="str">
        <f t="shared" si="43"/>
        <v xml:space="preserve"> Not Achieved</v>
      </c>
      <c r="T319" s="2" t="str">
        <f t="shared" si="44"/>
        <v xml:space="preserve"> Excellent</v>
      </c>
      <c r="U319" s="2"/>
    </row>
    <row r="320" spans="1:21" x14ac:dyDescent="0.3">
      <c r="A320">
        <v>319</v>
      </c>
      <c r="B320" t="s">
        <v>523</v>
      </c>
      <c r="C320" t="str">
        <f t="shared" si="36"/>
        <v>EMP_319</v>
      </c>
      <c r="D320" t="s">
        <v>11</v>
      </c>
      <c r="E320" t="str">
        <f t="shared" si="37"/>
        <v>EMP_319IT</v>
      </c>
      <c r="F320" t="s">
        <v>21</v>
      </c>
      <c r="G320" t="s">
        <v>22</v>
      </c>
      <c r="H320">
        <v>42647</v>
      </c>
      <c r="I320">
        <v>10546</v>
      </c>
      <c r="J320">
        <v>0</v>
      </c>
      <c r="K320">
        <v>0</v>
      </c>
      <c r="L320" s="4" t="s">
        <v>524</v>
      </c>
      <c r="M320" s="4" t="str">
        <f t="shared" si="38"/>
        <v>8/17/2022</v>
      </c>
      <c r="N320" s="1">
        <f t="shared" ca="1" si="39"/>
        <v>46064</v>
      </c>
      <c r="O320" s="6" t="e">
        <f t="shared" ca="1" si="40"/>
        <v>#VALUE!</v>
      </c>
      <c r="P320">
        <v>4</v>
      </c>
      <c r="Q320">
        <f t="shared" si="41"/>
        <v>53193</v>
      </c>
      <c r="R320" s="2">
        <f t="shared" si="42"/>
        <v>26596.5</v>
      </c>
      <c r="S320" s="2" t="str">
        <f t="shared" si="43"/>
        <v xml:space="preserve"> Not Achieved</v>
      </c>
      <c r="T320" s="2" t="str">
        <f t="shared" si="44"/>
        <v>Good</v>
      </c>
      <c r="U320" s="2"/>
    </row>
    <row r="321" spans="1:21" x14ac:dyDescent="0.3">
      <c r="A321">
        <v>320</v>
      </c>
      <c r="B321" t="s">
        <v>525</v>
      </c>
      <c r="C321" t="str">
        <f t="shared" si="36"/>
        <v>EMP_320</v>
      </c>
      <c r="D321" t="s">
        <v>15</v>
      </c>
      <c r="E321" t="str">
        <f t="shared" si="37"/>
        <v>EMP_320Finance</v>
      </c>
      <c r="F321" t="s">
        <v>18</v>
      </c>
      <c r="G321" t="s">
        <v>22</v>
      </c>
      <c r="H321">
        <v>71192</v>
      </c>
      <c r="I321">
        <v>12096</v>
      </c>
      <c r="J321">
        <v>0</v>
      </c>
      <c r="K321">
        <v>0</v>
      </c>
      <c r="L321" s="4" t="s">
        <v>526</v>
      </c>
      <c r="M321" s="4" t="str">
        <f t="shared" si="38"/>
        <v>12/14/2019</v>
      </c>
      <c r="N321" s="1">
        <f t="shared" ca="1" si="39"/>
        <v>46064</v>
      </c>
      <c r="O321" s="6" t="e">
        <f t="shared" ca="1" si="40"/>
        <v>#VALUE!</v>
      </c>
      <c r="P321">
        <v>1</v>
      </c>
      <c r="Q321">
        <f t="shared" si="41"/>
        <v>83288</v>
      </c>
      <c r="R321" s="2">
        <f t="shared" si="42"/>
        <v>41644</v>
      </c>
      <c r="S321" s="2" t="str">
        <f t="shared" si="43"/>
        <v xml:space="preserve"> Not Achieved</v>
      </c>
      <c r="T321" s="2" t="str">
        <f t="shared" si="44"/>
        <v xml:space="preserve"> Excellent</v>
      </c>
      <c r="U321" s="2"/>
    </row>
    <row r="322" spans="1:21" x14ac:dyDescent="0.3">
      <c r="A322">
        <v>321</v>
      </c>
      <c r="B322" t="s">
        <v>527</v>
      </c>
      <c r="C322" t="str">
        <f t="shared" si="36"/>
        <v>EMP_321</v>
      </c>
      <c r="D322" t="s">
        <v>11</v>
      </c>
      <c r="E322" t="str">
        <f t="shared" si="37"/>
        <v>EMP_321Marketing</v>
      </c>
      <c r="F322" t="s">
        <v>24</v>
      </c>
      <c r="G322" t="s">
        <v>13</v>
      </c>
      <c r="H322">
        <v>20760</v>
      </c>
      <c r="I322">
        <v>7688</v>
      </c>
      <c r="J322">
        <v>0</v>
      </c>
      <c r="K322">
        <v>0</v>
      </c>
      <c r="L322" s="4" t="s">
        <v>528</v>
      </c>
      <c r="M322" s="4" t="str">
        <f t="shared" si="38"/>
        <v>12/13/2023</v>
      </c>
      <c r="N322" s="1">
        <f t="shared" ca="1" si="39"/>
        <v>46064</v>
      </c>
      <c r="O322" s="6" t="e">
        <f t="shared" ca="1" si="40"/>
        <v>#VALUE!</v>
      </c>
      <c r="P322">
        <v>1</v>
      </c>
      <c r="Q322">
        <f t="shared" si="41"/>
        <v>28448</v>
      </c>
      <c r="R322" s="2">
        <f t="shared" si="42"/>
        <v>14224</v>
      </c>
      <c r="S322" s="2" t="str">
        <f t="shared" si="43"/>
        <v xml:space="preserve"> Not Achieved</v>
      </c>
      <c r="T322" s="2" t="str">
        <f t="shared" si="44"/>
        <v>poor</v>
      </c>
      <c r="U322" s="2"/>
    </row>
    <row r="323" spans="1:21" x14ac:dyDescent="0.3">
      <c r="A323">
        <v>322</v>
      </c>
      <c r="B323" t="s">
        <v>529</v>
      </c>
      <c r="C323" t="str">
        <f t="shared" ref="C323:C386" si="45">UPPER(B323)</f>
        <v>EMP_322</v>
      </c>
      <c r="D323" t="s">
        <v>11</v>
      </c>
      <c r="E323" t="str">
        <f t="shared" ref="E323:E386" si="46">_xlfn.CONCAT(C323,F323)</f>
        <v>EMP_322Sales</v>
      </c>
      <c r="F323" t="s">
        <v>7</v>
      </c>
      <c r="G323" t="s">
        <v>19</v>
      </c>
      <c r="H323">
        <v>24496</v>
      </c>
      <c r="I323">
        <v>9142</v>
      </c>
      <c r="J323">
        <v>161610</v>
      </c>
      <c r="K323">
        <v>83826</v>
      </c>
      <c r="L323" s="4" t="s">
        <v>530</v>
      </c>
      <c r="M323" s="4" t="str">
        <f t="shared" ref="M323:M386" si="47">TEXT(L323,"yyyy")</f>
        <v>2/17/2019</v>
      </c>
      <c r="N323" s="1">
        <f t="shared" ref="N323:N386" ca="1" si="48">TODAY()</f>
        <v>46064</v>
      </c>
      <c r="O323" s="6" t="e">
        <f t="shared" ref="O323:O386" ca="1" si="49">DATEDIF(L323, TODAY(), "y")</f>
        <v>#VALUE!</v>
      </c>
      <c r="P323">
        <v>2</v>
      </c>
      <c r="Q323">
        <f t="shared" ref="Q323:Q386" si="50">SUM(H323,I323)</f>
        <v>33638</v>
      </c>
      <c r="R323" s="2">
        <f t="shared" ref="R323:R386" si="51">AVERAGE(H323,I323)</f>
        <v>16819</v>
      </c>
      <c r="S323" s="2" t="str">
        <f t="shared" ref="S323:S386" si="52">IF(J323&gt;K323,"Achieved"," Not Achieved")</f>
        <v>Achieved</v>
      </c>
      <c r="T323" s="2" t="str">
        <f t="shared" ref="T323:T386" si="53">_xlfn.IFS(H323&gt;=50000," Excellent",H323&gt;=40000,"Good",H323&gt;=30000,"Average",H323&lt;30000,"poor")</f>
        <v>poor</v>
      </c>
      <c r="U323" s="2"/>
    </row>
    <row r="324" spans="1:21" x14ac:dyDescent="0.3">
      <c r="A324">
        <v>323</v>
      </c>
      <c r="B324" t="s">
        <v>531</v>
      </c>
      <c r="C324" t="str">
        <f t="shared" si="45"/>
        <v>EMP_323</v>
      </c>
      <c r="D324" t="s">
        <v>15</v>
      </c>
      <c r="E324" t="str">
        <f t="shared" si="46"/>
        <v>EMP_323Finance</v>
      </c>
      <c r="F324" t="s">
        <v>18</v>
      </c>
      <c r="G324" t="s">
        <v>13</v>
      </c>
      <c r="H324">
        <v>57017</v>
      </c>
      <c r="I324">
        <v>11437</v>
      </c>
      <c r="J324">
        <v>0</v>
      </c>
      <c r="K324">
        <v>0</v>
      </c>
      <c r="L324" s="4" t="s">
        <v>532</v>
      </c>
      <c r="M324" s="4" t="str">
        <f t="shared" si="47"/>
        <v>7/23/2018</v>
      </c>
      <c r="N324" s="1">
        <f t="shared" ca="1" si="48"/>
        <v>46064</v>
      </c>
      <c r="O324" s="6" t="e">
        <f t="shared" ca="1" si="49"/>
        <v>#VALUE!</v>
      </c>
      <c r="P324">
        <v>1</v>
      </c>
      <c r="Q324">
        <f t="shared" si="50"/>
        <v>68454</v>
      </c>
      <c r="R324" s="2">
        <f t="shared" si="51"/>
        <v>34227</v>
      </c>
      <c r="S324" s="2" t="str">
        <f t="shared" si="52"/>
        <v xml:space="preserve"> Not Achieved</v>
      </c>
      <c r="T324" s="2" t="str">
        <f t="shared" si="53"/>
        <v xml:space="preserve"> Excellent</v>
      </c>
      <c r="U324" s="2"/>
    </row>
    <row r="325" spans="1:21" x14ac:dyDescent="0.3">
      <c r="A325">
        <v>324</v>
      </c>
      <c r="B325" t="s">
        <v>533</v>
      </c>
      <c r="C325" t="str">
        <f t="shared" si="45"/>
        <v>EMP_324</v>
      </c>
      <c r="D325" t="s">
        <v>11</v>
      </c>
      <c r="E325" t="str">
        <f t="shared" si="46"/>
        <v>EMP_324Sales</v>
      </c>
      <c r="F325" t="s">
        <v>7</v>
      </c>
      <c r="G325" t="s">
        <v>25</v>
      </c>
      <c r="H325">
        <v>70458</v>
      </c>
      <c r="I325">
        <v>9048</v>
      </c>
      <c r="J325">
        <v>185495</v>
      </c>
      <c r="K325">
        <v>134984</v>
      </c>
      <c r="L325" s="4" t="s">
        <v>534</v>
      </c>
      <c r="M325" s="4" t="str">
        <f t="shared" si="47"/>
        <v>9/24/2019</v>
      </c>
      <c r="N325" s="1">
        <f t="shared" ca="1" si="48"/>
        <v>46064</v>
      </c>
      <c r="O325" s="6" t="e">
        <f t="shared" ca="1" si="49"/>
        <v>#VALUE!</v>
      </c>
      <c r="P325">
        <v>3</v>
      </c>
      <c r="Q325">
        <f t="shared" si="50"/>
        <v>79506</v>
      </c>
      <c r="R325" s="2">
        <f t="shared" si="51"/>
        <v>39753</v>
      </c>
      <c r="S325" s="2" t="str">
        <f t="shared" si="52"/>
        <v>Achieved</v>
      </c>
      <c r="T325" s="2" t="str">
        <f t="shared" si="53"/>
        <v xml:space="preserve"> Excellent</v>
      </c>
      <c r="U325" s="2"/>
    </row>
    <row r="326" spans="1:21" x14ac:dyDescent="0.3">
      <c r="A326">
        <v>325</v>
      </c>
      <c r="B326" t="s">
        <v>535</v>
      </c>
      <c r="C326" t="str">
        <f t="shared" si="45"/>
        <v>EMP_325</v>
      </c>
      <c r="D326" t="s">
        <v>15</v>
      </c>
      <c r="E326" t="str">
        <f t="shared" si="46"/>
        <v>EMP_325Finance</v>
      </c>
      <c r="F326" t="s">
        <v>18</v>
      </c>
      <c r="G326" t="s">
        <v>25</v>
      </c>
      <c r="H326">
        <v>32909</v>
      </c>
      <c r="I326">
        <v>4777</v>
      </c>
      <c r="J326">
        <v>0</v>
      </c>
      <c r="K326">
        <v>0</v>
      </c>
      <c r="L326" s="4" t="s">
        <v>406</v>
      </c>
      <c r="M326" s="4" t="str">
        <f t="shared" si="47"/>
        <v>10/22/2023</v>
      </c>
      <c r="N326" s="1">
        <f t="shared" ca="1" si="48"/>
        <v>46064</v>
      </c>
      <c r="O326" s="6" t="e">
        <f t="shared" ca="1" si="49"/>
        <v>#VALUE!</v>
      </c>
      <c r="P326">
        <v>2</v>
      </c>
      <c r="Q326">
        <f t="shared" si="50"/>
        <v>37686</v>
      </c>
      <c r="R326" s="2">
        <f t="shared" si="51"/>
        <v>18843</v>
      </c>
      <c r="S326" s="2" t="str">
        <f t="shared" si="52"/>
        <v xml:space="preserve"> Not Achieved</v>
      </c>
      <c r="T326" s="2" t="str">
        <f t="shared" si="53"/>
        <v>Average</v>
      </c>
      <c r="U326" s="2"/>
    </row>
    <row r="327" spans="1:21" x14ac:dyDescent="0.3">
      <c r="A327">
        <v>326</v>
      </c>
      <c r="B327" t="s">
        <v>536</v>
      </c>
      <c r="C327" t="str">
        <f t="shared" si="45"/>
        <v>EMP_326</v>
      </c>
      <c r="D327" t="s">
        <v>11</v>
      </c>
      <c r="E327" t="str">
        <f t="shared" si="46"/>
        <v>EMP_326HR</v>
      </c>
      <c r="F327" t="s">
        <v>12</v>
      </c>
      <c r="G327" t="s">
        <v>25</v>
      </c>
      <c r="H327">
        <v>35019</v>
      </c>
      <c r="I327">
        <v>9458</v>
      </c>
      <c r="J327">
        <v>0</v>
      </c>
      <c r="K327">
        <v>0</v>
      </c>
      <c r="L327" s="4" t="s">
        <v>537</v>
      </c>
      <c r="M327" s="4" t="str">
        <f t="shared" si="47"/>
        <v>12/14/2022</v>
      </c>
      <c r="N327" s="1">
        <f t="shared" ca="1" si="48"/>
        <v>46064</v>
      </c>
      <c r="O327" s="6" t="e">
        <f t="shared" ca="1" si="49"/>
        <v>#VALUE!</v>
      </c>
      <c r="P327">
        <v>1</v>
      </c>
      <c r="Q327">
        <f t="shared" si="50"/>
        <v>44477</v>
      </c>
      <c r="R327" s="2">
        <f t="shared" si="51"/>
        <v>22238.5</v>
      </c>
      <c r="S327" s="2" t="str">
        <f t="shared" si="52"/>
        <v xml:space="preserve"> Not Achieved</v>
      </c>
      <c r="T327" s="2" t="str">
        <f t="shared" si="53"/>
        <v>Average</v>
      </c>
      <c r="U327" s="2"/>
    </row>
    <row r="328" spans="1:21" x14ac:dyDescent="0.3">
      <c r="A328">
        <v>327</v>
      </c>
      <c r="B328" t="s">
        <v>538</v>
      </c>
      <c r="C328" t="str">
        <f t="shared" si="45"/>
        <v>EMP_327</v>
      </c>
      <c r="D328" t="s">
        <v>15</v>
      </c>
      <c r="E328" t="str">
        <f t="shared" si="46"/>
        <v>EMP_327IT</v>
      </c>
      <c r="F328" t="s">
        <v>21</v>
      </c>
      <c r="G328" t="s">
        <v>16</v>
      </c>
      <c r="H328">
        <v>33368</v>
      </c>
      <c r="I328">
        <v>11227</v>
      </c>
      <c r="J328">
        <v>0</v>
      </c>
      <c r="K328">
        <v>0</v>
      </c>
      <c r="L328" s="4">
        <v>44235</v>
      </c>
      <c r="M328" s="4" t="str">
        <f t="shared" si="47"/>
        <v>2021</v>
      </c>
      <c r="N328" s="1">
        <f t="shared" ca="1" si="48"/>
        <v>46064</v>
      </c>
      <c r="O328" s="6">
        <f t="shared" ca="1" si="49"/>
        <v>5</v>
      </c>
      <c r="P328">
        <v>5</v>
      </c>
      <c r="Q328">
        <f t="shared" si="50"/>
        <v>44595</v>
      </c>
      <c r="R328" s="2">
        <f t="shared" si="51"/>
        <v>22297.5</v>
      </c>
      <c r="S328" s="2" t="str">
        <f t="shared" si="52"/>
        <v xml:space="preserve"> Not Achieved</v>
      </c>
      <c r="T328" s="2" t="str">
        <f t="shared" si="53"/>
        <v>Average</v>
      </c>
      <c r="U328" s="2"/>
    </row>
    <row r="329" spans="1:21" x14ac:dyDescent="0.3">
      <c r="A329">
        <v>328</v>
      </c>
      <c r="B329" t="s">
        <v>539</v>
      </c>
      <c r="C329" t="str">
        <f t="shared" si="45"/>
        <v>EMP_328</v>
      </c>
      <c r="D329" t="s">
        <v>15</v>
      </c>
      <c r="E329" t="str">
        <f t="shared" si="46"/>
        <v>EMP_328Sales</v>
      </c>
      <c r="F329" t="s">
        <v>7</v>
      </c>
      <c r="G329" t="s">
        <v>25</v>
      </c>
      <c r="H329">
        <v>21003</v>
      </c>
      <c r="I329">
        <v>2210</v>
      </c>
      <c r="J329">
        <v>164857</v>
      </c>
      <c r="K329">
        <v>214231</v>
      </c>
      <c r="L329" s="4" t="s">
        <v>540</v>
      </c>
      <c r="M329" s="4" t="str">
        <f t="shared" si="47"/>
        <v>7/14/2019</v>
      </c>
      <c r="N329" s="1">
        <f t="shared" ca="1" si="48"/>
        <v>46064</v>
      </c>
      <c r="O329" s="6" t="e">
        <f t="shared" ca="1" si="49"/>
        <v>#VALUE!</v>
      </c>
      <c r="P329">
        <v>4</v>
      </c>
      <c r="Q329">
        <f t="shared" si="50"/>
        <v>23213</v>
      </c>
      <c r="R329" s="2">
        <f t="shared" si="51"/>
        <v>11606.5</v>
      </c>
      <c r="S329" s="2" t="str">
        <f t="shared" si="52"/>
        <v xml:space="preserve"> Not Achieved</v>
      </c>
      <c r="T329" s="2" t="str">
        <f t="shared" si="53"/>
        <v>poor</v>
      </c>
      <c r="U329" s="2"/>
    </row>
    <row r="330" spans="1:21" x14ac:dyDescent="0.3">
      <c r="A330">
        <v>329</v>
      </c>
      <c r="B330" t="s">
        <v>541</v>
      </c>
      <c r="C330" t="str">
        <f t="shared" si="45"/>
        <v>EMP_329</v>
      </c>
      <c r="D330" t="s">
        <v>11</v>
      </c>
      <c r="E330" t="str">
        <f t="shared" si="46"/>
        <v>EMP_329IT</v>
      </c>
      <c r="F330" t="s">
        <v>21</v>
      </c>
      <c r="G330" t="s">
        <v>25</v>
      </c>
      <c r="H330">
        <v>70695</v>
      </c>
      <c r="I330">
        <v>14239</v>
      </c>
      <c r="J330">
        <v>0</v>
      </c>
      <c r="K330">
        <v>0</v>
      </c>
      <c r="L330" s="4" t="s">
        <v>542</v>
      </c>
      <c r="M330" s="4" t="str">
        <f t="shared" si="47"/>
        <v>12/28/2022</v>
      </c>
      <c r="N330" s="1">
        <f t="shared" ca="1" si="48"/>
        <v>46064</v>
      </c>
      <c r="O330" s="6" t="e">
        <f t="shared" ca="1" si="49"/>
        <v>#VALUE!</v>
      </c>
      <c r="P330">
        <v>1</v>
      </c>
      <c r="Q330">
        <f t="shared" si="50"/>
        <v>84934</v>
      </c>
      <c r="R330" s="2">
        <f t="shared" si="51"/>
        <v>42467</v>
      </c>
      <c r="S330" s="2" t="str">
        <f t="shared" si="52"/>
        <v xml:space="preserve"> Not Achieved</v>
      </c>
      <c r="T330" s="2" t="str">
        <f t="shared" si="53"/>
        <v xml:space="preserve"> Excellent</v>
      </c>
      <c r="U330" s="2"/>
    </row>
    <row r="331" spans="1:21" x14ac:dyDescent="0.3">
      <c r="A331">
        <v>330</v>
      </c>
      <c r="B331" t="s">
        <v>543</v>
      </c>
      <c r="C331" t="str">
        <f t="shared" si="45"/>
        <v>EMP_330</v>
      </c>
      <c r="D331" t="s">
        <v>11</v>
      </c>
      <c r="E331" t="str">
        <f t="shared" si="46"/>
        <v>EMP_330HR</v>
      </c>
      <c r="F331" t="s">
        <v>12</v>
      </c>
      <c r="G331" t="s">
        <v>19</v>
      </c>
      <c r="H331">
        <v>44349</v>
      </c>
      <c r="I331">
        <v>8566</v>
      </c>
      <c r="J331">
        <v>0</v>
      </c>
      <c r="K331">
        <v>0</v>
      </c>
      <c r="L331" s="4">
        <v>45481</v>
      </c>
      <c r="M331" s="4" t="str">
        <f t="shared" si="47"/>
        <v>2024</v>
      </c>
      <c r="N331" s="1">
        <f t="shared" ca="1" si="48"/>
        <v>46064</v>
      </c>
      <c r="O331" s="6">
        <f t="shared" ca="1" si="49"/>
        <v>1</v>
      </c>
      <c r="P331">
        <v>1</v>
      </c>
      <c r="Q331">
        <f t="shared" si="50"/>
        <v>52915</v>
      </c>
      <c r="R331" s="2">
        <f t="shared" si="51"/>
        <v>26457.5</v>
      </c>
      <c r="S331" s="2" t="str">
        <f t="shared" si="52"/>
        <v xml:space="preserve"> Not Achieved</v>
      </c>
      <c r="T331" s="2" t="str">
        <f t="shared" si="53"/>
        <v>Good</v>
      </c>
      <c r="U331" s="2"/>
    </row>
    <row r="332" spans="1:21" x14ac:dyDescent="0.3">
      <c r="A332">
        <v>331</v>
      </c>
      <c r="B332" t="s">
        <v>544</v>
      </c>
      <c r="C332" t="str">
        <f t="shared" si="45"/>
        <v>EMP_331</v>
      </c>
      <c r="D332" t="s">
        <v>11</v>
      </c>
      <c r="E332" t="str">
        <f t="shared" si="46"/>
        <v>EMP_331IT</v>
      </c>
      <c r="F332" t="s">
        <v>21</v>
      </c>
      <c r="G332" t="s">
        <v>13</v>
      </c>
      <c r="H332">
        <v>36389</v>
      </c>
      <c r="I332">
        <v>12329</v>
      </c>
      <c r="J332">
        <v>0</v>
      </c>
      <c r="K332">
        <v>0</v>
      </c>
      <c r="L332" s="4">
        <v>44934</v>
      </c>
      <c r="M332" s="4" t="str">
        <f t="shared" si="47"/>
        <v>2023</v>
      </c>
      <c r="N332" s="1">
        <f t="shared" ca="1" si="48"/>
        <v>46064</v>
      </c>
      <c r="O332" s="6">
        <f t="shared" ca="1" si="49"/>
        <v>3</v>
      </c>
      <c r="P332">
        <v>2</v>
      </c>
      <c r="Q332">
        <f t="shared" si="50"/>
        <v>48718</v>
      </c>
      <c r="R332" s="2">
        <f t="shared" si="51"/>
        <v>24359</v>
      </c>
      <c r="S332" s="2" t="str">
        <f t="shared" si="52"/>
        <v xml:space="preserve"> Not Achieved</v>
      </c>
      <c r="T332" s="2" t="str">
        <f t="shared" si="53"/>
        <v>Average</v>
      </c>
      <c r="U332" s="2"/>
    </row>
    <row r="333" spans="1:21" x14ac:dyDescent="0.3">
      <c r="A333">
        <v>332</v>
      </c>
      <c r="B333" t="s">
        <v>545</v>
      </c>
      <c r="C333" t="str">
        <f t="shared" si="45"/>
        <v>EMP_332</v>
      </c>
      <c r="D333" t="s">
        <v>15</v>
      </c>
      <c r="E333" t="str">
        <f t="shared" si="46"/>
        <v>EMP_332Marketing</v>
      </c>
      <c r="F333" t="s">
        <v>24</v>
      </c>
      <c r="G333" t="s">
        <v>16</v>
      </c>
      <c r="H333">
        <v>63359</v>
      </c>
      <c r="I333">
        <v>11423</v>
      </c>
      <c r="J333">
        <v>0</v>
      </c>
      <c r="K333">
        <v>0</v>
      </c>
      <c r="L333" s="4">
        <v>44964</v>
      </c>
      <c r="M333" s="4" t="str">
        <f t="shared" si="47"/>
        <v>2023</v>
      </c>
      <c r="N333" s="1">
        <f t="shared" ca="1" si="48"/>
        <v>46064</v>
      </c>
      <c r="O333" s="6">
        <f t="shared" ca="1" si="49"/>
        <v>3</v>
      </c>
      <c r="P333">
        <v>5</v>
      </c>
      <c r="Q333">
        <f t="shared" si="50"/>
        <v>74782</v>
      </c>
      <c r="R333" s="2">
        <f t="shared" si="51"/>
        <v>37391</v>
      </c>
      <c r="S333" s="2" t="str">
        <f t="shared" si="52"/>
        <v xml:space="preserve"> Not Achieved</v>
      </c>
      <c r="T333" s="2" t="str">
        <f t="shared" si="53"/>
        <v xml:space="preserve"> Excellent</v>
      </c>
      <c r="U333" s="2"/>
    </row>
    <row r="334" spans="1:21" x14ac:dyDescent="0.3">
      <c r="A334">
        <v>333</v>
      </c>
      <c r="B334" t="s">
        <v>546</v>
      </c>
      <c r="C334" t="str">
        <f t="shared" si="45"/>
        <v>EMP_333</v>
      </c>
      <c r="D334" t="s">
        <v>15</v>
      </c>
      <c r="E334" t="str">
        <f t="shared" si="46"/>
        <v>EMP_333Marketing</v>
      </c>
      <c r="F334" t="s">
        <v>24</v>
      </c>
      <c r="G334" t="s">
        <v>22</v>
      </c>
      <c r="H334">
        <v>41948</v>
      </c>
      <c r="I334">
        <v>10322</v>
      </c>
      <c r="J334">
        <v>0</v>
      </c>
      <c r="K334">
        <v>0</v>
      </c>
      <c r="L334" s="4">
        <v>45513</v>
      </c>
      <c r="M334" s="4" t="str">
        <f t="shared" si="47"/>
        <v>2024</v>
      </c>
      <c r="N334" s="1">
        <f t="shared" ca="1" si="48"/>
        <v>46064</v>
      </c>
      <c r="O334" s="6">
        <f t="shared" ca="1" si="49"/>
        <v>1</v>
      </c>
      <c r="P334">
        <v>5</v>
      </c>
      <c r="Q334">
        <f t="shared" si="50"/>
        <v>52270</v>
      </c>
      <c r="R334" s="2">
        <f t="shared" si="51"/>
        <v>26135</v>
      </c>
      <c r="S334" s="2" t="str">
        <f t="shared" si="52"/>
        <v xml:space="preserve"> Not Achieved</v>
      </c>
      <c r="T334" s="2" t="str">
        <f t="shared" si="53"/>
        <v>Good</v>
      </c>
      <c r="U334" s="2"/>
    </row>
    <row r="335" spans="1:21" x14ac:dyDescent="0.3">
      <c r="A335">
        <v>334</v>
      </c>
      <c r="B335" t="s">
        <v>547</v>
      </c>
      <c r="C335" t="str">
        <f t="shared" si="45"/>
        <v>EMP_334</v>
      </c>
      <c r="D335" t="s">
        <v>15</v>
      </c>
      <c r="E335" t="str">
        <f t="shared" si="46"/>
        <v>EMP_334Sales</v>
      </c>
      <c r="F335" t="s">
        <v>7</v>
      </c>
      <c r="G335" t="s">
        <v>25</v>
      </c>
      <c r="H335">
        <v>51964</v>
      </c>
      <c r="I335">
        <v>14425</v>
      </c>
      <c r="J335">
        <v>298893</v>
      </c>
      <c r="K335">
        <v>128396</v>
      </c>
      <c r="L335" s="4">
        <v>45176</v>
      </c>
      <c r="M335" s="4" t="str">
        <f t="shared" si="47"/>
        <v>2023</v>
      </c>
      <c r="N335" s="1">
        <f t="shared" ca="1" si="48"/>
        <v>46064</v>
      </c>
      <c r="O335" s="6">
        <f t="shared" ca="1" si="49"/>
        <v>2</v>
      </c>
      <c r="P335">
        <v>1</v>
      </c>
      <c r="Q335">
        <f t="shared" si="50"/>
        <v>66389</v>
      </c>
      <c r="R335" s="2">
        <f t="shared" si="51"/>
        <v>33194.5</v>
      </c>
      <c r="S335" s="2" t="str">
        <f t="shared" si="52"/>
        <v>Achieved</v>
      </c>
      <c r="T335" s="2" t="str">
        <f t="shared" si="53"/>
        <v xml:space="preserve"> Excellent</v>
      </c>
      <c r="U335" s="2"/>
    </row>
    <row r="336" spans="1:21" x14ac:dyDescent="0.3">
      <c r="A336">
        <v>335</v>
      </c>
      <c r="B336" t="s">
        <v>548</v>
      </c>
      <c r="C336" t="str">
        <f t="shared" si="45"/>
        <v>EMP_335</v>
      </c>
      <c r="D336" t="s">
        <v>11</v>
      </c>
      <c r="E336" t="str">
        <f t="shared" si="46"/>
        <v>EMP_335Marketing</v>
      </c>
      <c r="F336" t="s">
        <v>24</v>
      </c>
      <c r="G336" t="s">
        <v>22</v>
      </c>
      <c r="H336">
        <v>51476</v>
      </c>
      <c r="I336">
        <v>7421</v>
      </c>
      <c r="J336">
        <v>0</v>
      </c>
      <c r="K336">
        <v>0</v>
      </c>
      <c r="L336" s="4">
        <v>43954</v>
      </c>
      <c r="M336" s="4" t="str">
        <f t="shared" si="47"/>
        <v>2020</v>
      </c>
      <c r="N336" s="1">
        <f t="shared" ca="1" si="48"/>
        <v>46064</v>
      </c>
      <c r="O336" s="6">
        <f t="shared" ca="1" si="49"/>
        <v>5</v>
      </c>
      <c r="P336">
        <v>1</v>
      </c>
      <c r="Q336">
        <f t="shared" si="50"/>
        <v>58897</v>
      </c>
      <c r="R336" s="2">
        <f t="shared" si="51"/>
        <v>29448.5</v>
      </c>
      <c r="S336" s="2" t="str">
        <f t="shared" si="52"/>
        <v xml:space="preserve"> Not Achieved</v>
      </c>
      <c r="T336" s="2" t="str">
        <f t="shared" si="53"/>
        <v xml:space="preserve"> Excellent</v>
      </c>
      <c r="U336" s="2"/>
    </row>
    <row r="337" spans="1:21" x14ac:dyDescent="0.3">
      <c r="A337">
        <v>336</v>
      </c>
      <c r="B337" t="s">
        <v>549</v>
      </c>
      <c r="C337" t="str">
        <f t="shared" si="45"/>
        <v>EMP_336</v>
      </c>
      <c r="D337" t="s">
        <v>15</v>
      </c>
      <c r="E337" t="str">
        <f t="shared" si="46"/>
        <v>EMP_336IT</v>
      </c>
      <c r="F337" t="s">
        <v>21</v>
      </c>
      <c r="G337" t="s">
        <v>13</v>
      </c>
      <c r="H337">
        <v>78962</v>
      </c>
      <c r="I337">
        <v>8052</v>
      </c>
      <c r="J337">
        <v>0</v>
      </c>
      <c r="K337">
        <v>0</v>
      </c>
      <c r="L337" s="4" t="s">
        <v>219</v>
      </c>
      <c r="M337" s="4" t="str">
        <f t="shared" si="47"/>
        <v>4/27/2022</v>
      </c>
      <c r="N337" s="1">
        <f t="shared" ca="1" si="48"/>
        <v>46064</v>
      </c>
      <c r="O337" s="6" t="e">
        <f t="shared" ca="1" si="49"/>
        <v>#VALUE!</v>
      </c>
      <c r="P337">
        <v>3</v>
      </c>
      <c r="Q337">
        <f t="shared" si="50"/>
        <v>87014</v>
      </c>
      <c r="R337" s="2">
        <f t="shared" si="51"/>
        <v>43507</v>
      </c>
      <c r="S337" s="2" t="str">
        <f t="shared" si="52"/>
        <v xml:space="preserve"> Not Achieved</v>
      </c>
      <c r="T337" s="2" t="str">
        <f t="shared" si="53"/>
        <v xml:space="preserve"> Excellent</v>
      </c>
      <c r="U337" s="2"/>
    </row>
    <row r="338" spans="1:21" x14ac:dyDescent="0.3">
      <c r="A338">
        <v>337</v>
      </c>
      <c r="B338" t="s">
        <v>550</v>
      </c>
      <c r="C338" t="str">
        <f t="shared" si="45"/>
        <v>EMP_337</v>
      </c>
      <c r="D338" t="s">
        <v>11</v>
      </c>
      <c r="E338" t="str">
        <f t="shared" si="46"/>
        <v>EMP_337IT</v>
      </c>
      <c r="F338" t="s">
        <v>21</v>
      </c>
      <c r="G338" t="s">
        <v>22</v>
      </c>
      <c r="H338">
        <v>51755</v>
      </c>
      <c r="I338">
        <v>10403</v>
      </c>
      <c r="J338">
        <v>0</v>
      </c>
      <c r="K338">
        <v>0</v>
      </c>
      <c r="L338" s="4" t="s">
        <v>551</v>
      </c>
      <c r="M338" s="4" t="str">
        <f t="shared" si="47"/>
        <v>6/13/2021</v>
      </c>
      <c r="N338" s="1">
        <f t="shared" ca="1" si="48"/>
        <v>46064</v>
      </c>
      <c r="O338" s="6" t="e">
        <f t="shared" ca="1" si="49"/>
        <v>#VALUE!</v>
      </c>
      <c r="P338">
        <v>1</v>
      </c>
      <c r="Q338">
        <f t="shared" si="50"/>
        <v>62158</v>
      </c>
      <c r="R338" s="2">
        <f t="shared" si="51"/>
        <v>31079</v>
      </c>
      <c r="S338" s="2" t="str">
        <f t="shared" si="52"/>
        <v xml:space="preserve"> Not Achieved</v>
      </c>
      <c r="T338" s="2" t="str">
        <f t="shared" si="53"/>
        <v xml:space="preserve"> Excellent</v>
      </c>
      <c r="U338" s="2"/>
    </row>
    <row r="339" spans="1:21" x14ac:dyDescent="0.3">
      <c r="A339">
        <v>338</v>
      </c>
      <c r="B339" t="s">
        <v>552</v>
      </c>
      <c r="C339" t="str">
        <f t="shared" si="45"/>
        <v>EMP_338</v>
      </c>
      <c r="D339" t="s">
        <v>11</v>
      </c>
      <c r="E339" t="str">
        <f t="shared" si="46"/>
        <v>EMP_338Sales</v>
      </c>
      <c r="F339" t="s">
        <v>7</v>
      </c>
      <c r="G339" t="s">
        <v>19</v>
      </c>
      <c r="H339">
        <v>79909</v>
      </c>
      <c r="I339">
        <v>13927</v>
      </c>
      <c r="J339">
        <v>198930</v>
      </c>
      <c r="K339">
        <v>212214</v>
      </c>
      <c r="L339" s="4" t="s">
        <v>553</v>
      </c>
      <c r="M339" s="4" t="str">
        <f t="shared" si="47"/>
        <v>6/24/2024</v>
      </c>
      <c r="N339" s="1">
        <f t="shared" ca="1" si="48"/>
        <v>46064</v>
      </c>
      <c r="O339" s="6" t="e">
        <f t="shared" ca="1" si="49"/>
        <v>#VALUE!</v>
      </c>
      <c r="P339">
        <v>5</v>
      </c>
      <c r="Q339">
        <f t="shared" si="50"/>
        <v>93836</v>
      </c>
      <c r="R339" s="2">
        <f t="shared" si="51"/>
        <v>46918</v>
      </c>
      <c r="S339" s="2" t="str">
        <f t="shared" si="52"/>
        <v xml:space="preserve"> Not Achieved</v>
      </c>
      <c r="T339" s="2" t="str">
        <f t="shared" si="53"/>
        <v xml:space="preserve"> Excellent</v>
      </c>
      <c r="U339" s="2"/>
    </row>
    <row r="340" spans="1:21" x14ac:dyDescent="0.3">
      <c r="A340">
        <v>339</v>
      </c>
      <c r="B340" t="s">
        <v>554</v>
      </c>
      <c r="C340" t="str">
        <f t="shared" si="45"/>
        <v>EMP_339</v>
      </c>
      <c r="D340" t="s">
        <v>15</v>
      </c>
      <c r="E340" t="str">
        <f t="shared" si="46"/>
        <v>EMP_339Marketing</v>
      </c>
      <c r="F340" t="s">
        <v>24</v>
      </c>
      <c r="G340" t="s">
        <v>13</v>
      </c>
      <c r="H340">
        <v>34841</v>
      </c>
      <c r="I340">
        <v>9201</v>
      </c>
      <c r="J340">
        <v>0</v>
      </c>
      <c r="K340">
        <v>0</v>
      </c>
      <c r="L340" s="4">
        <v>44387</v>
      </c>
      <c r="M340" s="4" t="str">
        <f t="shared" si="47"/>
        <v>2021</v>
      </c>
      <c r="N340" s="1">
        <f t="shared" ca="1" si="48"/>
        <v>46064</v>
      </c>
      <c r="O340" s="6">
        <f t="shared" ca="1" si="49"/>
        <v>4</v>
      </c>
      <c r="P340">
        <v>3</v>
      </c>
      <c r="Q340">
        <f t="shared" si="50"/>
        <v>44042</v>
      </c>
      <c r="R340" s="2">
        <f t="shared" si="51"/>
        <v>22021</v>
      </c>
      <c r="S340" s="2" t="str">
        <f t="shared" si="52"/>
        <v xml:space="preserve"> Not Achieved</v>
      </c>
      <c r="T340" s="2" t="str">
        <f t="shared" si="53"/>
        <v>Average</v>
      </c>
      <c r="U340" s="2"/>
    </row>
    <row r="341" spans="1:21" x14ac:dyDescent="0.3">
      <c r="A341">
        <v>340</v>
      </c>
      <c r="B341" t="s">
        <v>555</v>
      </c>
      <c r="C341" t="str">
        <f t="shared" si="45"/>
        <v>EMP_340</v>
      </c>
      <c r="D341" t="s">
        <v>15</v>
      </c>
      <c r="E341" t="str">
        <f t="shared" si="46"/>
        <v>EMP_340Finance</v>
      </c>
      <c r="F341" t="s">
        <v>18</v>
      </c>
      <c r="G341" t="s">
        <v>19</v>
      </c>
      <c r="H341">
        <v>41453</v>
      </c>
      <c r="I341">
        <v>12423</v>
      </c>
      <c r="J341">
        <v>0</v>
      </c>
      <c r="K341">
        <v>0</v>
      </c>
      <c r="L341" s="4" t="s">
        <v>556</v>
      </c>
      <c r="M341" s="4" t="str">
        <f t="shared" si="47"/>
        <v>9/30/2024</v>
      </c>
      <c r="N341" s="1">
        <f t="shared" ca="1" si="48"/>
        <v>46064</v>
      </c>
      <c r="O341" s="6" t="e">
        <f t="shared" ca="1" si="49"/>
        <v>#VALUE!</v>
      </c>
      <c r="P341">
        <v>4</v>
      </c>
      <c r="Q341">
        <f t="shared" si="50"/>
        <v>53876</v>
      </c>
      <c r="R341" s="2">
        <f t="shared" si="51"/>
        <v>26938</v>
      </c>
      <c r="S341" s="2" t="str">
        <f t="shared" si="52"/>
        <v xml:space="preserve"> Not Achieved</v>
      </c>
      <c r="T341" s="2" t="str">
        <f t="shared" si="53"/>
        <v>Good</v>
      </c>
      <c r="U341" s="2"/>
    </row>
    <row r="342" spans="1:21" x14ac:dyDescent="0.3">
      <c r="A342">
        <v>341</v>
      </c>
      <c r="B342" t="s">
        <v>557</v>
      </c>
      <c r="C342" t="str">
        <f t="shared" si="45"/>
        <v>EMP_341</v>
      </c>
      <c r="D342" t="s">
        <v>11</v>
      </c>
      <c r="E342" t="str">
        <f t="shared" si="46"/>
        <v>EMP_341Marketing</v>
      </c>
      <c r="F342" t="s">
        <v>24</v>
      </c>
      <c r="G342" t="s">
        <v>16</v>
      </c>
      <c r="H342">
        <v>78636</v>
      </c>
      <c r="I342">
        <v>12700</v>
      </c>
      <c r="J342">
        <v>0</v>
      </c>
      <c r="K342">
        <v>0</v>
      </c>
      <c r="L342" s="4">
        <v>44328</v>
      </c>
      <c r="M342" s="4" t="str">
        <f t="shared" si="47"/>
        <v>2021</v>
      </c>
      <c r="N342" s="1">
        <f t="shared" ca="1" si="48"/>
        <v>46064</v>
      </c>
      <c r="O342" s="6">
        <f t="shared" ca="1" si="49"/>
        <v>4</v>
      </c>
      <c r="P342">
        <v>2</v>
      </c>
      <c r="Q342">
        <f t="shared" si="50"/>
        <v>91336</v>
      </c>
      <c r="R342" s="2">
        <f t="shared" si="51"/>
        <v>45668</v>
      </c>
      <c r="S342" s="2" t="str">
        <f t="shared" si="52"/>
        <v xml:space="preserve"> Not Achieved</v>
      </c>
      <c r="T342" s="2" t="str">
        <f t="shared" si="53"/>
        <v xml:space="preserve"> Excellent</v>
      </c>
      <c r="U342" s="2"/>
    </row>
    <row r="343" spans="1:21" x14ac:dyDescent="0.3">
      <c r="A343">
        <v>342</v>
      </c>
      <c r="B343" t="s">
        <v>558</v>
      </c>
      <c r="C343" t="str">
        <f t="shared" si="45"/>
        <v>EMP_342</v>
      </c>
      <c r="D343" t="s">
        <v>15</v>
      </c>
      <c r="E343" t="str">
        <f t="shared" si="46"/>
        <v>EMP_342Sales</v>
      </c>
      <c r="F343" t="s">
        <v>7</v>
      </c>
      <c r="G343" t="s">
        <v>13</v>
      </c>
      <c r="H343">
        <v>27364</v>
      </c>
      <c r="I343">
        <v>12542</v>
      </c>
      <c r="J343">
        <v>137509</v>
      </c>
      <c r="K343">
        <v>230540</v>
      </c>
      <c r="L343" s="4" t="s">
        <v>559</v>
      </c>
      <c r="M343" s="4" t="str">
        <f t="shared" si="47"/>
        <v>12/28/2018</v>
      </c>
      <c r="N343" s="1">
        <f t="shared" ca="1" si="48"/>
        <v>46064</v>
      </c>
      <c r="O343" s="6" t="e">
        <f t="shared" ca="1" si="49"/>
        <v>#VALUE!</v>
      </c>
      <c r="P343">
        <v>5</v>
      </c>
      <c r="Q343">
        <f t="shared" si="50"/>
        <v>39906</v>
      </c>
      <c r="R343" s="2">
        <f t="shared" si="51"/>
        <v>19953</v>
      </c>
      <c r="S343" s="2" t="str">
        <f t="shared" si="52"/>
        <v xml:space="preserve"> Not Achieved</v>
      </c>
      <c r="T343" s="2" t="str">
        <f t="shared" si="53"/>
        <v>poor</v>
      </c>
      <c r="U343" s="2"/>
    </row>
    <row r="344" spans="1:21" x14ac:dyDescent="0.3">
      <c r="A344">
        <v>343</v>
      </c>
      <c r="B344" t="s">
        <v>560</v>
      </c>
      <c r="C344" t="str">
        <f t="shared" si="45"/>
        <v>EMP_343</v>
      </c>
      <c r="D344" t="s">
        <v>15</v>
      </c>
      <c r="E344" t="str">
        <f t="shared" si="46"/>
        <v>EMP_343HR</v>
      </c>
      <c r="F344" t="s">
        <v>12</v>
      </c>
      <c r="G344" t="s">
        <v>22</v>
      </c>
      <c r="H344">
        <v>34734</v>
      </c>
      <c r="I344">
        <v>11064</v>
      </c>
      <c r="J344">
        <v>0</v>
      </c>
      <c r="K344">
        <v>0</v>
      </c>
      <c r="L344" s="4" t="s">
        <v>561</v>
      </c>
      <c r="M344" s="4" t="str">
        <f t="shared" si="47"/>
        <v>2/16/2022</v>
      </c>
      <c r="N344" s="1">
        <f t="shared" ca="1" si="48"/>
        <v>46064</v>
      </c>
      <c r="O344" s="6" t="e">
        <f t="shared" ca="1" si="49"/>
        <v>#VALUE!</v>
      </c>
      <c r="P344">
        <v>5</v>
      </c>
      <c r="Q344">
        <f t="shared" si="50"/>
        <v>45798</v>
      </c>
      <c r="R344" s="2">
        <f t="shared" si="51"/>
        <v>22899</v>
      </c>
      <c r="S344" s="2" t="str">
        <f t="shared" si="52"/>
        <v xml:space="preserve"> Not Achieved</v>
      </c>
      <c r="T344" s="2" t="str">
        <f t="shared" si="53"/>
        <v>Average</v>
      </c>
      <c r="U344" s="2"/>
    </row>
    <row r="345" spans="1:21" x14ac:dyDescent="0.3">
      <c r="A345">
        <v>344</v>
      </c>
      <c r="B345" t="s">
        <v>562</v>
      </c>
      <c r="C345" t="str">
        <f t="shared" si="45"/>
        <v>EMP_344</v>
      </c>
      <c r="D345" t="s">
        <v>15</v>
      </c>
      <c r="E345" t="str">
        <f t="shared" si="46"/>
        <v>EMP_344Marketing</v>
      </c>
      <c r="F345" t="s">
        <v>24</v>
      </c>
      <c r="G345" t="s">
        <v>16</v>
      </c>
      <c r="H345">
        <v>54727</v>
      </c>
      <c r="I345">
        <v>2587</v>
      </c>
      <c r="J345">
        <v>0</v>
      </c>
      <c r="K345">
        <v>0</v>
      </c>
      <c r="L345" s="4">
        <v>43351</v>
      </c>
      <c r="M345" s="4" t="str">
        <f t="shared" si="47"/>
        <v>2018</v>
      </c>
      <c r="N345" s="1">
        <f t="shared" ca="1" si="48"/>
        <v>46064</v>
      </c>
      <c r="O345" s="6">
        <f t="shared" ca="1" si="49"/>
        <v>7</v>
      </c>
      <c r="P345">
        <v>3</v>
      </c>
      <c r="Q345">
        <f t="shared" si="50"/>
        <v>57314</v>
      </c>
      <c r="R345" s="2">
        <f t="shared" si="51"/>
        <v>28657</v>
      </c>
      <c r="S345" s="2" t="str">
        <f t="shared" si="52"/>
        <v xml:space="preserve"> Not Achieved</v>
      </c>
      <c r="T345" s="2" t="str">
        <f t="shared" si="53"/>
        <v xml:space="preserve"> Excellent</v>
      </c>
      <c r="U345" s="2"/>
    </row>
    <row r="346" spans="1:21" x14ac:dyDescent="0.3">
      <c r="A346">
        <v>345</v>
      </c>
      <c r="B346" t="s">
        <v>563</v>
      </c>
      <c r="C346" t="str">
        <f t="shared" si="45"/>
        <v>EMP_345</v>
      </c>
      <c r="D346" t="s">
        <v>11</v>
      </c>
      <c r="E346" t="str">
        <f t="shared" si="46"/>
        <v>EMP_345Finance</v>
      </c>
      <c r="F346" t="s">
        <v>18</v>
      </c>
      <c r="G346" t="s">
        <v>22</v>
      </c>
      <c r="H346">
        <v>23314</v>
      </c>
      <c r="I346">
        <v>7625</v>
      </c>
      <c r="J346">
        <v>0</v>
      </c>
      <c r="K346">
        <v>0</v>
      </c>
      <c r="L346" s="4">
        <v>44531</v>
      </c>
      <c r="M346" s="4" t="str">
        <f t="shared" si="47"/>
        <v>2021</v>
      </c>
      <c r="N346" s="1">
        <f t="shared" ca="1" si="48"/>
        <v>46064</v>
      </c>
      <c r="O346" s="6">
        <f t="shared" ca="1" si="49"/>
        <v>4</v>
      </c>
      <c r="P346">
        <v>2</v>
      </c>
      <c r="Q346">
        <f t="shared" si="50"/>
        <v>30939</v>
      </c>
      <c r="R346" s="2">
        <f t="shared" si="51"/>
        <v>15469.5</v>
      </c>
      <c r="S346" s="2" t="str">
        <f t="shared" si="52"/>
        <v xml:space="preserve"> Not Achieved</v>
      </c>
      <c r="T346" s="2" t="str">
        <f t="shared" si="53"/>
        <v>poor</v>
      </c>
      <c r="U346" s="2"/>
    </row>
    <row r="347" spans="1:21" x14ac:dyDescent="0.3">
      <c r="A347">
        <v>346</v>
      </c>
      <c r="B347" t="s">
        <v>564</v>
      </c>
      <c r="C347" t="str">
        <f t="shared" si="45"/>
        <v>EMP_346</v>
      </c>
      <c r="D347" t="s">
        <v>15</v>
      </c>
      <c r="E347" t="str">
        <f t="shared" si="46"/>
        <v>EMP_346Marketing</v>
      </c>
      <c r="F347" t="s">
        <v>24</v>
      </c>
      <c r="G347" t="s">
        <v>22</v>
      </c>
      <c r="H347">
        <v>79952</v>
      </c>
      <c r="I347">
        <v>14434</v>
      </c>
      <c r="J347">
        <v>0</v>
      </c>
      <c r="K347">
        <v>0</v>
      </c>
      <c r="L347" s="4" t="s">
        <v>565</v>
      </c>
      <c r="M347" s="4" t="str">
        <f t="shared" si="47"/>
        <v>7/15/2021</v>
      </c>
      <c r="N347" s="1">
        <f t="shared" ca="1" si="48"/>
        <v>46064</v>
      </c>
      <c r="O347" s="6" t="e">
        <f t="shared" ca="1" si="49"/>
        <v>#VALUE!</v>
      </c>
      <c r="P347">
        <v>1</v>
      </c>
      <c r="Q347">
        <f t="shared" si="50"/>
        <v>94386</v>
      </c>
      <c r="R347" s="2">
        <f t="shared" si="51"/>
        <v>47193</v>
      </c>
      <c r="S347" s="2" t="str">
        <f t="shared" si="52"/>
        <v xml:space="preserve"> Not Achieved</v>
      </c>
      <c r="T347" s="2" t="str">
        <f t="shared" si="53"/>
        <v xml:space="preserve"> Excellent</v>
      </c>
      <c r="U347" s="2"/>
    </row>
    <row r="348" spans="1:21" x14ac:dyDescent="0.3">
      <c r="A348">
        <v>347</v>
      </c>
      <c r="B348" t="s">
        <v>566</v>
      </c>
      <c r="C348" t="str">
        <f t="shared" si="45"/>
        <v>EMP_347</v>
      </c>
      <c r="D348" t="s">
        <v>11</v>
      </c>
      <c r="E348" t="str">
        <f t="shared" si="46"/>
        <v>EMP_347HR</v>
      </c>
      <c r="F348" t="s">
        <v>12</v>
      </c>
      <c r="G348" t="s">
        <v>13</v>
      </c>
      <c r="H348">
        <v>42576</v>
      </c>
      <c r="I348">
        <v>14387</v>
      </c>
      <c r="J348">
        <v>0</v>
      </c>
      <c r="K348">
        <v>0</v>
      </c>
      <c r="L348" s="4">
        <v>44714</v>
      </c>
      <c r="M348" s="4" t="str">
        <f t="shared" si="47"/>
        <v>2022</v>
      </c>
      <c r="N348" s="1">
        <f t="shared" ca="1" si="48"/>
        <v>46064</v>
      </c>
      <c r="O348" s="6">
        <f t="shared" ca="1" si="49"/>
        <v>3</v>
      </c>
      <c r="P348">
        <v>1</v>
      </c>
      <c r="Q348">
        <f t="shared" si="50"/>
        <v>56963</v>
      </c>
      <c r="R348" s="2">
        <f t="shared" si="51"/>
        <v>28481.5</v>
      </c>
      <c r="S348" s="2" t="str">
        <f t="shared" si="52"/>
        <v xml:space="preserve"> Not Achieved</v>
      </c>
      <c r="T348" s="2" t="str">
        <f t="shared" si="53"/>
        <v>Good</v>
      </c>
      <c r="U348" s="2"/>
    </row>
    <row r="349" spans="1:21" x14ac:dyDescent="0.3">
      <c r="A349">
        <v>348</v>
      </c>
      <c r="B349" t="s">
        <v>567</v>
      </c>
      <c r="C349" t="str">
        <f t="shared" si="45"/>
        <v>EMP_348</v>
      </c>
      <c r="D349" t="s">
        <v>11</v>
      </c>
      <c r="E349" t="str">
        <f t="shared" si="46"/>
        <v>EMP_348Marketing</v>
      </c>
      <c r="F349" t="s">
        <v>24</v>
      </c>
      <c r="G349" t="s">
        <v>25</v>
      </c>
      <c r="H349">
        <v>24290</v>
      </c>
      <c r="I349">
        <v>2959</v>
      </c>
      <c r="J349">
        <v>0</v>
      </c>
      <c r="K349">
        <v>0</v>
      </c>
      <c r="L349" s="4" t="s">
        <v>100</v>
      </c>
      <c r="M349" s="4" t="str">
        <f t="shared" si="47"/>
        <v>6/29/2019</v>
      </c>
      <c r="N349" s="1">
        <f t="shared" ca="1" si="48"/>
        <v>46064</v>
      </c>
      <c r="O349" s="6" t="e">
        <f t="shared" ca="1" si="49"/>
        <v>#VALUE!</v>
      </c>
      <c r="P349">
        <v>2</v>
      </c>
      <c r="Q349">
        <f t="shared" si="50"/>
        <v>27249</v>
      </c>
      <c r="R349" s="2">
        <f t="shared" si="51"/>
        <v>13624.5</v>
      </c>
      <c r="S349" s="2" t="str">
        <f t="shared" si="52"/>
        <v xml:space="preserve"> Not Achieved</v>
      </c>
      <c r="T349" s="2" t="str">
        <f t="shared" si="53"/>
        <v>poor</v>
      </c>
      <c r="U349" s="2"/>
    </row>
    <row r="350" spans="1:21" x14ac:dyDescent="0.3">
      <c r="A350">
        <v>349</v>
      </c>
      <c r="B350" t="s">
        <v>568</v>
      </c>
      <c r="C350" t="str">
        <f t="shared" si="45"/>
        <v>EMP_349</v>
      </c>
      <c r="D350" t="s">
        <v>15</v>
      </c>
      <c r="E350" t="str">
        <f t="shared" si="46"/>
        <v>EMP_349IT</v>
      </c>
      <c r="F350" t="s">
        <v>21</v>
      </c>
      <c r="G350" t="s">
        <v>22</v>
      </c>
      <c r="H350">
        <v>50274</v>
      </c>
      <c r="I350">
        <v>7730</v>
      </c>
      <c r="J350">
        <v>0</v>
      </c>
      <c r="K350">
        <v>0</v>
      </c>
      <c r="L350" s="4">
        <v>45298</v>
      </c>
      <c r="M350" s="4" t="str">
        <f t="shared" si="47"/>
        <v>2024</v>
      </c>
      <c r="N350" s="1">
        <f t="shared" ca="1" si="48"/>
        <v>46064</v>
      </c>
      <c r="O350" s="6">
        <f t="shared" ca="1" si="49"/>
        <v>2</v>
      </c>
      <c r="P350">
        <v>1</v>
      </c>
      <c r="Q350">
        <f t="shared" si="50"/>
        <v>58004</v>
      </c>
      <c r="R350" s="2">
        <f t="shared" si="51"/>
        <v>29002</v>
      </c>
      <c r="S350" s="2" t="str">
        <f t="shared" si="52"/>
        <v xml:space="preserve"> Not Achieved</v>
      </c>
      <c r="T350" s="2" t="str">
        <f t="shared" si="53"/>
        <v xml:space="preserve"> Excellent</v>
      </c>
      <c r="U350" s="2"/>
    </row>
    <row r="351" spans="1:21" x14ac:dyDescent="0.3">
      <c r="A351">
        <v>350</v>
      </c>
      <c r="B351" t="s">
        <v>569</v>
      </c>
      <c r="C351" t="str">
        <f t="shared" si="45"/>
        <v>EMP_350</v>
      </c>
      <c r="D351" t="s">
        <v>11</v>
      </c>
      <c r="E351" t="str">
        <f t="shared" si="46"/>
        <v>EMP_350Finance</v>
      </c>
      <c r="F351" t="s">
        <v>18</v>
      </c>
      <c r="G351" t="s">
        <v>22</v>
      </c>
      <c r="H351">
        <v>25427</v>
      </c>
      <c r="I351">
        <v>4750</v>
      </c>
      <c r="J351">
        <v>0</v>
      </c>
      <c r="K351">
        <v>0</v>
      </c>
      <c r="L351" s="4">
        <v>44359</v>
      </c>
      <c r="M351" s="4" t="str">
        <f t="shared" si="47"/>
        <v>2021</v>
      </c>
      <c r="N351" s="1">
        <f t="shared" ca="1" si="48"/>
        <v>46064</v>
      </c>
      <c r="O351" s="6">
        <f t="shared" ca="1" si="49"/>
        <v>4</v>
      </c>
      <c r="P351">
        <v>5</v>
      </c>
      <c r="Q351">
        <f t="shared" si="50"/>
        <v>30177</v>
      </c>
      <c r="R351" s="2">
        <f t="shared" si="51"/>
        <v>15088.5</v>
      </c>
      <c r="S351" s="2" t="str">
        <f t="shared" si="52"/>
        <v xml:space="preserve"> Not Achieved</v>
      </c>
      <c r="T351" s="2" t="str">
        <f t="shared" si="53"/>
        <v>poor</v>
      </c>
      <c r="U351" s="2"/>
    </row>
    <row r="352" spans="1:21" x14ac:dyDescent="0.3">
      <c r="A352">
        <v>351</v>
      </c>
      <c r="B352" t="s">
        <v>570</v>
      </c>
      <c r="C352" t="str">
        <f t="shared" si="45"/>
        <v>EMP_351</v>
      </c>
      <c r="D352" t="s">
        <v>11</v>
      </c>
      <c r="E352" t="str">
        <f t="shared" si="46"/>
        <v>EMP_351Finance</v>
      </c>
      <c r="F352" t="s">
        <v>18</v>
      </c>
      <c r="G352" t="s">
        <v>25</v>
      </c>
      <c r="H352">
        <v>49197</v>
      </c>
      <c r="I352">
        <v>12843</v>
      </c>
      <c r="J352">
        <v>0</v>
      </c>
      <c r="K352">
        <v>0</v>
      </c>
      <c r="L352" s="4">
        <v>44652</v>
      </c>
      <c r="M352" s="4" t="str">
        <f t="shared" si="47"/>
        <v>2022</v>
      </c>
      <c r="N352" s="1">
        <f t="shared" ca="1" si="48"/>
        <v>46064</v>
      </c>
      <c r="O352" s="6">
        <f t="shared" ca="1" si="49"/>
        <v>3</v>
      </c>
      <c r="P352">
        <v>2</v>
      </c>
      <c r="Q352">
        <f t="shared" si="50"/>
        <v>62040</v>
      </c>
      <c r="R352" s="2">
        <f t="shared" si="51"/>
        <v>31020</v>
      </c>
      <c r="S352" s="2" t="str">
        <f t="shared" si="52"/>
        <v xml:space="preserve"> Not Achieved</v>
      </c>
      <c r="T352" s="2" t="str">
        <f t="shared" si="53"/>
        <v>Good</v>
      </c>
      <c r="U352" s="2"/>
    </row>
    <row r="353" spans="1:21" x14ac:dyDescent="0.3">
      <c r="A353">
        <v>352</v>
      </c>
      <c r="B353" t="s">
        <v>571</v>
      </c>
      <c r="C353" t="str">
        <f t="shared" si="45"/>
        <v>EMP_352</v>
      </c>
      <c r="D353" t="s">
        <v>11</v>
      </c>
      <c r="E353" t="str">
        <f t="shared" si="46"/>
        <v>EMP_352Finance</v>
      </c>
      <c r="F353" t="s">
        <v>18</v>
      </c>
      <c r="G353" t="s">
        <v>22</v>
      </c>
      <c r="H353">
        <v>28499</v>
      </c>
      <c r="I353">
        <v>9671</v>
      </c>
      <c r="J353">
        <v>0</v>
      </c>
      <c r="K353">
        <v>0</v>
      </c>
      <c r="L353" s="4" t="s">
        <v>572</v>
      </c>
      <c r="M353" s="4" t="str">
        <f t="shared" si="47"/>
        <v>8/19/2020</v>
      </c>
      <c r="N353" s="1">
        <f t="shared" ca="1" si="48"/>
        <v>46064</v>
      </c>
      <c r="O353" s="6" t="e">
        <f t="shared" ca="1" si="49"/>
        <v>#VALUE!</v>
      </c>
      <c r="P353">
        <v>2</v>
      </c>
      <c r="Q353">
        <f t="shared" si="50"/>
        <v>38170</v>
      </c>
      <c r="R353" s="2">
        <f t="shared" si="51"/>
        <v>19085</v>
      </c>
      <c r="S353" s="2" t="str">
        <f t="shared" si="52"/>
        <v xml:space="preserve"> Not Achieved</v>
      </c>
      <c r="T353" s="2" t="str">
        <f t="shared" si="53"/>
        <v>poor</v>
      </c>
      <c r="U353" s="2"/>
    </row>
    <row r="354" spans="1:21" x14ac:dyDescent="0.3">
      <c r="A354">
        <v>353</v>
      </c>
      <c r="B354" t="s">
        <v>573</v>
      </c>
      <c r="C354" t="str">
        <f t="shared" si="45"/>
        <v>EMP_353</v>
      </c>
      <c r="D354" t="s">
        <v>15</v>
      </c>
      <c r="E354" t="str">
        <f t="shared" si="46"/>
        <v>EMP_353Finance</v>
      </c>
      <c r="F354" t="s">
        <v>18</v>
      </c>
      <c r="G354" t="s">
        <v>13</v>
      </c>
      <c r="H354">
        <v>68196</v>
      </c>
      <c r="I354">
        <v>4788</v>
      </c>
      <c r="J354">
        <v>0</v>
      </c>
      <c r="K354">
        <v>0</v>
      </c>
      <c r="L354" s="4" t="s">
        <v>574</v>
      </c>
      <c r="M354" s="4" t="str">
        <f t="shared" si="47"/>
        <v>10/28/2023</v>
      </c>
      <c r="N354" s="1">
        <f t="shared" ca="1" si="48"/>
        <v>46064</v>
      </c>
      <c r="O354" s="6" t="e">
        <f t="shared" ca="1" si="49"/>
        <v>#VALUE!</v>
      </c>
      <c r="P354">
        <v>3</v>
      </c>
      <c r="Q354">
        <f t="shared" si="50"/>
        <v>72984</v>
      </c>
      <c r="R354" s="2">
        <f t="shared" si="51"/>
        <v>36492</v>
      </c>
      <c r="S354" s="2" t="str">
        <f t="shared" si="52"/>
        <v xml:space="preserve"> Not Achieved</v>
      </c>
      <c r="T354" s="2" t="str">
        <f t="shared" si="53"/>
        <v xml:space="preserve"> Excellent</v>
      </c>
      <c r="U354" s="2"/>
    </row>
    <row r="355" spans="1:21" x14ac:dyDescent="0.3">
      <c r="A355">
        <v>354</v>
      </c>
      <c r="B355" t="s">
        <v>575</v>
      </c>
      <c r="C355" t="str">
        <f t="shared" si="45"/>
        <v>EMP_354</v>
      </c>
      <c r="D355" t="s">
        <v>11</v>
      </c>
      <c r="E355" t="str">
        <f t="shared" si="46"/>
        <v>EMP_354HR</v>
      </c>
      <c r="F355" t="s">
        <v>12</v>
      </c>
      <c r="G355" t="s">
        <v>19</v>
      </c>
      <c r="H355">
        <v>71770</v>
      </c>
      <c r="I355">
        <v>13882</v>
      </c>
      <c r="J355">
        <v>0</v>
      </c>
      <c r="K355">
        <v>0</v>
      </c>
      <c r="L355" s="4" t="s">
        <v>576</v>
      </c>
      <c r="M355" s="4" t="str">
        <f t="shared" si="47"/>
        <v>6/17/2022</v>
      </c>
      <c r="N355" s="1">
        <f t="shared" ca="1" si="48"/>
        <v>46064</v>
      </c>
      <c r="O355" s="6" t="e">
        <f t="shared" ca="1" si="49"/>
        <v>#VALUE!</v>
      </c>
      <c r="P355">
        <v>4</v>
      </c>
      <c r="Q355">
        <f t="shared" si="50"/>
        <v>85652</v>
      </c>
      <c r="R355" s="2">
        <f t="shared" si="51"/>
        <v>42826</v>
      </c>
      <c r="S355" s="2" t="str">
        <f t="shared" si="52"/>
        <v xml:space="preserve"> Not Achieved</v>
      </c>
      <c r="T355" s="2" t="str">
        <f t="shared" si="53"/>
        <v xml:space="preserve"> Excellent</v>
      </c>
      <c r="U355" s="2"/>
    </row>
    <row r="356" spans="1:21" x14ac:dyDescent="0.3">
      <c r="A356">
        <v>355</v>
      </c>
      <c r="B356" t="s">
        <v>577</v>
      </c>
      <c r="C356" t="str">
        <f t="shared" si="45"/>
        <v>EMP_355</v>
      </c>
      <c r="D356" t="s">
        <v>15</v>
      </c>
      <c r="E356" t="str">
        <f t="shared" si="46"/>
        <v>EMP_355Sales</v>
      </c>
      <c r="F356" t="s">
        <v>7</v>
      </c>
      <c r="G356" t="s">
        <v>13</v>
      </c>
      <c r="H356">
        <v>62584</v>
      </c>
      <c r="I356">
        <v>14998</v>
      </c>
      <c r="J356">
        <v>199859</v>
      </c>
      <c r="K356">
        <v>208349</v>
      </c>
      <c r="L356" s="4">
        <v>44573</v>
      </c>
      <c r="M356" s="4" t="str">
        <f t="shared" si="47"/>
        <v>2022</v>
      </c>
      <c r="N356" s="1">
        <f t="shared" ca="1" si="48"/>
        <v>46064</v>
      </c>
      <c r="O356" s="6">
        <f t="shared" ca="1" si="49"/>
        <v>4</v>
      </c>
      <c r="P356">
        <v>4</v>
      </c>
      <c r="Q356">
        <f t="shared" si="50"/>
        <v>77582</v>
      </c>
      <c r="R356" s="2">
        <f t="shared" si="51"/>
        <v>38791</v>
      </c>
      <c r="S356" s="2" t="str">
        <f t="shared" si="52"/>
        <v xml:space="preserve"> Not Achieved</v>
      </c>
      <c r="T356" s="2" t="str">
        <f t="shared" si="53"/>
        <v xml:space="preserve"> Excellent</v>
      </c>
      <c r="U356" s="2"/>
    </row>
    <row r="357" spans="1:21" x14ac:dyDescent="0.3">
      <c r="A357">
        <v>356</v>
      </c>
      <c r="B357" t="s">
        <v>578</v>
      </c>
      <c r="C357" t="str">
        <f t="shared" si="45"/>
        <v>EMP_356</v>
      </c>
      <c r="D357" t="s">
        <v>11</v>
      </c>
      <c r="E357" t="str">
        <f t="shared" si="46"/>
        <v>EMP_356Marketing</v>
      </c>
      <c r="F357" t="s">
        <v>24</v>
      </c>
      <c r="G357" t="s">
        <v>16</v>
      </c>
      <c r="H357">
        <v>45780</v>
      </c>
      <c r="I357">
        <v>7149</v>
      </c>
      <c r="J357">
        <v>0</v>
      </c>
      <c r="K357">
        <v>0</v>
      </c>
      <c r="L357" s="4" t="s">
        <v>579</v>
      </c>
      <c r="M357" s="4" t="str">
        <f t="shared" si="47"/>
        <v>11/27/2018</v>
      </c>
      <c r="N357" s="1">
        <f t="shared" ca="1" si="48"/>
        <v>46064</v>
      </c>
      <c r="O357" s="6" t="e">
        <f t="shared" ca="1" si="49"/>
        <v>#VALUE!</v>
      </c>
      <c r="P357">
        <v>2</v>
      </c>
      <c r="Q357">
        <f t="shared" si="50"/>
        <v>52929</v>
      </c>
      <c r="R357" s="2">
        <f t="shared" si="51"/>
        <v>26464.5</v>
      </c>
      <c r="S357" s="2" t="str">
        <f t="shared" si="52"/>
        <v xml:space="preserve"> Not Achieved</v>
      </c>
      <c r="T357" s="2" t="str">
        <f t="shared" si="53"/>
        <v>Good</v>
      </c>
      <c r="U357" s="2"/>
    </row>
    <row r="358" spans="1:21" x14ac:dyDescent="0.3">
      <c r="A358">
        <v>357</v>
      </c>
      <c r="B358" t="s">
        <v>580</v>
      </c>
      <c r="C358" t="str">
        <f t="shared" si="45"/>
        <v>EMP_357</v>
      </c>
      <c r="D358" t="s">
        <v>15</v>
      </c>
      <c r="E358" t="str">
        <f t="shared" si="46"/>
        <v>EMP_357HR</v>
      </c>
      <c r="F358" t="s">
        <v>12</v>
      </c>
      <c r="G358" t="s">
        <v>16</v>
      </c>
      <c r="H358">
        <v>39882</v>
      </c>
      <c r="I358">
        <v>10154</v>
      </c>
      <c r="J358">
        <v>0</v>
      </c>
      <c r="K358">
        <v>0</v>
      </c>
      <c r="L358" s="4">
        <v>44569</v>
      </c>
      <c r="M358" s="4" t="str">
        <f t="shared" si="47"/>
        <v>2022</v>
      </c>
      <c r="N358" s="1">
        <f t="shared" ca="1" si="48"/>
        <v>46064</v>
      </c>
      <c r="O358" s="6">
        <f t="shared" ca="1" si="49"/>
        <v>4</v>
      </c>
      <c r="P358">
        <v>1</v>
      </c>
      <c r="Q358">
        <f t="shared" si="50"/>
        <v>50036</v>
      </c>
      <c r="R358" s="2">
        <f t="shared" si="51"/>
        <v>25018</v>
      </c>
      <c r="S358" s="2" t="str">
        <f t="shared" si="52"/>
        <v xml:space="preserve"> Not Achieved</v>
      </c>
      <c r="T358" s="2" t="str">
        <f t="shared" si="53"/>
        <v>Average</v>
      </c>
      <c r="U358" s="2"/>
    </row>
    <row r="359" spans="1:21" x14ac:dyDescent="0.3">
      <c r="A359">
        <v>358</v>
      </c>
      <c r="B359" t="s">
        <v>581</v>
      </c>
      <c r="C359" t="str">
        <f t="shared" si="45"/>
        <v>EMP_358</v>
      </c>
      <c r="D359" t="s">
        <v>15</v>
      </c>
      <c r="E359" t="str">
        <f t="shared" si="46"/>
        <v>EMP_358HR</v>
      </c>
      <c r="F359" t="s">
        <v>12</v>
      </c>
      <c r="G359" t="s">
        <v>16</v>
      </c>
      <c r="H359">
        <v>75360</v>
      </c>
      <c r="I359">
        <v>9561</v>
      </c>
      <c r="J359">
        <v>0</v>
      </c>
      <c r="K359">
        <v>0</v>
      </c>
      <c r="L359" s="4">
        <v>44476</v>
      </c>
      <c r="M359" s="4" t="str">
        <f t="shared" si="47"/>
        <v>2021</v>
      </c>
      <c r="N359" s="1">
        <f t="shared" ca="1" si="48"/>
        <v>46064</v>
      </c>
      <c r="O359" s="6">
        <f t="shared" ca="1" si="49"/>
        <v>4</v>
      </c>
      <c r="P359">
        <v>1</v>
      </c>
      <c r="Q359">
        <f t="shared" si="50"/>
        <v>84921</v>
      </c>
      <c r="R359" s="2">
        <f t="shared" si="51"/>
        <v>42460.5</v>
      </c>
      <c r="S359" s="2" t="str">
        <f t="shared" si="52"/>
        <v xml:space="preserve"> Not Achieved</v>
      </c>
      <c r="T359" s="2" t="str">
        <f t="shared" si="53"/>
        <v xml:space="preserve"> Excellent</v>
      </c>
      <c r="U359" s="2"/>
    </row>
    <row r="360" spans="1:21" x14ac:dyDescent="0.3">
      <c r="A360">
        <v>359</v>
      </c>
      <c r="B360" t="s">
        <v>582</v>
      </c>
      <c r="C360" t="str">
        <f t="shared" si="45"/>
        <v>EMP_359</v>
      </c>
      <c r="D360" t="s">
        <v>15</v>
      </c>
      <c r="E360" t="str">
        <f t="shared" si="46"/>
        <v>EMP_359HR</v>
      </c>
      <c r="F360" t="s">
        <v>12</v>
      </c>
      <c r="G360" t="s">
        <v>19</v>
      </c>
      <c r="H360">
        <v>67492</v>
      </c>
      <c r="I360">
        <v>3479</v>
      </c>
      <c r="J360">
        <v>0</v>
      </c>
      <c r="K360">
        <v>0</v>
      </c>
      <c r="L360" s="4" t="s">
        <v>583</v>
      </c>
      <c r="M360" s="4" t="str">
        <f t="shared" si="47"/>
        <v>12/26/2022</v>
      </c>
      <c r="N360" s="1">
        <f t="shared" ca="1" si="48"/>
        <v>46064</v>
      </c>
      <c r="O360" s="6" t="e">
        <f t="shared" ca="1" si="49"/>
        <v>#VALUE!</v>
      </c>
      <c r="P360">
        <v>4</v>
      </c>
      <c r="Q360">
        <f t="shared" si="50"/>
        <v>70971</v>
      </c>
      <c r="R360" s="2">
        <f t="shared" si="51"/>
        <v>35485.5</v>
      </c>
      <c r="S360" s="2" t="str">
        <f t="shared" si="52"/>
        <v xml:space="preserve"> Not Achieved</v>
      </c>
      <c r="T360" s="2" t="str">
        <f t="shared" si="53"/>
        <v xml:space="preserve"> Excellent</v>
      </c>
      <c r="U360" s="2"/>
    </row>
    <row r="361" spans="1:21" x14ac:dyDescent="0.3">
      <c r="A361">
        <v>360</v>
      </c>
      <c r="B361" t="s">
        <v>584</v>
      </c>
      <c r="C361" t="str">
        <f t="shared" si="45"/>
        <v>EMP_360</v>
      </c>
      <c r="D361" t="s">
        <v>15</v>
      </c>
      <c r="E361" t="str">
        <f t="shared" si="46"/>
        <v>EMP_360Sales</v>
      </c>
      <c r="F361" t="s">
        <v>7</v>
      </c>
      <c r="G361" t="s">
        <v>13</v>
      </c>
      <c r="H361">
        <v>36802</v>
      </c>
      <c r="I361">
        <v>2396</v>
      </c>
      <c r="J361">
        <v>295220</v>
      </c>
      <c r="K361">
        <v>189515</v>
      </c>
      <c r="L361" s="4" t="s">
        <v>254</v>
      </c>
      <c r="M361" s="4" t="str">
        <f t="shared" si="47"/>
        <v>7/20/2019</v>
      </c>
      <c r="N361" s="1">
        <f t="shared" ca="1" si="48"/>
        <v>46064</v>
      </c>
      <c r="O361" s="6" t="e">
        <f t="shared" ca="1" si="49"/>
        <v>#VALUE!</v>
      </c>
      <c r="P361">
        <v>1</v>
      </c>
      <c r="Q361">
        <f t="shared" si="50"/>
        <v>39198</v>
      </c>
      <c r="R361" s="2">
        <f t="shared" si="51"/>
        <v>19599</v>
      </c>
      <c r="S361" s="2" t="str">
        <f t="shared" si="52"/>
        <v>Achieved</v>
      </c>
      <c r="T361" s="2" t="str">
        <f t="shared" si="53"/>
        <v>Average</v>
      </c>
      <c r="U361" s="2"/>
    </row>
    <row r="362" spans="1:21" x14ac:dyDescent="0.3">
      <c r="A362">
        <v>361</v>
      </c>
      <c r="B362" t="s">
        <v>585</v>
      </c>
      <c r="C362" t="str">
        <f t="shared" si="45"/>
        <v>EMP_361</v>
      </c>
      <c r="D362" t="s">
        <v>15</v>
      </c>
      <c r="E362" t="str">
        <f t="shared" si="46"/>
        <v>EMP_361IT</v>
      </c>
      <c r="F362" t="s">
        <v>21</v>
      </c>
      <c r="G362" t="s">
        <v>22</v>
      </c>
      <c r="H362">
        <v>44683</v>
      </c>
      <c r="I362">
        <v>3131</v>
      </c>
      <c r="J362">
        <v>0</v>
      </c>
      <c r="K362">
        <v>0</v>
      </c>
      <c r="L362" s="4">
        <v>45420</v>
      </c>
      <c r="M362" s="4" t="str">
        <f t="shared" si="47"/>
        <v>2024</v>
      </c>
      <c r="N362" s="1">
        <f t="shared" ca="1" si="48"/>
        <v>46064</v>
      </c>
      <c r="O362" s="6">
        <f t="shared" ca="1" si="49"/>
        <v>1</v>
      </c>
      <c r="P362">
        <v>5</v>
      </c>
      <c r="Q362">
        <f t="shared" si="50"/>
        <v>47814</v>
      </c>
      <c r="R362" s="2">
        <f t="shared" si="51"/>
        <v>23907</v>
      </c>
      <c r="S362" s="2" t="str">
        <f t="shared" si="52"/>
        <v xml:space="preserve"> Not Achieved</v>
      </c>
      <c r="T362" s="2" t="str">
        <f t="shared" si="53"/>
        <v>Good</v>
      </c>
      <c r="U362" s="2"/>
    </row>
    <row r="363" spans="1:21" x14ac:dyDescent="0.3">
      <c r="A363">
        <v>362</v>
      </c>
      <c r="B363" t="s">
        <v>586</v>
      </c>
      <c r="C363" t="str">
        <f t="shared" si="45"/>
        <v>EMP_362</v>
      </c>
      <c r="D363" t="s">
        <v>15</v>
      </c>
      <c r="E363" t="str">
        <f t="shared" si="46"/>
        <v>EMP_362HR</v>
      </c>
      <c r="F363" t="s">
        <v>12</v>
      </c>
      <c r="G363" t="s">
        <v>25</v>
      </c>
      <c r="H363">
        <v>67493</v>
      </c>
      <c r="I363">
        <v>9820</v>
      </c>
      <c r="J363">
        <v>0</v>
      </c>
      <c r="K363">
        <v>0</v>
      </c>
      <c r="L363" s="4">
        <v>45360</v>
      </c>
      <c r="M363" s="4" t="str">
        <f t="shared" si="47"/>
        <v>2024</v>
      </c>
      <c r="N363" s="1">
        <f t="shared" ca="1" si="48"/>
        <v>46064</v>
      </c>
      <c r="O363" s="6">
        <f t="shared" ca="1" si="49"/>
        <v>1</v>
      </c>
      <c r="P363">
        <v>2</v>
      </c>
      <c r="Q363">
        <f t="shared" si="50"/>
        <v>77313</v>
      </c>
      <c r="R363" s="2">
        <f t="shared" si="51"/>
        <v>38656.5</v>
      </c>
      <c r="S363" s="2" t="str">
        <f t="shared" si="52"/>
        <v xml:space="preserve"> Not Achieved</v>
      </c>
      <c r="T363" s="2" t="str">
        <f t="shared" si="53"/>
        <v xml:space="preserve"> Excellent</v>
      </c>
      <c r="U363" s="2"/>
    </row>
    <row r="364" spans="1:21" x14ac:dyDescent="0.3">
      <c r="A364">
        <v>363</v>
      </c>
      <c r="B364" t="s">
        <v>587</v>
      </c>
      <c r="C364" t="str">
        <f t="shared" si="45"/>
        <v>EMP_363</v>
      </c>
      <c r="D364" t="s">
        <v>11</v>
      </c>
      <c r="E364" t="str">
        <f t="shared" si="46"/>
        <v>EMP_363Marketing</v>
      </c>
      <c r="F364" t="s">
        <v>24</v>
      </c>
      <c r="G364" t="s">
        <v>13</v>
      </c>
      <c r="H364">
        <v>49401</v>
      </c>
      <c r="I364">
        <v>4786</v>
      </c>
      <c r="J364">
        <v>0</v>
      </c>
      <c r="K364">
        <v>0</v>
      </c>
      <c r="L364" s="4">
        <v>44199</v>
      </c>
      <c r="M364" s="4" t="str">
        <f t="shared" si="47"/>
        <v>2021</v>
      </c>
      <c r="N364" s="1">
        <f t="shared" ca="1" si="48"/>
        <v>46064</v>
      </c>
      <c r="O364" s="6">
        <f t="shared" ca="1" si="49"/>
        <v>5</v>
      </c>
      <c r="P364">
        <v>2</v>
      </c>
      <c r="Q364">
        <f t="shared" si="50"/>
        <v>54187</v>
      </c>
      <c r="R364" s="2">
        <f t="shared" si="51"/>
        <v>27093.5</v>
      </c>
      <c r="S364" s="2" t="str">
        <f t="shared" si="52"/>
        <v xml:space="preserve"> Not Achieved</v>
      </c>
      <c r="T364" s="2" t="str">
        <f t="shared" si="53"/>
        <v>Good</v>
      </c>
      <c r="U364" s="2"/>
    </row>
    <row r="365" spans="1:21" x14ac:dyDescent="0.3">
      <c r="A365">
        <v>364</v>
      </c>
      <c r="B365" t="s">
        <v>588</v>
      </c>
      <c r="C365" t="str">
        <f t="shared" si="45"/>
        <v>EMP_364</v>
      </c>
      <c r="D365" t="s">
        <v>15</v>
      </c>
      <c r="E365" t="str">
        <f t="shared" si="46"/>
        <v>EMP_364HR</v>
      </c>
      <c r="F365" t="s">
        <v>12</v>
      </c>
      <c r="G365" t="s">
        <v>25</v>
      </c>
      <c r="H365">
        <v>43331</v>
      </c>
      <c r="I365">
        <v>7347</v>
      </c>
      <c r="J365">
        <v>0</v>
      </c>
      <c r="K365">
        <v>0</v>
      </c>
      <c r="L365" s="4" t="s">
        <v>589</v>
      </c>
      <c r="M365" s="4" t="str">
        <f t="shared" si="47"/>
        <v>11/20/2022</v>
      </c>
      <c r="N365" s="1">
        <f t="shared" ca="1" si="48"/>
        <v>46064</v>
      </c>
      <c r="O365" s="6" t="e">
        <f t="shared" ca="1" si="49"/>
        <v>#VALUE!</v>
      </c>
      <c r="P365">
        <v>2</v>
      </c>
      <c r="Q365">
        <f t="shared" si="50"/>
        <v>50678</v>
      </c>
      <c r="R365" s="2">
        <f t="shared" si="51"/>
        <v>25339</v>
      </c>
      <c r="S365" s="2" t="str">
        <f t="shared" si="52"/>
        <v xml:space="preserve"> Not Achieved</v>
      </c>
      <c r="T365" s="2" t="str">
        <f t="shared" si="53"/>
        <v>Good</v>
      </c>
      <c r="U365" s="2"/>
    </row>
    <row r="366" spans="1:21" x14ac:dyDescent="0.3">
      <c r="A366">
        <v>365</v>
      </c>
      <c r="B366" t="s">
        <v>590</v>
      </c>
      <c r="C366" t="str">
        <f t="shared" si="45"/>
        <v>EMP_365</v>
      </c>
      <c r="D366" t="s">
        <v>15</v>
      </c>
      <c r="E366" t="str">
        <f t="shared" si="46"/>
        <v>EMP_365Marketing</v>
      </c>
      <c r="F366" t="s">
        <v>24</v>
      </c>
      <c r="G366" t="s">
        <v>13</v>
      </c>
      <c r="H366">
        <v>40465</v>
      </c>
      <c r="I366">
        <v>12214</v>
      </c>
      <c r="J366">
        <v>0</v>
      </c>
      <c r="K366">
        <v>0</v>
      </c>
      <c r="L366" s="4" t="s">
        <v>591</v>
      </c>
      <c r="M366" s="4" t="str">
        <f t="shared" si="47"/>
        <v>10/27/2024</v>
      </c>
      <c r="N366" s="1">
        <f t="shared" ca="1" si="48"/>
        <v>46064</v>
      </c>
      <c r="O366" s="6" t="e">
        <f t="shared" ca="1" si="49"/>
        <v>#VALUE!</v>
      </c>
      <c r="P366">
        <v>3</v>
      </c>
      <c r="Q366">
        <f t="shared" si="50"/>
        <v>52679</v>
      </c>
      <c r="R366" s="2">
        <f t="shared" si="51"/>
        <v>26339.5</v>
      </c>
      <c r="S366" s="2" t="str">
        <f t="shared" si="52"/>
        <v xml:space="preserve"> Not Achieved</v>
      </c>
      <c r="T366" s="2" t="str">
        <f t="shared" si="53"/>
        <v>Good</v>
      </c>
      <c r="U366" s="2"/>
    </row>
    <row r="367" spans="1:21" x14ac:dyDescent="0.3">
      <c r="A367">
        <v>366</v>
      </c>
      <c r="B367" t="s">
        <v>592</v>
      </c>
      <c r="C367" t="str">
        <f t="shared" si="45"/>
        <v>EMP_366</v>
      </c>
      <c r="D367" t="s">
        <v>11</v>
      </c>
      <c r="E367" t="str">
        <f t="shared" si="46"/>
        <v>EMP_366Marketing</v>
      </c>
      <c r="F367" t="s">
        <v>24</v>
      </c>
      <c r="G367" t="s">
        <v>19</v>
      </c>
      <c r="H367">
        <v>55637</v>
      </c>
      <c r="I367">
        <v>5738</v>
      </c>
      <c r="J367">
        <v>0</v>
      </c>
      <c r="K367">
        <v>0</v>
      </c>
      <c r="L367" s="4">
        <v>43657</v>
      </c>
      <c r="M367" s="4" t="str">
        <f t="shared" si="47"/>
        <v>2019</v>
      </c>
      <c r="N367" s="1">
        <f t="shared" ca="1" si="48"/>
        <v>46064</v>
      </c>
      <c r="O367" s="6">
        <f t="shared" ca="1" si="49"/>
        <v>6</v>
      </c>
      <c r="P367">
        <v>5</v>
      </c>
      <c r="Q367">
        <f t="shared" si="50"/>
        <v>61375</v>
      </c>
      <c r="R367" s="2">
        <f t="shared" si="51"/>
        <v>30687.5</v>
      </c>
      <c r="S367" s="2" t="str">
        <f t="shared" si="52"/>
        <v xml:space="preserve"> Not Achieved</v>
      </c>
      <c r="T367" s="2" t="str">
        <f t="shared" si="53"/>
        <v xml:space="preserve"> Excellent</v>
      </c>
      <c r="U367" s="2"/>
    </row>
    <row r="368" spans="1:21" x14ac:dyDescent="0.3">
      <c r="A368">
        <v>367</v>
      </c>
      <c r="B368" t="s">
        <v>593</v>
      </c>
      <c r="C368" t="str">
        <f t="shared" si="45"/>
        <v>EMP_367</v>
      </c>
      <c r="D368" t="s">
        <v>15</v>
      </c>
      <c r="E368" t="str">
        <f t="shared" si="46"/>
        <v>EMP_367Marketing</v>
      </c>
      <c r="F368" t="s">
        <v>24</v>
      </c>
      <c r="G368" t="s">
        <v>22</v>
      </c>
      <c r="H368">
        <v>78919</v>
      </c>
      <c r="I368">
        <v>14905</v>
      </c>
      <c r="J368">
        <v>0</v>
      </c>
      <c r="K368">
        <v>0</v>
      </c>
      <c r="L368" s="4" t="s">
        <v>594</v>
      </c>
      <c r="M368" s="4" t="str">
        <f t="shared" si="47"/>
        <v>11/27/2020</v>
      </c>
      <c r="N368" s="1">
        <f t="shared" ca="1" si="48"/>
        <v>46064</v>
      </c>
      <c r="O368" s="6" t="e">
        <f t="shared" ca="1" si="49"/>
        <v>#VALUE!</v>
      </c>
      <c r="P368">
        <v>1</v>
      </c>
      <c r="Q368">
        <f t="shared" si="50"/>
        <v>93824</v>
      </c>
      <c r="R368" s="2">
        <f t="shared" si="51"/>
        <v>46912</v>
      </c>
      <c r="S368" s="2" t="str">
        <f t="shared" si="52"/>
        <v xml:space="preserve"> Not Achieved</v>
      </c>
      <c r="T368" s="2" t="str">
        <f t="shared" si="53"/>
        <v xml:space="preserve"> Excellent</v>
      </c>
      <c r="U368" s="2"/>
    </row>
    <row r="369" spans="1:21" x14ac:dyDescent="0.3">
      <c r="A369">
        <v>368</v>
      </c>
      <c r="B369" t="s">
        <v>595</v>
      </c>
      <c r="C369" t="str">
        <f t="shared" si="45"/>
        <v>EMP_368</v>
      </c>
      <c r="D369" t="s">
        <v>11</v>
      </c>
      <c r="E369" t="str">
        <f t="shared" si="46"/>
        <v>EMP_368Finance</v>
      </c>
      <c r="F369" t="s">
        <v>18</v>
      </c>
      <c r="G369" t="s">
        <v>25</v>
      </c>
      <c r="H369">
        <v>35985</v>
      </c>
      <c r="I369">
        <v>11350</v>
      </c>
      <c r="J369">
        <v>0</v>
      </c>
      <c r="K369">
        <v>0</v>
      </c>
      <c r="L369" s="4">
        <v>44146</v>
      </c>
      <c r="M369" s="4" t="str">
        <f t="shared" si="47"/>
        <v>2020</v>
      </c>
      <c r="N369" s="1">
        <f t="shared" ca="1" si="48"/>
        <v>46064</v>
      </c>
      <c r="O369" s="6">
        <f t="shared" ca="1" si="49"/>
        <v>5</v>
      </c>
      <c r="P369">
        <v>4</v>
      </c>
      <c r="Q369">
        <f t="shared" si="50"/>
        <v>47335</v>
      </c>
      <c r="R369" s="2">
        <f t="shared" si="51"/>
        <v>23667.5</v>
      </c>
      <c r="S369" s="2" t="str">
        <f t="shared" si="52"/>
        <v xml:space="preserve"> Not Achieved</v>
      </c>
      <c r="T369" s="2" t="str">
        <f t="shared" si="53"/>
        <v>Average</v>
      </c>
      <c r="U369" s="2"/>
    </row>
    <row r="370" spans="1:21" x14ac:dyDescent="0.3">
      <c r="A370">
        <v>369</v>
      </c>
      <c r="B370" t="s">
        <v>596</v>
      </c>
      <c r="C370" t="str">
        <f t="shared" si="45"/>
        <v>EMP_369</v>
      </c>
      <c r="D370" t="s">
        <v>15</v>
      </c>
      <c r="E370" t="str">
        <f t="shared" si="46"/>
        <v>EMP_369Marketing</v>
      </c>
      <c r="F370" t="s">
        <v>24</v>
      </c>
      <c r="G370" t="s">
        <v>19</v>
      </c>
      <c r="H370">
        <v>27220</v>
      </c>
      <c r="I370">
        <v>4151</v>
      </c>
      <c r="J370">
        <v>0</v>
      </c>
      <c r="K370">
        <v>0</v>
      </c>
      <c r="L370" s="4" t="s">
        <v>597</v>
      </c>
      <c r="M370" s="4" t="str">
        <f t="shared" si="47"/>
        <v>1/15/2018</v>
      </c>
      <c r="N370" s="1">
        <f t="shared" ca="1" si="48"/>
        <v>46064</v>
      </c>
      <c r="O370" s="6" t="e">
        <f t="shared" ca="1" si="49"/>
        <v>#VALUE!</v>
      </c>
      <c r="P370">
        <v>4</v>
      </c>
      <c r="Q370">
        <f t="shared" si="50"/>
        <v>31371</v>
      </c>
      <c r="R370" s="2">
        <f t="shared" si="51"/>
        <v>15685.5</v>
      </c>
      <c r="S370" s="2" t="str">
        <f t="shared" si="52"/>
        <v xml:space="preserve"> Not Achieved</v>
      </c>
      <c r="T370" s="2" t="str">
        <f t="shared" si="53"/>
        <v>poor</v>
      </c>
      <c r="U370" s="2"/>
    </row>
    <row r="371" spans="1:21" x14ac:dyDescent="0.3">
      <c r="A371">
        <v>370</v>
      </c>
      <c r="B371" t="s">
        <v>598</v>
      </c>
      <c r="C371" t="str">
        <f t="shared" si="45"/>
        <v>EMP_370</v>
      </c>
      <c r="D371" t="s">
        <v>11</v>
      </c>
      <c r="E371" t="str">
        <f t="shared" si="46"/>
        <v>EMP_370Sales</v>
      </c>
      <c r="F371" t="s">
        <v>7</v>
      </c>
      <c r="G371" t="s">
        <v>25</v>
      </c>
      <c r="H371">
        <v>29866</v>
      </c>
      <c r="I371">
        <v>10747</v>
      </c>
      <c r="J371">
        <v>55194</v>
      </c>
      <c r="K371">
        <v>190791</v>
      </c>
      <c r="L371" s="4" t="s">
        <v>599</v>
      </c>
      <c r="M371" s="4" t="str">
        <f t="shared" si="47"/>
        <v>10/19/2022</v>
      </c>
      <c r="N371" s="1">
        <f t="shared" ca="1" si="48"/>
        <v>46064</v>
      </c>
      <c r="O371" s="6" t="e">
        <f t="shared" ca="1" si="49"/>
        <v>#VALUE!</v>
      </c>
      <c r="P371">
        <v>3</v>
      </c>
      <c r="Q371">
        <f t="shared" si="50"/>
        <v>40613</v>
      </c>
      <c r="R371" s="2">
        <f t="shared" si="51"/>
        <v>20306.5</v>
      </c>
      <c r="S371" s="2" t="str">
        <f t="shared" si="52"/>
        <v xml:space="preserve"> Not Achieved</v>
      </c>
      <c r="T371" s="2" t="str">
        <f t="shared" si="53"/>
        <v>poor</v>
      </c>
      <c r="U371" s="2"/>
    </row>
    <row r="372" spans="1:21" x14ac:dyDescent="0.3">
      <c r="A372">
        <v>371</v>
      </c>
      <c r="B372" t="s">
        <v>600</v>
      </c>
      <c r="C372" t="str">
        <f t="shared" si="45"/>
        <v>EMP_371</v>
      </c>
      <c r="D372" t="s">
        <v>11</v>
      </c>
      <c r="E372" t="str">
        <f t="shared" si="46"/>
        <v>EMP_371HR</v>
      </c>
      <c r="F372" t="s">
        <v>12</v>
      </c>
      <c r="G372" t="s">
        <v>16</v>
      </c>
      <c r="H372">
        <v>65151</v>
      </c>
      <c r="I372">
        <v>8702</v>
      </c>
      <c r="J372">
        <v>0</v>
      </c>
      <c r="K372">
        <v>0</v>
      </c>
      <c r="L372" s="4" t="s">
        <v>601</v>
      </c>
      <c r="M372" s="4" t="str">
        <f t="shared" si="47"/>
        <v>3/23/2023</v>
      </c>
      <c r="N372" s="1">
        <f t="shared" ca="1" si="48"/>
        <v>46064</v>
      </c>
      <c r="O372" s="6" t="e">
        <f t="shared" ca="1" si="49"/>
        <v>#VALUE!</v>
      </c>
      <c r="P372">
        <v>1</v>
      </c>
      <c r="Q372">
        <f t="shared" si="50"/>
        <v>73853</v>
      </c>
      <c r="R372" s="2">
        <f t="shared" si="51"/>
        <v>36926.5</v>
      </c>
      <c r="S372" s="2" t="str">
        <f t="shared" si="52"/>
        <v xml:space="preserve"> Not Achieved</v>
      </c>
      <c r="T372" s="2" t="str">
        <f t="shared" si="53"/>
        <v xml:space="preserve"> Excellent</v>
      </c>
      <c r="U372" s="2"/>
    </row>
    <row r="373" spans="1:21" x14ac:dyDescent="0.3">
      <c r="A373">
        <v>372</v>
      </c>
      <c r="B373" t="s">
        <v>602</v>
      </c>
      <c r="C373" t="str">
        <f t="shared" si="45"/>
        <v>EMP_372</v>
      </c>
      <c r="D373" t="s">
        <v>11</v>
      </c>
      <c r="E373" t="str">
        <f t="shared" si="46"/>
        <v>EMP_372Sales</v>
      </c>
      <c r="F373" t="s">
        <v>7</v>
      </c>
      <c r="G373" t="s">
        <v>22</v>
      </c>
      <c r="H373">
        <v>35465</v>
      </c>
      <c r="I373">
        <v>14078</v>
      </c>
      <c r="J373">
        <v>77175</v>
      </c>
      <c r="K373">
        <v>174669</v>
      </c>
      <c r="L373" s="4" t="s">
        <v>603</v>
      </c>
      <c r="M373" s="4" t="str">
        <f t="shared" si="47"/>
        <v>7/21/2020</v>
      </c>
      <c r="N373" s="1">
        <f t="shared" ca="1" si="48"/>
        <v>46064</v>
      </c>
      <c r="O373" s="6" t="e">
        <f t="shared" ca="1" si="49"/>
        <v>#VALUE!</v>
      </c>
      <c r="P373">
        <v>3</v>
      </c>
      <c r="Q373">
        <f t="shared" si="50"/>
        <v>49543</v>
      </c>
      <c r="R373" s="2">
        <f t="shared" si="51"/>
        <v>24771.5</v>
      </c>
      <c r="S373" s="2" t="str">
        <f t="shared" si="52"/>
        <v xml:space="preserve"> Not Achieved</v>
      </c>
      <c r="T373" s="2" t="str">
        <f t="shared" si="53"/>
        <v>Average</v>
      </c>
      <c r="U373" s="2"/>
    </row>
    <row r="374" spans="1:21" x14ac:dyDescent="0.3">
      <c r="A374">
        <v>373</v>
      </c>
      <c r="B374" t="s">
        <v>604</v>
      </c>
      <c r="C374" t="str">
        <f t="shared" si="45"/>
        <v>EMP_373</v>
      </c>
      <c r="D374" t="s">
        <v>15</v>
      </c>
      <c r="E374" t="str">
        <f t="shared" si="46"/>
        <v>EMP_373HR</v>
      </c>
      <c r="F374" t="s">
        <v>12</v>
      </c>
      <c r="G374" t="s">
        <v>16</v>
      </c>
      <c r="H374">
        <v>55089</v>
      </c>
      <c r="I374">
        <v>7439</v>
      </c>
      <c r="J374">
        <v>0</v>
      </c>
      <c r="K374">
        <v>0</v>
      </c>
      <c r="L374" s="4" t="s">
        <v>605</v>
      </c>
      <c r="M374" s="4" t="str">
        <f t="shared" si="47"/>
        <v>12/20/2019</v>
      </c>
      <c r="N374" s="1">
        <f t="shared" ca="1" si="48"/>
        <v>46064</v>
      </c>
      <c r="O374" s="6" t="e">
        <f t="shared" ca="1" si="49"/>
        <v>#VALUE!</v>
      </c>
      <c r="P374">
        <v>3</v>
      </c>
      <c r="Q374">
        <f t="shared" si="50"/>
        <v>62528</v>
      </c>
      <c r="R374" s="2">
        <f t="shared" si="51"/>
        <v>31264</v>
      </c>
      <c r="S374" s="2" t="str">
        <f t="shared" si="52"/>
        <v xml:space="preserve"> Not Achieved</v>
      </c>
      <c r="T374" s="2" t="str">
        <f t="shared" si="53"/>
        <v xml:space="preserve"> Excellent</v>
      </c>
      <c r="U374" s="2"/>
    </row>
    <row r="375" spans="1:21" x14ac:dyDescent="0.3">
      <c r="A375">
        <v>374</v>
      </c>
      <c r="B375" t="s">
        <v>606</v>
      </c>
      <c r="C375" t="str">
        <f t="shared" si="45"/>
        <v>EMP_374</v>
      </c>
      <c r="D375" t="s">
        <v>15</v>
      </c>
      <c r="E375" t="str">
        <f t="shared" si="46"/>
        <v>EMP_374HR</v>
      </c>
      <c r="F375" t="s">
        <v>12</v>
      </c>
      <c r="G375" t="s">
        <v>22</v>
      </c>
      <c r="H375">
        <v>70262</v>
      </c>
      <c r="I375">
        <v>5185</v>
      </c>
      <c r="J375">
        <v>0</v>
      </c>
      <c r="K375">
        <v>0</v>
      </c>
      <c r="L375" s="4" t="s">
        <v>219</v>
      </c>
      <c r="M375" s="4" t="str">
        <f t="shared" si="47"/>
        <v>4/27/2022</v>
      </c>
      <c r="N375" s="1">
        <f t="shared" ca="1" si="48"/>
        <v>46064</v>
      </c>
      <c r="O375" s="6" t="e">
        <f t="shared" ca="1" si="49"/>
        <v>#VALUE!</v>
      </c>
      <c r="P375">
        <v>1</v>
      </c>
      <c r="Q375">
        <f t="shared" si="50"/>
        <v>75447</v>
      </c>
      <c r="R375" s="2">
        <f t="shared" si="51"/>
        <v>37723.5</v>
      </c>
      <c r="S375" s="2" t="str">
        <f t="shared" si="52"/>
        <v xml:space="preserve"> Not Achieved</v>
      </c>
      <c r="T375" s="2" t="str">
        <f t="shared" si="53"/>
        <v xml:space="preserve"> Excellent</v>
      </c>
      <c r="U375" s="2"/>
    </row>
    <row r="376" spans="1:21" x14ac:dyDescent="0.3">
      <c r="A376">
        <v>375</v>
      </c>
      <c r="B376" t="s">
        <v>607</v>
      </c>
      <c r="C376" t="str">
        <f t="shared" si="45"/>
        <v>EMP_375</v>
      </c>
      <c r="D376" t="s">
        <v>11</v>
      </c>
      <c r="E376" t="str">
        <f t="shared" si="46"/>
        <v>EMP_375Sales</v>
      </c>
      <c r="F376" t="s">
        <v>7</v>
      </c>
      <c r="G376" t="s">
        <v>13</v>
      </c>
      <c r="H376">
        <v>75186</v>
      </c>
      <c r="I376">
        <v>2748</v>
      </c>
      <c r="J376">
        <v>267318</v>
      </c>
      <c r="K376">
        <v>91502</v>
      </c>
      <c r="L376" s="4" t="s">
        <v>608</v>
      </c>
      <c r="M376" s="4" t="str">
        <f t="shared" si="47"/>
        <v>5/29/2024</v>
      </c>
      <c r="N376" s="1">
        <f t="shared" ca="1" si="48"/>
        <v>46064</v>
      </c>
      <c r="O376" s="6" t="e">
        <f t="shared" ca="1" si="49"/>
        <v>#VALUE!</v>
      </c>
      <c r="P376">
        <v>2</v>
      </c>
      <c r="Q376">
        <f t="shared" si="50"/>
        <v>77934</v>
      </c>
      <c r="R376" s="2">
        <f t="shared" si="51"/>
        <v>38967</v>
      </c>
      <c r="S376" s="2" t="str">
        <f t="shared" si="52"/>
        <v>Achieved</v>
      </c>
      <c r="T376" s="2" t="str">
        <f t="shared" si="53"/>
        <v xml:space="preserve"> Excellent</v>
      </c>
      <c r="U376" s="2"/>
    </row>
    <row r="377" spans="1:21" x14ac:dyDescent="0.3">
      <c r="A377">
        <v>376</v>
      </c>
      <c r="B377" t="s">
        <v>609</v>
      </c>
      <c r="C377" t="str">
        <f t="shared" si="45"/>
        <v>EMP_376</v>
      </c>
      <c r="D377" t="s">
        <v>11</v>
      </c>
      <c r="E377" t="str">
        <f t="shared" si="46"/>
        <v>EMP_376Finance</v>
      </c>
      <c r="F377" t="s">
        <v>18</v>
      </c>
      <c r="G377" t="s">
        <v>22</v>
      </c>
      <c r="H377">
        <v>35023</v>
      </c>
      <c r="I377">
        <v>4551</v>
      </c>
      <c r="J377">
        <v>0</v>
      </c>
      <c r="K377">
        <v>0</v>
      </c>
      <c r="L377" s="4" t="s">
        <v>410</v>
      </c>
      <c r="M377" s="4" t="str">
        <f t="shared" si="47"/>
        <v>11/17/2021</v>
      </c>
      <c r="N377" s="1">
        <f t="shared" ca="1" si="48"/>
        <v>46064</v>
      </c>
      <c r="O377" s="6" t="e">
        <f t="shared" ca="1" si="49"/>
        <v>#VALUE!</v>
      </c>
      <c r="P377">
        <v>3</v>
      </c>
      <c r="Q377">
        <f t="shared" si="50"/>
        <v>39574</v>
      </c>
      <c r="R377" s="2">
        <f t="shared" si="51"/>
        <v>19787</v>
      </c>
      <c r="S377" s="2" t="str">
        <f t="shared" si="52"/>
        <v xml:space="preserve"> Not Achieved</v>
      </c>
      <c r="T377" s="2" t="str">
        <f t="shared" si="53"/>
        <v>Average</v>
      </c>
      <c r="U377" s="2"/>
    </row>
    <row r="378" spans="1:21" x14ac:dyDescent="0.3">
      <c r="A378">
        <v>377</v>
      </c>
      <c r="B378" t="s">
        <v>610</v>
      </c>
      <c r="C378" t="str">
        <f t="shared" si="45"/>
        <v>EMP_377</v>
      </c>
      <c r="D378" t="s">
        <v>15</v>
      </c>
      <c r="E378" t="str">
        <f t="shared" si="46"/>
        <v>EMP_377IT</v>
      </c>
      <c r="F378" t="s">
        <v>21</v>
      </c>
      <c r="G378" t="s">
        <v>16</v>
      </c>
      <c r="H378">
        <v>51012</v>
      </c>
      <c r="I378">
        <v>3870</v>
      </c>
      <c r="J378">
        <v>0</v>
      </c>
      <c r="K378">
        <v>0</v>
      </c>
      <c r="L378" s="4" t="s">
        <v>611</v>
      </c>
      <c r="M378" s="4" t="str">
        <f t="shared" si="47"/>
        <v>4/29/2019</v>
      </c>
      <c r="N378" s="1">
        <f t="shared" ca="1" si="48"/>
        <v>46064</v>
      </c>
      <c r="O378" s="6" t="e">
        <f t="shared" ca="1" si="49"/>
        <v>#VALUE!</v>
      </c>
      <c r="P378">
        <v>3</v>
      </c>
      <c r="Q378">
        <f t="shared" si="50"/>
        <v>54882</v>
      </c>
      <c r="R378" s="2">
        <f t="shared" si="51"/>
        <v>27441</v>
      </c>
      <c r="S378" s="2" t="str">
        <f t="shared" si="52"/>
        <v xml:space="preserve"> Not Achieved</v>
      </c>
      <c r="T378" s="2" t="str">
        <f t="shared" si="53"/>
        <v xml:space="preserve"> Excellent</v>
      </c>
      <c r="U378" s="2"/>
    </row>
    <row r="379" spans="1:21" x14ac:dyDescent="0.3">
      <c r="A379">
        <v>378</v>
      </c>
      <c r="B379" t="s">
        <v>612</v>
      </c>
      <c r="C379" t="str">
        <f t="shared" si="45"/>
        <v>EMP_378</v>
      </c>
      <c r="D379" t="s">
        <v>11</v>
      </c>
      <c r="E379" t="str">
        <f t="shared" si="46"/>
        <v>EMP_378HR</v>
      </c>
      <c r="F379" t="s">
        <v>12</v>
      </c>
      <c r="G379" t="s">
        <v>13</v>
      </c>
      <c r="H379">
        <v>62103</v>
      </c>
      <c r="I379">
        <v>8629</v>
      </c>
      <c r="J379">
        <v>0</v>
      </c>
      <c r="K379">
        <v>0</v>
      </c>
      <c r="L379" s="4" t="s">
        <v>613</v>
      </c>
      <c r="M379" s="4" t="str">
        <f t="shared" si="47"/>
        <v>2/24/2019</v>
      </c>
      <c r="N379" s="1">
        <f t="shared" ca="1" si="48"/>
        <v>46064</v>
      </c>
      <c r="O379" s="6" t="e">
        <f t="shared" ca="1" si="49"/>
        <v>#VALUE!</v>
      </c>
      <c r="P379">
        <v>5</v>
      </c>
      <c r="Q379">
        <f t="shared" si="50"/>
        <v>70732</v>
      </c>
      <c r="R379" s="2">
        <f t="shared" si="51"/>
        <v>35366</v>
      </c>
      <c r="S379" s="2" t="str">
        <f t="shared" si="52"/>
        <v xml:space="preserve"> Not Achieved</v>
      </c>
      <c r="T379" s="2" t="str">
        <f t="shared" si="53"/>
        <v xml:space="preserve"> Excellent</v>
      </c>
      <c r="U379" s="2"/>
    </row>
    <row r="380" spans="1:21" x14ac:dyDescent="0.3">
      <c r="A380">
        <v>379</v>
      </c>
      <c r="B380" t="s">
        <v>614</v>
      </c>
      <c r="C380" t="str">
        <f t="shared" si="45"/>
        <v>EMP_379</v>
      </c>
      <c r="D380" t="s">
        <v>15</v>
      </c>
      <c r="E380" t="str">
        <f t="shared" si="46"/>
        <v>EMP_379Marketing</v>
      </c>
      <c r="F380" t="s">
        <v>24</v>
      </c>
      <c r="G380" t="s">
        <v>22</v>
      </c>
      <c r="H380">
        <v>51624</v>
      </c>
      <c r="I380">
        <v>3750</v>
      </c>
      <c r="J380">
        <v>0</v>
      </c>
      <c r="K380">
        <v>0</v>
      </c>
      <c r="L380" s="4" t="s">
        <v>615</v>
      </c>
      <c r="M380" s="4" t="str">
        <f t="shared" si="47"/>
        <v>10/19/2023</v>
      </c>
      <c r="N380" s="1">
        <f t="shared" ca="1" si="48"/>
        <v>46064</v>
      </c>
      <c r="O380" s="6" t="e">
        <f t="shared" ca="1" si="49"/>
        <v>#VALUE!</v>
      </c>
      <c r="P380">
        <v>3</v>
      </c>
      <c r="Q380">
        <f t="shared" si="50"/>
        <v>55374</v>
      </c>
      <c r="R380" s="2">
        <f t="shared" si="51"/>
        <v>27687</v>
      </c>
      <c r="S380" s="2" t="str">
        <f t="shared" si="52"/>
        <v xml:space="preserve"> Not Achieved</v>
      </c>
      <c r="T380" s="2" t="str">
        <f t="shared" si="53"/>
        <v xml:space="preserve"> Excellent</v>
      </c>
      <c r="U380" s="2"/>
    </row>
    <row r="381" spans="1:21" x14ac:dyDescent="0.3">
      <c r="A381">
        <v>380</v>
      </c>
      <c r="B381" t="s">
        <v>616</v>
      </c>
      <c r="C381" t="str">
        <f t="shared" si="45"/>
        <v>EMP_380</v>
      </c>
      <c r="D381" t="s">
        <v>11</v>
      </c>
      <c r="E381" t="str">
        <f t="shared" si="46"/>
        <v>EMP_380IT</v>
      </c>
      <c r="F381" t="s">
        <v>21</v>
      </c>
      <c r="G381" t="s">
        <v>16</v>
      </c>
      <c r="H381">
        <v>77751</v>
      </c>
      <c r="I381">
        <v>3839</v>
      </c>
      <c r="J381">
        <v>0</v>
      </c>
      <c r="K381">
        <v>0</v>
      </c>
      <c r="L381" s="4" t="s">
        <v>617</v>
      </c>
      <c r="M381" s="4" t="str">
        <f t="shared" si="47"/>
        <v>10/15/2022</v>
      </c>
      <c r="N381" s="1">
        <f t="shared" ca="1" si="48"/>
        <v>46064</v>
      </c>
      <c r="O381" s="6" t="e">
        <f t="shared" ca="1" si="49"/>
        <v>#VALUE!</v>
      </c>
      <c r="P381">
        <v>4</v>
      </c>
      <c r="Q381">
        <f t="shared" si="50"/>
        <v>81590</v>
      </c>
      <c r="R381" s="2">
        <f t="shared" si="51"/>
        <v>40795</v>
      </c>
      <c r="S381" s="2" t="str">
        <f t="shared" si="52"/>
        <v xml:space="preserve"> Not Achieved</v>
      </c>
      <c r="T381" s="2" t="str">
        <f t="shared" si="53"/>
        <v xml:space="preserve"> Excellent</v>
      </c>
      <c r="U381" s="2"/>
    </row>
    <row r="382" spans="1:21" x14ac:dyDescent="0.3">
      <c r="A382">
        <v>381</v>
      </c>
      <c r="B382" t="s">
        <v>618</v>
      </c>
      <c r="C382" t="str">
        <f t="shared" si="45"/>
        <v>EMP_381</v>
      </c>
      <c r="D382" t="s">
        <v>11</v>
      </c>
      <c r="E382" t="str">
        <f t="shared" si="46"/>
        <v>EMP_381HR</v>
      </c>
      <c r="F382" t="s">
        <v>12</v>
      </c>
      <c r="G382" t="s">
        <v>19</v>
      </c>
      <c r="H382">
        <v>55015</v>
      </c>
      <c r="I382">
        <v>9040</v>
      </c>
      <c r="J382">
        <v>0</v>
      </c>
      <c r="K382">
        <v>0</v>
      </c>
      <c r="L382" s="4">
        <v>44992</v>
      </c>
      <c r="M382" s="4" t="str">
        <f t="shared" si="47"/>
        <v>2023</v>
      </c>
      <c r="N382" s="1">
        <f t="shared" ca="1" si="48"/>
        <v>46064</v>
      </c>
      <c r="O382" s="6">
        <f t="shared" ca="1" si="49"/>
        <v>2</v>
      </c>
      <c r="P382">
        <v>3</v>
      </c>
      <c r="Q382">
        <f t="shared" si="50"/>
        <v>64055</v>
      </c>
      <c r="R382" s="2">
        <f t="shared" si="51"/>
        <v>32027.5</v>
      </c>
      <c r="S382" s="2" t="str">
        <f t="shared" si="52"/>
        <v xml:space="preserve"> Not Achieved</v>
      </c>
      <c r="T382" s="2" t="str">
        <f t="shared" si="53"/>
        <v xml:space="preserve"> Excellent</v>
      </c>
      <c r="U382" s="2"/>
    </row>
    <row r="383" spans="1:21" x14ac:dyDescent="0.3">
      <c r="A383">
        <v>382</v>
      </c>
      <c r="B383" t="s">
        <v>619</v>
      </c>
      <c r="C383" t="str">
        <f t="shared" si="45"/>
        <v>EMP_382</v>
      </c>
      <c r="D383" t="s">
        <v>15</v>
      </c>
      <c r="E383" t="str">
        <f t="shared" si="46"/>
        <v>EMP_382Finance</v>
      </c>
      <c r="F383" t="s">
        <v>18</v>
      </c>
      <c r="G383" t="s">
        <v>13</v>
      </c>
      <c r="H383">
        <v>28540</v>
      </c>
      <c r="I383">
        <v>8038</v>
      </c>
      <c r="J383">
        <v>0</v>
      </c>
      <c r="K383">
        <v>0</v>
      </c>
      <c r="L383" s="4" t="s">
        <v>620</v>
      </c>
      <c r="M383" s="4" t="str">
        <f t="shared" si="47"/>
        <v>11/14/2022</v>
      </c>
      <c r="N383" s="1">
        <f t="shared" ca="1" si="48"/>
        <v>46064</v>
      </c>
      <c r="O383" s="6" t="e">
        <f t="shared" ca="1" si="49"/>
        <v>#VALUE!</v>
      </c>
      <c r="P383">
        <v>1</v>
      </c>
      <c r="Q383">
        <f t="shared" si="50"/>
        <v>36578</v>
      </c>
      <c r="R383" s="2">
        <f t="shared" si="51"/>
        <v>18289</v>
      </c>
      <c r="S383" s="2" t="str">
        <f t="shared" si="52"/>
        <v xml:space="preserve"> Not Achieved</v>
      </c>
      <c r="T383" s="2" t="str">
        <f t="shared" si="53"/>
        <v>poor</v>
      </c>
      <c r="U383" s="2"/>
    </row>
    <row r="384" spans="1:21" x14ac:dyDescent="0.3">
      <c r="A384">
        <v>383</v>
      </c>
      <c r="B384" t="s">
        <v>621</v>
      </c>
      <c r="C384" t="str">
        <f t="shared" si="45"/>
        <v>EMP_383</v>
      </c>
      <c r="D384" t="s">
        <v>11</v>
      </c>
      <c r="E384" t="str">
        <f t="shared" si="46"/>
        <v>EMP_383IT</v>
      </c>
      <c r="F384" t="s">
        <v>21</v>
      </c>
      <c r="G384" t="s">
        <v>13</v>
      </c>
      <c r="H384">
        <v>26829</v>
      </c>
      <c r="I384">
        <v>13956</v>
      </c>
      <c r="J384">
        <v>0</v>
      </c>
      <c r="K384">
        <v>0</v>
      </c>
      <c r="L384" s="4" t="s">
        <v>622</v>
      </c>
      <c r="M384" s="4" t="str">
        <f t="shared" si="47"/>
        <v>3/28/2019</v>
      </c>
      <c r="N384" s="1">
        <f t="shared" ca="1" si="48"/>
        <v>46064</v>
      </c>
      <c r="O384" s="6" t="e">
        <f t="shared" ca="1" si="49"/>
        <v>#VALUE!</v>
      </c>
      <c r="P384">
        <v>5</v>
      </c>
      <c r="Q384">
        <f t="shared" si="50"/>
        <v>40785</v>
      </c>
      <c r="R384" s="2">
        <f t="shared" si="51"/>
        <v>20392.5</v>
      </c>
      <c r="S384" s="2" t="str">
        <f t="shared" si="52"/>
        <v xml:space="preserve"> Not Achieved</v>
      </c>
      <c r="T384" s="2" t="str">
        <f t="shared" si="53"/>
        <v>poor</v>
      </c>
      <c r="U384" s="2"/>
    </row>
    <row r="385" spans="1:21" x14ac:dyDescent="0.3">
      <c r="A385">
        <v>384</v>
      </c>
      <c r="B385" t="s">
        <v>623</v>
      </c>
      <c r="C385" t="str">
        <f t="shared" si="45"/>
        <v>EMP_384</v>
      </c>
      <c r="D385" t="s">
        <v>15</v>
      </c>
      <c r="E385" t="str">
        <f t="shared" si="46"/>
        <v>EMP_384IT</v>
      </c>
      <c r="F385" t="s">
        <v>21</v>
      </c>
      <c r="G385" t="s">
        <v>16</v>
      </c>
      <c r="H385">
        <v>79565</v>
      </c>
      <c r="I385">
        <v>14667</v>
      </c>
      <c r="J385">
        <v>0</v>
      </c>
      <c r="K385">
        <v>0</v>
      </c>
      <c r="L385" s="4" t="s">
        <v>624</v>
      </c>
      <c r="M385" s="4" t="str">
        <f t="shared" si="47"/>
        <v>1/21/2024</v>
      </c>
      <c r="N385" s="1">
        <f t="shared" ca="1" si="48"/>
        <v>46064</v>
      </c>
      <c r="O385" s="6" t="e">
        <f t="shared" ca="1" si="49"/>
        <v>#VALUE!</v>
      </c>
      <c r="P385">
        <v>3</v>
      </c>
      <c r="Q385">
        <f t="shared" si="50"/>
        <v>94232</v>
      </c>
      <c r="R385" s="2">
        <f t="shared" si="51"/>
        <v>47116</v>
      </c>
      <c r="S385" s="2" t="str">
        <f t="shared" si="52"/>
        <v xml:space="preserve"> Not Achieved</v>
      </c>
      <c r="T385" s="2" t="str">
        <f t="shared" si="53"/>
        <v xml:space="preserve"> Excellent</v>
      </c>
      <c r="U385" s="2"/>
    </row>
    <row r="386" spans="1:21" x14ac:dyDescent="0.3">
      <c r="A386">
        <v>385</v>
      </c>
      <c r="B386" t="s">
        <v>625</v>
      </c>
      <c r="C386" t="str">
        <f t="shared" si="45"/>
        <v>EMP_385</v>
      </c>
      <c r="D386" t="s">
        <v>15</v>
      </c>
      <c r="E386" t="str">
        <f t="shared" si="46"/>
        <v>EMP_385Sales</v>
      </c>
      <c r="F386" t="s">
        <v>7</v>
      </c>
      <c r="G386" t="s">
        <v>19</v>
      </c>
      <c r="H386">
        <v>67915</v>
      </c>
      <c r="I386">
        <v>14856</v>
      </c>
      <c r="J386">
        <v>218034</v>
      </c>
      <c r="K386">
        <v>155507</v>
      </c>
      <c r="L386" s="4" t="s">
        <v>626</v>
      </c>
      <c r="M386" s="4" t="str">
        <f t="shared" si="47"/>
        <v>5/24/2022</v>
      </c>
      <c r="N386" s="1">
        <f t="shared" ca="1" si="48"/>
        <v>46064</v>
      </c>
      <c r="O386" s="6" t="e">
        <f t="shared" ca="1" si="49"/>
        <v>#VALUE!</v>
      </c>
      <c r="P386">
        <v>5</v>
      </c>
      <c r="Q386">
        <f t="shared" si="50"/>
        <v>82771</v>
      </c>
      <c r="R386" s="2">
        <f t="shared" si="51"/>
        <v>41385.5</v>
      </c>
      <c r="S386" s="2" t="str">
        <f t="shared" si="52"/>
        <v>Achieved</v>
      </c>
      <c r="T386" s="2" t="str">
        <f t="shared" si="53"/>
        <v xml:space="preserve"> Excellent</v>
      </c>
      <c r="U386" s="2"/>
    </row>
    <row r="387" spans="1:21" x14ac:dyDescent="0.3">
      <c r="A387">
        <v>386</v>
      </c>
      <c r="B387" t="s">
        <v>627</v>
      </c>
      <c r="C387" t="str">
        <f t="shared" ref="C387:C450" si="54">UPPER(B387)</f>
        <v>EMP_386</v>
      </c>
      <c r="D387" t="s">
        <v>15</v>
      </c>
      <c r="E387" t="str">
        <f t="shared" ref="E387:E450" si="55">_xlfn.CONCAT(C387,F387)</f>
        <v>EMP_386Marketing</v>
      </c>
      <c r="F387" t="s">
        <v>24</v>
      </c>
      <c r="G387" t="s">
        <v>22</v>
      </c>
      <c r="H387">
        <v>44360</v>
      </c>
      <c r="I387">
        <v>10393</v>
      </c>
      <c r="J387">
        <v>0</v>
      </c>
      <c r="K387">
        <v>0</v>
      </c>
      <c r="L387" s="4">
        <v>44234</v>
      </c>
      <c r="M387" s="4" t="str">
        <f t="shared" ref="M387:M450" si="56">TEXT(L387,"yyyy")</f>
        <v>2021</v>
      </c>
      <c r="N387" s="1">
        <f t="shared" ref="N387:N450" ca="1" si="57">TODAY()</f>
        <v>46064</v>
      </c>
      <c r="O387" s="6">
        <f t="shared" ref="O387:O450" ca="1" si="58">DATEDIF(L387, TODAY(), "y")</f>
        <v>5</v>
      </c>
      <c r="P387">
        <v>5</v>
      </c>
      <c r="Q387">
        <f t="shared" ref="Q387:Q450" si="59">SUM(H387,I387)</f>
        <v>54753</v>
      </c>
      <c r="R387" s="2">
        <f t="shared" ref="R387:R450" si="60">AVERAGE(H387,I387)</f>
        <v>27376.5</v>
      </c>
      <c r="S387" s="2" t="str">
        <f t="shared" ref="S387:S450" si="61">IF(J387&gt;K387,"Achieved"," Not Achieved")</f>
        <v xml:space="preserve"> Not Achieved</v>
      </c>
      <c r="T387" s="2" t="str">
        <f t="shared" ref="T387:T450" si="62">_xlfn.IFS(H387&gt;=50000," Excellent",H387&gt;=40000,"Good",H387&gt;=30000,"Average",H387&lt;30000,"poor")</f>
        <v>Good</v>
      </c>
      <c r="U387" s="2"/>
    </row>
    <row r="388" spans="1:21" x14ac:dyDescent="0.3">
      <c r="A388">
        <v>387</v>
      </c>
      <c r="B388" t="s">
        <v>628</v>
      </c>
      <c r="C388" t="str">
        <f t="shared" si="54"/>
        <v>EMP_387</v>
      </c>
      <c r="D388" t="s">
        <v>15</v>
      </c>
      <c r="E388" t="str">
        <f t="shared" si="55"/>
        <v>EMP_387Finance</v>
      </c>
      <c r="F388" t="s">
        <v>18</v>
      </c>
      <c r="G388" t="s">
        <v>25</v>
      </c>
      <c r="H388">
        <v>23804</v>
      </c>
      <c r="I388">
        <v>8070</v>
      </c>
      <c r="J388">
        <v>0</v>
      </c>
      <c r="K388">
        <v>0</v>
      </c>
      <c r="L388" s="4" t="s">
        <v>629</v>
      </c>
      <c r="M388" s="4" t="str">
        <f t="shared" si="56"/>
        <v>3/21/2023</v>
      </c>
      <c r="N388" s="1">
        <f t="shared" ca="1" si="57"/>
        <v>46064</v>
      </c>
      <c r="O388" s="6" t="e">
        <f t="shared" ca="1" si="58"/>
        <v>#VALUE!</v>
      </c>
      <c r="P388">
        <v>1</v>
      </c>
      <c r="Q388">
        <f t="shared" si="59"/>
        <v>31874</v>
      </c>
      <c r="R388" s="2">
        <f t="shared" si="60"/>
        <v>15937</v>
      </c>
      <c r="S388" s="2" t="str">
        <f t="shared" si="61"/>
        <v xml:space="preserve"> Not Achieved</v>
      </c>
      <c r="T388" s="2" t="str">
        <f t="shared" si="62"/>
        <v>poor</v>
      </c>
      <c r="U388" s="2"/>
    </row>
    <row r="389" spans="1:21" x14ac:dyDescent="0.3">
      <c r="A389">
        <v>388</v>
      </c>
      <c r="B389" t="s">
        <v>630</v>
      </c>
      <c r="C389" t="str">
        <f t="shared" si="54"/>
        <v>EMP_388</v>
      </c>
      <c r="D389" t="s">
        <v>15</v>
      </c>
      <c r="E389" t="str">
        <f t="shared" si="55"/>
        <v>EMP_388IT</v>
      </c>
      <c r="F389" t="s">
        <v>21</v>
      </c>
      <c r="G389" t="s">
        <v>22</v>
      </c>
      <c r="H389">
        <v>75302</v>
      </c>
      <c r="I389">
        <v>11015</v>
      </c>
      <c r="J389">
        <v>0</v>
      </c>
      <c r="K389">
        <v>0</v>
      </c>
      <c r="L389" s="4" t="s">
        <v>631</v>
      </c>
      <c r="M389" s="4" t="str">
        <f t="shared" si="56"/>
        <v>7/15/2022</v>
      </c>
      <c r="N389" s="1">
        <f t="shared" ca="1" si="57"/>
        <v>46064</v>
      </c>
      <c r="O389" s="6" t="e">
        <f t="shared" ca="1" si="58"/>
        <v>#VALUE!</v>
      </c>
      <c r="P389">
        <v>5</v>
      </c>
      <c r="Q389">
        <f t="shared" si="59"/>
        <v>86317</v>
      </c>
      <c r="R389" s="2">
        <f t="shared" si="60"/>
        <v>43158.5</v>
      </c>
      <c r="S389" s="2" t="str">
        <f t="shared" si="61"/>
        <v xml:space="preserve"> Not Achieved</v>
      </c>
      <c r="T389" s="2" t="str">
        <f t="shared" si="62"/>
        <v xml:space="preserve"> Excellent</v>
      </c>
      <c r="U389" s="2"/>
    </row>
    <row r="390" spans="1:21" x14ac:dyDescent="0.3">
      <c r="A390">
        <v>389</v>
      </c>
      <c r="B390" t="s">
        <v>632</v>
      </c>
      <c r="C390" t="str">
        <f t="shared" si="54"/>
        <v>EMP_389</v>
      </c>
      <c r="D390" t="s">
        <v>15</v>
      </c>
      <c r="E390" t="str">
        <f t="shared" si="55"/>
        <v>EMP_389Finance</v>
      </c>
      <c r="F390" t="s">
        <v>18</v>
      </c>
      <c r="G390" t="s">
        <v>22</v>
      </c>
      <c r="H390">
        <v>41800</v>
      </c>
      <c r="I390">
        <v>12807</v>
      </c>
      <c r="J390">
        <v>0</v>
      </c>
      <c r="K390">
        <v>0</v>
      </c>
      <c r="L390" s="4">
        <v>44257</v>
      </c>
      <c r="M390" s="4" t="str">
        <f t="shared" si="56"/>
        <v>2021</v>
      </c>
      <c r="N390" s="1">
        <f t="shared" ca="1" si="57"/>
        <v>46064</v>
      </c>
      <c r="O390" s="6">
        <f t="shared" ca="1" si="58"/>
        <v>4</v>
      </c>
      <c r="P390">
        <v>3</v>
      </c>
      <c r="Q390">
        <f t="shared" si="59"/>
        <v>54607</v>
      </c>
      <c r="R390" s="2">
        <f t="shared" si="60"/>
        <v>27303.5</v>
      </c>
      <c r="S390" s="2" t="str">
        <f t="shared" si="61"/>
        <v xml:space="preserve"> Not Achieved</v>
      </c>
      <c r="T390" s="2" t="str">
        <f t="shared" si="62"/>
        <v>Good</v>
      </c>
      <c r="U390" s="2"/>
    </row>
    <row r="391" spans="1:21" x14ac:dyDescent="0.3">
      <c r="A391">
        <v>390</v>
      </c>
      <c r="B391" t="s">
        <v>633</v>
      </c>
      <c r="C391" t="str">
        <f t="shared" si="54"/>
        <v>EMP_390</v>
      </c>
      <c r="D391" t="s">
        <v>15</v>
      </c>
      <c r="E391" t="str">
        <f t="shared" si="55"/>
        <v>EMP_390IT</v>
      </c>
      <c r="F391" t="s">
        <v>21</v>
      </c>
      <c r="G391" t="s">
        <v>25</v>
      </c>
      <c r="H391">
        <v>22229</v>
      </c>
      <c r="I391">
        <v>8646</v>
      </c>
      <c r="J391">
        <v>0</v>
      </c>
      <c r="K391">
        <v>0</v>
      </c>
      <c r="L391" s="4">
        <v>44359</v>
      </c>
      <c r="M391" s="4" t="str">
        <f t="shared" si="56"/>
        <v>2021</v>
      </c>
      <c r="N391" s="1">
        <f t="shared" ca="1" si="57"/>
        <v>46064</v>
      </c>
      <c r="O391" s="6">
        <f t="shared" ca="1" si="58"/>
        <v>4</v>
      </c>
      <c r="P391">
        <v>3</v>
      </c>
      <c r="Q391">
        <f t="shared" si="59"/>
        <v>30875</v>
      </c>
      <c r="R391" s="2">
        <f t="shared" si="60"/>
        <v>15437.5</v>
      </c>
      <c r="S391" s="2" t="str">
        <f t="shared" si="61"/>
        <v xml:space="preserve"> Not Achieved</v>
      </c>
      <c r="T391" s="2" t="str">
        <f t="shared" si="62"/>
        <v>poor</v>
      </c>
      <c r="U391" s="2"/>
    </row>
    <row r="392" spans="1:21" x14ac:dyDescent="0.3">
      <c r="A392">
        <v>391</v>
      </c>
      <c r="B392" t="s">
        <v>634</v>
      </c>
      <c r="C392" t="str">
        <f t="shared" si="54"/>
        <v>EMP_391</v>
      </c>
      <c r="D392" t="s">
        <v>15</v>
      </c>
      <c r="E392" t="str">
        <f t="shared" si="55"/>
        <v>EMP_391Marketing</v>
      </c>
      <c r="F392" t="s">
        <v>24</v>
      </c>
      <c r="G392" t="s">
        <v>16</v>
      </c>
      <c r="H392">
        <v>21848</v>
      </c>
      <c r="I392">
        <v>8011</v>
      </c>
      <c r="J392">
        <v>0</v>
      </c>
      <c r="K392">
        <v>0</v>
      </c>
      <c r="L392" s="4" t="s">
        <v>393</v>
      </c>
      <c r="M392" s="4" t="str">
        <f t="shared" si="56"/>
        <v>9/28/2020</v>
      </c>
      <c r="N392" s="1">
        <f t="shared" ca="1" si="57"/>
        <v>46064</v>
      </c>
      <c r="O392" s="6" t="e">
        <f t="shared" ca="1" si="58"/>
        <v>#VALUE!</v>
      </c>
      <c r="P392">
        <v>5</v>
      </c>
      <c r="Q392">
        <f t="shared" si="59"/>
        <v>29859</v>
      </c>
      <c r="R392" s="2">
        <f t="shared" si="60"/>
        <v>14929.5</v>
      </c>
      <c r="S392" s="2" t="str">
        <f t="shared" si="61"/>
        <v xml:space="preserve"> Not Achieved</v>
      </c>
      <c r="T392" s="2" t="str">
        <f t="shared" si="62"/>
        <v>poor</v>
      </c>
      <c r="U392" s="2"/>
    </row>
    <row r="393" spans="1:21" x14ac:dyDescent="0.3">
      <c r="A393">
        <v>392</v>
      </c>
      <c r="B393" t="s">
        <v>635</v>
      </c>
      <c r="C393" t="str">
        <f t="shared" si="54"/>
        <v>EMP_392</v>
      </c>
      <c r="D393" t="s">
        <v>15</v>
      </c>
      <c r="E393" t="str">
        <f t="shared" si="55"/>
        <v>EMP_392Marketing</v>
      </c>
      <c r="F393" t="s">
        <v>24</v>
      </c>
      <c r="G393" t="s">
        <v>13</v>
      </c>
      <c r="H393">
        <v>75970</v>
      </c>
      <c r="I393">
        <v>8239</v>
      </c>
      <c r="J393">
        <v>0</v>
      </c>
      <c r="K393">
        <v>0</v>
      </c>
      <c r="L393" s="4" t="s">
        <v>636</v>
      </c>
      <c r="M393" s="4" t="str">
        <f t="shared" si="56"/>
        <v>8/23/2021</v>
      </c>
      <c r="N393" s="1">
        <f t="shared" ca="1" si="57"/>
        <v>46064</v>
      </c>
      <c r="O393" s="6" t="e">
        <f t="shared" ca="1" si="58"/>
        <v>#VALUE!</v>
      </c>
      <c r="P393">
        <v>4</v>
      </c>
      <c r="Q393">
        <f t="shared" si="59"/>
        <v>84209</v>
      </c>
      <c r="R393" s="2">
        <f t="shared" si="60"/>
        <v>42104.5</v>
      </c>
      <c r="S393" s="2" t="str">
        <f t="shared" si="61"/>
        <v xml:space="preserve"> Not Achieved</v>
      </c>
      <c r="T393" s="2" t="str">
        <f t="shared" si="62"/>
        <v xml:space="preserve"> Excellent</v>
      </c>
      <c r="U393" s="2"/>
    </row>
    <row r="394" spans="1:21" x14ac:dyDescent="0.3">
      <c r="A394">
        <v>393</v>
      </c>
      <c r="B394" t="s">
        <v>637</v>
      </c>
      <c r="C394" t="str">
        <f t="shared" si="54"/>
        <v>EMP_393</v>
      </c>
      <c r="D394" t="s">
        <v>15</v>
      </c>
      <c r="E394" t="str">
        <f t="shared" si="55"/>
        <v>EMP_393Sales</v>
      </c>
      <c r="F394" t="s">
        <v>7</v>
      </c>
      <c r="G394" t="s">
        <v>25</v>
      </c>
      <c r="H394">
        <v>64131</v>
      </c>
      <c r="I394">
        <v>11479</v>
      </c>
      <c r="J394">
        <v>214712</v>
      </c>
      <c r="K394">
        <v>175994</v>
      </c>
      <c r="L394" s="4" t="s">
        <v>638</v>
      </c>
      <c r="M394" s="4" t="str">
        <f t="shared" si="56"/>
        <v>11/20/2023</v>
      </c>
      <c r="N394" s="1">
        <f t="shared" ca="1" si="57"/>
        <v>46064</v>
      </c>
      <c r="O394" s="6" t="e">
        <f t="shared" ca="1" si="58"/>
        <v>#VALUE!</v>
      </c>
      <c r="P394">
        <v>2</v>
      </c>
      <c r="Q394">
        <f t="shared" si="59"/>
        <v>75610</v>
      </c>
      <c r="R394" s="2">
        <f t="shared" si="60"/>
        <v>37805</v>
      </c>
      <c r="S394" s="2" t="str">
        <f t="shared" si="61"/>
        <v>Achieved</v>
      </c>
      <c r="T394" s="2" t="str">
        <f t="shared" si="62"/>
        <v xml:space="preserve"> Excellent</v>
      </c>
      <c r="U394" s="2"/>
    </row>
    <row r="395" spans="1:21" x14ac:dyDescent="0.3">
      <c r="A395">
        <v>394</v>
      </c>
      <c r="B395" t="s">
        <v>639</v>
      </c>
      <c r="C395" t="str">
        <f t="shared" si="54"/>
        <v>EMP_394</v>
      </c>
      <c r="D395" t="s">
        <v>15</v>
      </c>
      <c r="E395" t="str">
        <f t="shared" si="55"/>
        <v>EMP_394Sales</v>
      </c>
      <c r="F395" t="s">
        <v>7</v>
      </c>
      <c r="G395" t="s">
        <v>13</v>
      </c>
      <c r="H395">
        <v>40314</v>
      </c>
      <c r="I395">
        <v>4400</v>
      </c>
      <c r="J395">
        <v>269415</v>
      </c>
      <c r="K395">
        <v>200579</v>
      </c>
      <c r="L395" s="4" t="s">
        <v>640</v>
      </c>
      <c r="M395" s="4" t="str">
        <f t="shared" si="56"/>
        <v>6/15/2022</v>
      </c>
      <c r="N395" s="1">
        <f t="shared" ca="1" si="57"/>
        <v>46064</v>
      </c>
      <c r="O395" s="6" t="e">
        <f t="shared" ca="1" si="58"/>
        <v>#VALUE!</v>
      </c>
      <c r="P395">
        <v>5</v>
      </c>
      <c r="Q395">
        <f t="shared" si="59"/>
        <v>44714</v>
      </c>
      <c r="R395" s="2">
        <f t="shared" si="60"/>
        <v>22357</v>
      </c>
      <c r="S395" s="2" t="str">
        <f t="shared" si="61"/>
        <v>Achieved</v>
      </c>
      <c r="T395" s="2" t="str">
        <f t="shared" si="62"/>
        <v>Good</v>
      </c>
      <c r="U395" s="2"/>
    </row>
    <row r="396" spans="1:21" x14ac:dyDescent="0.3">
      <c r="A396">
        <v>395</v>
      </c>
      <c r="B396" t="s">
        <v>641</v>
      </c>
      <c r="C396" t="str">
        <f t="shared" si="54"/>
        <v>EMP_395</v>
      </c>
      <c r="D396" t="s">
        <v>15</v>
      </c>
      <c r="E396" t="str">
        <f t="shared" si="55"/>
        <v>EMP_395Sales</v>
      </c>
      <c r="F396" t="s">
        <v>7</v>
      </c>
      <c r="G396" t="s">
        <v>19</v>
      </c>
      <c r="H396">
        <v>61952</v>
      </c>
      <c r="I396">
        <v>7196</v>
      </c>
      <c r="J396">
        <v>137251</v>
      </c>
      <c r="K396">
        <v>189166</v>
      </c>
      <c r="L396" s="4">
        <v>43835</v>
      </c>
      <c r="M396" s="4" t="str">
        <f t="shared" si="56"/>
        <v>2020</v>
      </c>
      <c r="N396" s="1">
        <f t="shared" ca="1" si="57"/>
        <v>46064</v>
      </c>
      <c r="O396" s="6">
        <f t="shared" ca="1" si="58"/>
        <v>6</v>
      </c>
      <c r="P396">
        <v>5</v>
      </c>
      <c r="Q396">
        <f t="shared" si="59"/>
        <v>69148</v>
      </c>
      <c r="R396" s="2">
        <f t="shared" si="60"/>
        <v>34574</v>
      </c>
      <c r="S396" s="2" t="str">
        <f t="shared" si="61"/>
        <v xml:space="preserve"> Not Achieved</v>
      </c>
      <c r="T396" s="2" t="str">
        <f t="shared" si="62"/>
        <v xml:space="preserve"> Excellent</v>
      </c>
      <c r="U396" s="2"/>
    </row>
    <row r="397" spans="1:21" x14ac:dyDescent="0.3">
      <c r="A397">
        <v>396</v>
      </c>
      <c r="B397" t="s">
        <v>642</v>
      </c>
      <c r="C397" t="str">
        <f t="shared" si="54"/>
        <v>EMP_396</v>
      </c>
      <c r="D397" t="s">
        <v>15</v>
      </c>
      <c r="E397" t="str">
        <f t="shared" si="55"/>
        <v>EMP_396Marketing</v>
      </c>
      <c r="F397" t="s">
        <v>24</v>
      </c>
      <c r="G397" t="s">
        <v>25</v>
      </c>
      <c r="H397">
        <v>61184</v>
      </c>
      <c r="I397">
        <v>2784</v>
      </c>
      <c r="J397">
        <v>0</v>
      </c>
      <c r="K397">
        <v>0</v>
      </c>
      <c r="L397" s="4">
        <v>45325</v>
      </c>
      <c r="M397" s="4" t="str">
        <f t="shared" si="56"/>
        <v>2024</v>
      </c>
      <c r="N397" s="1">
        <f t="shared" ca="1" si="57"/>
        <v>46064</v>
      </c>
      <c r="O397" s="6">
        <f t="shared" ca="1" si="58"/>
        <v>2</v>
      </c>
      <c r="P397">
        <v>4</v>
      </c>
      <c r="Q397">
        <f t="shared" si="59"/>
        <v>63968</v>
      </c>
      <c r="R397" s="2">
        <f t="shared" si="60"/>
        <v>31984</v>
      </c>
      <c r="S397" s="2" t="str">
        <f t="shared" si="61"/>
        <v xml:space="preserve"> Not Achieved</v>
      </c>
      <c r="T397" s="2" t="str">
        <f t="shared" si="62"/>
        <v xml:space="preserve"> Excellent</v>
      </c>
      <c r="U397" s="2"/>
    </row>
    <row r="398" spans="1:21" x14ac:dyDescent="0.3">
      <c r="A398">
        <v>397</v>
      </c>
      <c r="B398" t="s">
        <v>643</v>
      </c>
      <c r="C398" t="str">
        <f t="shared" si="54"/>
        <v>EMP_397</v>
      </c>
      <c r="D398" t="s">
        <v>15</v>
      </c>
      <c r="E398" t="str">
        <f t="shared" si="55"/>
        <v>EMP_397Marketing</v>
      </c>
      <c r="F398" t="s">
        <v>24</v>
      </c>
      <c r="G398" t="s">
        <v>16</v>
      </c>
      <c r="H398">
        <v>44554</v>
      </c>
      <c r="I398">
        <v>10312</v>
      </c>
      <c r="J398">
        <v>0</v>
      </c>
      <c r="K398">
        <v>0</v>
      </c>
      <c r="L398" s="4">
        <v>44480</v>
      </c>
      <c r="M398" s="4" t="str">
        <f t="shared" si="56"/>
        <v>2021</v>
      </c>
      <c r="N398" s="1">
        <f t="shared" ca="1" si="57"/>
        <v>46064</v>
      </c>
      <c r="O398" s="6">
        <f t="shared" ca="1" si="58"/>
        <v>4</v>
      </c>
      <c r="P398">
        <v>3</v>
      </c>
      <c r="Q398">
        <f t="shared" si="59"/>
        <v>54866</v>
      </c>
      <c r="R398" s="2">
        <f t="shared" si="60"/>
        <v>27433</v>
      </c>
      <c r="S398" s="2" t="str">
        <f t="shared" si="61"/>
        <v xml:space="preserve"> Not Achieved</v>
      </c>
      <c r="T398" s="2" t="str">
        <f t="shared" si="62"/>
        <v>Good</v>
      </c>
      <c r="U398" s="2"/>
    </row>
    <row r="399" spans="1:21" x14ac:dyDescent="0.3">
      <c r="A399">
        <v>398</v>
      </c>
      <c r="B399" t="s">
        <v>644</v>
      </c>
      <c r="C399" t="str">
        <f t="shared" si="54"/>
        <v>EMP_398</v>
      </c>
      <c r="D399" t="s">
        <v>15</v>
      </c>
      <c r="E399" t="str">
        <f t="shared" si="55"/>
        <v>EMP_398Marketing</v>
      </c>
      <c r="F399" t="s">
        <v>24</v>
      </c>
      <c r="G399" t="s">
        <v>25</v>
      </c>
      <c r="H399">
        <v>66513</v>
      </c>
      <c r="I399">
        <v>10731</v>
      </c>
      <c r="J399">
        <v>0</v>
      </c>
      <c r="K399">
        <v>0</v>
      </c>
      <c r="L399" s="4" t="s">
        <v>645</v>
      </c>
      <c r="M399" s="4" t="str">
        <f t="shared" si="56"/>
        <v>9/22/2019</v>
      </c>
      <c r="N399" s="1">
        <f t="shared" ca="1" si="57"/>
        <v>46064</v>
      </c>
      <c r="O399" s="6" t="e">
        <f t="shared" ca="1" si="58"/>
        <v>#VALUE!</v>
      </c>
      <c r="P399">
        <v>3</v>
      </c>
      <c r="Q399">
        <f t="shared" si="59"/>
        <v>77244</v>
      </c>
      <c r="R399" s="2">
        <f t="shared" si="60"/>
        <v>38622</v>
      </c>
      <c r="S399" s="2" t="str">
        <f t="shared" si="61"/>
        <v xml:space="preserve"> Not Achieved</v>
      </c>
      <c r="T399" s="2" t="str">
        <f t="shared" si="62"/>
        <v xml:space="preserve"> Excellent</v>
      </c>
      <c r="U399" s="2"/>
    </row>
    <row r="400" spans="1:21" x14ac:dyDescent="0.3">
      <c r="A400">
        <v>399</v>
      </c>
      <c r="B400" t="s">
        <v>646</v>
      </c>
      <c r="C400" t="str">
        <f t="shared" si="54"/>
        <v>EMP_399</v>
      </c>
      <c r="D400" t="s">
        <v>15</v>
      </c>
      <c r="E400" t="str">
        <f t="shared" si="55"/>
        <v>EMP_399IT</v>
      </c>
      <c r="F400" t="s">
        <v>21</v>
      </c>
      <c r="G400" t="s">
        <v>19</v>
      </c>
      <c r="H400">
        <v>22725</v>
      </c>
      <c r="I400">
        <v>9833</v>
      </c>
      <c r="J400">
        <v>0</v>
      </c>
      <c r="K400">
        <v>0</v>
      </c>
      <c r="L400" s="4">
        <v>45628</v>
      </c>
      <c r="M400" s="4" t="str">
        <f t="shared" si="56"/>
        <v>2024</v>
      </c>
      <c r="N400" s="1">
        <f t="shared" ca="1" si="57"/>
        <v>46064</v>
      </c>
      <c r="O400" s="6">
        <f t="shared" ca="1" si="58"/>
        <v>1</v>
      </c>
      <c r="P400">
        <v>2</v>
      </c>
      <c r="Q400">
        <f t="shared" si="59"/>
        <v>32558</v>
      </c>
      <c r="R400" s="2">
        <f t="shared" si="60"/>
        <v>16279</v>
      </c>
      <c r="S400" s="2" t="str">
        <f t="shared" si="61"/>
        <v xml:space="preserve"> Not Achieved</v>
      </c>
      <c r="T400" s="2" t="str">
        <f t="shared" si="62"/>
        <v>poor</v>
      </c>
      <c r="U400" s="2"/>
    </row>
    <row r="401" spans="1:21" x14ac:dyDescent="0.3">
      <c r="A401">
        <v>400</v>
      </c>
      <c r="B401" t="s">
        <v>647</v>
      </c>
      <c r="C401" t="str">
        <f t="shared" si="54"/>
        <v>EMP_400</v>
      </c>
      <c r="D401" t="s">
        <v>11</v>
      </c>
      <c r="E401" t="str">
        <f t="shared" si="55"/>
        <v>EMP_400Sales</v>
      </c>
      <c r="F401" t="s">
        <v>7</v>
      </c>
      <c r="G401" t="s">
        <v>13</v>
      </c>
      <c r="H401">
        <v>23890</v>
      </c>
      <c r="I401">
        <v>10082</v>
      </c>
      <c r="J401">
        <v>231204</v>
      </c>
      <c r="K401">
        <v>129279</v>
      </c>
      <c r="L401" s="4" t="s">
        <v>188</v>
      </c>
      <c r="M401" s="4" t="str">
        <f t="shared" si="56"/>
        <v>9/21/2023</v>
      </c>
      <c r="N401" s="1">
        <f t="shared" ca="1" si="57"/>
        <v>46064</v>
      </c>
      <c r="O401" s="6" t="e">
        <f t="shared" ca="1" si="58"/>
        <v>#VALUE!</v>
      </c>
      <c r="P401">
        <v>1</v>
      </c>
      <c r="Q401">
        <f t="shared" si="59"/>
        <v>33972</v>
      </c>
      <c r="R401" s="2">
        <f t="shared" si="60"/>
        <v>16986</v>
      </c>
      <c r="S401" s="2" t="str">
        <f t="shared" si="61"/>
        <v>Achieved</v>
      </c>
      <c r="T401" s="2" t="str">
        <f t="shared" si="62"/>
        <v>poor</v>
      </c>
      <c r="U401" s="2"/>
    </row>
    <row r="402" spans="1:21" x14ac:dyDescent="0.3">
      <c r="A402">
        <v>401</v>
      </c>
      <c r="B402" t="s">
        <v>648</v>
      </c>
      <c r="C402" t="str">
        <f t="shared" si="54"/>
        <v>EMP_401</v>
      </c>
      <c r="D402" t="s">
        <v>11</v>
      </c>
      <c r="E402" t="str">
        <f t="shared" si="55"/>
        <v>EMP_401Finance</v>
      </c>
      <c r="F402" t="s">
        <v>18</v>
      </c>
      <c r="G402" t="s">
        <v>22</v>
      </c>
      <c r="H402">
        <v>78549</v>
      </c>
      <c r="I402">
        <v>8254</v>
      </c>
      <c r="J402">
        <v>0</v>
      </c>
      <c r="K402">
        <v>0</v>
      </c>
      <c r="L402" s="4">
        <v>43194</v>
      </c>
      <c r="M402" s="4" t="str">
        <f t="shared" si="56"/>
        <v>2018</v>
      </c>
      <c r="N402" s="1">
        <f t="shared" ca="1" si="57"/>
        <v>46064</v>
      </c>
      <c r="O402" s="6">
        <f t="shared" ca="1" si="58"/>
        <v>7</v>
      </c>
      <c r="P402">
        <v>1</v>
      </c>
      <c r="Q402">
        <f t="shared" si="59"/>
        <v>86803</v>
      </c>
      <c r="R402" s="2">
        <f t="shared" si="60"/>
        <v>43401.5</v>
      </c>
      <c r="S402" s="2" t="str">
        <f t="shared" si="61"/>
        <v xml:space="preserve"> Not Achieved</v>
      </c>
      <c r="T402" s="2" t="str">
        <f t="shared" si="62"/>
        <v xml:space="preserve"> Excellent</v>
      </c>
      <c r="U402" s="2"/>
    </row>
    <row r="403" spans="1:21" x14ac:dyDescent="0.3">
      <c r="A403">
        <v>402</v>
      </c>
      <c r="B403" t="s">
        <v>649</v>
      </c>
      <c r="C403" t="str">
        <f t="shared" si="54"/>
        <v>EMP_402</v>
      </c>
      <c r="D403" t="s">
        <v>15</v>
      </c>
      <c r="E403" t="str">
        <f t="shared" si="55"/>
        <v>EMP_402IT</v>
      </c>
      <c r="F403" t="s">
        <v>21</v>
      </c>
      <c r="G403" t="s">
        <v>19</v>
      </c>
      <c r="H403">
        <v>29733</v>
      </c>
      <c r="I403">
        <v>2737</v>
      </c>
      <c r="J403">
        <v>0</v>
      </c>
      <c r="K403">
        <v>0</v>
      </c>
      <c r="L403" s="4" t="s">
        <v>650</v>
      </c>
      <c r="M403" s="4" t="str">
        <f t="shared" si="56"/>
        <v>10/19/2018</v>
      </c>
      <c r="N403" s="1">
        <f t="shared" ca="1" si="57"/>
        <v>46064</v>
      </c>
      <c r="O403" s="6" t="e">
        <f t="shared" ca="1" si="58"/>
        <v>#VALUE!</v>
      </c>
      <c r="P403">
        <v>4</v>
      </c>
      <c r="Q403">
        <f t="shared" si="59"/>
        <v>32470</v>
      </c>
      <c r="R403" s="2">
        <f t="shared" si="60"/>
        <v>16235</v>
      </c>
      <c r="S403" s="2" t="str">
        <f t="shared" si="61"/>
        <v xml:space="preserve"> Not Achieved</v>
      </c>
      <c r="T403" s="2" t="str">
        <f t="shared" si="62"/>
        <v>poor</v>
      </c>
      <c r="U403" s="2"/>
    </row>
    <row r="404" spans="1:21" x14ac:dyDescent="0.3">
      <c r="A404">
        <v>403</v>
      </c>
      <c r="B404" t="s">
        <v>651</v>
      </c>
      <c r="C404" t="str">
        <f t="shared" si="54"/>
        <v>EMP_403</v>
      </c>
      <c r="D404" t="s">
        <v>15</v>
      </c>
      <c r="E404" t="str">
        <f t="shared" si="55"/>
        <v>EMP_403IT</v>
      </c>
      <c r="F404" t="s">
        <v>21</v>
      </c>
      <c r="G404" t="s">
        <v>22</v>
      </c>
      <c r="H404">
        <v>48531</v>
      </c>
      <c r="I404">
        <v>12795</v>
      </c>
      <c r="J404">
        <v>0</v>
      </c>
      <c r="K404">
        <v>0</v>
      </c>
      <c r="L404" s="4" t="s">
        <v>652</v>
      </c>
      <c r="M404" s="4" t="str">
        <f t="shared" si="56"/>
        <v>4/23/2018</v>
      </c>
      <c r="N404" s="1">
        <f t="shared" ca="1" si="57"/>
        <v>46064</v>
      </c>
      <c r="O404" s="6" t="e">
        <f t="shared" ca="1" si="58"/>
        <v>#VALUE!</v>
      </c>
      <c r="P404">
        <v>4</v>
      </c>
      <c r="Q404">
        <f t="shared" si="59"/>
        <v>61326</v>
      </c>
      <c r="R404" s="2">
        <f t="shared" si="60"/>
        <v>30663</v>
      </c>
      <c r="S404" s="2" t="str">
        <f t="shared" si="61"/>
        <v xml:space="preserve"> Not Achieved</v>
      </c>
      <c r="T404" s="2" t="str">
        <f t="shared" si="62"/>
        <v>Good</v>
      </c>
      <c r="U404" s="2"/>
    </row>
    <row r="405" spans="1:21" x14ac:dyDescent="0.3">
      <c r="A405">
        <v>404</v>
      </c>
      <c r="B405" t="s">
        <v>653</v>
      </c>
      <c r="C405" t="str">
        <f t="shared" si="54"/>
        <v>EMP_404</v>
      </c>
      <c r="D405" t="s">
        <v>15</v>
      </c>
      <c r="E405" t="str">
        <f t="shared" si="55"/>
        <v>EMP_404IT</v>
      </c>
      <c r="F405" t="s">
        <v>21</v>
      </c>
      <c r="G405" t="s">
        <v>25</v>
      </c>
      <c r="H405">
        <v>55395</v>
      </c>
      <c r="I405">
        <v>6368</v>
      </c>
      <c r="J405">
        <v>0</v>
      </c>
      <c r="K405">
        <v>0</v>
      </c>
      <c r="L405" s="4">
        <v>43525</v>
      </c>
      <c r="M405" s="4" t="str">
        <f t="shared" si="56"/>
        <v>2019</v>
      </c>
      <c r="N405" s="1">
        <f t="shared" ca="1" si="57"/>
        <v>46064</v>
      </c>
      <c r="O405" s="6">
        <f t="shared" ca="1" si="58"/>
        <v>6</v>
      </c>
      <c r="P405">
        <v>2</v>
      </c>
      <c r="Q405">
        <f t="shared" si="59"/>
        <v>61763</v>
      </c>
      <c r="R405" s="2">
        <f t="shared" si="60"/>
        <v>30881.5</v>
      </c>
      <c r="S405" s="2" t="str">
        <f t="shared" si="61"/>
        <v xml:space="preserve"> Not Achieved</v>
      </c>
      <c r="T405" s="2" t="str">
        <f t="shared" si="62"/>
        <v xml:space="preserve"> Excellent</v>
      </c>
      <c r="U405" s="2"/>
    </row>
    <row r="406" spans="1:21" x14ac:dyDescent="0.3">
      <c r="A406">
        <v>405</v>
      </c>
      <c r="B406" t="s">
        <v>654</v>
      </c>
      <c r="C406" t="str">
        <f t="shared" si="54"/>
        <v>EMP_405</v>
      </c>
      <c r="D406" t="s">
        <v>11</v>
      </c>
      <c r="E406" t="str">
        <f t="shared" si="55"/>
        <v>EMP_405Finance</v>
      </c>
      <c r="F406" t="s">
        <v>18</v>
      </c>
      <c r="G406" t="s">
        <v>19</v>
      </c>
      <c r="H406">
        <v>69487</v>
      </c>
      <c r="I406">
        <v>3861</v>
      </c>
      <c r="J406">
        <v>0</v>
      </c>
      <c r="K406">
        <v>0</v>
      </c>
      <c r="L406" s="4">
        <v>43983</v>
      </c>
      <c r="M406" s="4" t="str">
        <f t="shared" si="56"/>
        <v>2020</v>
      </c>
      <c r="N406" s="1">
        <f t="shared" ca="1" si="57"/>
        <v>46064</v>
      </c>
      <c r="O406" s="6">
        <f t="shared" ca="1" si="58"/>
        <v>5</v>
      </c>
      <c r="P406">
        <v>2</v>
      </c>
      <c r="Q406">
        <f t="shared" si="59"/>
        <v>73348</v>
      </c>
      <c r="R406" s="2">
        <f t="shared" si="60"/>
        <v>36674</v>
      </c>
      <c r="S406" s="2" t="str">
        <f t="shared" si="61"/>
        <v xml:space="preserve"> Not Achieved</v>
      </c>
      <c r="T406" s="2" t="str">
        <f t="shared" si="62"/>
        <v xml:space="preserve"> Excellent</v>
      </c>
      <c r="U406" s="2"/>
    </row>
    <row r="407" spans="1:21" x14ac:dyDescent="0.3">
      <c r="A407">
        <v>406</v>
      </c>
      <c r="B407" t="s">
        <v>655</v>
      </c>
      <c r="C407" t="str">
        <f t="shared" si="54"/>
        <v>EMP_406</v>
      </c>
      <c r="D407" t="s">
        <v>11</v>
      </c>
      <c r="E407" t="str">
        <f t="shared" si="55"/>
        <v>EMP_406Marketing</v>
      </c>
      <c r="F407" t="s">
        <v>24</v>
      </c>
      <c r="G407" t="s">
        <v>25</v>
      </c>
      <c r="H407">
        <v>59551</v>
      </c>
      <c r="I407">
        <v>13766</v>
      </c>
      <c r="J407">
        <v>0</v>
      </c>
      <c r="K407">
        <v>0</v>
      </c>
      <c r="L407" s="4">
        <v>44595</v>
      </c>
      <c r="M407" s="4" t="str">
        <f t="shared" si="56"/>
        <v>2022</v>
      </c>
      <c r="N407" s="1">
        <f t="shared" ca="1" si="57"/>
        <v>46064</v>
      </c>
      <c r="O407" s="6">
        <f t="shared" ca="1" si="58"/>
        <v>4</v>
      </c>
      <c r="P407">
        <v>1</v>
      </c>
      <c r="Q407">
        <f t="shared" si="59"/>
        <v>73317</v>
      </c>
      <c r="R407" s="2">
        <f t="shared" si="60"/>
        <v>36658.5</v>
      </c>
      <c r="S407" s="2" t="str">
        <f t="shared" si="61"/>
        <v xml:space="preserve"> Not Achieved</v>
      </c>
      <c r="T407" s="2" t="str">
        <f t="shared" si="62"/>
        <v xml:space="preserve"> Excellent</v>
      </c>
      <c r="U407" s="2"/>
    </row>
    <row r="408" spans="1:21" x14ac:dyDescent="0.3">
      <c r="A408">
        <v>407</v>
      </c>
      <c r="B408" t="s">
        <v>656</v>
      </c>
      <c r="C408" t="str">
        <f t="shared" si="54"/>
        <v>EMP_407</v>
      </c>
      <c r="D408" t="s">
        <v>15</v>
      </c>
      <c r="E408" t="str">
        <f t="shared" si="55"/>
        <v>EMP_407IT</v>
      </c>
      <c r="F408" t="s">
        <v>21</v>
      </c>
      <c r="G408" t="s">
        <v>16</v>
      </c>
      <c r="H408">
        <v>64748</v>
      </c>
      <c r="I408">
        <v>13915</v>
      </c>
      <c r="J408">
        <v>0</v>
      </c>
      <c r="K408">
        <v>0</v>
      </c>
      <c r="L408" s="4" t="s">
        <v>657</v>
      </c>
      <c r="M408" s="4" t="str">
        <f t="shared" si="56"/>
        <v>11/21/2022</v>
      </c>
      <c r="N408" s="1">
        <f t="shared" ca="1" si="57"/>
        <v>46064</v>
      </c>
      <c r="O408" s="6" t="e">
        <f t="shared" ca="1" si="58"/>
        <v>#VALUE!</v>
      </c>
      <c r="P408">
        <v>3</v>
      </c>
      <c r="Q408">
        <f t="shared" si="59"/>
        <v>78663</v>
      </c>
      <c r="R408" s="2">
        <f t="shared" si="60"/>
        <v>39331.5</v>
      </c>
      <c r="S408" s="2" t="str">
        <f t="shared" si="61"/>
        <v xml:space="preserve"> Not Achieved</v>
      </c>
      <c r="T408" s="2" t="str">
        <f t="shared" si="62"/>
        <v xml:space="preserve"> Excellent</v>
      </c>
      <c r="U408" s="2"/>
    </row>
    <row r="409" spans="1:21" x14ac:dyDescent="0.3">
      <c r="A409">
        <v>408</v>
      </c>
      <c r="B409" t="s">
        <v>658</v>
      </c>
      <c r="C409" t="str">
        <f t="shared" si="54"/>
        <v>EMP_408</v>
      </c>
      <c r="D409" t="s">
        <v>11</v>
      </c>
      <c r="E409" t="str">
        <f t="shared" si="55"/>
        <v>EMP_408IT</v>
      </c>
      <c r="F409" t="s">
        <v>21</v>
      </c>
      <c r="G409" t="s">
        <v>16</v>
      </c>
      <c r="H409">
        <v>65968</v>
      </c>
      <c r="I409">
        <v>7171</v>
      </c>
      <c r="J409">
        <v>0</v>
      </c>
      <c r="K409">
        <v>0</v>
      </c>
      <c r="L409" s="4" t="s">
        <v>659</v>
      </c>
      <c r="M409" s="4" t="str">
        <f t="shared" si="56"/>
        <v>7/20/2022</v>
      </c>
      <c r="N409" s="1">
        <f t="shared" ca="1" si="57"/>
        <v>46064</v>
      </c>
      <c r="O409" s="6" t="e">
        <f t="shared" ca="1" si="58"/>
        <v>#VALUE!</v>
      </c>
      <c r="P409">
        <v>3</v>
      </c>
      <c r="Q409">
        <f t="shared" si="59"/>
        <v>73139</v>
      </c>
      <c r="R409" s="2">
        <f t="shared" si="60"/>
        <v>36569.5</v>
      </c>
      <c r="S409" s="2" t="str">
        <f t="shared" si="61"/>
        <v xml:space="preserve"> Not Achieved</v>
      </c>
      <c r="T409" s="2" t="str">
        <f t="shared" si="62"/>
        <v xml:space="preserve"> Excellent</v>
      </c>
      <c r="U409" s="2"/>
    </row>
    <row r="410" spans="1:21" x14ac:dyDescent="0.3">
      <c r="A410">
        <v>409</v>
      </c>
      <c r="B410" t="s">
        <v>660</v>
      </c>
      <c r="C410" t="str">
        <f t="shared" si="54"/>
        <v>EMP_409</v>
      </c>
      <c r="D410" t="s">
        <v>11</v>
      </c>
      <c r="E410" t="str">
        <f t="shared" si="55"/>
        <v>EMP_409Marketing</v>
      </c>
      <c r="F410" t="s">
        <v>24</v>
      </c>
      <c r="G410" t="s">
        <v>13</v>
      </c>
      <c r="H410">
        <v>38251</v>
      </c>
      <c r="I410">
        <v>3213</v>
      </c>
      <c r="J410">
        <v>0</v>
      </c>
      <c r="K410">
        <v>0</v>
      </c>
      <c r="L410" s="4">
        <v>44234</v>
      </c>
      <c r="M410" s="4" t="str">
        <f t="shared" si="56"/>
        <v>2021</v>
      </c>
      <c r="N410" s="1">
        <f t="shared" ca="1" si="57"/>
        <v>46064</v>
      </c>
      <c r="O410" s="6">
        <f t="shared" ca="1" si="58"/>
        <v>5</v>
      </c>
      <c r="P410">
        <v>5</v>
      </c>
      <c r="Q410">
        <f t="shared" si="59"/>
        <v>41464</v>
      </c>
      <c r="R410" s="2">
        <f t="shared" si="60"/>
        <v>20732</v>
      </c>
      <c r="S410" s="2" t="str">
        <f t="shared" si="61"/>
        <v xml:space="preserve"> Not Achieved</v>
      </c>
      <c r="T410" s="2" t="str">
        <f t="shared" si="62"/>
        <v>Average</v>
      </c>
      <c r="U410" s="2"/>
    </row>
    <row r="411" spans="1:21" x14ac:dyDescent="0.3">
      <c r="A411">
        <v>410</v>
      </c>
      <c r="B411" t="s">
        <v>661</v>
      </c>
      <c r="C411" t="str">
        <f t="shared" si="54"/>
        <v>EMP_410</v>
      </c>
      <c r="D411" t="s">
        <v>11</v>
      </c>
      <c r="E411" t="str">
        <f t="shared" si="55"/>
        <v>EMP_410HR</v>
      </c>
      <c r="F411" t="s">
        <v>12</v>
      </c>
      <c r="G411" t="s">
        <v>22</v>
      </c>
      <c r="H411">
        <v>77492</v>
      </c>
      <c r="I411">
        <v>12404</v>
      </c>
      <c r="J411">
        <v>0</v>
      </c>
      <c r="K411">
        <v>0</v>
      </c>
      <c r="L411" s="4" t="s">
        <v>662</v>
      </c>
      <c r="M411" s="4" t="str">
        <f t="shared" si="56"/>
        <v>12/23/2023</v>
      </c>
      <c r="N411" s="1">
        <f t="shared" ca="1" si="57"/>
        <v>46064</v>
      </c>
      <c r="O411" s="6" t="e">
        <f t="shared" ca="1" si="58"/>
        <v>#VALUE!</v>
      </c>
      <c r="P411">
        <v>3</v>
      </c>
      <c r="Q411">
        <f t="shared" si="59"/>
        <v>89896</v>
      </c>
      <c r="R411" s="2">
        <f t="shared" si="60"/>
        <v>44948</v>
      </c>
      <c r="S411" s="2" t="str">
        <f t="shared" si="61"/>
        <v xml:space="preserve"> Not Achieved</v>
      </c>
      <c r="T411" s="2" t="str">
        <f t="shared" si="62"/>
        <v xml:space="preserve"> Excellent</v>
      </c>
      <c r="U411" s="2"/>
    </row>
    <row r="412" spans="1:21" x14ac:dyDescent="0.3">
      <c r="A412">
        <v>411</v>
      </c>
      <c r="B412" t="s">
        <v>663</v>
      </c>
      <c r="C412" t="str">
        <f t="shared" si="54"/>
        <v>EMP_411</v>
      </c>
      <c r="D412" t="s">
        <v>11</v>
      </c>
      <c r="E412" t="str">
        <f t="shared" si="55"/>
        <v>EMP_411Marketing</v>
      </c>
      <c r="F412" t="s">
        <v>24</v>
      </c>
      <c r="G412" t="s">
        <v>16</v>
      </c>
      <c r="H412">
        <v>75681</v>
      </c>
      <c r="I412">
        <v>5276</v>
      </c>
      <c r="J412">
        <v>0</v>
      </c>
      <c r="K412">
        <v>0</v>
      </c>
      <c r="L412" s="4" t="s">
        <v>664</v>
      </c>
      <c r="M412" s="4" t="str">
        <f t="shared" si="56"/>
        <v>8/18/2019</v>
      </c>
      <c r="N412" s="1">
        <f t="shared" ca="1" si="57"/>
        <v>46064</v>
      </c>
      <c r="O412" s="6" t="e">
        <f t="shared" ca="1" si="58"/>
        <v>#VALUE!</v>
      </c>
      <c r="P412">
        <v>4</v>
      </c>
      <c r="Q412">
        <f t="shared" si="59"/>
        <v>80957</v>
      </c>
      <c r="R412" s="2">
        <f t="shared" si="60"/>
        <v>40478.5</v>
      </c>
      <c r="S412" s="2" t="str">
        <f t="shared" si="61"/>
        <v xml:space="preserve"> Not Achieved</v>
      </c>
      <c r="T412" s="2" t="str">
        <f t="shared" si="62"/>
        <v xml:space="preserve"> Excellent</v>
      </c>
      <c r="U412" s="2"/>
    </row>
    <row r="413" spans="1:21" x14ac:dyDescent="0.3">
      <c r="A413">
        <v>412</v>
      </c>
      <c r="B413" t="s">
        <v>665</v>
      </c>
      <c r="C413" t="str">
        <f t="shared" si="54"/>
        <v>EMP_412</v>
      </c>
      <c r="D413" t="s">
        <v>15</v>
      </c>
      <c r="E413" t="str">
        <f t="shared" si="55"/>
        <v>EMP_412IT</v>
      </c>
      <c r="F413" t="s">
        <v>21</v>
      </c>
      <c r="G413" t="s">
        <v>13</v>
      </c>
      <c r="H413">
        <v>70025</v>
      </c>
      <c r="I413">
        <v>8729</v>
      </c>
      <c r="J413">
        <v>0</v>
      </c>
      <c r="K413">
        <v>0</v>
      </c>
      <c r="L413" s="4">
        <v>44350</v>
      </c>
      <c r="M413" s="4" t="str">
        <f t="shared" si="56"/>
        <v>2021</v>
      </c>
      <c r="N413" s="1">
        <f t="shared" ca="1" si="57"/>
        <v>46064</v>
      </c>
      <c r="O413" s="6">
        <f t="shared" ca="1" si="58"/>
        <v>4</v>
      </c>
      <c r="P413">
        <v>2</v>
      </c>
      <c r="Q413">
        <f t="shared" si="59"/>
        <v>78754</v>
      </c>
      <c r="R413" s="2">
        <f t="shared" si="60"/>
        <v>39377</v>
      </c>
      <c r="S413" s="2" t="str">
        <f t="shared" si="61"/>
        <v xml:space="preserve"> Not Achieved</v>
      </c>
      <c r="T413" s="2" t="str">
        <f t="shared" si="62"/>
        <v xml:space="preserve"> Excellent</v>
      </c>
      <c r="U413" s="2"/>
    </row>
    <row r="414" spans="1:21" x14ac:dyDescent="0.3">
      <c r="A414">
        <v>413</v>
      </c>
      <c r="B414" t="s">
        <v>666</v>
      </c>
      <c r="C414" t="str">
        <f t="shared" si="54"/>
        <v>EMP_413</v>
      </c>
      <c r="D414" t="s">
        <v>15</v>
      </c>
      <c r="E414" t="str">
        <f t="shared" si="55"/>
        <v>EMP_413IT</v>
      </c>
      <c r="F414" t="s">
        <v>21</v>
      </c>
      <c r="G414" t="s">
        <v>19</v>
      </c>
      <c r="H414">
        <v>45088</v>
      </c>
      <c r="I414">
        <v>10595</v>
      </c>
      <c r="J414">
        <v>0</v>
      </c>
      <c r="K414">
        <v>0</v>
      </c>
      <c r="L414" s="4" t="s">
        <v>239</v>
      </c>
      <c r="M414" s="4" t="str">
        <f t="shared" si="56"/>
        <v>8/23/2019</v>
      </c>
      <c r="N414" s="1">
        <f t="shared" ca="1" si="57"/>
        <v>46064</v>
      </c>
      <c r="O414" s="6" t="e">
        <f t="shared" ca="1" si="58"/>
        <v>#VALUE!</v>
      </c>
      <c r="P414">
        <v>4</v>
      </c>
      <c r="Q414">
        <f t="shared" si="59"/>
        <v>55683</v>
      </c>
      <c r="R414" s="2">
        <f t="shared" si="60"/>
        <v>27841.5</v>
      </c>
      <c r="S414" s="2" t="str">
        <f t="shared" si="61"/>
        <v xml:space="preserve"> Not Achieved</v>
      </c>
      <c r="T414" s="2" t="str">
        <f t="shared" si="62"/>
        <v>Good</v>
      </c>
      <c r="U414" s="2"/>
    </row>
    <row r="415" spans="1:21" x14ac:dyDescent="0.3">
      <c r="A415">
        <v>414</v>
      </c>
      <c r="B415" t="s">
        <v>667</v>
      </c>
      <c r="C415" t="str">
        <f t="shared" si="54"/>
        <v>EMP_414</v>
      </c>
      <c r="D415" t="s">
        <v>11</v>
      </c>
      <c r="E415" t="str">
        <f t="shared" si="55"/>
        <v>EMP_414IT</v>
      </c>
      <c r="F415" t="s">
        <v>21</v>
      </c>
      <c r="G415" t="s">
        <v>16</v>
      </c>
      <c r="H415">
        <v>61275</v>
      </c>
      <c r="I415">
        <v>13968</v>
      </c>
      <c r="J415">
        <v>0</v>
      </c>
      <c r="K415">
        <v>0</v>
      </c>
      <c r="L415" s="4" t="s">
        <v>668</v>
      </c>
      <c r="M415" s="4" t="str">
        <f t="shared" si="56"/>
        <v>7/18/2021</v>
      </c>
      <c r="N415" s="1">
        <f t="shared" ca="1" si="57"/>
        <v>46064</v>
      </c>
      <c r="O415" s="6" t="e">
        <f t="shared" ca="1" si="58"/>
        <v>#VALUE!</v>
      </c>
      <c r="P415">
        <v>5</v>
      </c>
      <c r="Q415">
        <f t="shared" si="59"/>
        <v>75243</v>
      </c>
      <c r="R415" s="2">
        <f t="shared" si="60"/>
        <v>37621.5</v>
      </c>
      <c r="S415" s="2" t="str">
        <f t="shared" si="61"/>
        <v xml:space="preserve"> Not Achieved</v>
      </c>
      <c r="T415" s="2" t="str">
        <f t="shared" si="62"/>
        <v xml:space="preserve"> Excellent</v>
      </c>
      <c r="U415" s="2"/>
    </row>
    <row r="416" spans="1:21" x14ac:dyDescent="0.3">
      <c r="A416">
        <v>415</v>
      </c>
      <c r="B416" t="s">
        <v>669</v>
      </c>
      <c r="C416" t="str">
        <f t="shared" si="54"/>
        <v>EMP_415</v>
      </c>
      <c r="D416" t="s">
        <v>15</v>
      </c>
      <c r="E416" t="str">
        <f t="shared" si="55"/>
        <v>EMP_415Marketing</v>
      </c>
      <c r="F416" t="s">
        <v>24</v>
      </c>
      <c r="G416" t="s">
        <v>22</v>
      </c>
      <c r="H416">
        <v>28959</v>
      </c>
      <c r="I416">
        <v>6862</v>
      </c>
      <c r="J416">
        <v>0</v>
      </c>
      <c r="K416">
        <v>0</v>
      </c>
      <c r="L416" s="4">
        <v>45478</v>
      </c>
      <c r="M416" s="4" t="str">
        <f t="shared" si="56"/>
        <v>2024</v>
      </c>
      <c r="N416" s="1">
        <f t="shared" ca="1" si="57"/>
        <v>46064</v>
      </c>
      <c r="O416" s="6">
        <f t="shared" ca="1" si="58"/>
        <v>1</v>
      </c>
      <c r="P416">
        <v>3</v>
      </c>
      <c r="Q416">
        <f t="shared" si="59"/>
        <v>35821</v>
      </c>
      <c r="R416" s="2">
        <f t="shared" si="60"/>
        <v>17910.5</v>
      </c>
      <c r="S416" s="2" t="str">
        <f t="shared" si="61"/>
        <v xml:space="preserve"> Not Achieved</v>
      </c>
      <c r="T416" s="2" t="str">
        <f t="shared" si="62"/>
        <v>poor</v>
      </c>
      <c r="U416" s="2"/>
    </row>
    <row r="417" spans="1:21" x14ac:dyDescent="0.3">
      <c r="A417">
        <v>416</v>
      </c>
      <c r="B417" t="s">
        <v>670</v>
      </c>
      <c r="C417" t="str">
        <f t="shared" si="54"/>
        <v>EMP_416</v>
      </c>
      <c r="D417" t="s">
        <v>11</v>
      </c>
      <c r="E417" t="str">
        <f t="shared" si="55"/>
        <v>EMP_416Sales</v>
      </c>
      <c r="F417" t="s">
        <v>7</v>
      </c>
      <c r="G417" t="s">
        <v>25</v>
      </c>
      <c r="H417">
        <v>42619</v>
      </c>
      <c r="I417">
        <v>4059</v>
      </c>
      <c r="J417">
        <v>215690</v>
      </c>
      <c r="K417">
        <v>177656</v>
      </c>
      <c r="L417" s="4" t="s">
        <v>671</v>
      </c>
      <c r="M417" s="4" t="str">
        <f t="shared" si="56"/>
        <v>10/28/2018</v>
      </c>
      <c r="N417" s="1">
        <f t="shared" ca="1" si="57"/>
        <v>46064</v>
      </c>
      <c r="O417" s="6" t="e">
        <f t="shared" ca="1" si="58"/>
        <v>#VALUE!</v>
      </c>
      <c r="P417">
        <v>2</v>
      </c>
      <c r="Q417">
        <f t="shared" si="59"/>
        <v>46678</v>
      </c>
      <c r="R417" s="2">
        <f t="shared" si="60"/>
        <v>23339</v>
      </c>
      <c r="S417" s="2" t="str">
        <f t="shared" si="61"/>
        <v>Achieved</v>
      </c>
      <c r="T417" s="2" t="str">
        <f t="shared" si="62"/>
        <v>Good</v>
      </c>
      <c r="U417" s="2"/>
    </row>
    <row r="418" spans="1:21" x14ac:dyDescent="0.3">
      <c r="A418">
        <v>417</v>
      </c>
      <c r="B418" t="s">
        <v>672</v>
      </c>
      <c r="C418" t="str">
        <f t="shared" si="54"/>
        <v>EMP_417</v>
      </c>
      <c r="D418" t="s">
        <v>15</v>
      </c>
      <c r="E418" t="str">
        <f t="shared" si="55"/>
        <v>EMP_417HR</v>
      </c>
      <c r="F418" t="s">
        <v>12</v>
      </c>
      <c r="G418" t="s">
        <v>25</v>
      </c>
      <c r="H418">
        <v>51798</v>
      </c>
      <c r="I418">
        <v>10568</v>
      </c>
      <c r="J418">
        <v>0</v>
      </c>
      <c r="K418">
        <v>0</v>
      </c>
      <c r="L418" s="4" t="s">
        <v>243</v>
      </c>
      <c r="M418" s="4" t="str">
        <f t="shared" si="56"/>
        <v>8/24/2018</v>
      </c>
      <c r="N418" s="1">
        <f t="shared" ca="1" si="57"/>
        <v>46064</v>
      </c>
      <c r="O418" s="6" t="e">
        <f t="shared" ca="1" si="58"/>
        <v>#VALUE!</v>
      </c>
      <c r="P418">
        <v>3</v>
      </c>
      <c r="Q418">
        <f t="shared" si="59"/>
        <v>62366</v>
      </c>
      <c r="R418" s="2">
        <f t="shared" si="60"/>
        <v>31183</v>
      </c>
      <c r="S418" s="2" t="str">
        <f t="shared" si="61"/>
        <v xml:space="preserve"> Not Achieved</v>
      </c>
      <c r="T418" s="2" t="str">
        <f t="shared" si="62"/>
        <v xml:space="preserve"> Excellent</v>
      </c>
      <c r="U418" s="2"/>
    </row>
    <row r="419" spans="1:21" x14ac:dyDescent="0.3">
      <c r="A419">
        <v>418</v>
      </c>
      <c r="B419" t="s">
        <v>673</v>
      </c>
      <c r="C419" t="str">
        <f t="shared" si="54"/>
        <v>EMP_418</v>
      </c>
      <c r="D419" t="s">
        <v>11</v>
      </c>
      <c r="E419" t="str">
        <f t="shared" si="55"/>
        <v>EMP_418Finance</v>
      </c>
      <c r="F419" t="s">
        <v>18</v>
      </c>
      <c r="G419" t="s">
        <v>25</v>
      </c>
      <c r="H419">
        <v>57860</v>
      </c>
      <c r="I419">
        <v>2182</v>
      </c>
      <c r="J419">
        <v>0</v>
      </c>
      <c r="K419">
        <v>0</v>
      </c>
      <c r="L419" s="4" t="s">
        <v>674</v>
      </c>
      <c r="M419" s="4" t="str">
        <f t="shared" si="56"/>
        <v>9/25/2022</v>
      </c>
      <c r="N419" s="1">
        <f t="shared" ca="1" si="57"/>
        <v>46064</v>
      </c>
      <c r="O419" s="6" t="e">
        <f t="shared" ca="1" si="58"/>
        <v>#VALUE!</v>
      </c>
      <c r="P419">
        <v>1</v>
      </c>
      <c r="Q419">
        <f t="shared" si="59"/>
        <v>60042</v>
      </c>
      <c r="R419" s="2">
        <f t="shared" si="60"/>
        <v>30021</v>
      </c>
      <c r="S419" s="2" t="str">
        <f t="shared" si="61"/>
        <v xml:space="preserve"> Not Achieved</v>
      </c>
      <c r="T419" s="2" t="str">
        <f t="shared" si="62"/>
        <v xml:space="preserve"> Excellent</v>
      </c>
      <c r="U419" s="2"/>
    </row>
    <row r="420" spans="1:21" x14ac:dyDescent="0.3">
      <c r="A420">
        <v>419</v>
      </c>
      <c r="B420" t="s">
        <v>675</v>
      </c>
      <c r="C420" t="str">
        <f t="shared" si="54"/>
        <v>EMP_419</v>
      </c>
      <c r="D420" t="s">
        <v>15</v>
      </c>
      <c r="E420" t="str">
        <f t="shared" si="55"/>
        <v>EMP_419Sales</v>
      </c>
      <c r="F420" t="s">
        <v>7</v>
      </c>
      <c r="G420" t="s">
        <v>16</v>
      </c>
      <c r="H420">
        <v>40205</v>
      </c>
      <c r="I420">
        <v>12293</v>
      </c>
      <c r="J420">
        <v>192717</v>
      </c>
      <c r="K420">
        <v>104259</v>
      </c>
      <c r="L420" s="4">
        <v>43534</v>
      </c>
      <c r="M420" s="4" t="str">
        <f t="shared" si="56"/>
        <v>2019</v>
      </c>
      <c r="N420" s="1">
        <f t="shared" ca="1" si="57"/>
        <v>46064</v>
      </c>
      <c r="O420" s="6">
        <f t="shared" ca="1" si="58"/>
        <v>6</v>
      </c>
      <c r="P420">
        <v>3</v>
      </c>
      <c r="Q420">
        <f t="shared" si="59"/>
        <v>52498</v>
      </c>
      <c r="R420" s="2">
        <f t="shared" si="60"/>
        <v>26249</v>
      </c>
      <c r="S420" s="2" t="str">
        <f t="shared" si="61"/>
        <v>Achieved</v>
      </c>
      <c r="T420" s="2" t="str">
        <f t="shared" si="62"/>
        <v>Good</v>
      </c>
      <c r="U420" s="2"/>
    </row>
    <row r="421" spans="1:21" x14ac:dyDescent="0.3">
      <c r="A421">
        <v>420</v>
      </c>
      <c r="B421" t="s">
        <v>676</v>
      </c>
      <c r="C421" t="str">
        <f t="shared" si="54"/>
        <v>EMP_420</v>
      </c>
      <c r="D421" t="s">
        <v>11</v>
      </c>
      <c r="E421" t="str">
        <f t="shared" si="55"/>
        <v>EMP_420IT</v>
      </c>
      <c r="F421" t="s">
        <v>21</v>
      </c>
      <c r="G421" t="s">
        <v>16</v>
      </c>
      <c r="H421">
        <v>53256</v>
      </c>
      <c r="I421">
        <v>13356</v>
      </c>
      <c r="J421">
        <v>0</v>
      </c>
      <c r="K421">
        <v>0</v>
      </c>
      <c r="L421" s="4">
        <v>45237</v>
      </c>
      <c r="M421" s="4" t="str">
        <f t="shared" si="56"/>
        <v>2023</v>
      </c>
      <c r="N421" s="1">
        <f t="shared" ca="1" si="57"/>
        <v>46064</v>
      </c>
      <c r="O421" s="6">
        <f t="shared" ca="1" si="58"/>
        <v>2</v>
      </c>
      <c r="P421">
        <v>2</v>
      </c>
      <c r="Q421">
        <f t="shared" si="59"/>
        <v>66612</v>
      </c>
      <c r="R421" s="2">
        <f t="shared" si="60"/>
        <v>33306</v>
      </c>
      <c r="S421" s="2" t="str">
        <f t="shared" si="61"/>
        <v xml:space="preserve"> Not Achieved</v>
      </c>
      <c r="T421" s="2" t="str">
        <f t="shared" si="62"/>
        <v xml:space="preserve"> Excellent</v>
      </c>
      <c r="U421" s="2"/>
    </row>
    <row r="422" spans="1:21" x14ac:dyDescent="0.3">
      <c r="A422">
        <v>421</v>
      </c>
      <c r="B422" t="s">
        <v>677</v>
      </c>
      <c r="C422" t="str">
        <f t="shared" si="54"/>
        <v>EMP_421</v>
      </c>
      <c r="D422" t="s">
        <v>15</v>
      </c>
      <c r="E422" t="str">
        <f t="shared" si="55"/>
        <v>EMP_421Marketing</v>
      </c>
      <c r="F422" t="s">
        <v>24</v>
      </c>
      <c r="G422" t="s">
        <v>16</v>
      </c>
      <c r="H422">
        <v>75687</v>
      </c>
      <c r="I422">
        <v>13687</v>
      </c>
      <c r="J422">
        <v>0</v>
      </c>
      <c r="K422">
        <v>0</v>
      </c>
      <c r="L422" s="4" t="s">
        <v>678</v>
      </c>
      <c r="M422" s="4" t="str">
        <f t="shared" si="56"/>
        <v>7/19/2019</v>
      </c>
      <c r="N422" s="1">
        <f t="shared" ca="1" si="57"/>
        <v>46064</v>
      </c>
      <c r="O422" s="6" t="e">
        <f t="shared" ca="1" si="58"/>
        <v>#VALUE!</v>
      </c>
      <c r="P422">
        <v>4</v>
      </c>
      <c r="Q422">
        <f t="shared" si="59"/>
        <v>89374</v>
      </c>
      <c r="R422" s="2">
        <f t="shared" si="60"/>
        <v>44687</v>
      </c>
      <c r="S422" s="2" t="str">
        <f t="shared" si="61"/>
        <v xml:space="preserve"> Not Achieved</v>
      </c>
      <c r="T422" s="2" t="str">
        <f t="shared" si="62"/>
        <v xml:space="preserve"> Excellent</v>
      </c>
      <c r="U422" s="2"/>
    </row>
    <row r="423" spans="1:21" x14ac:dyDescent="0.3">
      <c r="A423">
        <v>422</v>
      </c>
      <c r="B423" t="s">
        <v>679</v>
      </c>
      <c r="C423" t="str">
        <f t="shared" si="54"/>
        <v>EMP_422</v>
      </c>
      <c r="D423" t="s">
        <v>11</v>
      </c>
      <c r="E423" t="str">
        <f t="shared" si="55"/>
        <v>EMP_422IT</v>
      </c>
      <c r="F423" t="s">
        <v>21</v>
      </c>
      <c r="G423" t="s">
        <v>25</v>
      </c>
      <c r="H423">
        <v>66370</v>
      </c>
      <c r="I423">
        <v>14440</v>
      </c>
      <c r="J423">
        <v>0</v>
      </c>
      <c r="K423">
        <v>0</v>
      </c>
      <c r="L423" s="4">
        <v>44897</v>
      </c>
      <c r="M423" s="4" t="str">
        <f t="shared" si="56"/>
        <v>2022</v>
      </c>
      <c r="N423" s="1">
        <f t="shared" ca="1" si="57"/>
        <v>46064</v>
      </c>
      <c r="O423" s="6">
        <f t="shared" ca="1" si="58"/>
        <v>3</v>
      </c>
      <c r="P423">
        <v>3</v>
      </c>
      <c r="Q423">
        <f t="shared" si="59"/>
        <v>80810</v>
      </c>
      <c r="R423" s="2">
        <f t="shared" si="60"/>
        <v>40405</v>
      </c>
      <c r="S423" s="2" t="str">
        <f t="shared" si="61"/>
        <v xml:space="preserve"> Not Achieved</v>
      </c>
      <c r="T423" s="2" t="str">
        <f t="shared" si="62"/>
        <v xml:space="preserve"> Excellent</v>
      </c>
      <c r="U423" s="2"/>
    </row>
    <row r="424" spans="1:21" x14ac:dyDescent="0.3">
      <c r="A424">
        <v>423</v>
      </c>
      <c r="B424" t="s">
        <v>680</v>
      </c>
      <c r="C424" t="str">
        <f t="shared" si="54"/>
        <v>EMP_423</v>
      </c>
      <c r="D424" t="s">
        <v>15</v>
      </c>
      <c r="E424" t="str">
        <f t="shared" si="55"/>
        <v>EMP_423HR</v>
      </c>
      <c r="F424" t="s">
        <v>12</v>
      </c>
      <c r="G424" t="s">
        <v>13</v>
      </c>
      <c r="H424">
        <v>39454</v>
      </c>
      <c r="I424">
        <v>2845</v>
      </c>
      <c r="J424">
        <v>0</v>
      </c>
      <c r="K424">
        <v>0</v>
      </c>
      <c r="L424" s="4">
        <v>45540</v>
      </c>
      <c r="M424" s="4" t="str">
        <f t="shared" si="56"/>
        <v>2024</v>
      </c>
      <c r="N424" s="1">
        <f t="shared" ca="1" si="57"/>
        <v>46064</v>
      </c>
      <c r="O424" s="6">
        <f t="shared" ca="1" si="58"/>
        <v>1</v>
      </c>
      <c r="P424">
        <v>3</v>
      </c>
      <c r="Q424">
        <f t="shared" si="59"/>
        <v>42299</v>
      </c>
      <c r="R424" s="2">
        <f t="shared" si="60"/>
        <v>21149.5</v>
      </c>
      <c r="S424" s="2" t="str">
        <f t="shared" si="61"/>
        <v xml:space="preserve"> Not Achieved</v>
      </c>
      <c r="T424" s="2" t="str">
        <f t="shared" si="62"/>
        <v>Average</v>
      </c>
      <c r="U424" s="2"/>
    </row>
    <row r="425" spans="1:21" x14ac:dyDescent="0.3">
      <c r="A425">
        <v>424</v>
      </c>
      <c r="B425" t="s">
        <v>681</v>
      </c>
      <c r="C425" t="str">
        <f t="shared" si="54"/>
        <v>EMP_424</v>
      </c>
      <c r="D425" t="s">
        <v>11</v>
      </c>
      <c r="E425" t="str">
        <f t="shared" si="55"/>
        <v>EMP_424Finance</v>
      </c>
      <c r="F425" t="s">
        <v>18</v>
      </c>
      <c r="G425" t="s">
        <v>25</v>
      </c>
      <c r="H425">
        <v>53979</v>
      </c>
      <c r="I425">
        <v>9133</v>
      </c>
      <c r="J425">
        <v>0</v>
      </c>
      <c r="K425">
        <v>0</v>
      </c>
      <c r="L425" s="4" t="s">
        <v>682</v>
      </c>
      <c r="M425" s="4" t="str">
        <f t="shared" si="56"/>
        <v>8/17/2024</v>
      </c>
      <c r="N425" s="1">
        <f t="shared" ca="1" si="57"/>
        <v>46064</v>
      </c>
      <c r="O425" s="6" t="e">
        <f t="shared" ca="1" si="58"/>
        <v>#VALUE!</v>
      </c>
      <c r="P425">
        <v>3</v>
      </c>
      <c r="Q425">
        <f t="shared" si="59"/>
        <v>63112</v>
      </c>
      <c r="R425" s="2">
        <f t="shared" si="60"/>
        <v>31556</v>
      </c>
      <c r="S425" s="2" t="str">
        <f t="shared" si="61"/>
        <v xml:space="preserve"> Not Achieved</v>
      </c>
      <c r="T425" s="2" t="str">
        <f t="shared" si="62"/>
        <v xml:space="preserve"> Excellent</v>
      </c>
      <c r="U425" s="2"/>
    </row>
    <row r="426" spans="1:21" x14ac:dyDescent="0.3">
      <c r="A426">
        <v>425</v>
      </c>
      <c r="B426" t="s">
        <v>683</v>
      </c>
      <c r="C426" t="str">
        <f t="shared" si="54"/>
        <v>EMP_425</v>
      </c>
      <c r="D426" t="s">
        <v>15</v>
      </c>
      <c r="E426" t="str">
        <f t="shared" si="55"/>
        <v>EMP_425Sales</v>
      </c>
      <c r="F426" t="s">
        <v>7</v>
      </c>
      <c r="G426" t="s">
        <v>25</v>
      </c>
      <c r="H426">
        <v>78468</v>
      </c>
      <c r="I426">
        <v>4357</v>
      </c>
      <c r="J426">
        <v>69076</v>
      </c>
      <c r="K426">
        <v>98499</v>
      </c>
      <c r="L426" s="4">
        <v>44967</v>
      </c>
      <c r="M426" s="4" t="str">
        <f t="shared" si="56"/>
        <v>2023</v>
      </c>
      <c r="N426" s="1">
        <f t="shared" ca="1" si="57"/>
        <v>46064</v>
      </c>
      <c r="O426" s="6">
        <f t="shared" ca="1" si="58"/>
        <v>3</v>
      </c>
      <c r="P426">
        <v>5</v>
      </c>
      <c r="Q426">
        <f t="shared" si="59"/>
        <v>82825</v>
      </c>
      <c r="R426" s="2">
        <f t="shared" si="60"/>
        <v>41412.5</v>
      </c>
      <c r="S426" s="2" t="str">
        <f t="shared" si="61"/>
        <v xml:space="preserve"> Not Achieved</v>
      </c>
      <c r="T426" s="2" t="str">
        <f t="shared" si="62"/>
        <v xml:space="preserve"> Excellent</v>
      </c>
      <c r="U426" s="2"/>
    </row>
    <row r="427" spans="1:21" x14ac:dyDescent="0.3">
      <c r="A427">
        <v>426</v>
      </c>
      <c r="B427" t="s">
        <v>684</v>
      </c>
      <c r="C427" t="str">
        <f t="shared" si="54"/>
        <v>EMP_426</v>
      </c>
      <c r="D427" t="s">
        <v>15</v>
      </c>
      <c r="E427" t="str">
        <f t="shared" si="55"/>
        <v>EMP_426IT</v>
      </c>
      <c r="F427" t="s">
        <v>21</v>
      </c>
      <c r="G427" t="s">
        <v>25</v>
      </c>
      <c r="H427">
        <v>48454</v>
      </c>
      <c r="I427">
        <v>13450</v>
      </c>
      <c r="J427">
        <v>0</v>
      </c>
      <c r="K427">
        <v>0</v>
      </c>
      <c r="L427" s="4" t="s">
        <v>685</v>
      </c>
      <c r="M427" s="4" t="str">
        <f t="shared" si="56"/>
        <v>12/13/2019</v>
      </c>
      <c r="N427" s="1">
        <f t="shared" ca="1" si="57"/>
        <v>46064</v>
      </c>
      <c r="O427" s="6" t="e">
        <f t="shared" ca="1" si="58"/>
        <v>#VALUE!</v>
      </c>
      <c r="P427">
        <v>5</v>
      </c>
      <c r="Q427">
        <f t="shared" si="59"/>
        <v>61904</v>
      </c>
      <c r="R427" s="2">
        <f t="shared" si="60"/>
        <v>30952</v>
      </c>
      <c r="S427" s="2" t="str">
        <f t="shared" si="61"/>
        <v xml:space="preserve"> Not Achieved</v>
      </c>
      <c r="T427" s="2" t="str">
        <f t="shared" si="62"/>
        <v>Good</v>
      </c>
      <c r="U427" s="2"/>
    </row>
    <row r="428" spans="1:21" x14ac:dyDescent="0.3">
      <c r="A428">
        <v>427</v>
      </c>
      <c r="B428" t="s">
        <v>686</v>
      </c>
      <c r="C428" t="str">
        <f t="shared" si="54"/>
        <v>EMP_427</v>
      </c>
      <c r="D428" t="s">
        <v>15</v>
      </c>
      <c r="E428" t="str">
        <f t="shared" si="55"/>
        <v>EMP_427IT</v>
      </c>
      <c r="F428" t="s">
        <v>21</v>
      </c>
      <c r="G428" t="s">
        <v>13</v>
      </c>
      <c r="H428">
        <v>20454</v>
      </c>
      <c r="I428">
        <v>8567</v>
      </c>
      <c r="J428">
        <v>0</v>
      </c>
      <c r="K428">
        <v>0</v>
      </c>
      <c r="L428" s="4" t="s">
        <v>687</v>
      </c>
      <c r="M428" s="4" t="str">
        <f t="shared" si="56"/>
        <v>6/26/2022</v>
      </c>
      <c r="N428" s="1">
        <f t="shared" ca="1" si="57"/>
        <v>46064</v>
      </c>
      <c r="O428" s="6" t="e">
        <f t="shared" ca="1" si="58"/>
        <v>#VALUE!</v>
      </c>
      <c r="P428">
        <v>1</v>
      </c>
      <c r="Q428">
        <f t="shared" si="59"/>
        <v>29021</v>
      </c>
      <c r="R428" s="2">
        <f t="shared" si="60"/>
        <v>14510.5</v>
      </c>
      <c r="S428" s="2" t="str">
        <f t="shared" si="61"/>
        <v xml:space="preserve"> Not Achieved</v>
      </c>
      <c r="T428" s="2" t="str">
        <f t="shared" si="62"/>
        <v>poor</v>
      </c>
      <c r="U428" s="2"/>
    </row>
    <row r="429" spans="1:21" x14ac:dyDescent="0.3">
      <c r="A429">
        <v>428</v>
      </c>
      <c r="B429" t="s">
        <v>688</v>
      </c>
      <c r="C429" t="str">
        <f t="shared" si="54"/>
        <v>EMP_428</v>
      </c>
      <c r="D429" t="s">
        <v>15</v>
      </c>
      <c r="E429" t="str">
        <f t="shared" si="55"/>
        <v>EMP_428Marketing</v>
      </c>
      <c r="F429" t="s">
        <v>24</v>
      </c>
      <c r="G429" t="s">
        <v>19</v>
      </c>
      <c r="H429">
        <v>71587</v>
      </c>
      <c r="I429">
        <v>4336</v>
      </c>
      <c r="J429">
        <v>0</v>
      </c>
      <c r="K429">
        <v>0</v>
      </c>
      <c r="L429" s="4" t="s">
        <v>689</v>
      </c>
      <c r="M429" s="4" t="str">
        <f t="shared" si="56"/>
        <v>9/20/2023</v>
      </c>
      <c r="N429" s="1">
        <f t="shared" ca="1" si="57"/>
        <v>46064</v>
      </c>
      <c r="O429" s="6" t="e">
        <f t="shared" ca="1" si="58"/>
        <v>#VALUE!</v>
      </c>
      <c r="P429">
        <v>4</v>
      </c>
      <c r="Q429">
        <f t="shared" si="59"/>
        <v>75923</v>
      </c>
      <c r="R429" s="2">
        <f t="shared" si="60"/>
        <v>37961.5</v>
      </c>
      <c r="S429" s="2" t="str">
        <f t="shared" si="61"/>
        <v xml:space="preserve"> Not Achieved</v>
      </c>
      <c r="T429" s="2" t="str">
        <f t="shared" si="62"/>
        <v xml:space="preserve"> Excellent</v>
      </c>
      <c r="U429" s="2"/>
    </row>
    <row r="430" spans="1:21" x14ac:dyDescent="0.3">
      <c r="A430">
        <v>429</v>
      </c>
      <c r="B430" t="s">
        <v>690</v>
      </c>
      <c r="C430" t="str">
        <f t="shared" si="54"/>
        <v>EMP_429</v>
      </c>
      <c r="D430" t="s">
        <v>11</v>
      </c>
      <c r="E430" t="str">
        <f t="shared" si="55"/>
        <v>EMP_429Finance</v>
      </c>
      <c r="F430" t="s">
        <v>18</v>
      </c>
      <c r="G430" t="s">
        <v>25</v>
      </c>
      <c r="H430">
        <v>64912</v>
      </c>
      <c r="I430">
        <v>10784</v>
      </c>
      <c r="J430">
        <v>0</v>
      </c>
      <c r="K430">
        <v>0</v>
      </c>
      <c r="L430" s="4" t="s">
        <v>691</v>
      </c>
      <c r="M430" s="4" t="str">
        <f t="shared" si="56"/>
        <v>2/20/2024</v>
      </c>
      <c r="N430" s="1">
        <f t="shared" ca="1" si="57"/>
        <v>46064</v>
      </c>
      <c r="O430" s="6" t="e">
        <f t="shared" ca="1" si="58"/>
        <v>#VALUE!</v>
      </c>
      <c r="P430">
        <v>5</v>
      </c>
      <c r="Q430">
        <f t="shared" si="59"/>
        <v>75696</v>
      </c>
      <c r="R430" s="2">
        <f t="shared" si="60"/>
        <v>37848</v>
      </c>
      <c r="S430" s="2" t="str">
        <f t="shared" si="61"/>
        <v xml:space="preserve"> Not Achieved</v>
      </c>
      <c r="T430" s="2" t="str">
        <f t="shared" si="62"/>
        <v xml:space="preserve"> Excellent</v>
      </c>
      <c r="U430" s="2"/>
    </row>
    <row r="431" spans="1:21" x14ac:dyDescent="0.3">
      <c r="A431">
        <v>430</v>
      </c>
      <c r="B431" t="s">
        <v>692</v>
      </c>
      <c r="C431" t="str">
        <f t="shared" si="54"/>
        <v>EMP_430</v>
      </c>
      <c r="D431" t="s">
        <v>11</v>
      </c>
      <c r="E431" t="str">
        <f t="shared" si="55"/>
        <v>EMP_430HR</v>
      </c>
      <c r="F431" t="s">
        <v>12</v>
      </c>
      <c r="G431" t="s">
        <v>22</v>
      </c>
      <c r="H431">
        <v>31073</v>
      </c>
      <c r="I431">
        <v>7228</v>
      </c>
      <c r="J431">
        <v>0</v>
      </c>
      <c r="K431">
        <v>0</v>
      </c>
      <c r="L431" s="4">
        <v>44349</v>
      </c>
      <c r="M431" s="4" t="str">
        <f t="shared" si="56"/>
        <v>2021</v>
      </c>
      <c r="N431" s="1">
        <f t="shared" ca="1" si="57"/>
        <v>46064</v>
      </c>
      <c r="O431" s="6">
        <f t="shared" ca="1" si="58"/>
        <v>4</v>
      </c>
      <c r="P431">
        <v>4</v>
      </c>
      <c r="Q431">
        <f t="shared" si="59"/>
        <v>38301</v>
      </c>
      <c r="R431" s="2">
        <f t="shared" si="60"/>
        <v>19150.5</v>
      </c>
      <c r="S431" s="2" t="str">
        <f t="shared" si="61"/>
        <v xml:space="preserve"> Not Achieved</v>
      </c>
      <c r="T431" s="2" t="str">
        <f t="shared" si="62"/>
        <v>Average</v>
      </c>
      <c r="U431" s="2"/>
    </row>
    <row r="432" spans="1:21" x14ac:dyDescent="0.3">
      <c r="A432">
        <v>431</v>
      </c>
      <c r="B432" t="s">
        <v>693</v>
      </c>
      <c r="C432" t="str">
        <f t="shared" si="54"/>
        <v>EMP_431</v>
      </c>
      <c r="D432" t="s">
        <v>11</v>
      </c>
      <c r="E432" t="str">
        <f t="shared" si="55"/>
        <v>EMP_431Marketing</v>
      </c>
      <c r="F432" t="s">
        <v>24</v>
      </c>
      <c r="G432" t="s">
        <v>16</v>
      </c>
      <c r="H432">
        <v>28677</v>
      </c>
      <c r="I432">
        <v>7604</v>
      </c>
      <c r="J432">
        <v>0</v>
      </c>
      <c r="K432">
        <v>0</v>
      </c>
      <c r="L432" s="4">
        <v>44235</v>
      </c>
      <c r="M432" s="4" t="str">
        <f t="shared" si="56"/>
        <v>2021</v>
      </c>
      <c r="N432" s="1">
        <f t="shared" ca="1" si="57"/>
        <v>46064</v>
      </c>
      <c r="O432" s="6">
        <f t="shared" ca="1" si="58"/>
        <v>5</v>
      </c>
      <c r="P432">
        <v>2</v>
      </c>
      <c r="Q432">
        <f t="shared" si="59"/>
        <v>36281</v>
      </c>
      <c r="R432" s="2">
        <f t="shared" si="60"/>
        <v>18140.5</v>
      </c>
      <c r="S432" s="2" t="str">
        <f t="shared" si="61"/>
        <v xml:space="preserve"> Not Achieved</v>
      </c>
      <c r="T432" s="2" t="str">
        <f t="shared" si="62"/>
        <v>poor</v>
      </c>
      <c r="U432" s="2"/>
    </row>
    <row r="433" spans="1:21" x14ac:dyDescent="0.3">
      <c r="A433">
        <v>432</v>
      </c>
      <c r="B433" t="s">
        <v>694</v>
      </c>
      <c r="C433" t="str">
        <f t="shared" si="54"/>
        <v>EMP_432</v>
      </c>
      <c r="D433" t="s">
        <v>11</v>
      </c>
      <c r="E433" t="str">
        <f t="shared" si="55"/>
        <v>EMP_432Marketing</v>
      </c>
      <c r="F433" t="s">
        <v>24</v>
      </c>
      <c r="G433" t="s">
        <v>16</v>
      </c>
      <c r="H433">
        <v>26374</v>
      </c>
      <c r="I433">
        <v>14893</v>
      </c>
      <c r="J433">
        <v>0</v>
      </c>
      <c r="K433">
        <v>0</v>
      </c>
      <c r="L433" s="4">
        <v>45234</v>
      </c>
      <c r="M433" s="4" t="str">
        <f t="shared" si="56"/>
        <v>2023</v>
      </c>
      <c r="N433" s="1">
        <f t="shared" ca="1" si="57"/>
        <v>46064</v>
      </c>
      <c r="O433" s="6">
        <f t="shared" ca="1" si="58"/>
        <v>2</v>
      </c>
      <c r="P433">
        <v>3</v>
      </c>
      <c r="Q433">
        <f t="shared" si="59"/>
        <v>41267</v>
      </c>
      <c r="R433" s="2">
        <f t="shared" si="60"/>
        <v>20633.5</v>
      </c>
      <c r="S433" s="2" t="str">
        <f t="shared" si="61"/>
        <v xml:space="preserve"> Not Achieved</v>
      </c>
      <c r="T433" s="2" t="str">
        <f t="shared" si="62"/>
        <v>poor</v>
      </c>
      <c r="U433" s="2"/>
    </row>
    <row r="434" spans="1:21" x14ac:dyDescent="0.3">
      <c r="A434">
        <v>433</v>
      </c>
      <c r="B434" t="s">
        <v>695</v>
      </c>
      <c r="C434" t="str">
        <f t="shared" si="54"/>
        <v>EMP_433</v>
      </c>
      <c r="D434" t="s">
        <v>11</v>
      </c>
      <c r="E434" t="str">
        <f t="shared" si="55"/>
        <v>EMP_433Sales</v>
      </c>
      <c r="F434" t="s">
        <v>7</v>
      </c>
      <c r="G434" t="s">
        <v>13</v>
      </c>
      <c r="H434">
        <v>28955</v>
      </c>
      <c r="I434">
        <v>5052</v>
      </c>
      <c r="J434">
        <v>260716</v>
      </c>
      <c r="K434">
        <v>101166</v>
      </c>
      <c r="L434" s="4" t="s">
        <v>696</v>
      </c>
      <c r="M434" s="4" t="str">
        <f t="shared" si="56"/>
        <v>1/20/2023</v>
      </c>
      <c r="N434" s="1">
        <f t="shared" ca="1" si="57"/>
        <v>46064</v>
      </c>
      <c r="O434" s="6" t="e">
        <f t="shared" ca="1" si="58"/>
        <v>#VALUE!</v>
      </c>
      <c r="P434">
        <v>4</v>
      </c>
      <c r="Q434">
        <f t="shared" si="59"/>
        <v>34007</v>
      </c>
      <c r="R434" s="2">
        <f t="shared" si="60"/>
        <v>17003.5</v>
      </c>
      <c r="S434" s="2" t="str">
        <f t="shared" si="61"/>
        <v>Achieved</v>
      </c>
      <c r="T434" s="2" t="str">
        <f t="shared" si="62"/>
        <v>poor</v>
      </c>
      <c r="U434" s="2"/>
    </row>
    <row r="435" spans="1:21" x14ac:dyDescent="0.3">
      <c r="A435">
        <v>434</v>
      </c>
      <c r="B435" t="s">
        <v>697</v>
      </c>
      <c r="C435" t="str">
        <f t="shared" si="54"/>
        <v>EMP_434</v>
      </c>
      <c r="D435" t="s">
        <v>15</v>
      </c>
      <c r="E435" t="str">
        <f t="shared" si="55"/>
        <v>EMP_434HR</v>
      </c>
      <c r="F435" t="s">
        <v>12</v>
      </c>
      <c r="G435" t="s">
        <v>22</v>
      </c>
      <c r="H435">
        <v>20794</v>
      </c>
      <c r="I435">
        <v>13944</v>
      </c>
      <c r="J435">
        <v>0</v>
      </c>
      <c r="K435">
        <v>0</v>
      </c>
      <c r="L435" s="4" t="s">
        <v>698</v>
      </c>
      <c r="M435" s="4" t="str">
        <f t="shared" si="56"/>
        <v>12/28/2024</v>
      </c>
      <c r="N435" s="1">
        <f t="shared" ca="1" si="57"/>
        <v>46064</v>
      </c>
      <c r="O435" s="6" t="e">
        <f t="shared" ca="1" si="58"/>
        <v>#VALUE!</v>
      </c>
      <c r="P435">
        <v>5</v>
      </c>
      <c r="Q435">
        <f t="shared" si="59"/>
        <v>34738</v>
      </c>
      <c r="R435" s="2">
        <f t="shared" si="60"/>
        <v>17369</v>
      </c>
      <c r="S435" s="2" t="str">
        <f t="shared" si="61"/>
        <v xml:space="preserve"> Not Achieved</v>
      </c>
      <c r="T435" s="2" t="str">
        <f t="shared" si="62"/>
        <v>poor</v>
      </c>
      <c r="U435" s="2"/>
    </row>
    <row r="436" spans="1:21" x14ac:dyDescent="0.3">
      <c r="A436">
        <v>435</v>
      </c>
      <c r="B436" t="s">
        <v>699</v>
      </c>
      <c r="C436" t="str">
        <f t="shared" si="54"/>
        <v>EMP_435</v>
      </c>
      <c r="D436" t="s">
        <v>11</v>
      </c>
      <c r="E436" t="str">
        <f t="shared" si="55"/>
        <v>EMP_435Finance</v>
      </c>
      <c r="F436" t="s">
        <v>18</v>
      </c>
      <c r="G436" t="s">
        <v>16</v>
      </c>
      <c r="H436">
        <v>27388</v>
      </c>
      <c r="I436">
        <v>2618</v>
      </c>
      <c r="J436">
        <v>0</v>
      </c>
      <c r="K436">
        <v>0</v>
      </c>
      <c r="L436" s="4" t="s">
        <v>700</v>
      </c>
      <c r="M436" s="4" t="str">
        <f t="shared" si="56"/>
        <v>8/29/2020</v>
      </c>
      <c r="N436" s="1">
        <f t="shared" ca="1" si="57"/>
        <v>46064</v>
      </c>
      <c r="O436" s="6" t="e">
        <f t="shared" ca="1" si="58"/>
        <v>#VALUE!</v>
      </c>
      <c r="P436">
        <v>1</v>
      </c>
      <c r="Q436">
        <f t="shared" si="59"/>
        <v>30006</v>
      </c>
      <c r="R436" s="2">
        <f t="shared" si="60"/>
        <v>15003</v>
      </c>
      <c r="S436" s="2" t="str">
        <f t="shared" si="61"/>
        <v xml:space="preserve"> Not Achieved</v>
      </c>
      <c r="T436" s="2" t="str">
        <f t="shared" si="62"/>
        <v>poor</v>
      </c>
      <c r="U436" s="2"/>
    </row>
    <row r="437" spans="1:21" x14ac:dyDescent="0.3">
      <c r="A437">
        <v>436</v>
      </c>
      <c r="B437" t="s">
        <v>701</v>
      </c>
      <c r="C437" t="str">
        <f t="shared" si="54"/>
        <v>EMP_436</v>
      </c>
      <c r="D437" t="s">
        <v>15</v>
      </c>
      <c r="E437" t="str">
        <f t="shared" si="55"/>
        <v>EMP_436IT</v>
      </c>
      <c r="F437" t="s">
        <v>21</v>
      </c>
      <c r="G437" t="s">
        <v>25</v>
      </c>
      <c r="H437">
        <v>35916</v>
      </c>
      <c r="I437">
        <v>4410</v>
      </c>
      <c r="J437">
        <v>0</v>
      </c>
      <c r="K437">
        <v>0</v>
      </c>
      <c r="L437" s="4" t="s">
        <v>702</v>
      </c>
      <c r="M437" s="4" t="str">
        <f t="shared" si="56"/>
        <v>12/14/2024</v>
      </c>
      <c r="N437" s="1">
        <f t="shared" ca="1" si="57"/>
        <v>46064</v>
      </c>
      <c r="O437" s="6" t="e">
        <f t="shared" ca="1" si="58"/>
        <v>#VALUE!</v>
      </c>
      <c r="P437">
        <v>4</v>
      </c>
      <c r="Q437">
        <f t="shared" si="59"/>
        <v>40326</v>
      </c>
      <c r="R437" s="2">
        <f t="shared" si="60"/>
        <v>20163</v>
      </c>
      <c r="S437" s="2" t="str">
        <f t="shared" si="61"/>
        <v xml:space="preserve"> Not Achieved</v>
      </c>
      <c r="T437" s="2" t="str">
        <f t="shared" si="62"/>
        <v>Average</v>
      </c>
      <c r="U437" s="2"/>
    </row>
    <row r="438" spans="1:21" x14ac:dyDescent="0.3">
      <c r="A438">
        <v>437</v>
      </c>
      <c r="B438" t="s">
        <v>703</v>
      </c>
      <c r="C438" t="str">
        <f t="shared" si="54"/>
        <v>EMP_437</v>
      </c>
      <c r="D438" t="s">
        <v>15</v>
      </c>
      <c r="E438" t="str">
        <f t="shared" si="55"/>
        <v>EMP_437Finance</v>
      </c>
      <c r="F438" t="s">
        <v>18</v>
      </c>
      <c r="G438" t="s">
        <v>16</v>
      </c>
      <c r="H438">
        <v>77367</v>
      </c>
      <c r="I438">
        <v>3512</v>
      </c>
      <c r="J438">
        <v>0</v>
      </c>
      <c r="K438">
        <v>0</v>
      </c>
      <c r="L438" s="4">
        <v>45053</v>
      </c>
      <c r="M438" s="4" t="str">
        <f t="shared" si="56"/>
        <v>2023</v>
      </c>
      <c r="N438" s="1">
        <f t="shared" ca="1" si="57"/>
        <v>46064</v>
      </c>
      <c r="O438" s="6">
        <f t="shared" ca="1" si="58"/>
        <v>2</v>
      </c>
      <c r="P438">
        <v>4</v>
      </c>
      <c r="Q438">
        <f t="shared" si="59"/>
        <v>80879</v>
      </c>
      <c r="R438" s="2">
        <f t="shared" si="60"/>
        <v>40439.5</v>
      </c>
      <c r="S438" s="2" t="str">
        <f t="shared" si="61"/>
        <v xml:space="preserve"> Not Achieved</v>
      </c>
      <c r="T438" s="2" t="str">
        <f t="shared" si="62"/>
        <v xml:space="preserve"> Excellent</v>
      </c>
      <c r="U438" s="2"/>
    </row>
    <row r="439" spans="1:21" x14ac:dyDescent="0.3">
      <c r="A439">
        <v>438</v>
      </c>
      <c r="B439" t="s">
        <v>704</v>
      </c>
      <c r="C439" t="str">
        <f t="shared" si="54"/>
        <v>EMP_438</v>
      </c>
      <c r="D439" t="s">
        <v>11</v>
      </c>
      <c r="E439" t="str">
        <f t="shared" si="55"/>
        <v>EMP_438HR</v>
      </c>
      <c r="F439" t="s">
        <v>12</v>
      </c>
      <c r="G439" t="s">
        <v>25</v>
      </c>
      <c r="H439">
        <v>52206</v>
      </c>
      <c r="I439">
        <v>12690</v>
      </c>
      <c r="J439">
        <v>0</v>
      </c>
      <c r="K439">
        <v>0</v>
      </c>
      <c r="L439" s="4">
        <v>43954</v>
      </c>
      <c r="M439" s="4" t="str">
        <f t="shared" si="56"/>
        <v>2020</v>
      </c>
      <c r="N439" s="1">
        <f t="shared" ca="1" si="57"/>
        <v>46064</v>
      </c>
      <c r="O439" s="6">
        <f t="shared" ca="1" si="58"/>
        <v>5</v>
      </c>
      <c r="P439">
        <v>3</v>
      </c>
      <c r="Q439">
        <f t="shared" si="59"/>
        <v>64896</v>
      </c>
      <c r="R439" s="2">
        <f t="shared" si="60"/>
        <v>32448</v>
      </c>
      <c r="S439" s="2" t="str">
        <f t="shared" si="61"/>
        <v xml:space="preserve"> Not Achieved</v>
      </c>
      <c r="T439" s="2" t="str">
        <f t="shared" si="62"/>
        <v xml:space="preserve"> Excellent</v>
      </c>
      <c r="U439" s="2"/>
    </row>
    <row r="440" spans="1:21" x14ac:dyDescent="0.3">
      <c r="A440">
        <v>439</v>
      </c>
      <c r="B440" t="s">
        <v>705</v>
      </c>
      <c r="C440" t="str">
        <f t="shared" si="54"/>
        <v>EMP_439</v>
      </c>
      <c r="D440" t="s">
        <v>15</v>
      </c>
      <c r="E440" t="str">
        <f t="shared" si="55"/>
        <v>EMP_439Finance</v>
      </c>
      <c r="F440" t="s">
        <v>18</v>
      </c>
      <c r="G440" t="s">
        <v>19</v>
      </c>
      <c r="H440">
        <v>65835</v>
      </c>
      <c r="I440">
        <v>2888</v>
      </c>
      <c r="J440">
        <v>0</v>
      </c>
      <c r="K440">
        <v>0</v>
      </c>
      <c r="L440" s="4" t="s">
        <v>706</v>
      </c>
      <c r="M440" s="4" t="str">
        <f t="shared" si="56"/>
        <v>2/29/2024</v>
      </c>
      <c r="N440" s="1">
        <f t="shared" ca="1" si="57"/>
        <v>46064</v>
      </c>
      <c r="O440" s="6" t="e">
        <f t="shared" ca="1" si="58"/>
        <v>#VALUE!</v>
      </c>
      <c r="P440">
        <v>2</v>
      </c>
      <c r="Q440">
        <f t="shared" si="59"/>
        <v>68723</v>
      </c>
      <c r="R440" s="2">
        <f t="shared" si="60"/>
        <v>34361.5</v>
      </c>
      <c r="S440" s="2" t="str">
        <f t="shared" si="61"/>
        <v xml:space="preserve"> Not Achieved</v>
      </c>
      <c r="T440" s="2" t="str">
        <f t="shared" si="62"/>
        <v xml:space="preserve"> Excellent</v>
      </c>
      <c r="U440" s="2"/>
    </row>
    <row r="441" spans="1:21" x14ac:dyDescent="0.3">
      <c r="A441">
        <v>440</v>
      </c>
      <c r="B441" t="s">
        <v>707</v>
      </c>
      <c r="C441" t="str">
        <f t="shared" si="54"/>
        <v>EMP_440</v>
      </c>
      <c r="D441" t="s">
        <v>15</v>
      </c>
      <c r="E441" t="str">
        <f t="shared" si="55"/>
        <v>EMP_440IT</v>
      </c>
      <c r="F441" t="s">
        <v>21</v>
      </c>
      <c r="G441" t="s">
        <v>22</v>
      </c>
      <c r="H441">
        <v>32449</v>
      </c>
      <c r="I441">
        <v>4853</v>
      </c>
      <c r="J441">
        <v>0</v>
      </c>
      <c r="K441">
        <v>0</v>
      </c>
      <c r="L441" s="4" t="s">
        <v>350</v>
      </c>
      <c r="M441" s="4" t="str">
        <f t="shared" si="56"/>
        <v>2/25/2021</v>
      </c>
      <c r="N441" s="1">
        <f t="shared" ca="1" si="57"/>
        <v>46064</v>
      </c>
      <c r="O441" s="6" t="e">
        <f t="shared" ca="1" si="58"/>
        <v>#VALUE!</v>
      </c>
      <c r="P441">
        <v>1</v>
      </c>
      <c r="Q441">
        <f t="shared" si="59"/>
        <v>37302</v>
      </c>
      <c r="R441" s="2">
        <f t="shared" si="60"/>
        <v>18651</v>
      </c>
      <c r="S441" s="2" t="str">
        <f t="shared" si="61"/>
        <v xml:space="preserve"> Not Achieved</v>
      </c>
      <c r="T441" s="2" t="str">
        <f t="shared" si="62"/>
        <v>Average</v>
      </c>
      <c r="U441" s="2"/>
    </row>
    <row r="442" spans="1:21" x14ac:dyDescent="0.3">
      <c r="A442">
        <v>441</v>
      </c>
      <c r="B442" t="s">
        <v>708</v>
      </c>
      <c r="C442" t="str">
        <f t="shared" si="54"/>
        <v>EMP_441</v>
      </c>
      <c r="D442" t="s">
        <v>15</v>
      </c>
      <c r="E442" t="str">
        <f t="shared" si="55"/>
        <v>EMP_441IT</v>
      </c>
      <c r="F442" t="s">
        <v>21</v>
      </c>
      <c r="G442" t="s">
        <v>25</v>
      </c>
      <c r="H442">
        <v>48669</v>
      </c>
      <c r="I442">
        <v>14460</v>
      </c>
      <c r="J442">
        <v>0</v>
      </c>
      <c r="K442">
        <v>0</v>
      </c>
      <c r="L442" s="4" t="s">
        <v>709</v>
      </c>
      <c r="M442" s="4" t="str">
        <f t="shared" si="56"/>
        <v>7/21/2024</v>
      </c>
      <c r="N442" s="1">
        <f t="shared" ca="1" si="57"/>
        <v>46064</v>
      </c>
      <c r="O442" s="6" t="e">
        <f t="shared" ca="1" si="58"/>
        <v>#VALUE!</v>
      </c>
      <c r="P442">
        <v>2</v>
      </c>
      <c r="Q442">
        <f t="shared" si="59"/>
        <v>63129</v>
      </c>
      <c r="R442" s="2">
        <f t="shared" si="60"/>
        <v>31564.5</v>
      </c>
      <c r="S442" s="2" t="str">
        <f t="shared" si="61"/>
        <v xml:space="preserve"> Not Achieved</v>
      </c>
      <c r="T442" s="2" t="str">
        <f t="shared" si="62"/>
        <v>Good</v>
      </c>
      <c r="U442" s="2"/>
    </row>
    <row r="443" spans="1:21" x14ac:dyDescent="0.3">
      <c r="A443">
        <v>442</v>
      </c>
      <c r="B443" t="s">
        <v>710</v>
      </c>
      <c r="C443" t="str">
        <f t="shared" si="54"/>
        <v>EMP_442</v>
      </c>
      <c r="D443" t="s">
        <v>11</v>
      </c>
      <c r="E443" t="str">
        <f t="shared" si="55"/>
        <v>EMP_442HR</v>
      </c>
      <c r="F443" t="s">
        <v>12</v>
      </c>
      <c r="G443" t="s">
        <v>25</v>
      </c>
      <c r="H443">
        <v>73377</v>
      </c>
      <c r="I443">
        <v>14585</v>
      </c>
      <c r="J443">
        <v>0</v>
      </c>
      <c r="K443">
        <v>0</v>
      </c>
      <c r="L443" s="4" t="s">
        <v>711</v>
      </c>
      <c r="M443" s="4" t="str">
        <f t="shared" si="56"/>
        <v>10/21/2018</v>
      </c>
      <c r="N443" s="1">
        <f t="shared" ca="1" si="57"/>
        <v>46064</v>
      </c>
      <c r="O443" s="6" t="e">
        <f t="shared" ca="1" si="58"/>
        <v>#VALUE!</v>
      </c>
      <c r="P443">
        <v>5</v>
      </c>
      <c r="Q443">
        <f t="shared" si="59"/>
        <v>87962</v>
      </c>
      <c r="R443" s="2">
        <f t="shared" si="60"/>
        <v>43981</v>
      </c>
      <c r="S443" s="2" t="str">
        <f t="shared" si="61"/>
        <v xml:space="preserve"> Not Achieved</v>
      </c>
      <c r="T443" s="2" t="str">
        <f t="shared" si="62"/>
        <v xml:space="preserve"> Excellent</v>
      </c>
      <c r="U443" s="2"/>
    </row>
    <row r="444" spans="1:21" x14ac:dyDescent="0.3">
      <c r="A444">
        <v>443</v>
      </c>
      <c r="B444" t="s">
        <v>712</v>
      </c>
      <c r="C444" t="str">
        <f t="shared" si="54"/>
        <v>EMP_443</v>
      </c>
      <c r="D444" t="s">
        <v>15</v>
      </c>
      <c r="E444" t="str">
        <f t="shared" si="55"/>
        <v>EMP_443Sales</v>
      </c>
      <c r="F444" t="s">
        <v>7</v>
      </c>
      <c r="G444" t="s">
        <v>19</v>
      </c>
      <c r="H444">
        <v>45659</v>
      </c>
      <c r="I444">
        <v>6105</v>
      </c>
      <c r="J444">
        <v>71822</v>
      </c>
      <c r="K444">
        <v>175803</v>
      </c>
      <c r="L444" s="4" t="s">
        <v>713</v>
      </c>
      <c r="M444" s="4" t="str">
        <f t="shared" si="56"/>
        <v>5/24/2018</v>
      </c>
      <c r="N444" s="1">
        <f t="shared" ca="1" si="57"/>
        <v>46064</v>
      </c>
      <c r="O444" s="6" t="e">
        <f t="shared" ca="1" si="58"/>
        <v>#VALUE!</v>
      </c>
      <c r="P444">
        <v>5</v>
      </c>
      <c r="Q444">
        <f t="shared" si="59"/>
        <v>51764</v>
      </c>
      <c r="R444" s="2">
        <f t="shared" si="60"/>
        <v>25882</v>
      </c>
      <c r="S444" s="2" t="str">
        <f t="shared" si="61"/>
        <v xml:space="preserve"> Not Achieved</v>
      </c>
      <c r="T444" s="2" t="str">
        <f t="shared" si="62"/>
        <v>Good</v>
      </c>
      <c r="U444" s="2"/>
    </row>
    <row r="445" spans="1:21" x14ac:dyDescent="0.3">
      <c r="A445">
        <v>444</v>
      </c>
      <c r="B445" t="s">
        <v>714</v>
      </c>
      <c r="C445" t="str">
        <f t="shared" si="54"/>
        <v>EMP_444</v>
      </c>
      <c r="D445" t="s">
        <v>11</v>
      </c>
      <c r="E445" t="str">
        <f t="shared" si="55"/>
        <v>EMP_444Sales</v>
      </c>
      <c r="F445" t="s">
        <v>7</v>
      </c>
      <c r="G445" t="s">
        <v>16</v>
      </c>
      <c r="H445">
        <v>76661</v>
      </c>
      <c r="I445">
        <v>12450</v>
      </c>
      <c r="J445">
        <v>186529</v>
      </c>
      <c r="K445">
        <v>209061</v>
      </c>
      <c r="L445" s="4" t="s">
        <v>715</v>
      </c>
      <c r="M445" s="4" t="str">
        <f t="shared" si="56"/>
        <v>7/22/2018</v>
      </c>
      <c r="N445" s="1">
        <f t="shared" ca="1" si="57"/>
        <v>46064</v>
      </c>
      <c r="O445" s="6" t="e">
        <f t="shared" ca="1" si="58"/>
        <v>#VALUE!</v>
      </c>
      <c r="P445">
        <v>1</v>
      </c>
      <c r="Q445">
        <f t="shared" si="59"/>
        <v>89111</v>
      </c>
      <c r="R445" s="2">
        <f t="shared" si="60"/>
        <v>44555.5</v>
      </c>
      <c r="S445" s="2" t="str">
        <f t="shared" si="61"/>
        <v xml:space="preserve"> Not Achieved</v>
      </c>
      <c r="T445" s="2" t="str">
        <f t="shared" si="62"/>
        <v xml:space="preserve"> Excellent</v>
      </c>
      <c r="U445" s="2"/>
    </row>
    <row r="446" spans="1:21" x14ac:dyDescent="0.3">
      <c r="A446">
        <v>445</v>
      </c>
      <c r="B446" t="s">
        <v>716</v>
      </c>
      <c r="C446" t="str">
        <f t="shared" si="54"/>
        <v>EMP_445</v>
      </c>
      <c r="D446" t="s">
        <v>15</v>
      </c>
      <c r="E446" t="str">
        <f t="shared" si="55"/>
        <v>EMP_445Finance</v>
      </c>
      <c r="F446" t="s">
        <v>18</v>
      </c>
      <c r="G446" t="s">
        <v>19</v>
      </c>
      <c r="H446">
        <v>53755</v>
      </c>
      <c r="I446">
        <v>14145</v>
      </c>
      <c r="J446">
        <v>0</v>
      </c>
      <c r="K446">
        <v>0</v>
      </c>
      <c r="L446" s="4">
        <v>43985</v>
      </c>
      <c r="M446" s="4" t="str">
        <f t="shared" si="56"/>
        <v>2020</v>
      </c>
      <c r="N446" s="1">
        <f t="shared" ca="1" si="57"/>
        <v>46064</v>
      </c>
      <c r="O446" s="6">
        <f t="shared" ca="1" si="58"/>
        <v>5</v>
      </c>
      <c r="P446">
        <v>4</v>
      </c>
      <c r="Q446">
        <f t="shared" si="59"/>
        <v>67900</v>
      </c>
      <c r="R446" s="2">
        <f t="shared" si="60"/>
        <v>33950</v>
      </c>
      <c r="S446" s="2" t="str">
        <f t="shared" si="61"/>
        <v xml:space="preserve"> Not Achieved</v>
      </c>
      <c r="T446" s="2" t="str">
        <f t="shared" si="62"/>
        <v xml:space="preserve"> Excellent</v>
      </c>
      <c r="U446" s="2"/>
    </row>
    <row r="447" spans="1:21" x14ac:dyDescent="0.3">
      <c r="A447">
        <v>446</v>
      </c>
      <c r="B447" t="s">
        <v>717</v>
      </c>
      <c r="C447" t="str">
        <f t="shared" si="54"/>
        <v>EMP_446</v>
      </c>
      <c r="D447" t="s">
        <v>11</v>
      </c>
      <c r="E447" t="str">
        <f t="shared" si="55"/>
        <v>EMP_446Marketing</v>
      </c>
      <c r="F447" t="s">
        <v>24</v>
      </c>
      <c r="G447" t="s">
        <v>25</v>
      </c>
      <c r="H447">
        <v>73357</v>
      </c>
      <c r="I447">
        <v>12403</v>
      </c>
      <c r="J447">
        <v>0</v>
      </c>
      <c r="K447">
        <v>0</v>
      </c>
      <c r="L447" s="4" t="s">
        <v>718</v>
      </c>
      <c r="M447" s="4" t="str">
        <f t="shared" si="56"/>
        <v>1/28/2022</v>
      </c>
      <c r="N447" s="1">
        <f t="shared" ca="1" si="57"/>
        <v>46064</v>
      </c>
      <c r="O447" s="6" t="e">
        <f t="shared" ca="1" si="58"/>
        <v>#VALUE!</v>
      </c>
      <c r="P447">
        <v>4</v>
      </c>
      <c r="Q447">
        <f t="shared" si="59"/>
        <v>85760</v>
      </c>
      <c r="R447" s="2">
        <f t="shared" si="60"/>
        <v>42880</v>
      </c>
      <c r="S447" s="2" t="str">
        <f t="shared" si="61"/>
        <v xml:space="preserve"> Not Achieved</v>
      </c>
      <c r="T447" s="2" t="str">
        <f t="shared" si="62"/>
        <v xml:space="preserve"> Excellent</v>
      </c>
      <c r="U447" s="2"/>
    </row>
    <row r="448" spans="1:21" x14ac:dyDescent="0.3">
      <c r="A448">
        <v>447</v>
      </c>
      <c r="B448" t="s">
        <v>719</v>
      </c>
      <c r="C448" t="str">
        <f t="shared" si="54"/>
        <v>EMP_447</v>
      </c>
      <c r="D448" t="s">
        <v>15</v>
      </c>
      <c r="E448" t="str">
        <f t="shared" si="55"/>
        <v>EMP_447Marketing</v>
      </c>
      <c r="F448" t="s">
        <v>24</v>
      </c>
      <c r="G448" t="s">
        <v>13</v>
      </c>
      <c r="H448">
        <v>24829</v>
      </c>
      <c r="I448">
        <v>13063</v>
      </c>
      <c r="J448">
        <v>0</v>
      </c>
      <c r="K448">
        <v>0</v>
      </c>
      <c r="L448" s="4" t="s">
        <v>720</v>
      </c>
      <c r="M448" s="4" t="str">
        <f t="shared" si="56"/>
        <v>11/21/2020</v>
      </c>
      <c r="N448" s="1">
        <f t="shared" ca="1" si="57"/>
        <v>46064</v>
      </c>
      <c r="O448" s="6" t="e">
        <f t="shared" ca="1" si="58"/>
        <v>#VALUE!</v>
      </c>
      <c r="P448">
        <v>5</v>
      </c>
      <c r="Q448">
        <f t="shared" si="59"/>
        <v>37892</v>
      </c>
      <c r="R448" s="2">
        <f t="shared" si="60"/>
        <v>18946</v>
      </c>
      <c r="S448" s="2" t="str">
        <f t="shared" si="61"/>
        <v xml:space="preserve"> Not Achieved</v>
      </c>
      <c r="T448" s="2" t="str">
        <f t="shared" si="62"/>
        <v>poor</v>
      </c>
      <c r="U448" s="2"/>
    </row>
    <row r="449" spans="1:21" x14ac:dyDescent="0.3">
      <c r="A449">
        <v>448</v>
      </c>
      <c r="B449" t="s">
        <v>721</v>
      </c>
      <c r="C449" t="str">
        <f t="shared" si="54"/>
        <v>EMP_448</v>
      </c>
      <c r="D449" t="s">
        <v>15</v>
      </c>
      <c r="E449" t="str">
        <f t="shared" si="55"/>
        <v>EMP_448Marketing</v>
      </c>
      <c r="F449" t="s">
        <v>24</v>
      </c>
      <c r="G449" t="s">
        <v>19</v>
      </c>
      <c r="H449">
        <v>46962</v>
      </c>
      <c r="I449">
        <v>13511</v>
      </c>
      <c r="J449">
        <v>0</v>
      </c>
      <c r="K449">
        <v>0</v>
      </c>
      <c r="L449" s="4">
        <v>44784</v>
      </c>
      <c r="M449" s="4" t="str">
        <f t="shared" si="56"/>
        <v>2022</v>
      </c>
      <c r="N449" s="1">
        <f t="shared" ca="1" si="57"/>
        <v>46064</v>
      </c>
      <c r="O449" s="6">
        <f t="shared" ca="1" si="58"/>
        <v>3</v>
      </c>
      <c r="P449">
        <v>2</v>
      </c>
      <c r="Q449">
        <f t="shared" si="59"/>
        <v>60473</v>
      </c>
      <c r="R449" s="2">
        <f t="shared" si="60"/>
        <v>30236.5</v>
      </c>
      <c r="S449" s="2" t="str">
        <f t="shared" si="61"/>
        <v xml:space="preserve"> Not Achieved</v>
      </c>
      <c r="T449" s="2" t="str">
        <f t="shared" si="62"/>
        <v>Good</v>
      </c>
      <c r="U449" s="2"/>
    </row>
    <row r="450" spans="1:21" x14ac:dyDescent="0.3">
      <c r="A450">
        <v>449</v>
      </c>
      <c r="B450" t="s">
        <v>722</v>
      </c>
      <c r="C450" t="str">
        <f t="shared" si="54"/>
        <v>EMP_449</v>
      </c>
      <c r="D450" t="s">
        <v>15</v>
      </c>
      <c r="E450" t="str">
        <f t="shared" si="55"/>
        <v>EMP_449Sales</v>
      </c>
      <c r="F450" t="s">
        <v>7</v>
      </c>
      <c r="G450" t="s">
        <v>16</v>
      </c>
      <c r="H450">
        <v>22425</v>
      </c>
      <c r="I450">
        <v>11937</v>
      </c>
      <c r="J450">
        <v>213886</v>
      </c>
      <c r="K450">
        <v>198923</v>
      </c>
      <c r="L450" s="4" t="s">
        <v>723</v>
      </c>
      <c r="M450" s="4" t="str">
        <f t="shared" si="56"/>
        <v>3/22/2020</v>
      </c>
      <c r="N450" s="1">
        <f t="shared" ca="1" si="57"/>
        <v>46064</v>
      </c>
      <c r="O450" s="6" t="e">
        <f t="shared" ca="1" si="58"/>
        <v>#VALUE!</v>
      </c>
      <c r="P450">
        <v>5</v>
      </c>
      <c r="Q450">
        <f t="shared" si="59"/>
        <v>34362</v>
      </c>
      <c r="R450" s="2">
        <f t="shared" si="60"/>
        <v>17181</v>
      </c>
      <c r="S450" s="2" t="str">
        <f t="shared" si="61"/>
        <v>Achieved</v>
      </c>
      <c r="T450" s="2" t="str">
        <f t="shared" si="62"/>
        <v>poor</v>
      </c>
      <c r="U450" s="2"/>
    </row>
    <row r="451" spans="1:21" x14ac:dyDescent="0.3">
      <c r="A451">
        <v>450</v>
      </c>
      <c r="B451" t="s">
        <v>724</v>
      </c>
      <c r="C451" t="str">
        <f t="shared" ref="C451:C514" si="63">UPPER(B451)</f>
        <v>EMP_450</v>
      </c>
      <c r="D451" t="s">
        <v>15</v>
      </c>
      <c r="E451" t="str">
        <f t="shared" ref="E451:E514" si="64">_xlfn.CONCAT(C451,F451)</f>
        <v>EMP_450Marketing</v>
      </c>
      <c r="F451" t="s">
        <v>24</v>
      </c>
      <c r="G451" t="s">
        <v>13</v>
      </c>
      <c r="H451">
        <v>72520</v>
      </c>
      <c r="I451">
        <v>7124</v>
      </c>
      <c r="J451">
        <v>0</v>
      </c>
      <c r="K451">
        <v>0</v>
      </c>
      <c r="L451" s="4">
        <v>43498</v>
      </c>
      <c r="M451" s="4" t="str">
        <f t="shared" ref="M451:M514" si="65">TEXT(L451,"yyyy")</f>
        <v>2019</v>
      </c>
      <c r="N451" s="1">
        <f t="shared" ref="N451:N514" ca="1" si="66">TODAY()</f>
        <v>46064</v>
      </c>
      <c r="O451" s="6">
        <f t="shared" ref="O451:O514" ca="1" si="67">DATEDIF(L451, TODAY(), "y")</f>
        <v>7</v>
      </c>
      <c r="P451">
        <v>3</v>
      </c>
      <c r="Q451">
        <f t="shared" ref="Q451:Q514" si="68">SUM(H451,I451)</f>
        <v>79644</v>
      </c>
      <c r="R451" s="2">
        <f t="shared" ref="R451:R514" si="69">AVERAGE(H451,I451)</f>
        <v>39822</v>
      </c>
      <c r="S451" s="2" t="str">
        <f t="shared" ref="S451:S514" si="70">IF(J451&gt;K451,"Achieved"," Not Achieved")</f>
        <v xml:space="preserve"> Not Achieved</v>
      </c>
      <c r="T451" s="2" t="str">
        <f t="shared" ref="T451:T514" si="71">_xlfn.IFS(H451&gt;=50000," Excellent",H451&gt;=40000,"Good",H451&gt;=30000,"Average",H451&lt;30000,"poor")</f>
        <v xml:space="preserve"> Excellent</v>
      </c>
      <c r="U451" s="2"/>
    </row>
    <row r="452" spans="1:21" x14ac:dyDescent="0.3">
      <c r="A452">
        <v>451</v>
      </c>
      <c r="B452" t="s">
        <v>725</v>
      </c>
      <c r="C452" t="str">
        <f t="shared" si="63"/>
        <v>EMP_451</v>
      </c>
      <c r="D452" t="s">
        <v>15</v>
      </c>
      <c r="E452" t="str">
        <f t="shared" si="64"/>
        <v>EMP_451IT</v>
      </c>
      <c r="F452" t="s">
        <v>21</v>
      </c>
      <c r="G452" t="s">
        <v>19</v>
      </c>
      <c r="H452">
        <v>39658</v>
      </c>
      <c r="I452">
        <v>14735</v>
      </c>
      <c r="J452">
        <v>0</v>
      </c>
      <c r="K452">
        <v>0</v>
      </c>
      <c r="L452" s="4">
        <v>45608</v>
      </c>
      <c r="M452" s="4" t="str">
        <f t="shared" si="65"/>
        <v>2024</v>
      </c>
      <c r="N452" s="1">
        <f t="shared" ca="1" si="66"/>
        <v>46064</v>
      </c>
      <c r="O452" s="6">
        <f t="shared" ca="1" si="67"/>
        <v>1</v>
      </c>
      <c r="P452">
        <v>5</v>
      </c>
      <c r="Q452">
        <f t="shared" si="68"/>
        <v>54393</v>
      </c>
      <c r="R452" s="2">
        <f t="shared" si="69"/>
        <v>27196.5</v>
      </c>
      <c r="S452" s="2" t="str">
        <f t="shared" si="70"/>
        <v xml:space="preserve"> Not Achieved</v>
      </c>
      <c r="T452" s="2" t="str">
        <f t="shared" si="71"/>
        <v>Average</v>
      </c>
      <c r="U452" s="2"/>
    </row>
    <row r="453" spans="1:21" x14ac:dyDescent="0.3">
      <c r="A453">
        <v>452</v>
      </c>
      <c r="B453" t="s">
        <v>726</v>
      </c>
      <c r="C453" t="str">
        <f t="shared" si="63"/>
        <v>EMP_452</v>
      </c>
      <c r="D453" t="s">
        <v>11</v>
      </c>
      <c r="E453" t="str">
        <f t="shared" si="64"/>
        <v>EMP_452Sales</v>
      </c>
      <c r="F453" t="s">
        <v>7</v>
      </c>
      <c r="G453" t="s">
        <v>16</v>
      </c>
      <c r="H453">
        <v>63833</v>
      </c>
      <c r="I453">
        <v>12322</v>
      </c>
      <c r="J453">
        <v>249728</v>
      </c>
      <c r="K453">
        <v>188162</v>
      </c>
      <c r="L453" s="4" t="s">
        <v>497</v>
      </c>
      <c r="M453" s="4" t="str">
        <f t="shared" si="65"/>
        <v>4/30/2024</v>
      </c>
      <c r="N453" s="1">
        <f t="shared" ca="1" si="66"/>
        <v>46064</v>
      </c>
      <c r="O453" s="6" t="e">
        <f t="shared" ca="1" si="67"/>
        <v>#VALUE!</v>
      </c>
      <c r="P453">
        <v>3</v>
      </c>
      <c r="Q453">
        <f t="shared" si="68"/>
        <v>76155</v>
      </c>
      <c r="R453" s="2">
        <f t="shared" si="69"/>
        <v>38077.5</v>
      </c>
      <c r="S453" s="2" t="str">
        <f t="shared" si="70"/>
        <v>Achieved</v>
      </c>
      <c r="T453" s="2" t="str">
        <f t="shared" si="71"/>
        <v xml:space="preserve"> Excellent</v>
      </c>
      <c r="U453" s="2"/>
    </row>
    <row r="454" spans="1:21" x14ac:dyDescent="0.3">
      <c r="A454">
        <v>453</v>
      </c>
      <c r="B454" t="s">
        <v>727</v>
      </c>
      <c r="C454" t="str">
        <f t="shared" si="63"/>
        <v>EMP_453</v>
      </c>
      <c r="D454" t="s">
        <v>11</v>
      </c>
      <c r="E454" t="str">
        <f t="shared" si="64"/>
        <v>EMP_453IT</v>
      </c>
      <c r="F454" t="s">
        <v>21</v>
      </c>
      <c r="G454" t="s">
        <v>22</v>
      </c>
      <c r="H454">
        <v>26693</v>
      </c>
      <c r="I454">
        <v>5246</v>
      </c>
      <c r="J454">
        <v>0</v>
      </c>
      <c r="K454">
        <v>0</v>
      </c>
      <c r="L454" s="4">
        <v>43284</v>
      </c>
      <c r="M454" s="4" t="str">
        <f t="shared" si="65"/>
        <v>2018</v>
      </c>
      <c r="N454" s="1">
        <f t="shared" ca="1" si="66"/>
        <v>46064</v>
      </c>
      <c r="O454" s="6">
        <f t="shared" ca="1" si="67"/>
        <v>7</v>
      </c>
      <c r="P454">
        <v>5</v>
      </c>
      <c r="Q454">
        <f t="shared" si="68"/>
        <v>31939</v>
      </c>
      <c r="R454" s="2">
        <f t="shared" si="69"/>
        <v>15969.5</v>
      </c>
      <c r="S454" s="2" t="str">
        <f t="shared" si="70"/>
        <v xml:space="preserve"> Not Achieved</v>
      </c>
      <c r="T454" s="2" t="str">
        <f t="shared" si="71"/>
        <v>poor</v>
      </c>
      <c r="U454" s="2"/>
    </row>
    <row r="455" spans="1:21" x14ac:dyDescent="0.3">
      <c r="A455">
        <v>454</v>
      </c>
      <c r="B455" t="s">
        <v>728</v>
      </c>
      <c r="C455" t="str">
        <f t="shared" si="63"/>
        <v>EMP_454</v>
      </c>
      <c r="D455" t="s">
        <v>15</v>
      </c>
      <c r="E455" t="str">
        <f t="shared" si="64"/>
        <v>EMP_454IT</v>
      </c>
      <c r="F455" t="s">
        <v>21</v>
      </c>
      <c r="G455" t="s">
        <v>13</v>
      </c>
      <c r="H455">
        <v>46495</v>
      </c>
      <c r="I455">
        <v>8565</v>
      </c>
      <c r="J455">
        <v>0</v>
      </c>
      <c r="K455">
        <v>0</v>
      </c>
      <c r="L455" s="4" t="s">
        <v>522</v>
      </c>
      <c r="M455" s="4" t="str">
        <f t="shared" si="65"/>
        <v>3/15/2018</v>
      </c>
      <c r="N455" s="1">
        <f t="shared" ca="1" si="66"/>
        <v>46064</v>
      </c>
      <c r="O455" s="6" t="e">
        <f t="shared" ca="1" si="67"/>
        <v>#VALUE!</v>
      </c>
      <c r="P455">
        <v>3</v>
      </c>
      <c r="Q455">
        <f t="shared" si="68"/>
        <v>55060</v>
      </c>
      <c r="R455" s="2">
        <f t="shared" si="69"/>
        <v>27530</v>
      </c>
      <c r="S455" s="2" t="str">
        <f t="shared" si="70"/>
        <v xml:space="preserve"> Not Achieved</v>
      </c>
      <c r="T455" s="2" t="str">
        <f t="shared" si="71"/>
        <v>Good</v>
      </c>
      <c r="U455" s="2"/>
    </row>
    <row r="456" spans="1:21" x14ac:dyDescent="0.3">
      <c r="A456">
        <v>455</v>
      </c>
      <c r="B456" t="s">
        <v>729</v>
      </c>
      <c r="C456" t="str">
        <f t="shared" si="63"/>
        <v>EMP_455</v>
      </c>
      <c r="D456" t="s">
        <v>11</v>
      </c>
      <c r="E456" t="str">
        <f t="shared" si="64"/>
        <v>EMP_455IT</v>
      </c>
      <c r="F456" t="s">
        <v>21</v>
      </c>
      <c r="G456" t="s">
        <v>16</v>
      </c>
      <c r="H456">
        <v>43773</v>
      </c>
      <c r="I456">
        <v>4844</v>
      </c>
      <c r="J456">
        <v>0</v>
      </c>
      <c r="K456">
        <v>0</v>
      </c>
      <c r="L456" s="4" t="s">
        <v>219</v>
      </c>
      <c r="M456" s="4" t="str">
        <f t="shared" si="65"/>
        <v>4/27/2022</v>
      </c>
      <c r="N456" s="1">
        <f t="shared" ca="1" si="66"/>
        <v>46064</v>
      </c>
      <c r="O456" s="6" t="e">
        <f t="shared" ca="1" si="67"/>
        <v>#VALUE!</v>
      </c>
      <c r="P456">
        <v>3</v>
      </c>
      <c r="Q456">
        <f t="shared" si="68"/>
        <v>48617</v>
      </c>
      <c r="R456" s="2">
        <f t="shared" si="69"/>
        <v>24308.5</v>
      </c>
      <c r="S456" s="2" t="str">
        <f t="shared" si="70"/>
        <v xml:space="preserve"> Not Achieved</v>
      </c>
      <c r="T456" s="2" t="str">
        <f t="shared" si="71"/>
        <v>Good</v>
      </c>
      <c r="U456" s="2"/>
    </row>
    <row r="457" spans="1:21" x14ac:dyDescent="0.3">
      <c r="A457">
        <v>456</v>
      </c>
      <c r="B457" t="s">
        <v>730</v>
      </c>
      <c r="C457" t="str">
        <f t="shared" si="63"/>
        <v>EMP_456</v>
      </c>
      <c r="D457" t="s">
        <v>11</v>
      </c>
      <c r="E457" t="str">
        <f t="shared" si="64"/>
        <v>EMP_456HR</v>
      </c>
      <c r="F457" t="s">
        <v>12</v>
      </c>
      <c r="G457" t="s">
        <v>25</v>
      </c>
      <c r="H457">
        <v>41700</v>
      </c>
      <c r="I457">
        <v>2627</v>
      </c>
      <c r="J457">
        <v>0</v>
      </c>
      <c r="K457">
        <v>0</v>
      </c>
      <c r="L457" s="4" t="s">
        <v>731</v>
      </c>
      <c r="M457" s="4" t="str">
        <f t="shared" si="65"/>
        <v>2/21/2024</v>
      </c>
      <c r="N457" s="1">
        <f t="shared" ca="1" si="66"/>
        <v>46064</v>
      </c>
      <c r="O457" s="6" t="e">
        <f t="shared" ca="1" si="67"/>
        <v>#VALUE!</v>
      </c>
      <c r="P457">
        <v>2</v>
      </c>
      <c r="Q457">
        <f t="shared" si="68"/>
        <v>44327</v>
      </c>
      <c r="R457" s="2">
        <f t="shared" si="69"/>
        <v>22163.5</v>
      </c>
      <c r="S457" s="2" t="str">
        <f t="shared" si="70"/>
        <v xml:space="preserve"> Not Achieved</v>
      </c>
      <c r="T457" s="2" t="str">
        <f t="shared" si="71"/>
        <v>Good</v>
      </c>
      <c r="U457" s="2"/>
    </row>
    <row r="458" spans="1:21" x14ac:dyDescent="0.3">
      <c r="A458">
        <v>457</v>
      </c>
      <c r="B458" t="s">
        <v>732</v>
      </c>
      <c r="C458" t="str">
        <f t="shared" si="63"/>
        <v>EMP_457</v>
      </c>
      <c r="D458" t="s">
        <v>15</v>
      </c>
      <c r="E458" t="str">
        <f t="shared" si="64"/>
        <v>EMP_457Marketing</v>
      </c>
      <c r="F458" t="s">
        <v>24</v>
      </c>
      <c r="G458" t="s">
        <v>22</v>
      </c>
      <c r="H458">
        <v>41421</v>
      </c>
      <c r="I458">
        <v>10104</v>
      </c>
      <c r="J458">
        <v>0</v>
      </c>
      <c r="K458">
        <v>0</v>
      </c>
      <c r="L458" s="4">
        <v>43168</v>
      </c>
      <c r="M458" s="4" t="str">
        <f t="shared" si="65"/>
        <v>2018</v>
      </c>
      <c r="N458" s="1">
        <f t="shared" ca="1" si="66"/>
        <v>46064</v>
      </c>
      <c r="O458" s="6">
        <f t="shared" ca="1" si="67"/>
        <v>7</v>
      </c>
      <c r="P458">
        <v>1</v>
      </c>
      <c r="Q458">
        <f t="shared" si="68"/>
        <v>51525</v>
      </c>
      <c r="R458" s="2">
        <f t="shared" si="69"/>
        <v>25762.5</v>
      </c>
      <c r="S458" s="2" t="str">
        <f t="shared" si="70"/>
        <v xml:space="preserve"> Not Achieved</v>
      </c>
      <c r="T458" s="2" t="str">
        <f t="shared" si="71"/>
        <v>Good</v>
      </c>
      <c r="U458" s="2"/>
    </row>
    <row r="459" spans="1:21" x14ac:dyDescent="0.3">
      <c r="A459">
        <v>458</v>
      </c>
      <c r="B459" t="s">
        <v>733</v>
      </c>
      <c r="C459" t="str">
        <f t="shared" si="63"/>
        <v>EMP_458</v>
      </c>
      <c r="D459" t="s">
        <v>11</v>
      </c>
      <c r="E459" t="str">
        <f t="shared" si="64"/>
        <v>EMP_458Finance</v>
      </c>
      <c r="F459" t="s">
        <v>18</v>
      </c>
      <c r="G459" t="s">
        <v>13</v>
      </c>
      <c r="H459">
        <v>70197</v>
      </c>
      <c r="I459">
        <v>2784</v>
      </c>
      <c r="J459">
        <v>0</v>
      </c>
      <c r="K459">
        <v>0</v>
      </c>
      <c r="L459" s="4" t="s">
        <v>734</v>
      </c>
      <c r="M459" s="4" t="str">
        <f t="shared" si="65"/>
        <v>4/26/2024</v>
      </c>
      <c r="N459" s="1">
        <f t="shared" ca="1" si="66"/>
        <v>46064</v>
      </c>
      <c r="O459" s="6" t="e">
        <f t="shared" ca="1" si="67"/>
        <v>#VALUE!</v>
      </c>
      <c r="P459">
        <v>5</v>
      </c>
      <c r="Q459">
        <f t="shared" si="68"/>
        <v>72981</v>
      </c>
      <c r="R459" s="2">
        <f t="shared" si="69"/>
        <v>36490.5</v>
      </c>
      <c r="S459" s="2" t="str">
        <f t="shared" si="70"/>
        <v xml:space="preserve"> Not Achieved</v>
      </c>
      <c r="T459" s="2" t="str">
        <f t="shared" si="71"/>
        <v xml:space="preserve"> Excellent</v>
      </c>
      <c r="U459" s="2"/>
    </row>
    <row r="460" spans="1:21" x14ac:dyDescent="0.3">
      <c r="A460">
        <v>459</v>
      </c>
      <c r="B460" t="s">
        <v>735</v>
      </c>
      <c r="C460" t="str">
        <f t="shared" si="63"/>
        <v>EMP_459</v>
      </c>
      <c r="D460" t="s">
        <v>15</v>
      </c>
      <c r="E460" t="str">
        <f t="shared" si="64"/>
        <v>EMP_459IT</v>
      </c>
      <c r="F460" t="s">
        <v>21</v>
      </c>
      <c r="G460" t="s">
        <v>13</v>
      </c>
      <c r="H460">
        <v>77807</v>
      </c>
      <c r="I460">
        <v>2252</v>
      </c>
      <c r="J460">
        <v>0</v>
      </c>
      <c r="K460">
        <v>0</v>
      </c>
      <c r="L460" s="4" t="s">
        <v>736</v>
      </c>
      <c r="M460" s="4" t="str">
        <f t="shared" si="65"/>
        <v>5/22/2021</v>
      </c>
      <c r="N460" s="1">
        <f t="shared" ca="1" si="66"/>
        <v>46064</v>
      </c>
      <c r="O460" s="6" t="e">
        <f t="shared" ca="1" si="67"/>
        <v>#VALUE!</v>
      </c>
      <c r="P460">
        <v>4</v>
      </c>
      <c r="Q460">
        <f t="shared" si="68"/>
        <v>80059</v>
      </c>
      <c r="R460" s="2">
        <f t="shared" si="69"/>
        <v>40029.5</v>
      </c>
      <c r="S460" s="2" t="str">
        <f t="shared" si="70"/>
        <v xml:space="preserve"> Not Achieved</v>
      </c>
      <c r="T460" s="2" t="str">
        <f t="shared" si="71"/>
        <v xml:space="preserve"> Excellent</v>
      </c>
      <c r="U460" s="2"/>
    </row>
    <row r="461" spans="1:21" x14ac:dyDescent="0.3">
      <c r="A461">
        <v>460</v>
      </c>
      <c r="B461" t="s">
        <v>737</v>
      </c>
      <c r="C461" t="str">
        <f t="shared" si="63"/>
        <v>EMP_460</v>
      </c>
      <c r="D461" t="s">
        <v>11</v>
      </c>
      <c r="E461" t="str">
        <f t="shared" si="64"/>
        <v>EMP_460Marketing</v>
      </c>
      <c r="F461" t="s">
        <v>24</v>
      </c>
      <c r="G461" t="s">
        <v>19</v>
      </c>
      <c r="H461">
        <v>35605</v>
      </c>
      <c r="I461">
        <v>2366</v>
      </c>
      <c r="J461">
        <v>0</v>
      </c>
      <c r="K461">
        <v>0</v>
      </c>
      <c r="L461" s="4">
        <v>44237</v>
      </c>
      <c r="M461" s="4" t="str">
        <f t="shared" si="65"/>
        <v>2021</v>
      </c>
      <c r="N461" s="1">
        <f t="shared" ca="1" si="66"/>
        <v>46064</v>
      </c>
      <c r="O461" s="6">
        <f t="shared" ca="1" si="67"/>
        <v>5</v>
      </c>
      <c r="P461">
        <v>1</v>
      </c>
      <c r="Q461">
        <f t="shared" si="68"/>
        <v>37971</v>
      </c>
      <c r="R461" s="2">
        <f t="shared" si="69"/>
        <v>18985.5</v>
      </c>
      <c r="S461" s="2" t="str">
        <f t="shared" si="70"/>
        <v xml:space="preserve"> Not Achieved</v>
      </c>
      <c r="T461" s="2" t="str">
        <f t="shared" si="71"/>
        <v>Average</v>
      </c>
      <c r="U461" s="2"/>
    </row>
    <row r="462" spans="1:21" x14ac:dyDescent="0.3">
      <c r="A462">
        <v>461</v>
      </c>
      <c r="B462" t="s">
        <v>738</v>
      </c>
      <c r="C462" t="str">
        <f t="shared" si="63"/>
        <v>EMP_461</v>
      </c>
      <c r="D462" t="s">
        <v>15</v>
      </c>
      <c r="E462" t="str">
        <f t="shared" si="64"/>
        <v>EMP_461IT</v>
      </c>
      <c r="F462" t="s">
        <v>21</v>
      </c>
      <c r="G462" t="s">
        <v>13</v>
      </c>
      <c r="H462">
        <v>68167</v>
      </c>
      <c r="I462">
        <v>9820</v>
      </c>
      <c r="J462">
        <v>0</v>
      </c>
      <c r="K462">
        <v>0</v>
      </c>
      <c r="L462" s="4">
        <v>43258</v>
      </c>
      <c r="M462" s="4" t="str">
        <f t="shared" si="65"/>
        <v>2018</v>
      </c>
      <c r="N462" s="1">
        <f t="shared" ca="1" si="66"/>
        <v>46064</v>
      </c>
      <c r="O462" s="6">
        <f t="shared" ca="1" si="67"/>
        <v>7</v>
      </c>
      <c r="P462">
        <v>5</v>
      </c>
      <c r="Q462">
        <f t="shared" si="68"/>
        <v>77987</v>
      </c>
      <c r="R462" s="2">
        <f t="shared" si="69"/>
        <v>38993.5</v>
      </c>
      <c r="S462" s="2" t="str">
        <f t="shared" si="70"/>
        <v xml:space="preserve"> Not Achieved</v>
      </c>
      <c r="T462" s="2" t="str">
        <f t="shared" si="71"/>
        <v xml:space="preserve"> Excellent</v>
      </c>
      <c r="U462" s="2"/>
    </row>
    <row r="463" spans="1:21" x14ac:dyDescent="0.3">
      <c r="A463">
        <v>462</v>
      </c>
      <c r="B463" t="s">
        <v>739</v>
      </c>
      <c r="C463" t="str">
        <f t="shared" si="63"/>
        <v>EMP_462</v>
      </c>
      <c r="D463" t="s">
        <v>11</v>
      </c>
      <c r="E463" t="str">
        <f t="shared" si="64"/>
        <v>EMP_462Finance</v>
      </c>
      <c r="F463" t="s">
        <v>18</v>
      </c>
      <c r="G463" t="s">
        <v>25</v>
      </c>
      <c r="H463">
        <v>54195</v>
      </c>
      <c r="I463">
        <v>10248</v>
      </c>
      <c r="J463">
        <v>0</v>
      </c>
      <c r="K463">
        <v>0</v>
      </c>
      <c r="L463" s="4" t="s">
        <v>740</v>
      </c>
      <c r="M463" s="4" t="str">
        <f t="shared" si="65"/>
        <v>9/23/2024</v>
      </c>
      <c r="N463" s="1">
        <f t="shared" ca="1" si="66"/>
        <v>46064</v>
      </c>
      <c r="O463" s="6" t="e">
        <f t="shared" ca="1" si="67"/>
        <v>#VALUE!</v>
      </c>
      <c r="P463">
        <v>5</v>
      </c>
      <c r="Q463">
        <f t="shared" si="68"/>
        <v>64443</v>
      </c>
      <c r="R463" s="2">
        <f t="shared" si="69"/>
        <v>32221.5</v>
      </c>
      <c r="S463" s="2" t="str">
        <f t="shared" si="70"/>
        <v xml:space="preserve"> Not Achieved</v>
      </c>
      <c r="T463" s="2" t="str">
        <f t="shared" si="71"/>
        <v xml:space="preserve"> Excellent</v>
      </c>
      <c r="U463" s="2"/>
    </row>
    <row r="464" spans="1:21" x14ac:dyDescent="0.3">
      <c r="A464">
        <v>463</v>
      </c>
      <c r="B464" t="s">
        <v>741</v>
      </c>
      <c r="C464" t="str">
        <f t="shared" si="63"/>
        <v>EMP_463</v>
      </c>
      <c r="D464" t="s">
        <v>15</v>
      </c>
      <c r="E464" t="str">
        <f t="shared" si="64"/>
        <v>EMP_463HR</v>
      </c>
      <c r="F464" t="s">
        <v>12</v>
      </c>
      <c r="G464" t="s">
        <v>16</v>
      </c>
      <c r="H464">
        <v>79690</v>
      </c>
      <c r="I464">
        <v>13538</v>
      </c>
      <c r="J464">
        <v>0</v>
      </c>
      <c r="K464">
        <v>0</v>
      </c>
      <c r="L464" s="4" t="s">
        <v>742</v>
      </c>
      <c r="M464" s="4" t="str">
        <f t="shared" si="65"/>
        <v>4/28/2018</v>
      </c>
      <c r="N464" s="1">
        <f t="shared" ca="1" si="66"/>
        <v>46064</v>
      </c>
      <c r="O464" s="6" t="e">
        <f t="shared" ca="1" si="67"/>
        <v>#VALUE!</v>
      </c>
      <c r="P464">
        <v>1</v>
      </c>
      <c r="Q464">
        <f t="shared" si="68"/>
        <v>93228</v>
      </c>
      <c r="R464" s="2">
        <f t="shared" si="69"/>
        <v>46614</v>
      </c>
      <c r="S464" s="2" t="str">
        <f t="shared" si="70"/>
        <v xml:space="preserve"> Not Achieved</v>
      </c>
      <c r="T464" s="2" t="str">
        <f t="shared" si="71"/>
        <v xml:space="preserve"> Excellent</v>
      </c>
      <c r="U464" s="2"/>
    </row>
    <row r="465" spans="1:21" x14ac:dyDescent="0.3">
      <c r="A465">
        <v>464</v>
      </c>
      <c r="B465" t="s">
        <v>743</v>
      </c>
      <c r="C465" t="str">
        <f t="shared" si="63"/>
        <v>EMP_464</v>
      </c>
      <c r="D465" t="s">
        <v>15</v>
      </c>
      <c r="E465" t="str">
        <f t="shared" si="64"/>
        <v>EMP_464Sales</v>
      </c>
      <c r="F465" t="s">
        <v>7</v>
      </c>
      <c r="G465" t="s">
        <v>19</v>
      </c>
      <c r="H465">
        <v>72820</v>
      </c>
      <c r="I465">
        <v>2881</v>
      </c>
      <c r="J465">
        <v>114177</v>
      </c>
      <c r="K465">
        <v>177458</v>
      </c>
      <c r="L465" s="4" t="s">
        <v>744</v>
      </c>
      <c r="M465" s="4" t="str">
        <f t="shared" si="65"/>
        <v>10/13/2021</v>
      </c>
      <c r="N465" s="1">
        <f t="shared" ca="1" si="66"/>
        <v>46064</v>
      </c>
      <c r="O465" s="6" t="e">
        <f t="shared" ca="1" si="67"/>
        <v>#VALUE!</v>
      </c>
      <c r="P465">
        <v>3</v>
      </c>
      <c r="Q465">
        <f t="shared" si="68"/>
        <v>75701</v>
      </c>
      <c r="R465" s="2">
        <f t="shared" si="69"/>
        <v>37850.5</v>
      </c>
      <c r="S465" s="2" t="str">
        <f t="shared" si="70"/>
        <v xml:space="preserve"> Not Achieved</v>
      </c>
      <c r="T465" s="2" t="str">
        <f t="shared" si="71"/>
        <v xml:space="preserve"> Excellent</v>
      </c>
      <c r="U465" s="2"/>
    </row>
    <row r="466" spans="1:21" x14ac:dyDescent="0.3">
      <c r="A466">
        <v>465</v>
      </c>
      <c r="B466" t="s">
        <v>745</v>
      </c>
      <c r="C466" t="str">
        <f t="shared" si="63"/>
        <v>EMP_465</v>
      </c>
      <c r="D466" t="s">
        <v>15</v>
      </c>
      <c r="E466" t="str">
        <f t="shared" si="64"/>
        <v>EMP_465Finance</v>
      </c>
      <c r="F466" t="s">
        <v>18</v>
      </c>
      <c r="G466" t="s">
        <v>22</v>
      </c>
      <c r="H466">
        <v>50577</v>
      </c>
      <c r="I466">
        <v>11437</v>
      </c>
      <c r="J466">
        <v>0</v>
      </c>
      <c r="K466">
        <v>0</v>
      </c>
      <c r="L466" s="4" t="s">
        <v>746</v>
      </c>
      <c r="M466" s="4" t="str">
        <f t="shared" si="65"/>
        <v>9/23/2023</v>
      </c>
      <c r="N466" s="1">
        <f t="shared" ca="1" si="66"/>
        <v>46064</v>
      </c>
      <c r="O466" s="6" t="e">
        <f t="shared" ca="1" si="67"/>
        <v>#VALUE!</v>
      </c>
      <c r="P466">
        <v>2</v>
      </c>
      <c r="Q466">
        <f t="shared" si="68"/>
        <v>62014</v>
      </c>
      <c r="R466" s="2">
        <f t="shared" si="69"/>
        <v>31007</v>
      </c>
      <c r="S466" s="2" t="str">
        <f t="shared" si="70"/>
        <v xml:space="preserve"> Not Achieved</v>
      </c>
      <c r="T466" s="2" t="str">
        <f t="shared" si="71"/>
        <v xml:space="preserve"> Excellent</v>
      </c>
      <c r="U466" s="2"/>
    </row>
    <row r="467" spans="1:21" x14ac:dyDescent="0.3">
      <c r="A467">
        <v>466</v>
      </c>
      <c r="B467" t="s">
        <v>747</v>
      </c>
      <c r="C467" t="str">
        <f t="shared" si="63"/>
        <v>EMP_466</v>
      </c>
      <c r="D467" t="s">
        <v>11</v>
      </c>
      <c r="E467" t="str">
        <f t="shared" si="64"/>
        <v>EMP_466HR</v>
      </c>
      <c r="F467" t="s">
        <v>12</v>
      </c>
      <c r="G467" t="s">
        <v>25</v>
      </c>
      <c r="H467">
        <v>39218</v>
      </c>
      <c r="I467">
        <v>12788</v>
      </c>
      <c r="J467">
        <v>0</v>
      </c>
      <c r="K467">
        <v>0</v>
      </c>
      <c r="L467" s="4">
        <v>45417</v>
      </c>
      <c r="M467" s="4" t="str">
        <f t="shared" si="65"/>
        <v>2024</v>
      </c>
      <c r="N467" s="1">
        <f t="shared" ca="1" si="66"/>
        <v>46064</v>
      </c>
      <c r="O467" s="6">
        <f t="shared" ca="1" si="67"/>
        <v>1</v>
      </c>
      <c r="P467">
        <v>4</v>
      </c>
      <c r="Q467">
        <f t="shared" si="68"/>
        <v>52006</v>
      </c>
      <c r="R467" s="2">
        <f t="shared" si="69"/>
        <v>26003</v>
      </c>
      <c r="S467" s="2" t="str">
        <f t="shared" si="70"/>
        <v xml:space="preserve"> Not Achieved</v>
      </c>
      <c r="T467" s="2" t="str">
        <f t="shared" si="71"/>
        <v>Average</v>
      </c>
      <c r="U467" s="2"/>
    </row>
    <row r="468" spans="1:21" x14ac:dyDescent="0.3">
      <c r="A468">
        <v>467</v>
      </c>
      <c r="B468" t="s">
        <v>748</v>
      </c>
      <c r="C468" t="str">
        <f t="shared" si="63"/>
        <v>EMP_467</v>
      </c>
      <c r="D468" t="s">
        <v>11</v>
      </c>
      <c r="E468" t="str">
        <f t="shared" si="64"/>
        <v>EMP_467IT</v>
      </c>
      <c r="F468" t="s">
        <v>21</v>
      </c>
      <c r="G468" t="s">
        <v>16</v>
      </c>
      <c r="H468">
        <v>77214</v>
      </c>
      <c r="I468">
        <v>5918</v>
      </c>
      <c r="J468">
        <v>0</v>
      </c>
      <c r="K468">
        <v>0</v>
      </c>
      <c r="L468" s="4" t="s">
        <v>65</v>
      </c>
      <c r="M468" s="4" t="str">
        <f t="shared" si="65"/>
        <v>12/19/2023</v>
      </c>
      <c r="N468" s="1">
        <f t="shared" ca="1" si="66"/>
        <v>46064</v>
      </c>
      <c r="O468" s="6" t="e">
        <f t="shared" ca="1" si="67"/>
        <v>#VALUE!</v>
      </c>
      <c r="P468">
        <v>2</v>
      </c>
      <c r="Q468">
        <f t="shared" si="68"/>
        <v>83132</v>
      </c>
      <c r="R468" s="2">
        <f t="shared" si="69"/>
        <v>41566</v>
      </c>
      <c r="S468" s="2" t="str">
        <f t="shared" si="70"/>
        <v xml:space="preserve"> Not Achieved</v>
      </c>
      <c r="T468" s="2" t="str">
        <f t="shared" si="71"/>
        <v xml:space="preserve"> Excellent</v>
      </c>
      <c r="U468" s="2"/>
    </row>
    <row r="469" spans="1:21" x14ac:dyDescent="0.3">
      <c r="A469">
        <v>468</v>
      </c>
      <c r="B469" t="s">
        <v>749</v>
      </c>
      <c r="C469" t="str">
        <f t="shared" si="63"/>
        <v>EMP_468</v>
      </c>
      <c r="D469" t="s">
        <v>15</v>
      </c>
      <c r="E469" t="str">
        <f t="shared" si="64"/>
        <v>EMP_468IT</v>
      </c>
      <c r="F469" t="s">
        <v>21</v>
      </c>
      <c r="G469" t="s">
        <v>19</v>
      </c>
      <c r="H469">
        <v>56053</v>
      </c>
      <c r="I469">
        <v>9104</v>
      </c>
      <c r="J469">
        <v>0</v>
      </c>
      <c r="K469">
        <v>0</v>
      </c>
      <c r="L469" s="4" t="s">
        <v>226</v>
      </c>
      <c r="M469" s="4" t="str">
        <f t="shared" si="65"/>
        <v>5/14/2019</v>
      </c>
      <c r="N469" s="1">
        <f t="shared" ca="1" si="66"/>
        <v>46064</v>
      </c>
      <c r="O469" s="6" t="e">
        <f t="shared" ca="1" si="67"/>
        <v>#VALUE!</v>
      </c>
      <c r="P469">
        <v>3</v>
      </c>
      <c r="Q469">
        <f t="shared" si="68"/>
        <v>65157</v>
      </c>
      <c r="R469" s="2">
        <f t="shared" si="69"/>
        <v>32578.5</v>
      </c>
      <c r="S469" s="2" t="str">
        <f t="shared" si="70"/>
        <v xml:space="preserve"> Not Achieved</v>
      </c>
      <c r="T469" s="2" t="str">
        <f t="shared" si="71"/>
        <v xml:space="preserve"> Excellent</v>
      </c>
      <c r="U469" s="2"/>
    </row>
    <row r="470" spans="1:21" x14ac:dyDescent="0.3">
      <c r="A470">
        <v>469</v>
      </c>
      <c r="B470" t="s">
        <v>750</v>
      </c>
      <c r="C470" t="str">
        <f t="shared" si="63"/>
        <v>EMP_469</v>
      </c>
      <c r="D470" t="s">
        <v>15</v>
      </c>
      <c r="E470" t="str">
        <f t="shared" si="64"/>
        <v>EMP_469Sales</v>
      </c>
      <c r="F470" t="s">
        <v>7</v>
      </c>
      <c r="G470" t="s">
        <v>22</v>
      </c>
      <c r="H470">
        <v>47229</v>
      </c>
      <c r="I470">
        <v>6490</v>
      </c>
      <c r="J470">
        <v>178213</v>
      </c>
      <c r="K470">
        <v>131302</v>
      </c>
      <c r="L470" s="4" t="s">
        <v>751</v>
      </c>
      <c r="M470" s="4" t="str">
        <f t="shared" si="65"/>
        <v>1/30/2019</v>
      </c>
      <c r="N470" s="1">
        <f t="shared" ca="1" si="66"/>
        <v>46064</v>
      </c>
      <c r="O470" s="6" t="e">
        <f t="shared" ca="1" si="67"/>
        <v>#VALUE!</v>
      </c>
      <c r="P470">
        <v>3</v>
      </c>
      <c r="Q470">
        <f t="shared" si="68"/>
        <v>53719</v>
      </c>
      <c r="R470" s="2">
        <f t="shared" si="69"/>
        <v>26859.5</v>
      </c>
      <c r="S470" s="2" t="str">
        <f t="shared" si="70"/>
        <v>Achieved</v>
      </c>
      <c r="T470" s="2" t="str">
        <f t="shared" si="71"/>
        <v>Good</v>
      </c>
      <c r="U470" s="2"/>
    </row>
    <row r="471" spans="1:21" x14ac:dyDescent="0.3">
      <c r="A471">
        <v>470</v>
      </c>
      <c r="B471" t="s">
        <v>752</v>
      </c>
      <c r="C471" t="str">
        <f t="shared" si="63"/>
        <v>EMP_470</v>
      </c>
      <c r="D471" t="s">
        <v>15</v>
      </c>
      <c r="E471" t="str">
        <f t="shared" si="64"/>
        <v>EMP_470Marketing</v>
      </c>
      <c r="F471" t="s">
        <v>24</v>
      </c>
      <c r="G471" t="s">
        <v>25</v>
      </c>
      <c r="H471">
        <v>45590</v>
      </c>
      <c r="I471">
        <v>11054</v>
      </c>
      <c r="J471">
        <v>0</v>
      </c>
      <c r="K471">
        <v>0</v>
      </c>
      <c r="L471" s="4" t="s">
        <v>241</v>
      </c>
      <c r="M471" s="4" t="str">
        <f t="shared" si="65"/>
        <v>6/15/2018</v>
      </c>
      <c r="N471" s="1">
        <f t="shared" ca="1" si="66"/>
        <v>46064</v>
      </c>
      <c r="O471" s="6" t="e">
        <f t="shared" ca="1" si="67"/>
        <v>#VALUE!</v>
      </c>
      <c r="P471">
        <v>3</v>
      </c>
      <c r="Q471">
        <f t="shared" si="68"/>
        <v>56644</v>
      </c>
      <c r="R471" s="2">
        <f t="shared" si="69"/>
        <v>28322</v>
      </c>
      <c r="S471" s="2" t="str">
        <f t="shared" si="70"/>
        <v xml:space="preserve"> Not Achieved</v>
      </c>
      <c r="T471" s="2" t="str">
        <f t="shared" si="71"/>
        <v>Good</v>
      </c>
      <c r="U471" s="2"/>
    </row>
    <row r="472" spans="1:21" x14ac:dyDescent="0.3">
      <c r="A472">
        <v>471</v>
      </c>
      <c r="B472" t="s">
        <v>753</v>
      </c>
      <c r="C472" t="str">
        <f t="shared" si="63"/>
        <v>EMP_471</v>
      </c>
      <c r="D472" t="s">
        <v>15</v>
      </c>
      <c r="E472" t="str">
        <f t="shared" si="64"/>
        <v>EMP_471Finance</v>
      </c>
      <c r="F472" t="s">
        <v>18</v>
      </c>
      <c r="G472" t="s">
        <v>25</v>
      </c>
      <c r="H472">
        <v>65425</v>
      </c>
      <c r="I472">
        <v>10584</v>
      </c>
      <c r="J472">
        <v>0</v>
      </c>
      <c r="K472">
        <v>0</v>
      </c>
      <c r="L472" s="4" t="s">
        <v>754</v>
      </c>
      <c r="M472" s="4" t="str">
        <f t="shared" si="65"/>
        <v>7/14/2021</v>
      </c>
      <c r="N472" s="1">
        <f t="shared" ca="1" si="66"/>
        <v>46064</v>
      </c>
      <c r="O472" s="6" t="e">
        <f t="shared" ca="1" si="67"/>
        <v>#VALUE!</v>
      </c>
      <c r="P472">
        <v>4</v>
      </c>
      <c r="Q472">
        <f t="shared" si="68"/>
        <v>76009</v>
      </c>
      <c r="R472" s="2">
        <f t="shared" si="69"/>
        <v>38004.5</v>
      </c>
      <c r="S472" s="2" t="str">
        <f t="shared" si="70"/>
        <v xml:space="preserve"> Not Achieved</v>
      </c>
      <c r="T472" s="2" t="str">
        <f t="shared" si="71"/>
        <v xml:space="preserve"> Excellent</v>
      </c>
      <c r="U472" s="2"/>
    </row>
    <row r="473" spans="1:21" x14ac:dyDescent="0.3">
      <c r="A473">
        <v>472</v>
      </c>
      <c r="B473" t="s">
        <v>755</v>
      </c>
      <c r="C473" t="str">
        <f t="shared" si="63"/>
        <v>EMP_472</v>
      </c>
      <c r="D473" t="s">
        <v>15</v>
      </c>
      <c r="E473" t="str">
        <f t="shared" si="64"/>
        <v>EMP_472Finance</v>
      </c>
      <c r="F473" t="s">
        <v>18</v>
      </c>
      <c r="G473" t="s">
        <v>13</v>
      </c>
      <c r="H473">
        <v>64780</v>
      </c>
      <c r="I473">
        <v>13256</v>
      </c>
      <c r="J473">
        <v>0</v>
      </c>
      <c r="K473">
        <v>0</v>
      </c>
      <c r="L473" s="4" t="s">
        <v>445</v>
      </c>
      <c r="M473" s="4" t="str">
        <f t="shared" si="65"/>
        <v>6/23/2023</v>
      </c>
      <c r="N473" s="1">
        <f t="shared" ca="1" si="66"/>
        <v>46064</v>
      </c>
      <c r="O473" s="6" t="e">
        <f t="shared" ca="1" si="67"/>
        <v>#VALUE!</v>
      </c>
      <c r="P473">
        <v>1</v>
      </c>
      <c r="Q473">
        <f t="shared" si="68"/>
        <v>78036</v>
      </c>
      <c r="R473" s="2">
        <f t="shared" si="69"/>
        <v>39018</v>
      </c>
      <c r="S473" s="2" t="str">
        <f t="shared" si="70"/>
        <v xml:space="preserve"> Not Achieved</v>
      </c>
      <c r="T473" s="2" t="str">
        <f t="shared" si="71"/>
        <v xml:space="preserve"> Excellent</v>
      </c>
      <c r="U473" s="2"/>
    </row>
    <row r="474" spans="1:21" x14ac:dyDescent="0.3">
      <c r="A474">
        <v>473</v>
      </c>
      <c r="B474" t="s">
        <v>756</v>
      </c>
      <c r="C474" t="str">
        <f t="shared" si="63"/>
        <v>EMP_473</v>
      </c>
      <c r="D474" t="s">
        <v>15</v>
      </c>
      <c r="E474" t="str">
        <f t="shared" si="64"/>
        <v>EMP_473Finance</v>
      </c>
      <c r="F474" t="s">
        <v>18</v>
      </c>
      <c r="G474" t="s">
        <v>13</v>
      </c>
      <c r="H474">
        <v>34935</v>
      </c>
      <c r="I474">
        <v>13656</v>
      </c>
      <c r="J474">
        <v>0</v>
      </c>
      <c r="K474">
        <v>0</v>
      </c>
      <c r="L474" s="4">
        <v>44358</v>
      </c>
      <c r="M474" s="4" t="str">
        <f t="shared" si="65"/>
        <v>2021</v>
      </c>
      <c r="N474" s="1">
        <f t="shared" ca="1" si="66"/>
        <v>46064</v>
      </c>
      <c r="O474" s="6">
        <f t="shared" ca="1" si="67"/>
        <v>4</v>
      </c>
      <c r="P474">
        <v>4</v>
      </c>
      <c r="Q474">
        <f t="shared" si="68"/>
        <v>48591</v>
      </c>
      <c r="R474" s="2">
        <f t="shared" si="69"/>
        <v>24295.5</v>
      </c>
      <c r="S474" s="2" t="str">
        <f t="shared" si="70"/>
        <v xml:space="preserve"> Not Achieved</v>
      </c>
      <c r="T474" s="2" t="str">
        <f t="shared" si="71"/>
        <v>Average</v>
      </c>
      <c r="U474" s="2"/>
    </row>
    <row r="475" spans="1:21" x14ac:dyDescent="0.3">
      <c r="A475">
        <v>474</v>
      </c>
      <c r="B475" t="s">
        <v>757</v>
      </c>
      <c r="C475" t="str">
        <f t="shared" si="63"/>
        <v>EMP_474</v>
      </c>
      <c r="D475" t="s">
        <v>15</v>
      </c>
      <c r="E475" t="str">
        <f t="shared" si="64"/>
        <v>EMP_474Sales</v>
      </c>
      <c r="F475" t="s">
        <v>7</v>
      </c>
      <c r="G475" t="s">
        <v>13</v>
      </c>
      <c r="H475">
        <v>72692</v>
      </c>
      <c r="I475">
        <v>5670</v>
      </c>
      <c r="J475">
        <v>93789</v>
      </c>
      <c r="K475">
        <v>171478</v>
      </c>
      <c r="L475" s="4">
        <v>44655</v>
      </c>
      <c r="M475" s="4" t="str">
        <f t="shared" si="65"/>
        <v>2022</v>
      </c>
      <c r="N475" s="1">
        <f t="shared" ca="1" si="66"/>
        <v>46064</v>
      </c>
      <c r="O475" s="6">
        <f t="shared" ca="1" si="67"/>
        <v>3</v>
      </c>
      <c r="P475">
        <v>3</v>
      </c>
      <c r="Q475">
        <f t="shared" si="68"/>
        <v>78362</v>
      </c>
      <c r="R475" s="2">
        <f t="shared" si="69"/>
        <v>39181</v>
      </c>
      <c r="S475" s="2" t="str">
        <f t="shared" si="70"/>
        <v xml:space="preserve"> Not Achieved</v>
      </c>
      <c r="T475" s="2" t="str">
        <f t="shared" si="71"/>
        <v xml:space="preserve"> Excellent</v>
      </c>
      <c r="U475" s="2"/>
    </row>
    <row r="476" spans="1:21" x14ac:dyDescent="0.3">
      <c r="A476">
        <v>475</v>
      </c>
      <c r="B476" t="s">
        <v>758</v>
      </c>
      <c r="C476" t="str">
        <f t="shared" si="63"/>
        <v>EMP_475</v>
      </c>
      <c r="D476" t="s">
        <v>11</v>
      </c>
      <c r="E476" t="str">
        <f t="shared" si="64"/>
        <v>EMP_475Marketing</v>
      </c>
      <c r="F476" t="s">
        <v>24</v>
      </c>
      <c r="G476" t="s">
        <v>22</v>
      </c>
      <c r="H476">
        <v>42360</v>
      </c>
      <c r="I476">
        <v>6293</v>
      </c>
      <c r="J476">
        <v>0</v>
      </c>
      <c r="K476">
        <v>0</v>
      </c>
      <c r="L476" s="4" t="s">
        <v>759</v>
      </c>
      <c r="M476" s="4" t="str">
        <f t="shared" si="65"/>
        <v>5/31/2023</v>
      </c>
      <c r="N476" s="1">
        <f t="shared" ca="1" si="66"/>
        <v>46064</v>
      </c>
      <c r="O476" s="6" t="e">
        <f t="shared" ca="1" si="67"/>
        <v>#VALUE!</v>
      </c>
      <c r="P476">
        <v>4</v>
      </c>
      <c r="Q476">
        <f t="shared" si="68"/>
        <v>48653</v>
      </c>
      <c r="R476" s="2">
        <f t="shared" si="69"/>
        <v>24326.5</v>
      </c>
      <c r="S476" s="2" t="str">
        <f t="shared" si="70"/>
        <v xml:space="preserve"> Not Achieved</v>
      </c>
      <c r="T476" s="2" t="str">
        <f t="shared" si="71"/>
        <v>Good</v>
      </c>
      <c r="U476" s="2"/>
    </row>
    <row r="477" spans="1:21" x14ac:dyDescent="0.3">
      <c r="A477">
        <v>476</v>
      </c>
      <c r="B477" t="s">
        <v>760</v>
      </c>
      <c r="C477" t="str">
        <f t="shared" si="63"/>
        <v>EMP_476</v>
      </c>
      <c r="D477" t="s">
        <v>15</v>
      </c>
      <c r="E477" t="str">
        <f t="shared" si="64"/>
        <v>EMP_476Finance</v>
      </c>
      <c r="F477" t="s">
        <v>18</v>
      </c>
      <c r="G477" t="s">
        <v>22</v>
      </c>
      <c r="H477">
        <v>29946</v>
      </c>
      <c r="I477">
        <v>7912</v>
      </c>
      <c r="J477">
        <v>0</v>
      </c>
      <c r="K477">
        <v>0</v>
      </c>
      <c r="L477" s="4" t="s">
        <v>761</v>
      </c>
      <c r="M477" s="4" t="str">
        <f t="shared" si="65"/>
        <v>10/26/2021</v>
      </c>
      <c r="N477" s="1">
        <f t="shared" ca="1" si="66"/>
        <v>46064</v>
      </c>
      <c r="O477" s="6" t="e">
        <f t="shared" ca="1" si="67"/>
        <v>#VALUE!</v>
      </c>
      <c r="P477">
        <v>4</v>
      </c>
      <c r="Q477">
        <f t="shared" si="68"/>
        <v>37858</v>
      </c>
      <c r="R477" s="2">
        <f t="shared" si="69"/>
        <v>18929</v>
      </c>
      <c r="S477" s="2" t="str">
        <f t="shared" si="70"/>
        <v xml:space="preserve"> Not Achieved</v>
      </c>
      <c r="T477" s="2" t="str">
        <f t="shared" si="71"/>
        <v>poor</v>
      </c>
      <c r="U477" s="2"/>
    </row>
    <row r="478" spans="1:21" x14ac:dyDescent="0.3">
      <c r="A478">
        <v>477</v>
      </c>
      <c r="B478" t="s">
        <v>762</v>
      </c>
      <c r="C478" t="str">
        <f t="shared" si="63"/>
        <v>EMP_477</v>
      </c>
      <c r="D478" t="s">
        <v>11</v>
      </c>
      <c r="E478" t="str">
        <f t="shared" si="64"/>
        <v>EMP_477HR</v>
      </c>
      <c r="F478" t="s">
        <v>12</v>
      </c>
      <c r="G478" t="s">
        <v>19</v>
      </c>
      <c r="H478">
        <v>58089</v>
      </c>
      <c r="I478">
        <v>3930</v>
      </c>
      <c r="J478">
        <v>0</v>
      </c>
      <c r="K478">
        <v>0</v>
      </c>
      <c r="L478" s="4" t="s">
        <v>118</v>
      </c>
      <c r="M478" s="4" t="str">
        <f t="shared" si="65"/>
        <v>5/29/2019</v>
      </c>
      <c r="N478" s="1">
        <f t="shared" ca="1" si="66"/>
        <v>46064</v>
      </c>
      <c r="O478" s="6" t="e">
        <f t="shared" ca="1" si="67"/>
        <v>#VALUE!</v>
      </c>
      <c r="P478">
        <v>4</v>
      </c>
      <c r="Q478">
        <f t="shared" si="68"/>
        <v>62019</v>
      </c>
      <c r="R478" s="2">
        <f t="shared" si="69"/>
        <v>31009.5</v>
      </c>
      <c r="S478" s="2" t="str">
        <f t="shared" si="70"/>
        <v xml:space="preserve"> Not Achieved</v>
      </c>
      <c r="T478" s="2" t="str">
        <f t="shared" si="71"/>
        <v xml:space="preserve"> Excellent</v>
      </c>
      <c r="U478" s="2"/>
    </row>
    <row r="479" spans="1:21" x14ac:dyDescent="0.3">
      <c r="A479">
        <v>478</v>
      </c>
      <c r="B479" t="s">
        <v>763</v>
      </c>
      <c r="C479" t="str">
        <f t="shared" si="63"/>
        <v>EMP_478</v>
      </c>
      <c r="D479" t="s">
        <v>15</v>
      </c>
      <c r="E479" t="str">
        <f t="shared" si="64"/>
        <v>EMP_478HR</v>
      </c>
      <c r="F479" t="s">
        <v>12</v>
      </c>
      <c r="G479" t="s">
        <v>16</v>
      </c>
      <c r="H479">
        <v>72892</v>
      </c>
      <c r="I479">
        <v>5659</v>
      </c>
      <c r="J479">
        <v>0</v>
      </c>
      <c r="K479">
        <v>0</v>
      </c>
      <c r="L479" s="4">
        <v>43134</v>
      </c>
      <c r="M479" s="4" t="str">
        <f t="shared" si="65"/>
        <v>2018</v>
      </c>
      <c r="N479" s="1">
        <f t="shared" ca="1" si="66"/>
        <v>46064</v>
      </c>
      <c r="O479" s="6">
        <f t="shared" ca="1" si="67"/>
        <v>8</v>
      </c>
      <c r="P479">
        <v>4</v>
      </c>
      <c r="Q479">
        <f t="shared" si="68"/>
        <v>78551</v>
      </c>
      <c r="R479" s="2">
        <f t="shared" si="69"/>
        <v>39275.5</v>
      </c>
      <c r="S479" s="2" t="str">
        <f t="shared" si="70"/>
        <v xml:space="preserve"> Not Achieved</v>
      </c>
      <c r="T479" s="2" t="str">
        <f t="shared" si="71"/>
        <v xml:space="preserve"> Excellent</v>
      </c>
      <c r="U479" s="2"/>
    </row>
    <row r="480" spans="1:21" x14ac:dyDescent="0.3">
      <c r="A480">
        <v>479</v>
      </c>
      <c r="B480" t="s">
        <v>764</v>
      </c>
      <c r="C480" t="str">
        <f t="shared" si="63"/>
        <v>EMP_479</v>
      </c>
      <c r="D480" t="s">
        <v>11</v>
      </c>
      <c r="E480" t="str">
        <f t="shared" si="64"/>
        <v>EMP_479IT</v>
      </c>
      <c r="F480" t="s">
        <v>21</v>
      </c>
      <c r="G480" t="s">
        <v>13</v>
      </c>
      <c r="H480">
        <v>47304</v>
      </c>
      <c r="I480">
        <v>12628</v>
      </c>
      <c r="J480">
        <v>0</v>
      </c>
      <c r="K480">
        <v>0</v>
      </c>
      <c r="L480" s="4" t="s">
        <v>765</v>
      </c>
      <c r="M480" s="4" t="str">
        <f t="shared" si="65"/>
        <v>7/19/2022</v>
      </c>
      <c r="N480" s="1">
        <f t="shared" ca="1" si="66"/>
        <v>46064</v>
      </c>
      <c r="O480" s="6" t="e">
        <f t="shared" ca="1" si="67"/>
        <v>#VALUE!</v>
      </c>
      <c r="P480">
        <v>2</v>
      </c>
      <c r="Q480">
        <f t="shared" si="68"/>
        <v>59932</v>
      </c>
      <c r="R480" s="2">
        <f t="shared" si="69"/>
        <v>29966</v>
      </c>
      <c r="S480" s="2" t="str">
        <f t="shared" si="70"/>
        <v xml:space="preserve"> Not Achieved</v>
      </c>
      <c r="T480" s="2" t="str">
        <f t="shared" si="71"/>
        <v>Good</v>
      </c>
      <c r="U480" s="2"/>
    </row>
    <row r="481" spans="1:21" x14ac:dyDescent="0.3">
      <c r="A481">
        <v>480</v>
      </c>
      <c r="B481" t="s">
        <v>766</v>
      </c>
      <c r="C481" t="str">
        <f t="shared" si="63"/>
        <v>EMP_480</v>
      </c>
      <c r="D481" t="s">
        <v>15</v>
      </c>
      <c r="E481" t="str">
        <f t="shared" si="64"/>
        <v>EMP_480HR</v>
      </c>
      <c r="F481" t="s">
        <v>12</v>
      </c>
      <c r="G481" t="s">
        <v>16</v>
      </c>
      <c r="H481">
        <v>46953</v>
      </c>
      <c r="I481">
        <v>14125</v>
      </c>
      <c r="J481">
        <v>0</v>
      </c>
      <c r="K481">
        <v>0</v>
      </c>
      <c r="L481" s="4">
        <v>43954</v>
      </c>
      <c r="M481" s="4" t="str">
        <f t="shared" si="65"/>
        <v>2020</v>
      </c>
      <c r="N481" s="1">
        <f t="shared" ca="1" si="66"/>
        <v>46064</v>
      </c>
      <c r="O481" s="6">
        <f t="shared" ca="1" si="67"/>
        <v>5</v>
      </c>
      <c r="P481">
        <v>2</v>
      </c>
      <c r="Q481">
        <f t="shared" si="68"/>
        <v>61078</v>
      </c>
      <c r="R481" s="2">
        <f t="shared" si="69"/>
        <v>30539</v>
      </c>
      <c r="S481" s="2" t="str">
        <f t="shared" si="70"/>
        <v xml:space="preserve"> Not Achieved</v>
      </c>
      <c r="T481" s="2" t="str">
        <f t="shared" si="71"/>
        <v>Good</v>
      </c>
      <c r="U481" s="2"/>
    </row>
    <row r="482" spans="1:21" x14ac:dyDescent="0.3">
      <c r="A482">
        <v>481</v>
      </c>
      <c r="B482" t="s">
        <v>767</v>
      </c>
      <c r="C482" t="str">
        <f t="shared" si="63"/>
        <v>EMP_481</v>
      </c>
      <c r="D482" t="s">
        <v>11</v>
      </c>
      <c r="E482" t="str">
        <f t="shared" si="64"/>
        <v>EMP_481HR</v>
      </c>
      <c r="F482" t="s">
        <v>12</v>
      </c>
      <c r="G482" t="s">
        <v>25</v>
      </c>
      <c r="H482">
        <v>34371</v>
      </c>
      <c r="I482">
        <v>6724</v>
      </c>
      <c r="J482">
        <v>0</v>
      </c>
      <c r="K482">
        <v>0</v>
      </c>
      <c r="L482" s="4" t="s">
        <v>768</v>
      </c>
      <c r="M482" s="4" t="str">
        <f t="shared" si="65"/>
        <v>10/18/2019</v>
      </c>
      <c r="N482" s="1">
        <f t="shared" ca="1" si="66"/>
        <v>46064</v>
      </c>
      <c r="O482" s="6" t="e">
        <f t="shared" ca="1" si="67"/>
        <v>#VALUE!</v>
      </c>
      <c r="P482">
        <v>2</v>
      </c>
      <c r="Q482">
        <f t="shared" si="68"/>
        <v>41095</v>
      </c>
      <c r="R482" s="2">
        <f t="shared" si="69"/>
        <v>20547.5</v>
      </c>
      <c r="S482" s="2" t="str">
        <f t="shared" si="70"/>
        <v xml:space="preserve"> Not Achieved</v>
      </c>
      <c r="T482" s="2" t="str">
        <f t="shared" si="71"/>
        <v>Average</v>
      </c>
      <c r="U482" s="2"/>
    </row>
    <row r="483" spans="1:21" x14ac:dyDescent="0.3">
      <c r="A483">
        <v>482</v>
      </c>
      <c r="B483" t="s">
        <v>769</v>
      </c>
      <c r="C483" t="str">
        <f t="shared" si="63"/>
        <v>EMP_482</v>
      </c>
      <c r="D483" t="s">
        <v>11</v>
      </c>
      <c r="E483" t="str">
        <f t="shared" si="64"/>
        <v>EMP_482Marketing</v>
      </c>
      <c r="F483" t="s">
        <v>24</v>
      </c>
      <c r="G483" t="s">
        <v>13</v>
      </c>
      <c r="H483">
        <v>77653</v>
      </c>
      <c r="I483">
        <v>4318</v>
      </c>
      <c r="J483">
        <v>0</v>
      </c>
      <c r="K483">
        <v>0</v>
      </c>
      <c r="L483" s="4" t="s">
        <v>770</v>
      </c>
      <c r="M483" s="4" t="str">
        <f t="shared" si="65"/>
        <v>1/23/2020</v>
      </c>
      <c r="N483" s="1">
        <f t="shared" ca="1" si="66"/>
        <v>46064</v>
      </c>
      <c r="O483" s="6" t="e">
        <f t="shared" ca="1" si="67"/>
        <v>#VALUE!</v>
      </c>
      <c r="P483">
        <v>3</v>
      </c>
      <c r="Q483">
        <f t="shared" si="68"/>
        <v>81971</v>
      </c>
      <c r="R483" s="2">
        <f t="shared" si="69"/>
        <v>40985.5</v>
      </c>
      <c r="S483" s="2" t="str">
        <f t="shared" si="70"/>
        <v xml:space="preserve"> Not Achieved</v>
      </c>
      <c r="T483" s="2" t="str">
        <f t="shared" si="71"/>
        <v xml:space="preserve"> Excellent</v>
      </c>
      <c r="U483" s="2"/>
    </row>
    <row r="484" spans="1:21" x14ac:dyDescent="0.3">
      <c r="A484">
        <v>483</v>
      </c>
      <c r="B484" t="s">
        <v>771</v>
      </c>
      <c r="C484" t="str">
        <f t="shared" si="63"/>
        <v>EMP_483</v>
      </c>
      <c r="D484" t="s">
        <v>11</v>
      </c>
      <c r="E484" t="str">
        <f t="shared" si="64"/>
        <v>EMP_483Sales</v>
      </c>
      <c r="F484" t="s">
        <v>7</v>
      </c>
      <c r="G484" t="s">
        <v>16</v>
      </c>
      <c r="H484">
        <v>69837</v>
      </c>
      <c r="I484">
        <v>8035</v>
      </c>
      <c r="J484">
        <v>60139</v>
      </c>
      <c r="K484">
        <v>130141</v>
      </c>
      <c r="L484" s="4" t="s">
        <v>772</v>
      </c>
      <c r="M484" s="4" t="str">
        <f t="shared" si="65"/>
        <v>7/22/2024</v>
      </c>
      <c r="N484" s="1">
        <f t="shared" ca="1" si="66"/>
        <v>46064</v>
      </c>
      <c r="O484" s="6" t="e">
        <f t="shared" ca="1" si="67"/>
        <v>#VALUE!</v>
      </c>
      <c r="P484">
        <v>1</v>
      </c>
      <c r="Q484">
        <f t="shared" si="68"/>
        <v>77872</v>
      </c>
      <c r="R484" s="2">
        <f t="shared" si="69"/>
        <v>38936</v>
      </c>
      <c r="S484" s="2" t="str">
        <f t="shared" si="70"/>
        <v xml:space="preserve"> Not Achieved</v>
      </c>
      <c r="T484" s="2" t="str">
        <f t="shared" si="71"/>
        <v xml:space="preserve"> Excellent</v>
      </c>
      <c r="U484" s="2"/>
    </row>
    <row r="485" spans="1:21" x14ac:dyDescent="0.3">
      <c r="A485">
        <v>484</v>
      </c>
      <c r="B485" t="s">
        <v>773</v>
      </c>
      <c r="C485" t="str">
        <f t="shared" si="63"/>
        <v>EMP_484</v>
      </c>
      <c r="D485" t="s">
        <v>11</v>
      </c>
      <c r="E485" t="str">
        <f t="shared" si="64"/>
        <v>EMP_484HR</v>
      </c>
      <c r="F485" t="s">
        <v>12</v>
      </c>
      <c r="G485" t="s">
        <v>16</v>
      </c>
      <c r="H485">
        <v>30260</v>
      </c>
      <c r="I485">
        <v>13548</v>
      </c>
      <c r="J485">
        <v>0</v>
      </c>
      <c r="K485">
        <v>0</v>
      </c>
      <c r="L485" s="4" t="s">
        <v>774</v>
      </c>
      <c r="M485" s="4" t="str">
        <f t="shared" si="65"/>
        <v>8/30/2020</v>
      </c>
      <c r="N485" s="1">
        <f t="shared" ca="1" si="66"/>
        <v>46064</v>
      </c>
      <c r="O485" s="6" t="e">
        <f t="shared" ca="1" si="67"/>
        <v>#VALUE!</v>
      </c>
      <c r="P485">
        <v>3</v>
      </c>
      <c r="Q485">
        <f t="shared" si="68"/>
        <v>43808</v>
      </c>
      <c r="R485" s="2">
        <f t="shared" si="69"/>
        <v>21904</v>
      </c>
      <c r="S485" s="2" t="str">
        <f t="shared" si="70"/>
        <v xml:space="preserve"> Not Achieved</v>
      </c>
      <c r="T485" s="2" t="str">
        <f t="shared" si="71"/>
        <v>Average</v>
      </c>
      <c r="U485" s="2"/>
    </row>
    <row r="486" spans="1:21" x14ac:dyDescent="0.3">
      <c r="A486">
        <v>485</v>
      </c>
      <c r="B486" t="s">
        <v>775</v>
      </c>
      <c r="C486" t="str">
        <f t="shared" si="63"/>
        <v>EMP_485</v>
      </c>
      <c r="D486" t="s">
        <v>11</v>
      </c>
      <c r="E486" t="str">
        <f t="shared" si="64"/>
        <v>EMP_485Finance</v>
      </c>
      <c r="F486" t="s">
        <v>18</v>
      </c>
      <c r="G486" t="s">
        <v>22</v>
      </c>
      <c r="H486">
        <v>60637</v>
      </c>
      <c r="I486">
        <v>4333</v>
      </c>
      <c r="J486">
        <v>0</v>
      </c>
      <c r="K486">
        <v>0</v>
      </c>
      <c r="L486" s="4">
        <v>45444</v>
      </c>
      <c r="M486" s="4" t="str">
        <f t="shared" si="65"/>
        <v>2024</v>
      </c>
      <c r="N486" s="1">
        <f t="shared" ca="1" si="66"/>
        <v>46064</v>
      </c>
      <c r="O486" s="6">
        <f t="shared" ca="1" si="67"/>
        <v>1</v>
      </c>
      <c r="P486">
        <v>1</v>
      </c>
      <c r="Q486">
        <f t="shared" si="68"/>
        <v>64970</v>
      </c>
      <c r="R486" s="2">
        <f t="shared" si="69"/>
        <v>32485</v>
      </c>
      <c r="S486" s="2" t="str">
        <f t="shared" si="70"/>
        <v xml:space="preserve"> Not Achieved</v>
      </c>
      <c r="T486" s="2" t="str">
        <f t="shared" si="71"/>
        <v xml:space="preserve"> Excellent</v>
      </c>
      <c r="U486" s="2"/>
    </row>
    <row r="487" spans="1:21" x14ac:dyDescent="0.3">
      <c r="A487">
        <v>486</v>
      </c>
      <c r="B487" t="s">
        <v>776</v>
      </c>
      <c r="C487" t="str">
        <f t="shared" si="63"/>
        <v>EMP_486</v>
      </c>
      <c r="D487" t="s">
        <v>15</v>
      </c>
      <c r="E487" t="str">
        <f t="shared" si="64"/>
        <v>EMP_486HR</v>
      </c>
      <c r="F487" t="s">
        <v>12</v>
      </c>
      <c r="G487" t="s">
        <v>19</v>
      </c>
      <c r="H487">
        <v>46698</v>
      </c>
      <c r="I487">
        <v>11043</v>
      </c>
      <c r="J487">
        <v>0</v>
      </c>
      <c r="K487">
        <v>0</v>
      </c>
      <c r="L487" s="4" t="s">
        <v>777</v>
      </c>
      <c r="M487" s="4" t="str">
        <f t="shared" si="65"/>
        <v>1/13/2018</v>
      </c>
      <c r="N487" s="1">
        <f t="shared" ca="1" si="66"/>
        <v>46064</v>
      </c>
      <c r="O487" s="6" t="e">
        <f t="shared" ca="1" si="67"/>
        <v>#VALUE!</v>
      </c>
      <c r="P487">
        <v>3</v>
      </c>
      <c r="Q487">
        <f t="shared" si="68"/>
        <v>57741</v>
      </c>
      <c r="R487" s="2">
        <f t="shared" si="69"/>
        <v>28870.5</v>
      </c>
      <c r="S487" s="2" t="str">
        <f t="shared" si="70"/>
        <v xml:space="preserve"> Not Achieved</v>
      </c>
      <c r="T487" s="2" t="str">
        <f t="shared" si="71"/>
        <v>Good</v>
      </c>
      <c r="U487" s="2"/>
    </row>
    <row r="488" spans="1:21" x14ac:dyDescent="0.3">
      <c r="A488">
        <v>487</v>
      </c>
      <c r="B488" t="s">
        <v>778</v>
      </c>
      <c r="C488" t="str">
        <f t="shared" si="63"/>
        <v>EMP_487</v>
      </c>
      <c r="D488" t="s">
        <v>11</v>
      </c>
      <c r="E488" t="str">
        <f t="shared" si="64"/>
        <v>EMP_487Sales</v>
      </c>
      <c r="F488" t="s">
        <v>7</v>
      </c>
      <c r="G488" t="s">
        <v>25</v>
      </c>
      <c r="H488">
        <v>22521</v>
      </c>
      <c r="I488">
        <v>10952</v>
      </c>
      <c r="J488">
        <v>156975</v>
      </c>
      <c r="K488">
        <v>236380</v>
      </c>
      <c r="L488" s="4">
        <v>44480</v>
      </c>
      <c r="M488" s="4" t="str">
        <f t="shared" si="65"/>
        <v>2021</v>
      </c>
      <c r="N488" s="1">
        <f t="shared" ca="1" si="66"/>
        <v>46064</v>
      </c>
      <c r="O488" s="6">
        <f t="shared" ca="1" si="67"/>
        <v>4</v>
      </c>
      <c r="P488">
        <v>5</v>
      </c>
      <c r="Q488">
        <f t="shared" si="68"/>
        <v>33473</v>
      </c>
      <c r="R488" s="2">
        <f t="shared" si="69"/>
        <v>16736.5</v>
      </c>
      <c r="S488" s="2" t="str">
        <f t="shared" si="70"/>
        <v xml:space="preserve"> Not Achieved</v>
      </c>
      <c r="T488" s="2" t="str">
        <f t="shared" si="71"/>
        <v>poor</v>
      </c>
      <c r="U488" s="2"/>
    </row>
    <row r="489" spans="1:21" x14ac:dyDescent="0.3">
      <c r="A489">
        <v>488</v>
      </c>
      <c r="B489" t="s">
        <v>779</v>
      </c>
      <c r="C489" t="str">
        <f t="shared" si="63"/>
        <v>EMP_488</v>
      </c>
      <c r="D489" t="s">
        <v>11</v>
      </c>
      <c r="E489" t="str">
        <f t="shared" si="64"/>
        <v>EMP_488Marketing</v>
      </c>
      <c r="F489" t="s">
        <v>24</v>
      </c>
      <c r="G489" t="s">
        <v>22</v>
      </c>
      <c r="H489">
        <v>52975</v>
      </c>
      <c r="I489">
        <v>12181</v>
      </c>
      <c r="J489">
        <v>0</v>
      </c>
      <c r="K489">
        <v>0</v>
      </c>
      <c r="L489" s="4" t="s">
        <v>780</v>
      </c>
      <c r="M489" s="4" t="str">
        <f t="shared" si="65"/>
        <v>10/17/2023</v>
      </c>
      <c r="N489" s="1">
        <f t="shared" ca="1" si="66"/>
        <v>46064</v>
      </c>
      <c r="O489" s="6" t="e">
        <f t="shared" ca="1" si="67"/>
        <v>#VALUE!</v>
      </c>
      <c r="P489">
        <v>2</v>
      </c>
      <c r="Q489">
        <f t="shared" si="68"/>
        <v>65156</v>
      </c>
      <c r="R489" s="2">
        <f t="shared" si="69"/>
        <v>32578</v>
      </c>
      <c r="S489" s="2" t="str">
        <f t="shared" si="70"/>
        <v xml:space="preserve"> Not Achieved</v>
      </c>
      <c r="T489" s="2" t="str">
        <f t="shared" si="71"/>
        <v xml:space="preserve"> Excellent</v>
      </c>
      <c r="U489" s="2"/>
    </row>
    <row r="490" spans="1:21" x14ac:dyDescent="0.3">
      <c r="A490">
        <v>489</v>
      </c>
      <c r="B490" t="s">
        <v>781</v>
      </c>
      <c r="C490" t="str">
        <f t="shared" si="63"/>
        <v>EMP_489</v>
      </c>
      <c r="D490" t="s">
        <v>11</v>
      </c>
      <c r="E490" t="str">
        <f t="shared" si="64"/>
        <v>EMP_489HR</v>
      </c>
      <c r="F490" t="s">
        <v>12</v>
      </c>
      <c r="G490" t="s">
        <v>25</v>
      </c>
      <c r="H490">
        <v>56047</v>
      </c>
      <c r="I490">
        <v>2197</v>
      </c>
      <c r="J490">
        <v>0</v>
      </c>
      <c r="K490">
        <v>0</v>
      </c>
      <c r="L490" s="4">
        <v>44722</v>
      </c>
      <c r="M490" s="4" t="str">
        <f t="shared" si="65"/>
        <v>2022</v>
      </c>
      <c r="N490" s="1">
        <f t="shared" ca="1" si="66"/>
        <v>46064</v>
      </c>
      <c r="O490" s="6">
        <f t="shared" ca="1" si="67"/>
        <v>3</v>
      </c>
      <c r="P490">
        <v>5</v>
      </c>
      <c r="Q490">
        <f t="shared" si="68"/>
        <v>58244</v>
      </c>
      <c r="R490" s="2">
        <f t="shared" si="69"/>
        <v>29122</v>
      </c>
      <c r="S490" s="2" t="str">
        <f t="shared" si="70"/>
        <v xml:space="preserve"> Not Achieved</v>
      </c>
      <c r="T490" s="2" t="str">
        <f t="shared" si="71"/>
        <v xml:space="preserve"> Excellent</v>
      </c>
      <c r="U490" s="2"/>
    </row>
    <row r="491" spans="1:21" x14ac:dyDescent="0.3">
      <c r="A491">
        <v>490</v>
      </c>
      <c r="B491" t="s">
        <v>782</v>
      </c>
      <c r="C491" t="str">
        <f t="shared" si="63"/>
        <v>EMP_490</v>
      </c>
      <c r="D491" t="s">
        <v>15</v>
      </c>
      <c r="E491" t="str">
        <f t="shared" si="64"/>
        <v>EMP_490Marketing</v>
      </c>
      <c r="F491" t="s">
        <v>24</v>
      </c>
      <c r="G491" t="s">
        <v>16</v>
      </c>
      <c r="H491">
        <v>22899</v>
      </c>
      <c r="I491">
        <v>11906</v>
      </c>
      <c r="J491">
        <v>0</v>
      </c>
      <c r="K491">
        <v>0</v>
      </c>
      <c r="L491" s="4" t="s">
        <v>783</v>
      </c>
      <c r="M491" s="4" t="str">
        <f t="shared" si="65"/>
        <v>9/26/2019</v>
      </c>
      <c r="N491" s="1">
        <f t="shared" ca="1" si="66"/>
        <v>46064</v>
      </c>
      <c r="O491" s="6" t="e">
        <f t="shared" ca="1" si="67"/>
        <v>#VALUE!</v>
      </c>
      <c r="P491">
        <v>2</v>
      </c>
      <c r="Q491">
        <f t="shared" si="68"/>
        <v>34805</v>
      </c>
      <c r="R491" s="2">
        <f t="shared" si="69"/>
        <v>17402.5</v>
      </c>
      <c r="S491" s="2" t="str">
        <f t="shared" si="70"/>
        <v xml:space="preserve"> Not Achieved</v>
      </c>
      <c r="T491" s="2" t="str">
        <f t="shared" si="71"/>
        <v>poor</v>
      </c>
      <c r="U491" s="2"/>
    </row>
    <row r="492" spans="1:21" x14ac:dyDescent="0.3">
      <c r="A492">
        <v>491</v>
      </c>
      <c r="B492" t="s">
        <v>784</v>
      </c>
      <c r="C492" t="str">
        <f t="shared" si="63"/>
        <v>EMP_491</v>
      </c>
      <c r="D492" t="s">
        <v>11</v>
      </c>
      <c r="E492" t="str">
        <f t="shared" si="64"/>
        <v>EMP_491Sales</v>
      </c>
      <c r="F492" t="s">
        <v>7</v>
      </c>
      <c r="G492" t="s">
        <v>13</v>
      </c>
      <c r="H492">
        <v>34669</v>
      </c>
      <c r="I492">
        <v>6739</v>
      </c>
      <c r="J492">
        <v>237888</v>
      </c>
      <c r="K492">
        <v>127716</v>
      </c>
      <c r="L492" s="4" t="s">
        <v>785</v>
      </c>
      <c r="M492" s="4" t="str">
        <f t="shared" si="65"/>
        <v>11/26/2022</v>
      </c>
      <c r="N492" s="1">
        <f t="shared" ca="1" si="66"/>
        <v>46064</v>
      </c>
      <c r="O492" s="6" t="e">
        <f t="shared" ca="1" si="67"/>
        <v>#VALUE!</v>
      </c>
      <c r="P492">
        <v>5</v>
      </c>
      <c r="Q492">
        <f t="shared" si="68"/>
        <v>41408</v>
      </c>
      <c r="R492" s="2">
        <f t="shared" si="69"/>
        <v>20704</v>
      </c>
      <c r="S492" s="2" t="str">
        <f t="shared" si="70"/>
        <v>Achieved</v>
      </c>
      <c r="T492" s="2" t="str">
        <f t="shared" si="71"/>
        <v>Average</v>
      </c>
      <c r="U492" s="2"/>
    </row>
    <row r="493" spans="1:21" x14ac:dyDescent="0.3">
      <c r="A493">
        <v>492</v>
      </c>
      <c r="B493" t="s">
        <v>786</v>
      </c>
      <c r="C493" t="str">
        <f t="shared" si="63"/>
        <v>EMP_492</v>
      </c>
      <c r="D493" t="s">
        <v>15</v>
      </c>
      <c r="E493" t="str">
        <f t="shared" si="64"/>
        <v>EMP_492Marketing</v>
      </c>
      <c r="F493" t="s">
        <v>24</v>
      </c>
      <c r="G493" t="s">
        <v>25</v>
      </c>
      <c r="H493">
        <v>51452</v>
      </c>
      <c r="I493">
        <v>5526</v>
      </c>
      <c r="J493">
        <v>0</v>
      </c>
      <c r="K493">
        <v>0</v>
      </c>
      <c r="L493" s="4" t="s">
        <v>650</v>
      </c>
      <c r="M493" s="4" t="str">
        <f t="shared" si="65"/>
        <v>10/19/2018</v>
      </c>
      <c r="N493" s="1">
        <f t="shared" ca="1" si="66"/>
        <v>46064</v>
      </c>
      <c r="O493" s="6" t="e">
        <f t="shared" ca="1" si="67"/>
        <v>#VALUE!</v>
      </c>
      <c r="P493">
        <v>1</v>
      </c>
      <c r="Q493">
        <f t="shared" si="68"/>
        <v>56978</v>
      </c>
      <c r="R493" s="2">
        <f t="shared" si="69"/>
        <v>28489</v>
      </c>
      <c r="S493" s="2" t="str">
        <f t="shared" si="70"/>
        <v xml:space="preserve"> Not Achieved</v>
      </c>
      <c r="T493" s="2" t="str">
        <f t="shared" si="71"/>
        <v xml:space="preserve"> Excellent</v>
      </c>
      <c r="U493" s="2"/>
    </row>
    <row r="494" spans="1:21" x14ac:dyDescent="0.3">
      <c r="A494">
        <v>493</v>
      </c>
      <c r="B494" t="s">
        <v>787</v>
      </c>
      <c r="C494" t="str">
        <f t="shared" si="63"/>
        <v>EMP_493</v>
      </c>
      <c r="D494" t="s">
        <v>11</v>
      </c>
      <c r="E494" t="str">
        <f t="shared" si="64"/>
        <v>EMP_493IT</v>
      </c>
      <c r="F494" t="s">
        <v>21</v>
      </c>
      <c r="G494" t="s">
        <v>13</v>
      </c>
      <c r="H494">
        <v>21290</v>
      </c>
      <c r="I494">
        <v>6975</v>
      </c>
      <c r="J494">
        <v>0</v>
      </c>
      <c r="K494">
        <v>0</v>
      </c>
      <c r="L494" s="4" t="s">
        <v>788</v>
      </c>
      <c r="M494" s="4" t="str">
        <f t="shared" si="65"/>
        <v>12/26/2020</v>
      </c>
      <c r="N494" s="1">
        <f t="shared" ca="1" si="66"/>
        <v>46064</v>
      </c>
      <c r="O494" s="6" t="e">
        <f t="shared" ca="1" si="67"/>
        <v>#VALUE!</v>
      </c>
      <c r="P494">
        <v>5</v>
      </c>
      <c r="Q494">
        <f t="shared" si="68"/>
        <v>28265</v>
      </c>
      <c r="R494" s="2">
        <f t="shared" si="69"/>
        <v>14132.5</v>
      </c>
      <c r="S494" s="2" t="str">
        <f t="shared" si="70"/>
        <v xml:space="preserve"> Not Achieved</v>
      </c>
      <c r="T494" s="2" t="str">
        <f t="shared" si="71"/>
        <v>poor</v>
      </c>
      <c r="U494" s="2"/>
    </row>
    <row r="495" spans="1:21" x14ac:dyDescent="0.3">
      <c r="A495">
        <v>494</v>
      </c>
      <c r="B495" t="s">
        <v>789</v>
      </c>
      <c r="C495" t="str">
        <f t="shared" si="63"/>
        <v>EMP_494</v>
      </c>
      <c r="D495" t="s">
        <v>15</v>
      </c>
      <c r="E495" t="str">
        <f t="shared" si="64"/>
        <v>EMP_494IT</v>
      </c>
      <c r="F495" t="s">
        <v>21</v>
      </c>
      <c r="G495" t="s">
        <v>22</v>
      </c>
      <c r="H495">
        <v>56095</v>
      </c>
      <c r="I495">
        <v>8864</v>
      </c>
      <c r="J495">
        <v>0</v>
      </c>
      <c r="K495">
        <v>0</v>
      </c>
      <c r="L495" s="4" t="s">
        <v>790</v>
      </c>
      <c r="M495" s="4" t="str">
        <f t="shared" si="65"/>
        <v>3/31/2021</v>
      </c>
      <c r="N495" s="1">
        <f t="shared" ca="1" si="66"/>
        <v>46064</v>
      </c>
      <c r="O495" s="6" t="e">
        <f t="shared" ca="1" si="67"/>
        <v>#VALUE!</v>
      </c>
      <c r="P495">
        <v>1</v>
      </c>
      <c r="Q495">
        <f t="shared" si="68"/>
        <v>64959</v>
      </c>
      <c r="R495" s="2">
        <f t="shared" si="69"/>
        <v>32479.5</v>
      </c>
      <c r="S495" s="2" t="str">
        <f t="shared" si="70"/>
        <v xml:space="preserve"> Not Achieved</v>
      </c>
      <c r="T495" s="2" t="str">
        <f t="shared" si="71"/>
        <v xml:space="preserve"> Excellent</v>
      </c>
      <c r="U495" s="2"/>
    </row>
    <row r="496" spans="1:21" x14ac:dyDescent="0.3">
      <c r="A496">
        <v>495</v>
      </c>
      <c r="B496" t="s">
        <v>791</v>
      </c>
      <c r="C496" t="str">
        <f t="shared" si="63"/>
        <v>EMP_495</v>
      </c>
      <c r="D496" t="s">
        <v>15</v>
      </c>
      <c r="E496" t="str">
        <f t="shared" si="64"/>
        <v>EMP_495Marketing</v>
      </c>
      <c r="F496" t="s">
        <v>24</v>
      </c>
      <c r="G496" t="s">
        <v>13</v>
      </c>
      <c r="H496">
        <v>36626</v>
      </c>
      <c r="I496">
        <v>3218</v>
      </c>
      <c r="J496">
        <v>0</v>
      </c>
      <c r="K496">
        <v>0</v>
      </c>
      <c r="L496" s="4" t="s">
        <v>792</v>
      </c>
      <c r="M496" s="4" t="str">
        <f t="shared" si="65"/>
        <v>5/23/2019</v>
      </c>
      <c r="N496" s="1">
        <f t="shared" ca="1" si="66"/>
        <v>46064</v>
      </c>
      <c r="O496" s="6" t="e">
        <f t="shared" ca="1" si="67"/>
        <v>#VALUE!</v>
      </c>
      <c r="P496">
        <v>4</v>
      </c>
      <c r="Q496">
        <f t="shared" si="68"/>
        <v>39844</v>
      </c>
      <c r="R496" s="2">
        <f t="shared" si="69"/>
        <v>19922</v>
      </c>
      <c r="S496" s="2" t="str">
        <f t="shared" si="70"/>
        <v xml:space="preserve"> Not Achieved</v>
      </c>
      <c r="T496" s="2" t="str">
        <f t="shared" si="71"/>
        <v>Average</v>
      </c>
      <c r="U496" s="2"/>
    </row>
    <row r="497" spans="1:21" x14ac:dyDescent="0.3">
      <c r="A497">
        <v>496</v>
      </c>
      <c r="B497" t="s">
        <v>793</v>
      </c>
      <c r="C497" t="str">
        <f t="shared" si="63"/>
        <v>EMP_496</v>
      </c>
      <c r="D497" t="s">
        <v>15</v>
      </c>
      <c r="E497" t="str">
        <f t="shared" si="64"/>
        <v>EMP_496HR</v>
      </c>
      <c r="F497" t="s">
        <v>12</v>
      </c>
      <c r="G497" t="s">
        <v>22</v>
      </c>
      <c r="H497">
        <v>68399</v>
      </c>
      <c r="I497">
        <v>4448</v>
      </c>
      <c r="J497">
        <v>0</v>
      </c>
      <c r="K497">
        <v>0</v>
      </c>
      <c r="L497" s="4">
        <v>43595</v>
      </c>
      <c r="M497" s="4" t="str">
        <f t="shared" si="65"/>
        <v>2019</v>
      </c>
      <c r="N497" s="1">
        <f t="shared" ca="1" si="66"/>
        <v>46064</v>
      </c>
      <c r="O497" s="6">
        <f t="shared" ca="1" si="67"/>
        <v>6</v>
      </c>
      <c r="P497">
        <v>5</v>
      </c>
      <c r="Q497">
        <f t="shared" si="68"/>
        <v>72847</v>
      </c>
      <c r="R497" s="2">
        <f t="shared" si="69"/>
        <v>36423.5</v>
      </c>
      <c r="S497" s="2" t="str">
        <f t="shared" si="70"/>
        <v xml:space="preserve"> Not Achieved</v>
      </c>
      <c r="T497" s="2" t="str">
        <f t="shared" si="71"/>
        <v xml:space="preserve"> Excellent</v>
      </c>
      <c r="U497" s="2"/>
    </row>
    <row r="498" spans="1:21" x14ac:dyDescent="0.3">
      <c r="A498">
        <v>497</v>
      </c>
      <c r="B498" t="s">
        <v>794</v>
      </c>
      <c r="C498" t="str">
        <f t="shared" si="63"/>
        <v>EMP_497</v>
      </c>
      <c r="D498" t="s">
        <v>11</v>
      </c>
      <c r="E498" t="str">
        <f t="shared" si="64"/>
        <v>EMP_497IT</v>
      </c>
      <c r="F498" t="s">
        <v>21</v>
      </c>
      <c r="G498" t="s">
        <v>25</v>
      </c>
      <c r="H498">
        <v>43871</v>
      </c>
      <c r="I498">
        <v>11086</v>
      </c>
      <c r="J498">
        <v>0</v>
      </c>
      <c r="K498">
        <v>0</v>
      </c>
      <c r="L498" s="4" t="s">
        <v>795</v>
      </c>
      <c r="M498" s="4" t="str">
        <f t="shared" si="65"/>
        <v>5/25/2021</v>
      </c>
      <c r="N498" s="1">
        <f t="shared" ca="1" si="66"/>
        <v>46064</v>
      </c>
      <c r="O498" s="6" t="e">
        <f t="shared" ca="1" si="67"/>
        <v>#VALUE!</v>
      </c>
      <c r="P498">
        <v>3</v>
      </c>
      <c r="Q498">
        <f t="shared" si="68"/>
        <v>54957</v>
      </c>
      <c r="R498" s="2">
        <f t="shared" si="69"/>
        <v>27478.5</v>
      </c>
      <c r="S498" s="2" t="str">
        <f t="shared" si="70"/>
        <v xml:space="preserve"> Not Achieved</v>
      </c>
      <c r="T498" s="2" t="str">
        <f t="shared" si="71"/>
        <v>Good</v>
      </c>
      <c r="U498" s="2"/>
    </row>
    <row r="499" spans="1:21" x14ac:dyDescent="0.3">
      <c r="A499">
        <v>498</v>
      </c>
      <c r="B499" t="s">
        <v>796</v>
      </c>
      <c r="C499" t="str">
        <f t="shared" si="63"/>
        <v>EMP_498</v>
      </c>
      <c r="D499" t="s">
        <v>15</v>
      </c>
      <c r="E499" t="str">
        <f t="shared" si="64"/>
        <v>EMP_498Finance</v>
      </c>
      <c r="F499" t="s">
        <v>18</v>
      </c>
      <c r="G499" t="s">
        <v>25</v>
      </c>
      <c r="H499">
        <v>53811</v>
      </c>
      <c r="I499">
        <v>12727</v>
      </c>
      <c r="J499">
        <v>0</v>
      </c>
      <c r="K499">
        <v>0</v>
      </c>
      <c r="L499" s="4" t="s">
        <v>292</v>
      </c>
      <c r="M499" s="4" t="str">
        <f t="shared" si="65"/>
        <v>6/26/2021</v>
      </c>
      <c r="N499" s="1">
        <f t="shared" ca="1" si="66"/>
        <v>46064</v>
      </c>
      <c r="O499" s="6" t="e">
        <f t="shared" ca="1" si="67"/>
        <v>#VALUE!</v>
      </c>
      <c r="P499">
        <v>5</v>
      </c>
      <c r="Q499">
        <f t="shared" si="68"/>
        <v>66538</v>
      </c>
      <c r="R499" s="2">
        <f t="shared" si="69"/>
        <v>33269</v>
      </c>
      <c r="S499" s="2" t="str">
        <f t="shared" si="70"/>
        <v xml:space="preserve"> Not Achieved</v>
      </c>
      <c r="T499" s="2" t="str">
        <f t="shared" si="71"/>
        <v xml:space="preserve"> Excellent</v>
      </c>
      <c r="U499" s="2"/>
    </row>
    <row r="500" spans="1:21" x14ac:dyDescent="0.3">
      <c r="A500">
        <v>499</v>
      </c>
      <c r="B500" t="s">
        <v>797</v>
      </c>
      <c r="C500" t="str">
        <f t="shared" si="63"/>
        <v>EMP_499</v>
      </c>
      <c r="D500" t="s">
        <v>15</v>
      </c>
      <c r="E500" t="str">
        <f t="shared" si="64"/>
        <v>EMP_499Finance</v>
      </c>
      <c r="F500" t="s">
        <v>18</v>
      </c>
      <c r="G500" t="s">
        <v>16</v>
      </c>
      <c r="H500">
        <v>69999</v>
      </c>
      <c r="I500">
        <v>11653</v>
      </c>
      <c r="J500">
        <v>0</v>
      </c>
      <c r="K500">
        <v>0</v>
      </c>
      <c r="L500" s="4" t="s">
        <v>798</v>
      </c>
      <c r="M500" s="4" t="str">
        <f t="shared" si="65"/>
        <v>6/15/2021</v>
      </c>
      <c r="N500" s="1">
        <f t="shared" ca="1" si="66"/>
        <v>46064</v>
      </c>
      <c r="O500" s="6" t="e">
        <f t="shared" ca="1" si="67"/>
        <v>#VALUE!</v>
      </c>
      <c r="P500">
        <v>3</v>
      </c>
      <c r="Q500">
        <f t="shared" si="68"/>
        <v>81652</v>
      </c>
      <c r="R500" s="2">
        <f t="shared" si="69"/>
        <v>40826</v>
      </c>
      <c r="S500" s="2" t="str">
        <f t="shared" si="70"/>
        <v xml:space="preserve"> Not Achieved</v>
      </c>
      <c r="T500" s="2" t="str">
        <f t="shared" si="71"/>
        <v xml:space="preserve"> Excellent</v>
      </c>
      <c r="U500" s="2"/>
    </row>
    <row r="501" spans="1:21" x14ac:dyDescent="0.3">
      <c r="A501">
        <v>500</v>
      </c>
      <c r="B501" t="s">
        <v>799</v>
      </c>
      <c r="C501" t="str">
        <f t="shared" si="63"/>
        <v>EMP_500</v>
      </c>
      <c r="D501" t="s">
        <v>15</v>
      </c>
      <c r="E501" t="str">
        <f t="shared" si="64"/>
        <v>EMP_500IT</v>
      </c>
      <c r="F501" t="s">
        <v>21</v>
      </c>
      <c r="G501" t="s">
        <v>16</v>
      </c>
      <c r="H501">
        <v>59173</v>
      </c>
      <c r="I501">
        <v>8017</v>
      </c>
      <c r="J501">
        <v>0</v>
      </c>
      <c r="K501">
        <v>0</v>
      </c>
      <c r="L501" s="4" t="s">
        <v>800</v>
      </c>
      <c r="M501" s="4" t="str">
        <f t="shared" si="65"/>
        <v>4/16/2018</v>
      </c>
      <c r="N501" s="1">
        <f t="shared" ca="1" si="66"/>
        <v>46064</v>
      </c>
      <c r="O501" s="6" t="e">
        <f t="shared" ca="1" si="67"/>
        <v>#VALUE!</v>
      </c>
      <c r="P501">
        <v>2</v>
      </c>
      <c r="Q501">
        <f t="shared" si="68"/>
        <v>67190</v>
      </c>
      <c r="R501" s="2">
        <f t="shared" si="69"/>
        <v>33595</v>
      </c>
      <c r="S501" s="2" t="str">
        <f t="shared" si="70"/>
        <v xml:space="preserve"> Not Achieved</v>
      </c>
      <c r="T501" s="2" t="str">
        <f t="shared" si="71"/>
        <v xml:space="preserve"> Excellent</v>
      </c>
      <c r="U501" s="2"/>
    </row>
    <row r="502" spans="1:21" x14ac:dyDescent="0.3">
      <c r="A502">
        <v>501</v>
      </c>
      <c r="B502" t="s">
        <v>801</v>
      </c>
      <c r="C502" t="str">
        <f t="shared" si="63"/>
        <v>EMP_501</v>
      </c>
      <c r="D502" t="s">
        <v>11</v>
      </c>
      <c r="E502" t="str">
        <f t="shared" si="64"/>
        <v>EMP_501Finance</v>
      </c>
      <c r="F502" t="s">
        <v>18</v>
      </c>
      <c r="G502" t="s">
        <v>25</v>
      </c>
      <c r="H502">
        <v>22536</v>
      </c>
      <c r="I502">
        <v>2450</v>
      </c>
      <c r="J502">
        <v>0</v>
      </c>
      <c r="K502">
        <v>0</v>
      </c>
      <c r="L502" s="4" t="s">
        <v>802</v>
      </c>
      <c r="M502" s="4" t="str">
        <f t="shared" si="65"/>
        <v>7/26/2024</v>
      </c>
      <c r="N502" s="1">
        <f t="shared" ca="1" si="66"/>
        <v>46064</v>
      </c>
      <c r="O502" s="6" t="e">
        <f t="shared" ca="1" si="67"/>
        <v>#VALUE!</v>
      </c>
      <c r="P502">
        <v>1</v>
      </c>
      <c r="Q502">
        <f t="shared" si="68"/>
        <v>24986</v>
      </c>
      <c r="R502" s="2">
        <f t="shared" si="69"/>
        <v>12493</v>
      </c>
      <c r="S502" s="2" t="str">
        <f t="shared" si="70"/>
        <v xml:space="preserve"> Not Achieved</v>
      </c>
      <c r="T502" s="2" t="str">
        <f t="shared" si="71"/>
        <v>poor</v>
      </c>
      <c r="U502" s="2"/>
    </row>
    <row r="503" spans="1:21" x14ac:dyDescent="0.3">
      <c r="A503">
        <v>502</v>
      </c>
      <c r="B503" t="s">
        <v>803</v>
      </c>
      <c r="C503" t="str">
        <f t="shared" si="63"/>
        <v>EMP_502</v>
      </c>
      <c r="D503" t="s">
        <v>15</v>
      </c>
      <c r="E503" t="str">
        <f t="shared" si="64"/>
        <v>EMP_502Finance</v>
      </c>
      <c r="F503" t="s">
        <v>18</v>
      </c>
      <c r="G503" t="s">
        <v>19</v>
      </c>
      <c r="H503">
        <v>72714</v>
      </c>
      <c r="I503">
        <v>11466</v>
      </c>
      <c r="J503">
        <v>0</v>
      </c>
      <c r="K503">
        <v>0</v>
      </c>
      <c r="L503" s="4" t="s">
        <v>804</v>
      </c>
      <c r="M503" s="4" t="str">
        <f t="shared" si="65"/>
        <v>4/17/2021</v>
      </c>
      <c r="N503" s="1">
        <f t="shared" ca="1" si="66"/>
        <v>46064</v>
      </c>
      <c r="O503" s="6" t="e">
        <f t="shared" ca="1" si="67"/>
        <v>#VALUE!</v>
      </c>
      <c r="P503">
        <v>2</v>
      </c>
      <c r="Q503">
        <f t="shared" si="68"/>
        <v>84180</v>
      </c>
      <c r="R503" s="2">
        <f t="shared" si="69"/>
        <v>42090</v>
      </c>
      <c r="S503" s="2" t="str">
        <f t="shared" si="70"/>
        <v xml:space="preserve"> Not Achieved</v>
      </c>
      <c r="T503" s="2" t="str">
        <f t="shared" si="71"/>
        <v xml:space="preserve"> Excellent</v>
      </c>
      <c r="U503" s="2"/>
    </row>
    <row r="504" spans="1:21" x14ac:dyDescent="0.3">
      <c r="A504">
        <v>503</v>
      </c>
      <c r="B504" t="s">
        <v>805</v>
      </c>
      <c r="C504" t="str">
        <f t="shared" si="63"/>
        <v>EMP_503</v>
      </c>
      <c r="D504" t="s">
        <v>11</v>
      </c>
      <c r="E504" t="str">
        <f t="shared" si="64"/>
        <v>EMP_503Marketing</v>
      </c>
      <c r="F504" t="s">
        <v>24</v>
      </c>
      <c r="G504" t="s">
        <v>25</v>
      </c>
      <c r="H504">
        <v>24242</v>
      </c>
      <c r="I504">
        <v>13960</v>
      </c>
      <c r="J504">
        <v>0</v>
      </c>
      <c r="K504">
        <v>0</v>
      </c>
      <c r="L504" s="4" t="s">
        <v>806</v>
      </c>
      <c r="M504" s="4" t="str">
        <f t="shared" si="65"/>
        <v>2/15/2024</v>
      </c>
      <c r="N504" s="1">
        <f t="shared" ca="1" si="66"/>
        <v>46064</v>
      </c>
      <c r="O504" s="6" t="e">
        <f t="shared" ca="1" si="67"/>
        <v>#VALUE!</v>
      </c>
      <c r="P504">
        <v>1</v>
      </c>
      <c r="Q504">
        <f t="shared" si="68"/>
        <v>38202</v>
      </c>
      <c r="R504" s="2">
        <f t="shared" si="69"/>
        <v>19101</v>
      </c>
      <c r="S504" s="2" t="str">
        <f t="shared" si="70"/>
        <v xml:space="preserve"> Not Achieved</v>
      </c>
      <c r="T504" s="2" t="str">
        <f t="shared" si="71"/>
        <v>poor</v>
      </c>
      <c r="U504" s="2"/>
    </row>
    <row r="505" spans="1:21" x14ac:dyDescent="0.3">
      <c r="A505">
        <v>504</v>
      </c>
      <c r="B505" t="s">
        <v>807</v>
      </c>
      <c r="C505" t="str">
        <f t="shared" si="63"/>
        <v>EMP_504</v>
      </c>
      <c r="D505" t="s">
        <v>11</v>
      </c>
      <c r="E505" t="str">
        <f t="shared" si="64"/>
        <v>EMP_504Sales</v>
      </c>
      <c r="F505" t="s">
        <v>7</v>
      </c>
      <c r="G505" t="s">
        <v>13</v>
      </c>
      <c r="H505">
        <v>63691</v>
      </c>
      <c r="I505">
        <v>2710</v>
      </c>
      <c r="J505">
        <v>100345</v>
      </c>
      <c r="K505">
        <v>225699</v>
      </c>
      <c r="L505" s="4" t="s">
        <v>808</v>
      </c>
      <c r="M505" s="4" t="str">
        <f t="shared" si="65"/>
        <v>1/17/2019</v>
      </c>
      <c r="N505" s="1">
        <f t="shared" ca="1" si="66"/>
        <v>46064</v>
      </c>
      <c r="O505" s="6" t="e">
        <f t="shared" ca="1" si="67"/>
        <v>#VALUE!</v>
      </c>
      <c r="P505">
        <v>2</v>
      </c>
      <c r="Q505">
        <f t="shared" si="68"/>
        <v>66401</v>
      </c>
      <c r="R505" s="2">
        <f t="shared" si="69"/>
        <v>33200.5</v>
      </c>
      <c r="S505" s="2" t="str">
        <f t="shared" si="70"/>
        <v xml:space="preserve"> Not Achieved</v>
      </c>
      <c r="T505" s="2" t="str">
        <f t="shared" si="71"/>
        <v xml:space="preserve"> Excellent</v>
      </c>
      <c r="U505" s="2"/>
    </row>
    <row r="506" spans="1:21" x14ac:dyDescent="0.3">
      <c r="A506">
        <v>505</v>
      </c>
      <c r="B506" t="s">
        <v>809</v>
      </c>
      <c r="C506" t="str">
        <f t="shared" si="63"/>
        <v>EMP_505</v>
      </c>
      <c r="D506" t="s">
        <v>11</v>
      </c>
      <c r="E506" t="str">
        <f t="shared" si="64"/>
        <v>EMP_505Finance</v>
      </c>
      <c r="F506" t="s">
        <v>18</v>
      </c>
      <c r="G506" t="s">
        <v>13</v>
      </c>
      <c r="H506">
        <v>65069</v>
      </c>
      <c r="I506">
        <v>8726</v>
      </c>
      <c r="J506">
        <v>0</v>
      </c>
      <c r="K506">
        <v>0</v>
      </c>
      <c r="L506" s="4" t="s">
        <v>810</v>
      </c>
      <c r="M506" s="4" t="str">
        <f t="shared" si="65"/>
        <v>10/31/2020</v>
      </c>
      <c r="N506" s="1">
        <f t="shared" ca="1" si="66"/>
        <v>46064</v>
      </c>
      <c r="O506" s="6" t="e">
        <f t="shared" ca="1" si="67"/>
        <v>#VALUE!</v>
      </c>
      <c r="P506">
        <v>1</v>
      </c>
      <c r="Q506">
        <f t="shared" si="68"/>
        <v>73795</v>
      </c>
      <c r="R506" s="2">
        <f t="shared" si="69"/>
        <v>36897.5</v>
      </c>
      <c r="S506" s="2" t="str">
        <f t="shared" si="70"/>
        <v xml:space="preserve"> Not Achieved</v>
      </c>
      <c r="T506" s="2" t="str">
        <f t="shared" si="71"/>
        <v xml:space="preserve"> Excellent</v>
      </c>
      <c r="U506" s="2"/>
    </row>
    <row r="507" spans="1:21" x14ac:dyDescent="0.3">
      <c r="A507">
        <v>506</v>
      </c>
      <c r="B507" t="s">
        <v>811</v>
      </c>
      <c r="C507" t="str">
        <f t="shared" si="63"/>
        <v>EMP_506</v>
      </c>
      <c r="D507" t="s">
        <v>11</v>
      </c>
      <c r="E507" t="str">
        <f t="shared" si="64"/>
        <v>EMP_506IT</v>
      </c>
      <c r="F507" t="s">
        <v>21</v>
      </c>
      <c r="G507" t="s">
        <v>13</v>
      </c>
      <c r="H507">
        <v>31750</v>
      </c>
      <c r="I507">
        <v>4510</v>
      </c>
      <c r="J507">
        <v>0</v>
      </c>
      <c r="K507">
        <v>0</v>
      </c>
      <c r="L507" s="4" t="s">
        <v>812</v>
      </c>
      <c r="M507" s="4" t="str">
        <f t="shared" si="65"/>
        <v>12/30/2023</v>
      </c>
      <c r="N507" s="1">
        <f t="shared" ca="1" si="66"/>
        <v>46064</v>
      </c>
      <c r="O507" s="6" t="e">
        <f t="shared" ca="1" si="67"/>
        <v>#VALUE!</v>
      </c>
      <c r="P507">
        <v>3</v>
      </c>
      <c r="Q507">
        <f t="shared" si="68"/>
        <v>36260</v>
      </c>
      <c r="R507" s="2">
        <f t="shared" si="69"/>
        <v>18130</v>
      </c>
      <c r="S507" s="2" t="str">
        <f t="shared" si="70"/>
        <v xml:space="preserve"> Not Achieved</v>
      </c>
      <c r="T507" s="2" t="str">
        <f t="shared" si="71"/>
        <v>Average</v>
      </c>
      <c r="U507" s="2"/>
    </row>
    <row r="508" spans="1:21" x14ac:dyDescent="0.3">
      <c r="A508">
        <v>507</v>
      </c>
      <c r="B508" t="s">
        <v>813</v>
      </c>
      <c r="C508" t="str">
        <f t="shared" si="63"/>
        <v>EMP_507</v>
      </c>
      <c r="D508" t="s">
        <v>11</v>
      </c>
      <c r="E508" t="str">
        <f t="shared" si="64"/>
        <v>EMP_507Sales</v>
      </c>
      <c r="F508" t="s">
        <v>7</v>
      </c>
      <c r="G508" t="s">
        <v>25</v>
      </c>
      <c r="H508">
        <v>21923</v>
      </c>
      <c r="I508">
        <v>12810</v>
      </c>
      <c r="J508">
        <v>101487</v>
      </c>
      <c r="K508">
        <v>118495</v>
      </c>
      <c r="L508" s="4">
        <v>45292</v>
      </c>
      <c r="M508" s="4" t="str">
        <f t="shared" si="65"/>
        <v>2024</v>
      </c>
      <c r="N508" s="1">
        <f t="shared" ca="1" si="66"/>
        <v>46064</v>
      </c>
      <c r="O508" s="6">
        <f t="shared" ca="1" si="67"/>
        <v>2</v>
      </c>
      <c r="P508">
        <v>4</v>
      </c>
      <c r="Q508">
        <f t="shared" si="68"/>
        <v>34733</v>
      </c>
      <c r="R508" s="2">
        <f t="shared" si="69"/>
        <v>17366.5</v>
      </c>
      <c r="S508" s="2" t="str">
        <f t="shared" si="70"/>
        <v xml:space="preserve"> Not Achieved</v>
      </c>
      <c r="T508" s="2" t="str">
        <f t="shared" si="71"/>
        <v>poor</v>
      </c>
      <c r="U508" s="2"/>
    </row>
    <row r="509" spans="1:21" x14ac:dyDescent="0.3">
      <c r="A509">
        <v>508</v>
      </c>
      <c r="B509" t="s">
        <v>814</v>
      </c>
      <c r="C509" t="str">
        <f t="shared" si="63"/>
        <v>EMP_508</v>
      </c>
      <c r="D509" t="s">
        <v>11</v>
      </c>
      <c r="E509" t="str">
        <f t="shared" si="64"/>
        <v>EMP_508HR</v>
      </c>
      <c r="F509" t="s">
        <v>12</v>
      </c>
      <c r="G509" t="s">
        <v>13</v>
      </c>
      <c r="H509">
        <v>53356</v>
      </c>
      <c r="I509">
        <v>2544</v>
      </c>
      <c r="J509">
        <v>0</v>
      </c>
      <c r="K509">
        <v>0</v>
      </c>
      <c r="L509" s="4">
        <v>45177</v>
      </c>
      <c r="M509" s="4" t="str">
        <f t="shared" si="65"/>
        <v>2023</v>
      </c>
      <c r="N509" s="1">
        <f t="shared" ca="1" si="66"/>
        <v>46064</v>
      </c>
      <c r="O509" s="6">
        <f t="shared" ca="1" si="67"/>
        <v>2</v>
      </c>
      <c r="P509">
        <v>1</v>
      </c>
      <c r="Q509">
        <f t="shared" si="68"/>
        <v>55900</v>
      </c>
      <c r="R509" s="2">
        <f t="shared" si="69"/>
        <v>27950</v>
      </c>
      <c r="S509" s="2" t="str">
        <f t="shared" si="70"/>
        <v xml:space="preserve"> Not Achieved</v>
      </c>
      <c r="T509" s="2" t="str">
        <f t="shared" si="71"/>
        <v xml:space="preserve"> Excellent</v>
      </c>
      <c r="U509" s="2"/>
    </row>
    <row r="510" spans="1:21" x14ac:dyDescent="0.3">
      <c r="A510">
        <v>509</v>
      </c>
      <c r="B510" t="s">
        <v>815</v>
      </c>
      <c r="C510" t="str">
        <f t="shared" si="63"/>
        <v>EMP_509</v>
      </c>
      <c r="D510" t="s">
        <v>11</v>
      </c>
      <c r="E510" t="str">
        <f t="shared" si="64"/>
        <v>EMP_509Marketing</v>
      </c>
      <c r="F510" t="s">
        <v>24</v>
      </c>
      <c r="G510" t="s">
        <v>25</v>
      </c>
      <c r="H510">
        <v>54725</v>
      </c>
      <c r="I510">
        <v>8164</v>
      </c>
      <c r="J510">
        <v>0</v>
      </c>
      <c r="K510">
        <v>0</v>
      </c>
      <c r="L510" s="4">
        <v>44867</v>
      </c>
      <c r="M510" s="4" t="str">
        <f t="shared" si="65"/>
        <v>2022</v>
      </c>
      <c r="N510" s="1">
        <f t="shared" ca="1" si="66"/>
        <v>46064</v>
      </c>
      <c r="O510" s="6">
        <f t="shared" ca="1" si="67"/>
        <v>3</v>
      </c>
      <c r="P510">
        <v>1</v>
      </c>
      <c r="Q510">
        <f t="shared" si="68"/>
        <v>62889</v>
      </c>
      <c r="R510" s="2">
        <f t="shared" si="69"/>
        <v>31444.5</v>
      </c>
      <c r="S510" s="2" t="str">
        <f t="shared" si="70"/>
        <v xml:space="preserve"> Not Achieved</v>
      </c>
      <c r="T510" s="2" t="str">
        <f t="shared" si="71"/>
        <v xml:space="preserve"> Excellent</v>
      </c>
      <c r="U510" s="2"/>
    </row>
    <row r="511" spans="1:21" x14ac:dyDescent="0.3">
      <c r="A511">
        <v>510</v>
      </c>
      <c r="B511" t="s">
        <v>816</v>
      </c>
      <c r="C511" t="str">
        <f t="shared" si="63"/>
        <v>EMP_510</v>
      </c>
      <c r="D511" t="s">
        <v>15</v>
      </c>
      <c r="E511" t="str">
        <f t="shared" si="64"/>
        <v>EMP_510IT</v>
      </c>
      <c r="F511" t="s">
        <v>21</v>
      </c>
      <c r="G511" t="s">
        <v>16</v>
      </c>
      <c r="H511">
        <v>77908</v>
      </c>
      <c r="I511">
        <v>12039</v>
      </c>
      <c r="J511">
        <v>0</v>
      </c>
      <c r="K511">
        <v>0</v>
      </c>
      <c r="L511" s="4" t="s">
        <v>506</v>
      </c>
      <c r="M511" s="4" t="str">
        <f t="shared" si="65"/>
        <v>9/15/2024</v>
      </c>
      <c r="N511" s="1">
        <f t="shared" ca="1" si="66"/>
        <v>46064</v>
      </c>
      <c r="O511" s="6" t="e">
        <f t="shared" ca="1" si="67"/>
        <v>#VALUE!</v>
      </c>
      <c r="P511">
        <v>3</v>
      </c>
      <c r="Q511">
        <f t="shared" si="68"/>
        <v>89947</v>
      </c>
      <c r="R511" s="2">
        <f t="shared" si="69"/>
        <v>44973.5</v>
      </c>
      <c r="S511" s="2" t="str">
        <f t="shared" si="70"/>
        <v xml:space="preserve"> Not Achieved</v>
      </c>
      <c r="T511" s="2" t="str">
        <f t="shared" si="71"/>
        <v xml:space="preserve"> Excellent</v>
      </c>
      <c r="U511" s="2"/>
    </row>
    <row r="512" spans="1:21" x14ac:dyDescent="0.3">
      <c r="A512">
        <v>511</v>
      </c>
      <c r="B512" t="s">
        <v>817</v>
      </c>
      <c r="C512" t="str">
        <f t="shared" si="63"/>
        <v>EMP_511</v>
      </c>
      <c r="D512" t="s">
        <v>11</v>
      </c>
      <c r="E512" t="str">
        <f t="shared" si="64"/>
        <v>EMP_511Marketing</v>
      </c>
      <c r="F512" t="s">
        <v>24</v>
      </c>
      <c r="G512" t="s">
        <v>16</v>
      </c>
      <c r="H512">
        <v>28340</v>
      </c>
      <c r="I512">
        <v>12097</v>
      </c>
      <c r="J512">
        <v>0</v>
      </c>
      <c r="K512">
        <v>0</v>
      </c>
      <c r="L512" s="4">
        <v>45141</v>
      </c>
      <c r="M512" s="4" t="str">
        <f t="shared" si="65"/>
        <v>2023</v>
      </c>
      <c r="N512" s="1">
        <f t="shared" ca="1" si="66"/>
        <v>46064</v>
      </c>
      <c r="O512" s="6">
        <f t="shared" ca="1" si="67"/>
        <v>2</v>
      </c>
      <c r="P512">
        <v>4</v>
      </c>
      <c r="Q512">
        <f t="shared" si="68"/>
        <v>40437</v>
      </c>
      <c r="R512" s="2">
        <f t="shared" si="69"/>
        <v>20218.5</v>
      </c>
      <c r="S512" s="2" t="str">
        <f t="shared" si="70"/>
        <v xml:space="preserve"> Not Achieved</v>
      </c>
      <c r="T512" s="2" t="str">
        <f t="shared" si="71"/>
        <v>poor</v>
      </c>
      <c r="U512" s="2"/>
    </row>
    <row r="513" spans="1:21" x14ac:dyDescent="0.3">
      <c r="A513">
        <v>512</v>
      </c>
      <c r="B513" t="s">
        <v>818</v>
      </c>
      <c r="C513" t="str">
        <f t="shared" si="63"/>
        <v>EMP_512</v>
      </c>
      <c r="D513" t="s">
        <v>11</v>
      </c>
      <c r="E513" t="str">
        <f t="shared" si="64"/>
        <v>EMP_512HR</v>
      </c>
      <c r="F513" t="s">
        <v>12</v>
      </c>
      <c r="G513" t="s">
        <v>13</v>
      </c>
      <c r="H513">
        <v>36176</v>
      </c>
      <c r="I513">
        <v>14939</v>
      </c>
      <c r="J513">
        <v>0</v>
      </c>
      <c r="K513">
        <v>0</v>
      </c>
      <c r="L513" s="4">
        <v>43289</v>
      </c>
      <c r="M513" s="4" t="str">
        <f t="shared" si="65"/>
        <v>2018</v>
      </c>
      <c r="N513" s="1">
        <f t="shared" ca="1" si="66"/>
        <v>46064</v>
      </c>
      <c r="O513" s="6">
        <f t="shared" ca="1" si="67"/>
        <v>7</v>
      </c>
      <c r="P513">
        <v>1</v>
      </c>
      <c r="Q513">
        <f t="shared" si="68"/>
        <v>51115</v>
      </c>
      <c r="R513" s="2">
        <f t="shared" si="69"/>
        <v>25557.5</v>
      </c>
      <c r="S513" s="2" t="str">
        <f t="shared" si="70"/>
        <v xml:space="preserve"> Not Achieved</v>
      </c>
      <c r="T513" s="2" t="str">
        <f t="shared" si="71"/>
        <v>Average</v>
      </c>
      <c r="U513" s="2"/>
    </row>
    <row r="514" spans="1:21" x14ac:dyDescent="0.3">
      <c r="A514">
        <v>513</v>
      </c>
      <c r="B514" t="s">
        <v>819</v>
      </c>
      <c r="C514" t="str">
        <f t="shared" si="63"/>
        <v>EMP_513</v>
      </c>
      <c r="D514" t="s">
        <v>11</v>
      </c>
      <c r="E514" t="str">
        <f t="shared" si="64"/>
        <v>EMP_513Marketing</v>
      </c>
      <c r="F514" t="s">
        <v>24</v>
      </c>
      <c r="G514" t="s">
        <v>16</v>
      </c>
      <c r="H514">
        <v>71125</v>
      </c>
      <c r="I514">
        <v>4586</v>
      </c>
      <c r="J514">
        <v>0</v>
      </c>
      <c r="K514">
        <v>0</v>
      </c>
      <c r="L514" s="4" t="s">
        <v>820</v>
      </c>
      <c r="M514" s="4" t="str">
        <f t="shared" si="65"/>
        <v>6/27/2024</v>
      </c>
      <c r="N514" s="1">
        <f t="shared" ca="1" si="66"/>
        <v>46064</v>
      </c>
      <c r="O514" s="6" t="e">
        <f t="shared" ca="1" si="67"/>
        <v>#VALUE!</v>
      </c>
      <c r="P514">
        <v>3</v>
      </c>
      <c r="Q514">
        <f t="shared" si="68"/>
        <v>75711</v>
      </c>
      <c r="R514" s="2">
        <f t="shared" si="69"/>
        <v>37855.5</v>
      </c>
      <c r="S514" s="2" t="str">
        <f t="shared" si="70"/>
        <v xml:space="preserve"> Not Achieved</v>
      </c>
      <c r="T514" s="2" t="str">
        <f t="shared" si="71"/>
        <v xml:space="preserve"> Excellent</v>
      </c>
      <c r="U514" s="2"/>
    </row>
    <row r="515" spans="1:21" x14ac:dyDescent="0.3">
      <c r="A515">
        <v>514</v>
      </c>
      <c r="B515" t="s">
        <v>821</v>
      </c>
      <c r="C515" t="str">
        <f t="shared" ref="C515:C578" si="72">UPPER(B515)</f>
        <v>EMP_514</v>
      </c>
      <c r="D515" t="s">
        <v>15</v>
      </c>
      <c r="E515" t="str">
        <f t="shared" ref="E515:E578" si="73">_xlfn.CONCAT(C515,F515)</f>
        <v>EMP_514Marketing</v>
      </c>
      <c r="F515" t="s">
        <v>24</v>
      </c>
      <c r="G515" t="s">
        <v>16</v>
      </c>
      <c r="H515">
        <v>73734</v>
      </c>
      <c r="I515">
        <v>12314</v>
      </c>
      <c r="J515">
        <v>0</v>
      </c>
      <c r="K515">
        <v>0</v>
      </c>
      <c r="L515" s="4" t="s">
        <v>272</v>
      </c>
      <c r="M515" s="4" t="str">
        <f t="shared" ref="M515:M578" si="74">TEXT(L515,"yyyy")</f>
        <v>5/17/2022</v>
      </c>
      <c r="N515" s="1">
        <f t="shared" ref="N515:N578" ca="1" si="75">TODAY()</f>
        <v>46064</v>
      </c>
      <c r="O515" s="6" t="e">
        <f t="shared" ref="O515:O578" ca="1" si="76">DATEDIF(L515, TODAY(), "y")</f>
        <v>#VALUE!</v>
      </c>
      <c r="P515">
        <v>1</v>
      </c>
      <c r="Q515">
        <f t="shared" ref="Q515:Q578" si="77">SUM(H515,I515)</f>
        <v>86048</v>
      </c>
      <c r="R515" s="2">
        <f t="shared" ref="R515:R578" si="78">AVERAGE(H515,I515)</f>
        <v>43024</v>
      </c>
      <c r="S515" s="2" t="str">
        <f t="shared" ref="S515:S578" si="79">IF(J515&gt;K515,"Achieved"," Not Achieved")</f>
        <v xml:space="preserve"> Not Achieved</v>
      </c>
      <c r="T515" s="2" t="str">
        <f t="shared" ref="T515:T578" si="80">_xlfn.IFS(H515&gt;=50000," Excellent",H515&gt;=40000,"Good",H515&gt;=30000,"Average",H515&lt;30000,"poor")</f>
        <v xml:space="preserve"> Excellent</v>
      </c>
      <c r="U515" s="2"/>
    </row>
    <row r="516" spans="1:21" x14ac:dyDescent="0.3">
      <c r="A516">
        <v>515</v>
      </c>
      <c r="B516" t="s">
        <v>822</v>
      </c>
      <c r="C516" t="str">
        <f t="shared" si="72"/>
        <v>EMP_515</v>
      </c>
      <c r="D516" t="s">
        <v>15</v>
      </c>
      <c r="E516" t="str">
        <f t="shared" si="73"/>
        <v>EMP_515Finance</v>
      </c>
      <c r="F516" t="s">
        <v>18</v>
      </c>
      <c r="G516" t="s">
        <v>25</v>
      </c>
      <c r="H516">
        <v>76072</v>
      </c>
      <c r="I516">
        <v>8094</v>
      </c>
      <c r="J516">
        <v>0</v>
      </c>
      <c r="K516">
        <v>0</v>
      </c>
      <c r="L516" s="4" t="s">
        <v>823</v>
      </c>
      <c r="M516" s="4" t="str">
        <f t="shared" si="74"/>
        <v>1/25/2022</v>
      </c>
      <c r="N516" s="1">
        <f t="shared" ca="1" si="75"/>
        <v>46064</v>
      </c>
      <c r="O516" s="6" t="e">
        <f t="shared" ca="1" si="76"/>
        <v>#VALUE!</v>
      </c>
      <c r="P516">
        <v>2</v>
      </c>
      <c r="Q516">
        <f t="shared" si="77"/>
        <v>84166</v>
      </c>
      <c r="R516" s="2">
        <f t="shared" si="78"/>
        <v>42083</v>
      </c>
      <c r="S516" s="2" t="str">
        <f t="shared" si="79"/>
        <v xml:space="preserve"> Not Achieved</v>
      </c>
      <c r="T516" s="2" t="str">
        <f t="shared" si="80"/>
        <v xml:space="preserve"> Excellent</v>
      </c>
      <c r="U516" s="2"/>
    </row>
    <row r="517" spans="1:21" x14ac:dyDescent="0.3">
      <c r="A517">
        <v>516</v>
      </c>
      <c r="B517" t="s">
        <v>824</v>
      </c>
      <c r="C517" t="str">
        <f t="shared" si="72"/>
        <v>EMP_516</v>
      </c>
      <c r="D517" t="s">
        <v>15</v>
      </c>
      <c r="E517" t="str">
        <f t="shared" si="73"/>
        <v>EMP_516Finance</v>
      </c>
      <c r="F517" t="s">
        <v>18</v>
      </c>
      <c r="G517" t="s">
        <v>16</v>
      </c>
      <c r="H517">
        <v>70620</v>
      </c>
      <c r="I517">
        <v>9415</v>
      </c>
      <c r="J517">
        <v>0</v>
      </c>
      <c r="K517">
        <v>0</v>
      </c>
      <c r="L517" s="4" t="s">
        <v>825</v>
      </c>
      <c r="M517" s="4" t="str">
        <f t="shared" si="74"/>
        <v>3/27/2022</v>
      </c>
      <c r="N517" s="1">
        <f t="shared" ca="1" si="75"/>
        <v>46064</v>
      </c>
      <c r="O517" s="6" t="e">
        <f t="shared" ca="1" si="76"/>
        <v>#VALUE!</v>
      </c>
      <c r="P517">
        <v>4</v>
      </c>
      <c r="Q517">
        <f t="shared" si="77"/>
        <v>80035</v>
      </c>
      <c r="R517" s="2">
        <f t="shared" si="78"/>
        <v>40017.5</v>
      </c>
      <c r="S517" s="2" t="str">
        <f t="shared" si="79"/>
        <v xml:space="preserve"> Not Achieved</v>
      </c>
      <c r="T517" s="2" t="str">
        <f t="shared" si="80"/>
        <v xml:space="preserve"> Excellent</v>
      </c>
      <c r="U517" s="2"/>
    </row>
    <row r="518" spans="1:21" x14ac:dyDescent="0.3">
      <c r="A518">
        <v>517</v>
      </c>
      <c r="B518" t="s">
        <v>826</v>
      </c>
      <c r="C518" t="str">
        <f t="shared" si="72"/>
        <v>EMP_517</v>
      </c>
      <c r="D518" t="s">
        <v>11</v>
      </c>
      <c r="E518" t="str">
        <f t="shared" si="73"/>
        <v>EMP_517IT</v>
      </c>
      <c r="F518" t="s">
        <v>21</v>
      </c>
      <c r="G518" t="s">
        <v>25</v>
      </c>
      <c r="H518">
        <v>45210</v>
      </c>
      <c r="I518">
        <v>14470</v>
      </c>
      <c r="J518">
        <v>0</v>
      </c>
      <c r="K518">
        <v>0</v>
      </c>
      <c r="L518" s="4" t="s">
        <v>827</v>
      </c>
      <c r="M518" s="4" t="str">
        <f t="shared" si="74"/>
        <v>4/29/2022</v>
      </c>
      <c r="N518" s="1">
        <f t="shared" ca="1" si="75"/>
        <v>46064</v>
      </c>
      <c r="O518" s="6" t="e">
        <f t="shared" ca="1" si="76"/>
        <v>#VALUE!</v>
      </c>
      <c r="P518">
        <v>4</v>
      </c>
      <c r="Q518">
        <f t="shared" si="77"/>
        <v>59680</v>
      </c>
      <c r="R518" s="2">
        <f t="shared" si="78"/>
        <v>29840</v>
      </c>
      <c r="S518" s="2" t="str">
        <f t="shared" si="79"/>
        <v xml:space="preserve"> Not Achieved</v>
      </c>
      <c r="T518" s="2" t="str">
        <f t="shared" si="80"/>
        <v>Good</v>
      </c>
      <c r="U518" s="2"/>
    </row>
    <row r="519" spans="1:21" x14ac:dyDescent="0.3">
      <c r="A519">
        <v>518</v>
      </c>
      <c r="B519" t="s">
        <v>828</v>
      </c>
      <c r="C519" t="str">
        <f t="shared" si="72"/>
        <v>EMP_518</v>
      </c>
      <c r="D519" t="s">
        <v>11</v>
      </c>
      <c r="E519" t="str">
        <f t="shared" si="73"/>
        <v>EMP_518IT</v>
      </c>
      <c r="F519" t="s">
        <v>21</v>
      </c>
      <c r="G519" t="s">
        <v>16</v>
      </c>
      <c r="H519">
        <v>72352</v>
      </c>
      <c r="I519">
        <v>6214</v>
      </c>
      <c r="J519">
        <v>0</v>
      </c>
      <c r="K519">
        <v>0</v>
      </c>
      <c r="L519" s="4" t="s">
        <v>829</v>
      </c>
      <c r="M519" s="4" t="str">
        <f t="shared" si="74"/>
        <v>6/18/2020</v>
      </c>
      <c r="N519" s="1">
        <f t="shared" ca="1" si="75"/>
        <v>46064</v>
      </c>
      <c r="O519" s="6" t="e">
        <f t="shared" ca="1" si="76"/>
        <v>#VALUE!</v>
      </c>
      <c r="P519">
        <v>4</v>
      </c>
      <c r="Q519">
        <f t="shared" si="77"/>
        <v>78566</v>
      </c>
      <c r="R519" s="2">
        <f t="shared" si="78"/>
        <v>39283</v>
      </c>
      <c r="S519" s="2" t="str">
        <f t="shared" si="79"/>
        <v xml:space="preserve"> Not Achieved</v>
      </c>
      <c r="T519" s="2" t="str">
        <f t="shared" si="80"/>
        <v xml:space="preserve"> Excellent</v>
      </c>
      <c r="U519" s="2"/>
    </row>
    <row r="520" spans="1:21" x14ac:dyDescent="0.3">
      <c r="A520">
        <v>519</v>
      </c>
      <c r="B520" t="s">
        <v>830</v>
      </c>
      <c r="C520" t="str">
        <f t="shared" si="72"/>
        <v>EMP_519</v>
      </c>
      <c r="D520" t="s">
        <v>15</v>
      </c>
      <c r="E520" t="str">
        <f t="shared" si="73"/>
        <v>EMP_519Finance</v>
      </c>
      <c r="F520" t="s">
        <v>18</v>
      </c>
      <c r="G520" t="s">
        <v>16</v>
      </c>
      <c r="H520">
        <v>59608</v>
      </c>
      <c r="I520">
        <v>10708</v>
      </c>
      <c r="J520">
        <v>0</v>
      </c>
      <c r="K520">
        <v>0</v>
      </c>
      <c r="L520" s="4">
        <v>43507</v>
      </c>
      <c r="M520" s="4" t="str">
        <f t="shared" si="74"/>
        <v>2019</v>
      </c>
      <c r="N520" s="1">
        <f t="shared" ca="1" si="75"/>
        <v>46064</v>
      </c>
      <c r="O520" s="6">
        <f t="shared" ca="1" si="76"/>
        <v>7</v>
      </c>
      <c r="P520">
        <v>3</v>
      </c>
      <c r="Q520">
        <f t="shared" si="77"/>
        <v>70316</v>
      </c>
      <c r="R520" s="2">
        <f t="shared" si="78"/>
        <v>35158</v>
      </c>
      <c r="S520" s="2" t="str">
        <f t="shared" si="79"/>
        <v xml:space="preserve"> Not Achieved</v>
      </c>
      <c r="T520" s="2" t="str">
        <f t="shared" si="80"/>
        <v xml:space="preserve"> Excellent</v>
      </c>
      <c r="U520" s="2"/>
    </row>
    <row r="521" spans="1:21" x14ac:dyDescent="0.3">
      <c r="A521">
        <v>520</v>
      </c>
      <c r="B521" t="s">
        <v>831</v>
      </c>
      <c r="C521" t="str">
        <f t="shared" si="72"/>
        <v>EMP_520</v>
      </c>
      <c r="D521" t="s">
        <v>15</v>
      </c>
      <c r="E521" t="str">
        <f t="shared" si="73"/>
        <v>EMP_520Marketing</v>
      </c>
      <c r="F521" t="s">
        <v>24</v>
      </c>
      <c r="G521" t="s">
        <v>19</v>
      </c>
      <c r="H521">
        <v>66121</v>
      </c>
      <c r="I521">
        <v>4493</v>
      </c>
      <c r="J521">
        <v>0</v>
      </c>
      <c r="K521">
        <v>0</v>
      </c>
      <c r="L521" s="4" t="s">
        <v>832</v>
      </c>
      <c r="M521" s="4" t="str">
        <f t="shared" si="74"/>
        <v>4/13/2020</v>
      </c>
      <c r="N521" s="1">
        <f t="shared" ca="1" si="75"/>
        <v>46064</v>
      </c>
      <c r="O521" s="6" t="e">
        <f t="shared" ca="1" si="76"/>
        <v>#VALUE!</v>
      </c>
      <c r="P521">
        <v>2</v>
      </c>
      <c r="Q521">
        <f t="shared" si="77"/>
        <v>70614</v>
      </c>
      <c r="R521" s="2">
        <f t="shared" si="78"/>
        <v>35307</v>
      </c>
      <c r="S521" s="2" t="str">
        <f t="shared" si="79"/>
        <v xml:space="preserve"> Not Achieved</v>
      </c>
      <c r="T521" s="2" t="str">
        <f t="shared" si="80"/>
        <v xml:space="preserve"> Excellent</v>
      </c>
      <c r="U521" s="2"/>
    </row>
    <row r="522" spans="1:21" x14ac:dyDescent="0.3">
      <c r="A522">
        <v>521</v>
      </c>
      <c r="B522" t="s">
        <v>833</v>
      </c>
      <c r="C522" t="str">
        <f t="shared" si="72"/>
        <v>EMP_521</v>
      </c>
      <c r="D522" t="s">
        <v>11</v>
      </c>
      <c r="E522" t="str">
        <f t="shared" si="73"/>
        <v>EMP_521IT</v>
      </c>
      <c r="F522" t="s">
        <v>21</v>
      </c>
      <c r="G522" t="s">
        <v>25</v>
      </c>
      <c r="H522">
        <v>32337</v>
      </c>
      <c r="I522">
        <v>3028</v>
      </c>
      <c r="J522">
        <v>0</v>
      </c>
      <c r="K522">
        <v>0</v>
      </c>
      <c r="L522" s="4">
        <v>45113</v>
      </c>
      <c r="M522" s="4" t="str">
        <f t="shared" si="74"/>
        <v>2023</v>
      </c>
      <c r="N522" s="1">
        <f t="shared" ca="1" si="75"/>
        <v>46064</v>
      </c>
      <c r="O522" s="6">
        <f t="shared" ca="1" si="76"/>
        <v>2</v>
      </c>
      <c r="P522">
        <v>2</v>
      </c>
      <c r="Q522">
        <f t="shared" si="77"/>
        <v>35365</v>
      </c>
      <c r="R522" s="2">
        <f t="shared" si="78"/>
        <v>17682.5</v>
      </c>
      <c r="S522" s="2" t="str">
        <f t="shared" si="79"/>
        <v xml:space="preserve"> Not Achieved</v>
      </c>
      <c r="T522" s="2" t="str">
        <f t="shared" si="80"/>
        <v>Average</v>
      </c>
      <c r="U522" s="2"/>
    </row>
    <row r="523" spans="1:21" x14ac:dyDescent="0.3">
      <c r="A523">
        <v>522</v>
      </c>
      <c r="B523" t="s">
        <v>834</v>
      </c>
      <c r="C523" t="str">
        <f t="shared" si="72"/>
        <v>EMP_522</v>
      </c>
      <c r="D523" t="s">
        <v>15</v>
      </c>
      <c r="E523" t="str">
        <f t="shared" si="73"/>
        <v>EMP_522Sales</v>
      </c>
      <c r="F523" t="s">
        <v>7</v>
      </c>
      <c r="G523" t="s">
        <v>13</v>
      </c>
      <c r="H523">
        <v>27989</v>
      </c>
      <c r="I523">
        <v>9130</v>
      </c>
      <c r="J523">
        <v>58327</v>
      </c>
      <c r="K523">
        <v>148808</v>
      </c>
      <c r="L523" s="4">
        <v>45568</v>
      </c>
      <c r="M523" s="4" t="str">
        <f t="shared" si="74"/>
        <v>2024</v>
      </c>
      <c r="N523" s="1">
        <f t="shared" ca="1" si="75"/>
        <v>46064</v>
      </c>
      <c r="O523" s="6">
        <f t="shared" ca="1" si="76"/>
        <v>1</v>
      </c>
      <c r="P523">
        <v>2</v>
      </c>
      <c r="Q523">
        <f t="shared" si="77"/>
        <v>37119</v>
      </c>
      <c r="R523" s="2">
        <f t="shared" si="78"/>
        <v>18559.5</v>
      </c>
      <c r="S523" s="2" t="str">
        <f t="shared" si="79"/>
        <v xml:space="preserve"> Not Achieved</v>
      </c>
      <c r="T523" s="2" t="str">
        <f t="shared" si="80"/>
        <v>poor</v>
      </c>
      <c r="U523" s="2"/>
    </row>
    <row r="524" spans="1:21" x14ac:dyDescent="0.3">
      <c r="A524">
        <v>523</v>
      </c>
      <c r="B524" t="s">
        <v>835</v>
      </c>
      <c r="C524" t="str">
        <f t="shared" si="72"/>
        <v>EMP_523</v>
      </c>
      <c r="D524" t="s">
        <v>15</v>
      </c>
      <c r="E524" t="str">
        <f t="shared" si="73"/>
        <v>EMP_523Marketing</v>
      </c>
      <c r="F524" t="s">
        <v>24</v>
      </c>
      <c r="G524" t="s">
        <v>19</v>
      </c>
      <c r="H524">
        <v>31927</v>
      </c>
      <c r="I524">
        <v>8490</v>
      </c>
      <c r="J524">
        <v>0</v>
      </c>
      <c r="K524">
        <v>0</v>
      </c>
      <c r="L524" s="4" t="s">
        <v>836</v>
      </c>
      <c r="M524" s="4" t="str">
        <f t="shared" si="74"/>
        <v>2/15/2018</v>
      </c>
      <c r="N524" s="1">
        <f t="shared" ca="1" si="75"/>
        <v>46064</v>
      </c>
      <c r="O524" s="6" t="e">
        <f t="shared" ca="1" si="76"/>
        <v>#VALUE!</v>
      </c>
      <c r="P524">
        <v>2</v>
      </c>
      <c r="Q524">
        <f t="shared" si="77"/>
        <v>40417</v>
      </c>
      <c r="R524" s="2">
        <f t="shared" si="78"/>
        <v>20208.5</v>
      </c>
      <c r="S524" s="2" t="str">
        <f t="shared" si="79"/>
        <v xml:space="preserve"> Not Achieved</v>
      </c>
      <c r="T524" s="2" t="str">
        <f t="shared" si="80"/>
        <v>Average</v>
      </c>
      <c r="U524" s="2"/>
    </row>
    <row r="525" spans="1:21" x14ac:dyDescent="0.3">
      <c r="A525">
        <v>524</v>
      </c>
      <c r="B525" t="s">
        <v>837</v>
      </c>
      <c r="C525" t="str">
        <f t="shared" si="72"/>
        <v>EMP_524</v>
      </c>
      <c r="D525" t="s">
        <v>11</v>
      </c>
      <c r="E525" t="str">
        <f t="shared" si="73"/>
        <v>EMP_524HR</v>
      </c>
      <c r="F525" t="s">
        <v>12</v>
      </c>
      <c r="G525" t="s">
        <v>16</v>
      </c>
      <c r="H525">
        <v>23090</v>
      </c>
      <c r="I525">
        <v>14078</v>
      </c>
      <c r="J525">
        <v>0</v>
      </c>
      <c r="K525">
        <v>0</v>
      </c>
      <c r="L525" s="4">
        <v>45392</v>
      </c>
      <c r="M525" s="4" t="str">
        <f t="shared" si="74"/>
        <v>2024</v>
      </c>
      <c r="N525" s="1">
        <f t="shared" ca="1" si="75"/>
        <v>46064</v>
      </c>
      <c r="O525" s="6">
        <f t="shared" ca="1" si="76"/>
        <v>1</v>
      </c>
      <c r="P525">
        <v>1</v>
      </c>
      <c r="Q525">
        <f t="shared" si="77"/>
        <v>37168</v>
      </c>
      <c r="R525" s="2">
        <f t="shared" si="78"/>
        <v>18584</v>
      </c>
      <c r="S525" s="2" t="str">
        <f t="shared" si="79"/>
        <v xml:space="preserve"> Not Achieved</v>
      </c>
      <c r="T525" s="2" t="str">
        <f t="shared" si="80"/>
        <v>poor</v>
      </c>
      <c r="U525" s="2"/>
    </row>
    <row r="526" spans="1:21" x14ac:dyDescent="0.3">
      <c r="A526">
        <v>525</v>
      </c>
      <c r="B526" t="s">
        <v>838</v>
      </c>
      <c r="C526" t="str">
        <f t="shared" si="72"/>
        <v>EMP_525</v>
      </c>
      <c r="D526" t="s">
        <v>15</v>
      </c>
      <c r="E526" t="str">
        <f t="shared" si="73"/>
        <v>EMP_525HR</v>
      </c>
      <c r="F526" t="s">
        <v>12</v>
      </c>
      <c r="G526" t="s">
        <v>13</v>
      </c>
      <c r="H526">
        <v>38254</v>
      </c>
      <c r="I526">
        <v>6300</v>
      </c>
      <c r="J526">
        <v>0</v>
      </c>
      <c r="K526">
        <v>0</v>
      </c>
      <c r="L526" s="4" t="s">
        <v>839</v>
      </c>
      <c r="M526" s="4" t="str">
        <f t="shared" si="74"/>
        <v>7/22/2022</v>
      </c>
      <c r="N526" s="1">
        <f t="shared" ca="1" si="75"/>
        <v>46064</v>
      </c>
      <c r="O526" s="6" t="e">
        <f t="shared" ca="1" si="76"/>
        <v>#VALUE!</v>
      </c>
      <c r="P526">
        <v>1</v>
      </c>
      <c r="Q526">
        <f t="shared" si="77"/>
        <v>44554</v>
      </c>
      <c r="R526" s="2">
        <f t="shared" si="78"/>
        <v>22277</v>
      </c>
      <c r="S526" s="2" t="str">
        <f t="shared" si="79"/>
        <v xml:space="preserve"> Not Achieved</v>
      </c>
      <c r="T526" s="2" t="str">
        <f t="shared" si="80"/>
        <v>Average</v>
      </c>
      <c r="U526" s="2"/>
    </row>
    <row r="527" spans="1:21" x14ac:dyDescent="0.3">
      <c r="A527">
        <v>526</v>
      </c>
      <c r="B527" t="s">
        <v>840</v>
      </c>
      <c r="C527" t="str">
        <f t="shared" si="72"/>
        <v>EMP_526</v>
      </c>
      <c r="D527" t="s">
        <v>15</v>
      </c>
      <c r="E527" t="str">
        <f t="shared" si="73"/>
        <v>EMP_526Marketing</v>
      </c>
      <c r="F527" t="s">
        <v>24</v>
      </c>
      <c r="G527" t="s">
        <v>22</v>
      </c>
      <c r="H527">
        <v>38620</v>
      </c>
      <c r="I527">
        <v>14806</v>
      </c>
      <c r="J527">
        <v>0</v>
      </c>
      <c r="K527">
        <v>0</v>
      </c>
      <c r="L527" s="4">
        <v>43161</v>
      </c>
      <c r="M527" s="4" t="str">
        <f t="shared" si="74"/>
        <v>2018</v>
      </c>
      <c r="N527" s="1">
        <f t="shared" ca="1" si="75"/>
        <v>46064</v>
      </c>
      <c r="O527" s="6">
        <f t="shared" ca="1" si="76"/>
        <v>7</v>
      </c>
      <c r="P527">
        <v>3</v>
      </c>
      <c r="Q527">
        <f t="shared" si="77"/>
        <v>53426</v>
      </c>
      <c r="R527" s="2">
        <f t="shared" si="78"/>
        <v>26713</v>
      </c>
      <c r="S527" s="2" t="str">
        <f t="shared" si="79"/>
        <v xml:space="preserve"> Not Achieved</v>
      </c>
      <c r="T527" s="2" t="str">
        <f t="shared" si="80"/>
        <v>Average</v>
      </c>
      <c r="U527" s="2"/>
    </row>
    <row r="528" spans="1:21" x14ac:dyDescent="0.3">
      <c r="A528">
        <v>527</v>
      </c>
      <c r="B528" t="s">
        <v>841</v>
      </c>
      <c r="C528" t="str">
        <f t="shared" si="72"/>
        <v>EMP_527</v>
      </c>
      <c r="D528" t="s">
        <v>15</v>
      </c>
      <c r="E528" t="str">
        <f t="shared" si="73"/>
        <v>EMP_527Marketing</v>
      </c>
      <c r="F528" t="s">
        <v>24</v>
      </c>
      <c r="G528" t="s">
        <v>25</v>
      </c>
      <c r="H528">
        <v>29333</v>
      </c>
      <c r="I528">
        <v>6958</v>
      </c>
      <c r="J528">
        <v>0</v>
      </c>
      <c r="K528">
        <v>0</v>
      </c>
      <c r="L528" s="4" t="s">
        <v>842</v>
      </c>
      <c r="M528" s="4" t="str">
        <f t="shared" si="74"/>
        <v>8/20/2019</v>
      </c>
      <c r="N528" s="1">
        <f t="shared" ca="1" si="75"/>
        <v>46064</v>
      </c>
      <c r="O528" s="6" t="e">
        <f t="shared" ca="1" si="76"/>
        <v>#VALUE!</v>
      </c>
      <c r="P528">
        <v>1</v>
      </c>
      <c r="Q528">
        <f t="shared" si="77"/>
        <v>36291</v>
      </c>
      <c r="R528" s="2">
        <f t="shared" si="78"/>
        <v>18145.5</v>
      </c>
      <c r="S528" s="2" t="str">
        <f t="shared" si="79"/>
        <v xml:space="preserve"> Not Achieved</v>
      </c>
      <c r="T528" s="2" t="str">
        <f t="shared" si="80"/>
        <v>poor</v>
      </c>
      <c r="U528" s="2"/>
    </row>
    <row r="529" spans="1:21" x14ac:dyDescent="0.3">
      <c r="A529">
        <v>528</v>
      </c>
      <c r="B529" t="s">
        <v>843</v>
      </c>
      <c r="C529" t="str">
        <f t="shared" si="72"/>
        <v>EMP_528</v>
      </c>
      <c r="D529" t="s">
        <v>15</v>
      </c>
      <c r="E529" t="str">
        <f t="shared" si="73"/>
        <v>EMP_528IT</v>
      </c>
      <c r="F529" t="s">
        <v>21</v>
      </c>
      <c r="G529" t="s">
        <v>16</v>
      </c>
      <c r="H529">
        <v>57285</v>
      </c>
      <c r="I529">
        <v>12653</v>
      </c>
      <c r="J529">
        <v>0</v>
      </c>
      <c r="K529">
        <v>0</v>
      </c>
      <c r="L529" s="4" t="s">
        <v>844</v>
      </c>
      <c r="M529" s="4" t="str">
        <f t="shared" si="74"/>
        <v>12/20/2023</v>
      </c>
      <c r="N529" s="1">
        <f t="shared" ca="1" si="75"/>
        <v>46064</v>
      </c>
      <c r="O529" s="6" t="e">
        <f t="shared" ca="1" si="76"/>
        <v>#VALUE!</v>
      </c>
      <c r="P529">
        <v>3</v>
      </c>
      <c r="Q529">
        <f t="shared" si="77"/>
        <v>69938</v>
      </c>
      <c r="R529" s="2">
        <f t="shared" si="78"/>
        <v>34969</v>
      </c>
      <c r="S529" s="2" t="str">
        <f t="shared" si="79"/>
        <v xml:space="preserve"> Not Achieved</v>
      </c>
      <c r="T529" s="2" t="str">
        <f t="shared" si="80"/>
        <v xml:space="preserve"> Excellent</v>
      </c>
      <c r="U529" s="2"/>
    </row>
    <row r="530" spans="1:21" x14ac:dyDescent="0.3">
      <c r="A530">
        <v>529</v>
      </c>
      <c r="B530" t="s">
        <v>845</v>
      </c>
      <c r="C530" t="str">
        <f t="shared" si="72"/>
        <v>EMP_529</v>
      </c>
      <c r="D530" t="s">
        <v>11</v>
      </c>
      <c r="E530" t="str">
        <f t="shared" si="73"/>
        <v>EMP_529Marketing</v>
      </c>
      <c r="F530" t="s">
        <v>24</v>
      </c>
      <c r="G530" t="s">
        <v>19</v>
      </c>
      <c r="H530">
        <v>48983</v>
      </c>
      <c r="I530">
        <v>11778</v>
      </c>
      <c r="J530">
        <v>0</v>
      </c>
      <c r="K530">
        <v>0</v>
      </c>
      <c r="L530" s="4">
        <v>45018</v>
      </c>
      <c r="M530" s="4" t="str">
        <f t="shared" si="74"/>
        <v>2023</v>
      </c>
      <c r="N530" s="1">
        <f t="shared" ca="1" si="75"/>
        <v>46064</v>
      </c>
      <c r="O530" s="6">
        <f t="shared" ca="1" si="76"/>
        <v>2</v>
      </c>
      <c r="P530">
        <v>2</v>
      </c>
      <c r="Q530">
        <f t="shared" si="77"/>
        <v>60761</v>
      </c>
      <c r="R530" s="2">
        <f t="shared" si="78"/>
        <v>30380.5</v>
      </c>
      <c r="S530" s="2" t="str">
        <f t="shared" si="79"/>
        <v xml:space="preserve"> Not Achieved</v>
      </c>
      <c r="T530" s="2" t="str">
        <f t="shared" si="80"/>
        <v>Good</v>
      </c>
      <c r="U530" s="2"/>
    </row>
    <row r="531" spans="1:21" x14ac:dyDescent="0.3">
      <c r="A531">
        <v>530</v>
      </c>
      <c r="B531" t="s">
        <v>846</v>
      </c>
      <c r="C531" t="str">
        <f t="shared" si="72"/>
        <v>EMP_530</v>
      </c>
      <c r="D531" t="s">
        <v>11</v>
      </c>
      <c r="E531" t="str">
        <f t="shared" si="73"/>
        <v>EMP_530Marketing</v>
      </c>
      <c r="F531" t="s">
        <v>24</v>
      </c>
      <c r="G531" t="s">
        <v>13</v>
      </c>
      <c r="H531">
        <v>57102</v>
      </c>
      <c r="I531">
        <v>13975</v>
      </c>
      <c r="J531">
        <v>0</v>
      </c>
      <c r="K531">
        <v>0</v>
      </c>
      <c r="L531" s="4" t="s">
        <v>847</v>
      </c>
      <c r="M531" s="4" t="str">
        <f t="shared" si="74"/>
        <v>8/13/2018</v>
      </c>
      <c r="N531" s="1">
        <f t="shared" ca="1" si="75"/>
        <v>46064</v>
      </c>
      <c r="O531" s="6" t="e">
        <f t="shared" ca="1" si="76"/>
        <v>#VALUE!</v>
      </c>
      <c r="P531">
        <v>2</v>
      </c>
      <c r="Q531">
        <f t="shared" si="77"/>
        <v>71077</v>
      </c>
      <c r="R531" s="2">
        <f t="shared" si="78"/>
        <v>35538.5</v>
      </c>
      <c r="S531" s="2" t="str">
        <f t="shared" si="79"/>
        <v xml:space="preserve"> Not Achieved</v>
      </c>
      <c r="T531" s="2" t="str">
        <f t="shared" si="80"/>
        <v xml:space="preserve"> Excellent</v>
      </c>
      <c r="U531" s="2"/>
    </row>
    <row r="532" spans="1:21" x14ac:dyDescent="0.3">
      <c r="A532">
        <v>531</v>
      </c>
      <c r="B532" t="s">
        <v>848</v>
      </c>
      <c r="C532" t="str">
        <f t="shared" si="72"/>
        <v>EMP_531</v>
      </c>
      <c r="D532" t="s">
        <v>11</v>
      </c>
      <c r="E532" t="str">
        <f t="shared" si="73"/>
        <v>EMP_531HR</v>
      </c>
      <c r="F532" t="s">
        <v>12</v>
      </c>
      <c r="G532" t="s">
        <v>13</v>
      </c>
      <c r="H532">
        <v>50462</v>
      </c>
      <c r="I532">
        <v>11388</v>
      </c>
      <c r="J532">
        <v>0</v>
      </c>
      <c r="K532">
        <v>0</v>
      </c>
      <c r="L532" s="4" t="s">
        <v>849</v>
      </c>
      <c r="M532" s="4" t="str">
        <f t="shared" si="74"/>
        <v>12/17/2020</v>
      </c>
      <c r="N532" s="1">
        <f t="shared" ca="1" si="75"/>
        <v>46064</v>
      </c>
      <c r="O532" s="6" t="e">
        <f t="shared" ca="1" si="76"/>
        <v>#VALUE!</v>
      </c>
      <c r="P532">
        <v>2</v>
      </c>
      <c r="Q532">
        <f t="shared" si="77"/>
        <v>61850</v>
      </c>
      <c r="R532" s="2">
        <f t="shared" si="78"/>
        <v>30925</v>
      </c>
      <c r="S532" s="2" t="str">
        <f t="shared" si="79"/>
        <v xml:space="preserve"> Not Achieved</v>
      </c>
      <c r="T532" s="2" t="str">
        <f t="shared" si="80"/>
        <v xml:space="preserve"> Excellent</v>
      </c>
      <c r="U532" s="2"/>
    </row>
    <row r="533" spans="1:21" x14ac:dyDescent="0.3">
      <c r="A533">
        <v>532</v>
      </c>
      <c r="B533" t="s">
        <v>850</v>
      </c>
      <c r="C533" t="str">
        <f t="shared" si="72"/>
        <v>EMP_532</v>
      </c>
      <c r="D533" t="s">
        <v>11</v>
      </c>
      <c r="E533" t="str">
        <f t="shared" si="73"/>
        <v>EMP_532Sales</v>
      </c>
      <c r="F533" t="s">
        <v>7</v>
      </c>
      <c r="G533" t="s">
        <v>19</v>
      </c>
      <c r="H533">
        <v>73786</v>
      </c>
      <c r="I533">
        <v>4999</v>
      </c>
      <c r="J533">
        <v>243404</v>
      </c>
      <c r="K533">
        <v>210611</v>
      </c>
      <c r="L533" s="4" t="s">
        <v>851</v>
      </c>
      <c r="M533" s="4" t="str">
        <f t="shared" si="74"/>
        <v>12/20/2021</v>
      </c>
      <c r="N533" s="1">
        <f t="shared" ca="1" si="75"/>
        <v>46064</v>
      </c>
      <c r="O533" s="6" t="e">
        <f t="shared" ca="1" si="76"/>
        <v>#VALUE!</v>
      </c>
      <c r="P533">
        <v>4</v>
      </c>
      <c r="Q533">
        <f t="shared" si="77"/>
        <v>78785</v>
      </c>
      <c r="R533" s="2">
        <f t="shared" si="78"/>
        <v>39392.5</v>
      </c>
      <c r="S533" s="2" t="str">
        <f t="shared" si="79"/>
        <v>Achieved</v>
      </c>
      <c r="T533" s="2" t="str">
        <f t="shared" si="80"/>
        <v xml:space="preserve"> Excellent</v>
      </c>
      <c r="U533" s="2"/>
    </row>
    <row r="534" spans="1:21" x14ac:dyDescent="0.3">
      <c r="A534">
        <v>533</v>
      </c>
      <c r="B534" t="s">
        <v>852</v>
      </c>
      <c r="C534" t="str">
        <f t="shared" si="72"/>
        <v>EMP_533</v>
      </c>
      <c r="D534" t="s">
        <v>15</v>
      </c>
      <c r="E534" t="str">
        <f t="shared" si="73"/>
        <v>EMP_533Marketing</v>
      </c>
      <c r="F534" t="s">
        <v>24</v>
      </c>
      <c r="G534" t="s">
        <v>13</v>
      </c>
      <c r="H534">
        <v>52109</v>
      </c>
      <c r="I534">
        <v>9760</v>
      </c>
      <c r="J534">
        <v>0</v>
      </c>
      <c r="K534">
        <v>0</v>
      </c>
      <c r="L534" s="4">
        <v>43990</v>
      </c>
      <c r="M534" s="4" t="str">
        <f t="shared" si="74"/>
        <v>2020</v>
      </c>
      <c r="N534" s="1">
        <f t="shared" ca="1" si="75"/>
        <v>46064</v>
      </c>
      <c r="O534" s="6">
        <f t="shared" ca="1" si="76"/>
        <v>5</v>
      </c>
      <c r="P534">
        <v>1</v>
      </c>
      <c r="Q534">
        <f t="shared" si="77"/>
        <v>61869</v>
      </c>
      <c r="R534" s="2">
        <f t="shared" si="78"/>
        <v>30934.5</v>
      </c>
      <c r="S534" s="2" t="str">
        <f t="shared" si="79"/>
        <v xml:space="preserve"> Not Achieved</v>
      </c>
      <c r="T534" s="2" t="str">
        <f t="shared" si="80"/>
        <v xml:space="preserve"> Excellent</v>
      </c>
      <c r="U534" s="2"/>
    </row>
    <row r="535" spans="1:21" x14ac:dyDescent="0.3">
      <c r="A535">
        <v>534</v>
      </c>
      <c r="B535" t="s">
        <v>853</v>
      </c>
      <c r="C535" t="str">
        <f t="shared" si="72"/>
        <v>EMP_534</v>
      </c>
      <c r="D535" t="s">
        <v>15</v>
      </c>
      <c r="E535" t="str">
        <f t="shared" si="73"/>
        <v>EMP_534Finance</v>
      </c>
      <c r="F535" t="s">
        <v>18</v>
      </c>
      <c r="G535" t="s">
        <v>25</v>
      </c>
      <c r="H535">
        <v>36082</v>
      </c>
      <c r="I535">
        <v>3293</v>
      </c>
      <c r="J535">
        <v>0</v>
      </c>
      <c r="K535">
        <v>0</v>
      </c>
      <c r="L535" s="4">
        <v>44136</v>
      </c>
      <c r="M535" s="4" t="str">
        <f t="shared" si="74"/>
        <v>2020</v>
      </c>
      <c r="N535" s="1">
        <f t="shared" ca="1" si="75"/>
        <v>46064</v>
      </c>
      <c r="O535" s="6">
        <f t="shared" ca="1" si="76"/>
        <v>5</v>
      </c>
      <c r="P535">
        <v>3</v>
      </c>
      <c r="Q535">
        <f t="shared" si="77"/>
        <v>39375</v>
      </c>
      <c r="R535" s="2">
        <f t="shared" si="78"/>
        <v>19687.5</v>
      </c>
      <c r="S535" s="2" t="str">
        <f t="shared" si="79"/>
        <v xml:space="preserve"> Not Achieved</v>
      </c>
      <c r="T535" s="2" t="str">
        <f t="shared" si="80"/>
        <v>Average</v>
      </c>
      <c r="U535" s="2"/>
    </row>
    <row r="536" spans="1:21" x14ac:dyDescent="0.3">
      <c r="A536">
        <v>535</v>
      </c>
      <c r="B536" t="s">
        <v>854</v>
      </c>
      <c r="C536" t="str">
        <f t="shared" si="72"/>
        <v>EMP_535</v>
      </c>
      <c r="D536" t="s">
        <v>11</v>
      </c>
      <c r="E536" t="str">
        <f t="shared" si="73"/>
        <v>EMP_535Finance</v>
      </c>
      <c r="F536" t="s">
        <v>18</v>
      </c>
      <c r="G536" t="s">
        <v>25</v>
      </c>
      <c r="H536">
        <v>54526</v>
      </c>
      <c r="I536">
        <v>12299</v>
      </c>
      <c r="J536">
        <v>0</v>
      </c>
      <c r="K536">
        <v>0</v>
      </c>
      <c r="L536" s="4">
        <v>43263</v>
      </c>
      <c r="M536" s="4" t="str">
        <f t="shared" si="74"/>
        <v>2018</v>
      </c>
      <c r="N536" s="1">
        <f t="shared" ca="1" si="75"/>
        <v>46064</v>
      </c>
      <c r="O536" s="6">
        <f t="shared" ca="1" si="76"/>
        <v>7</v>
      </c>
      <c r="P536">
        <v>2</v>
      </c>
      <c r="Q536">
        <f t="shared" si="77"/>
        <v>66825</v>
      </c>
      <c r="R536" s="2">
        <f t="shared" si="78"/>
        <v>33412.5</v>
      </c>
      <c r="S536" s="2" t="str">
        <f t="shared" si="79"/>
        <v xml:space="preserve"> Not Achieved</v>
      </c>
      <c r="T536" s="2" t="str">
        <f t="shared" si="80"/>
        <v xml:space="preserve"> Excellent</v>
      </c>
      <c r="U536" s="2"/>
    </row>
    <row r="537" spans="1:21" x14ac:dyDescent="0.3">
      <c r="A537">
        <v>536</v>
      </c>
      <c r="B537" t="s">
        <v>855</v>
      </c>
      <c r="C537" t="str">
        <f t="shared" si="72"/>
        <v>EMP_536</v>
      </c>
      <c r="D537" t="s">
        <v>15</v>
      </c>
      <c r="E537" t="str">
        <f t="shared" si="73"/>
        <v>EMP_536HR</v>
      </c>
      <c r="F537" t="s">
        <v>12</v>
      </c>
      <c r="G537" t="s">
        <v>16</v>
      </c>
      <c r="H537">
        <v>32689</v>
      </c>
      <c r="I537">
        <v>6555</v>
      </c>
      <c r="J537">
        <v>0</v>
      </c>
      <c r="K537">
        <v>0</v>
      </c>
      <c r="L537" s="4">
        <v>44446</v>
      </c>
      <c r="M537" s="4" t="str">
        <f t="shared" si="74"/>
        <v>2021</v>
      </c>
      <c r="N537" s="1">
        <f t="shared" ca="1" si="75"/>
        <v>46064</v>
      </c>
      <c r="O537" s="6">
        <f t="shared" ca="1" si="76"/>
        <v>4</v>
      </c>
      <c r="P537">
        <v>2</v>
      </c>
      <c r="Q537">
        <f t="shared" si="77"/>
        <v>39244</v>
      </c>
      <c r="R537" s="2">
        <f t="shared" si="78"/>
        <v>19622</v>
      </c>
      <c r="S537" s="2" t="str">
        <f t="shared" si="79"/>
        <v xml:space="preserve"> Not Achieved</v>
      </c>
      <c r="T537" s="2" t="str">
        <f t="shared" si="80"/>
        <v>Average</v>
      </c>
      <c r="U537" s="2"/>
    </row>
    <row r="538" spans="1:21" x14ac:dyDescent="0.3">
      <c r="A538">
        <v>537</v>
      </c>
      <c r="B538" t="s">
        <v>856</v>
      </c>
      <c r="C538" t="str">
        <f t="shared" si="72"/>
        <v>EMP_537</v>
      </c>
      <c r="D538" t="s">
        <v>11</v>
      </c>
      <c r="E538" t="str">
        <f t="shared" si="73"/>
        <v>EMP_537Finance</v>
      </c>
      <c r="F538" t="s">
        <v>18</v>
      </c>
      <c r="G538" t="s">
        <v>19</v>
      </c>
      <c r="H538">
        <v>55905</v>
      </c>
      <c r="I538">
        <v>8254</v>
      </c>
      <c r="J538">
        <v>0</v>
      </c>
      <c r="K538">
        <v>0</v>
      </c>
      <c r="L538" s="4" t="s">
        <v>857</v>
      </c>
      <c r="M538" s="4" t="str">
        <f t="shared" si="74"/>
        <v>9/17/2021</v>
      </c>
      <c r="N538" s="1">
        <f t="shared" ca="1" si="75"/>
        <v>46064</v>
      </c>
      <c r="O538" s="6" t="e">
        <f t="shared" ca="1" si="76"/>
        <v>#VALUE!</v>
      </c>
      <c r="P538">
        <v>3</v>
      </c>
      <c r="Q538">
        <f t="shared" si="77"/>
        <v>64159</v>
      </c>
      <c r="R538" s="2">
        <f t="shared" si="78"/>
        <v>32079.5</v>
      </c>
      <c r="S538" s="2" t="str">
        <f t="shared" si="79"/>
        <v xml:space="preserve"> Not Achieved</v>
      </c>
      <c r="T538" s="2" t="str">
        <f t="shared" si="80"/>
        <v xml:space="preserve"> Excellent</v>
      </c>
      <c r="U538" s="2"/>
    </row>
    <row r="539" spans="1:21" x14ac:dyDescent="0.3">
      <c r="A539">
        <v>538</v>
      </c>
      <c r="B539" t="s">
        <v>858</v>
      </c>
      <c r="C539" t="str">
        <f t="shared" si="72"/>
        <v>EMP_538</v>
      </c>
      <c r="D539" t="s">
        <v>15</v>
      </c>
      <c r="E539" t="str">
        <f t="shared" si="73"/>
        <v>EMP_538Marketing</v>
      </c>
      <c r="F539" t="s">
        <v>24</v>
      </c>
      <c r="G539" t="s">
        <v>16</v>
      </c>
      <c r="H539">
        <v>75647</v>
      </c>
      <c r="I539">
        <v>2620</v>
      </c>
      <c r="J539">
        <v>0</v>
      </c>
      <c r="K539">
        <v>0</v>
      </c>
      <c r="L539" s="4" t="s">
        <v>859</v>
      </c>
      <c r="M539" s="4" t="str">
        <f t="shared" si="74"/>
        <v>2/17/2020</v>
      </c>
      <c r="N539" s="1">
        <f t="shared" ca="1" si="75"/>
        <v>46064</v>
      </c>
      <c r="O539" s="6" t="e">
        <f t="shared" ca="1" si="76"/>
        <v>#VALUE!</v>
      </c>
      <c r="P539">
        <v>4</v>
      </c>
      <c r="Q539">
        <f t="shared" si="77"/>
        <v>78267</v>
      </c>
      <c r="R539" s="2">
        <f t="shared" si="78"/>
        <v>39133.5</v>
      </c>
      <c r="S539" s="2" t="str">
        <f t="shared" si="79"/>
        <v xml:space="preserve"> Not Achieved</v>
      </c>
      <c r="T539" s="2" t="str">
        <f t="shared" si="80"/>
        <v xml:space="preserve"> Excellent</v>
      </c>
      <c r="U539" s="2"/>
    </row>
    <row r="540" spans="1:21" x14ac:dyDescent="0.3">
      <c r="A540">
        <v>539</v>
      </c>
      <c r="B540" t="s">
        <v>860</v>
      </c>
      <c r="C540" t="str">
        <f t="shared" si="72"/>
        <v>EMP_539</v>
      </c>
      <c r="D540" t="s">
        <v>15</v>
      </c>
      <c r="E540" t="str">
        <f t="shared" si="73"/>
        <v>EMP_539Marketing</v>
      </c>
      <c r="F540" t="s">
        <v>24</v>
      </c>
      <c r="G540" t="s">
        <v>22</v>
      </c>
      <c r="H540">
        <v>46280</v>
      </c>
      <c r="I540">
        <v>9286</v>
      </c>
      <c r="J540">
        <v>0</v>
      </c>
      <c r="K540">
        <v>0</v>
      </c>
      <c r="L540" s="4" t="s">
        <v>364</v>
      </c>
      <c r="M540" s="4" t="str">
        <f t="shared" si="74"/>
        <v>3/17/2022</v>
      </c>
      <c r="N540" s="1">
        <f t="shared" ca="1" si="75"/>
        <v>46064</v>
      </c>
      <c r="O540" s="6" t="e">
        <f t="shared" ca="1" si="76"/>
        <v>#VALUE!</v>
      </c>
      <c r="P540">
        <v>1</v>
      </c>
      <c r="Q540">
        <f t="shared" si="77"/>
        <v>55566</v>
      </c>
      <c r="R540" s="2">
        <f t="shared" si="78"/>
        <v>27783</v>
      </c>
      <c r="S540" s="2" t="str">
        <f t="shared" si="79"/>
        <v xml:space="preserve"> Not Achieved</v>
      </c>
      <c r="T540" s="2" t="str">
        <f t="shared" si="80"/>
        <v>Good</v>
      </c>
      <c r="U540" s="2"/>
    </row>
    <row r="541" spans="1:21" x14ac:dyDescent="0.3">
      <c r="A541">
        <v>540</v>
      </c>
      <c r="B541" t="s">
        <v>861</v>
      </c>
      <c r="C541" t="str">
        <f t="shared" si="72"/>
        <v>EMP_540</v>
      </c>
      <c r="D541" t="s">
        <v>15</v>
      </c>
      <c r="E541" t="str">
        <f t="shared" si="73"/>
        <v>EMP_540HR</v>
      </c>
      <c r="F541" t="s">
        <v>12</v>
      </c>
      <c r="G541" t="s">
        <v>19</v>
      </c>
      <c r="H541">
        <v>65817</v>
      </c>
      <c r="I541">
        <v>14310</v>
      </c>
      <c r="J541">
        <v>0</v>
      </c>
      <c r="K541">
        <v>0</v>
      </c>
      <c r="L541" s="4" t="s">
        <v>862</v>
      </c>
      <c r="M541" s="4" t="str">
        <f t="shared" si="74"/>
        <v>3/17/2024</v>
      </c>
      <c r="N541" s="1">
        <f t="shared" ca="1" si="75"/>
        <v>46064</v>
      </c>
      <c r="O541" s="6" t="e">
        <f t="shared" ca="1" si="76"/>
        <v>#VALUE!</v>
      </c>
      <c r="P541">
        <v>2</v>
      </c>
      <c r="Q541">
        <f t="shared" si="77"/>
        <v>80127</v>
      </c>
      <c r="R541" s="2">
        <f t="shared" si="78"/>
        <v>40063.5</v>
      </c>
      <c r="S541" s="2" t="str">
        <f t="shared" si="79"/>
        <v xml:space="preserve"> Not Achieved</v>
      </c>
      <c r="T541" s="2" t="str">
        <f t="shared" si="80"/>
        <v xml:space="preserve"> Excellent</v>
      </c>
      <c r="U541" s="2"/>
    </row>
    <row r="542" spans="1:21" x14ac:dyDescent="0.3">
      <c r="A542">
        <v>541</v>
      </c>
      <c r="B542" t="s">
        <v>863</v>
      </c>
      <c r="C542" t="str">
        <f t="shared" si="72"/>
        <v>EMP_541</v>
      </c>
      <c r="D542" t="s">
        <v>11</v>
      </c>
      <c r="E542" t="str">
        <f t="shared" si="73"/>
        <v>EMP_541Sales</v>
      </c>
      <c r="F542" t="s">
        <v>7</v>
      </c>
      <c r="G542" t="s">
        <v>13</v>
      </c>
      <c r="H542">
        <v>23116</v>
      </c>
      <c r="I542">
        <v>8741</v>
      </c>
      <c r="J542">
        <v>295261</v>
      </c>
      <c r="K542">
        <v>136147</v>
      </c>
      <c r="L542" s="4">
        <v>44389</v>
      </c>
      <c r="M542" s="4" t="str">
        <f t="shared" si="74"/>
        <v>2021</v>
      </c>
      <c r="N542" s="1">
        <f t="shared" ca="1" si="75"/>
        <v>46064</v>
      </c>
      <c r="O542" s="6">
        <f t="shared" ca="1" si="76"/>
        <v>4</v>
      </c>
      <c r="P542">
        <v>2</v>
      </c>
      <c r="Q542">
        <f t="shared" si="77"/>
        <v>31857</v>
      </c>
      <c r="R542" s="2">
        <f t="shared" si="78"/>
        <v>15928.5</v>
      </c>
      <c r="S542" s="2" t="str">
        <f t="shared" si="79"/>
        <v>Achieved</v>
      </c>
      <c r="T542" s="2" t="str">
        <f t="shared" si="80"/>
        <v>poor</v>
      </c>
      <c r="U542" s="2"/>
    </row>
    <row r="543" spans="1:21" x14ac:dyDescent="0.3">
      <c r="A543">
        <v>542</v>
      </c>
      <c r="B543" t="s">
        <v>864</v>
      </c>
      <c r="C543" t="str">
        <f t="shared" si="72"/>
        <v>EMP_542</v>
      </c>
      <c r="D543" t="s">
        <v>15</v>
      </c>
      <c r="E543" t="str">
        <f t="shared" si="73"/>
        <v>EMP_542Finance</v>
      </c>
      <c r="F543" t="s">
        <v>18</v>
      </c>
      <c r="G543" t="s">
        <v>22</v>
      </c>
      <c r="H543">
        <v>40831</v>
      </c>
      <c r="I543">
        <v>3664</v>
      </c>
      <c r="J543">
        <v>0</v>
      </c>
      <c r="K543">
        <v>0</v>
      </c>
      <c r="L543" s="4">
        <v>43622</v>
      </c>
      <c r="M543" s="4" t="str">
        <f t="shared" si="74"/>
        <v>2019</v>
      </c>
      <c r="N543" s="1">
        <f t="shared" ca="1" si="75"/>
        <v>46064</v>
      </c>
      <c r="O543" s="6">
        <f t="shared" ca="1" si="76"/>
        <v>6</v>
      </c>
      <c r="P543">
        <v>5</v>
      </c>
      <c r="Q543">
        <f t="shared" si="77"/>
        <v>44495</v>
      </c>
      <c r="R543" s="2">
        <f t="shared" si="78"/>
        <v>22247.5</v>
      </c>
      <c r="S543" s="2" t="str">
        <f t="shared" si="79"/>
        <v xml:space="preserve"> Not Achieved</v>
      </c>
      <c r="T543" s="2" t="str">
        <f t="shared" si="80"/>
        <v>Good</v>
      </c>
      <c r="U543" s="2"/>
    </row>
    <row r="544" spans="1:21" x14ac:dyDescent="0.3">
      <c r="A544">
        <v>543</v>
      </c>
      <c r="B544" t="s">
        <v>865</v>
      </c>
      <c r="C544" t="str">
        <f t="shared" si="72"/>
        <v>EMP_543</v>
      </c>
      <c r="D544" t="s">
        <v>11</v>
      </c>
      <c r="E544" t="str">
        <f t="shared" si="73"/>
        <v>EMP_543Marketing</v>
      </c>
      <c r="F544" t="s">
        <v>24</v>
      </c>
      <c r="G544" t="s">
        <v>22</v>
      </c>
      <c r="H544">
        <v>37490</v>
      </c>
      <c r="I544">
        <v>13514</v>
      </c>
      <c r="J544">
        <v>0</v>
      </c>
      <c r="K544">
        <v>0</v>
      </c>
      <c r="L544" s="4" t="s">
        <v>866</v>
      </c>
      <c r="M544" s="4" t="str">
        <f t="shared" si="74"/>
        <v>7/16/2018</v>
      </c>
      <c r="N544" s="1">
        <f t="shared" ca="1" si="75"/>
        <v>46064</v>
      </c>
      <c r="O544" s="6" t="e">
        <f t="shared" ca="1" si="76"/>
        <v>#VALUE!</v>
      </c>
      <c r="P544">
        <v>4</v>
      </c>
      <c r="Q544">
        <f t="shared" si="77"/>
        <v>51004</v>
      </c>
      <c r="R544" s="2">
        <f t="shared" si="78"/>
        <v>25502</v>
      </c>
      <c r="S544" s="2" t="str">
        <f t="shared" si="79"/>
        <v xml:space="preserve"> Not Achieved</v>
      </c>
      <c r="T544" s="2" t="str">
        <f t="shared" si="80"/>
        <v>Average</v>
      </c>
      <c r="U544" s="2"/>
    </row>
    <row r="545" spans="1:21" x14ac:dyDescent="0.3">
      <c r="A545">
        <v>544</v>
      </c>
      <c r="B545" t="s">
        <v>867</v>
      </c>
      <c r="C545" t="str">
        <f t="shared" si="72"/>
        <v>EMP_544</v>
      </c>
      <c r="D545" t="s">
        <v>11</v>
      </c>
      <c r="E545" t="str">
        <f t="shared" si="73"/>
        <v>EMP_544Finance</v>
      </c>
      <c r="F545" t="s">
        <v>18</v>
      </c>
      <c r="G545" t="s">
        <v>22</v>
      </c>
      <c r="H545">
        <v>20262</v>
      </c>
      <c r="I545">
        <v>11909</v>
      </c>
      <c r="J545">
        <v>0</v>
      </c>
      <c r="K545">
        <v>0</v>
      </c>
      <c r="L545" s="4">
        <v>44935</v>
      </c>
      <c r="M545" s="4" t="str">
        <f t="shared" si="74"/>
        <v>2023</v>
      </c>
      <c r="N545" s="1">
        <f t="shared" ca="1" si="75"/>
        <v>46064</v>
      </c>
      <c r="O545" s="6">
        <f t="shared" ca="1" si="76"/>
        <v>3</v>
      </c>
      <c r="P545">
        <v>3</v>
      </c>
      <c r="Q545">
        <f t="shared" si="77"/>
        <v>32171</v>
      </c>
      <c r="R545" s="2">
        <f t="shared" si="78"/>
        <v>16085.5</v>
      </c>
      <c r="S545" s="2" t="str">
        <f t="shared" si="79"/>
        <v xml:space="preserve"> Not Achieved</v>
      </c>
      <c r="T545" s="2" t="str">
        <f t="shared" si="80"/>
        <v>poor</v>
      </c>
      <c r="U545" s="2"/>
    </row>
    <row r="546" spans="1:21" x14ac:dyDescent="0.3">
      <c r="A546">
        <v>545</v>
      </c>
      <c r="B546" t="s">
        <v>868</v>
      </c>
      <c r="C546" t="str">
        <f t="shared" si="72"/>
        <v>EMP_545</v>
      </c>
      <c r="D546" t="s">
        <v>11</v>
      </c>
      <c r="E546" t="str">
        <f t="shared" si="73"/>
        <v>EMP_545IT</v>
      </c>
      <c r="F546" t="s">
        <v>21</v>
      </c>
      <c r="G546" t="s">
        <v>16</v>
      </c>
      <c r="H546">
        <v>33445</v>
      </c>
      <c r="I546">
        <v>8043</v>
      </c>
      <c r="J546">
        <v>0</v>
      </c>
      <c r="K546">
        <v>0</v>
      </c>
      <c r="L546" s="4">
        <v>43191</v>
      </c>
      <c r="M546" s="4" t="str">
        <f t="shared" si="74"/>
        <v>2018</v>
      </c>
      <c r="N546" s="1">
        <f t="shared" ca="1" si="75"/>
        <v>46064</v>
      </c>
      <c r="O546" s="6">
        <f t="shared" ca="1" si="76"/>
        <v>7</v>
      </c>
      <c r="P546">
        <v>5</v>
      </c>
      <c r="Q546">
        <f t="shared" si="77"/>
        <v>41488</v>
      </c>
      <c r="R546" s="2">
        <f t="shared" si="78"/>
        <v>20744</v>
      </c>
      <c r="S546" s="2" t="str">
        <f t="shared" si="79"/>
        <v xml:space="preserve"> Not Achieved</v>
      </c>
      <c r="T546" s="2" t="str">
        <f t="shared" si="80"/>
        <v>Average</v>
      </c>
      <c r="U546" s="2"/>
    </row>
    <row r="547" spans="1:21" x14ac:dyDescent="0.3">
      <c r="A547">
        <v>546</v>
      </c>
      <c r="B547" t="s">
        <v>869</v>
      </c>
      <c r="C547" t="str">
        <f t="shared" si="72"/>
        <v>EMP_546</v>
      </c>
      <c r="D547" t="s">
        <v>15</v>
      </c>
      <c r="E547" t="str">
        <f t="shared" si="73"/>
        <v>EMP_546Marketing</v>
      </c>
      <c r="F547" t="s">
        <v>24</v>
      </c>
      <c r="G547" t="s">
        <v>16</v>
      </c>
      <c r="H547">
        <v>64008</v>
      </c>
      <c r="I547">
        <v>6913</v>
      </c>
      <c r="J547">
        <v>0</v>
      </c>
      <c r="K547">
        <v>0</v>
      </c>
      <c r="L547" s="4" t="s">
        <v>808</v>
      </c>
      <c r="M547" s="4" t="str">
        <f t="shared" si="74"/>
        <v>1/17/2019</v>
      </c>
      <c r="N547" s="1">
        <f t="shared" ca="1" si="75"/>
        <v>46064</v>
      </c>
      <c r="O547" s="6" t="e">
        <f t="shared" ca="1" si="76"/>
        <v>#VALUE!</v>
      </c>
      <c r="P547">
        <v>4</v>
      </c>
      <c r="Q547">
        <f t="shared" si="77"/>
        <v>70921</v>
      </c>
      <c r="R547" s="2">
        <f t="shared" si="78"/>
        <v>35460.5</v>
      </c>
      <c r="S547" s="2" t="str">
        <f t="shared" si="79"/>
        <v xml:space="preserve"> Not Achieved</v>
      </c>
      <c r="T547" s="2" t="str">
        <f t="shared" si="80"/>
        <v xml:space="preserve"> Excellent</v>
      </c>
      <c r="U547" s="2"/>
    </row>
    <row r="548" spans="1:21" x14ac:dyDescent="0.3">
      <c r="A548">
        <v>547</v>
      </c>
      <c r="B548" t="s">
        <v>870</v>
      </c>
      <c r="C548" t="str">
        <f t="shared" si="72"/>
        <v>EMP_547</v>
      </c>
      <c r="D548" t="s">
        <v>15</v>
      </c>
      <c r="E548" t="str">
        <f t="shared" si="73"/>
        <v>EMP_547Finance</v>
      </c>
      <c r="F548" t="s">
        <v>18</v>
      </c>
      <c r="G548" t="s">
        <v>13</v>
      </c>
      <c r="H548">
        <v>50280</v>
      </c>
      <c r="I548">
        <v>2249</v>
      </c>
      <c r="J548">
        <v>0</v>
      </c>
      <c r="K548">
        <v>0</v>
      </c>
      <c r="L548" s="4" t="s">
        <v>871</v>
      </c>
      <c r="M548" s="4" t="str">
        <f t="shared" si="74"/>
        <v>2/27/2020</v>
      </c>
      <c r="N548" s="1">
        <f t="shared" ca="1" si="75"/>
        <v>46064</v>
      </c>
      <c r="O548" s="6" t="e">
        <f t="shared" ca="1" si="76"/>
        <v>#VALUE!</v>
      </c>
      <c r="P548">
        <v>5</v>
      </c>
      <c r="Q548">
        <f t="shared" si="77"/>
        <v>52529</v>
      </c>
      <c r="R548" s="2">
        <f t="shared" si="78"/>
        <v>26264.5</v>
      </c>
      <c r="S548" s="2" t="str">
        <f t="shared" si="79"/>
        <v xml:space="preserve"> Not Achieved</v>
      </c>
      <c r="T548" s="2" t="str">
        <f t="shared" si="80"/>
        <v xml:space="preserve"> Excellent</v>
      </c>
      <c r="U548" s="2"/>
    </row>
    <row r="549" spans="1:21" x14ac:dyDescent="0.3">
      <c r="A549">
        <v>548</v>
      </c>
      <c r="B549" t="s">
        <v>872</v>
      </c>
      <c r="C549" t="str">
        <f t="shared" si="72"/>
        <v>EMP_548</v>
      </c>
      <c r="D549" t="s">
        <v>15</v>
      </c>
      <c r="E549" t="str">
        <f t="shared" si="73"/>
        <v>EMP_548Sales</v>
      </c>
      <c r="F549" t="s">
        <v>7</v>
      </c>
      <c r="G549" t="s">
        <v>13</v>
      </c>
      <c r="H549">
        <v>35491</v>
      </c>
      <c r="I549">
        <v>8258</v>
      </c>
      <c r="J549">
        <v>198058</v>
      </c>
      <c r="K549">
        <v>155659</v>
      </c>
      <c r="L549" s="4">
        <v>43526</v>
      </c>
      <c r="M549" s="4" t="str">
        <f t="shared" si="74"/>
        <v>2019</v>
      </c>
      <c r="N549" s="1">
        <f t="shared" ca="1" si="75"/>
        <v>46064</v>
      </c>
      <c r="O549" s="6">
        <f t="shared" ca="1" si="76"/>
        <v>6</v>
      </c>
      <c r="P549">
        <v>3</v>
      </c>
      <c r="Q549">
        <f t="shared" si="77"/>
        <v>43749</v>
      </c>
      <c r="R549" s="2">
        <f t="shared" si="78"/>
        <v>21874.5</v>
      </c>
      <c r="S549" s="2" t="str">
        <f t="shared" si="79"/>
        <v>Achieved</v>
      </c>
      <c r="T549" s="2" t="str">
        <f t="shared" si="80"/>
        <v>Average</v>
      </c>
      <c r="U549" s="2"/>
    </row>
    <row r="550" spans="1:21" x14ac:dyDescent="0.3">
      <c r="A550">
        <v>549</v>
      </c>
      <c r="B550" t="s">
        <v>873</v>
      </c>
      <c r="C550" t="str">
        <f t="shared" si="72"/>
        <v>EMP_549</v>
      </c>
      <c r="D550" t="s">
        <v>15</v>
      </c>
      <c r="E550" t="str">
        <f t="shared" si="73"/>
        <v>EMP_549Finance</v>
      </c>
      <c r="F550" t="s">
        <v>18</v>
      </c>
      <c r="G550" t="s">
        <v>19</v>
      </c>
      <c r="H550">
        <v>20813</v>
      </c>
      <c r="I550">
        <v>6411</v>
      </c>
      <c r="J550">
        <v>0</v>
      </c>
      <c r="K550">
        <v>0</v>
      </c>
      <c r="L550" s="4" t="s">
        <v>874</v>
      </c>
      <c r="M550" s="4" t="str">
        <f t="shared" si="74"/>
        <v>8/21/2020</v>
      </c>
      <c r="N550" s="1">
        <f t="shared" ca="1" si="75"/>
        <v>46064</v>
      </c>
      <c r="O550" s="6" t="e">
        <f t="shared" ca="1" si="76"/>
        <v>#VALUE!</v>
      </c>
      <c r="P550">
        <v>5</v>
      </c>
      <c r="Q550">
        <f t="shared" si="77"/>
        <v>27224</v>
      </c>
      <c r="R550" s="2">
        <f t="shared" si="78"/>
        <v>13612</v>
      </c>
      <c r="S550" s="2" t="str">
        <f t="shared" si="79"/>
        <v xml:space="preserve"> Not Achieved</v>
      </c>
      <c r="T550" s="2" t="str">
        <f t="shared" si="80"/>
        <v>poor</v>
      </c>
      <c r="U550" s="2"/>
    </row>
    <row r="551" spans="1:21" x14ac:dyDescent="0.3">
      <c r="A551">
        <v>550</v>
      </c>
      <c r="B551" t="s">
        <v>875</v>
      </c>
      <c r="C551" t="str">
        <f t="shared" si="72"/>
        <v>EMP_550</v>
      </c>
      <c r="D551" t="s">
        <v>15</v>
      </c>
      <c r="E551" t="str">
        <f t="shared" si="73"/>
        <v>EMP_550HR</v>
      </c>
      <c r="F551" t="s">
        <v>12</v>
      </c>
      <c r="G551" t="s">
        <v>25</v>
      </c>
      <c r="H551">
        <v>20361</v>
      </c>
      <c r="I551">
        <v>6522</v>
      </c>
      <c r="J551">
        <v>0</v>
      </c>
      <c r="K551">
        <v>0</v>
      </c>
      <c r="L551" s="4">
        <v>45108</v>
      </c>
      <c r="M551" s="4" t="str">
        <f t="shared" si="74"/>
        <v>2023</v>
      </c>
      <c r="N551" s="1">
        <f t="shared" ca="1" si="75"/>
        <v>46064</v>
      </c>
      <c r="O551" s="6">
        <f t="shared" ca="1" si="76"/>
        <v>2</v>
      </c>
      <c r="P551">
        <v>1</v>
      </c>
      <c r="Q551">
        <f t="shared" si="77"/>
        <v>26883</v>
      </c>
      <c r="R551" s="2">
        <f t="shared" si="78"/>
        <v>13441.5</v>
      </c>
      <c r="S551" s="2" t="str">
        <f t="shared" si="79"/>
        <v xml:space="preserve"> Not Achieved</v>
      </c>
      <c r="T551" s="2" t="str">
        <f t="shared" si="80"/>
        <v>poor</v>
      </c>
      <c r="U551" s="2"/>
    </row>
    <row r="552" spans="1:21" x14ac:dyDescent="0.3">
      <c r="A552">
        <v>551</v>
      </c>
      <c r="B552" t="s">
        <v>876</v>
      </c>
      <c r="C552" t="str">
        <f t="shared" si="72"/>
        <v>EMP_551</v>
      </c>
      <c r="D552" t="s">
        <v>11</v>
      </c>
      <c r="E552" t="str">
        <f t="shared" si="73"/>
        <v>EMP_551Marketing</v>
      </c>
      <c r="F552" t="s">
        <v>24</v>
      </c>
      <c r="G552" t="s">
        <v>22</v>
      </c>
      <c r="H552">
        <v>41454</v>
      </c>
      <c r="I552">
        <v>7722</v>
      </c>
      <c r="J552">
        <v>0</v>
      </c>
      <c r="K552">
        <v>0</v>
      </c>
      <c r="L552" s="4" t="s">
        <v>877</v>
      </c>
      <c r="M552" s="4" t="str">
        <f t="shared" si="74"/>
        <v>3/20/2018</v>
      </c>
      <c r="N552" s="1">
        <f t="shared" ca="1" si="75"/>
        <v>46064</v>
      </c>
      <c r="O552" s="6" t="e">
        <f t="shared" ca="1" si="76"/>
        <v>#VALUE!</v>
      </c>
      <c r="P552">
        <v>2</v>
      </c>
      <c r="Q552">
        <f t="shared" si="77"/>
        <v>49176</v>
      </c>
      <c r="R552" s="2">
        <f t="shared" si="78"/>
        <v>24588</v>
      </c>
      <c r="S552" s="2" t="str">
        <f t="shared" si="79"/>
        <v xml:space="preserve"> Not Achieved</v>
      </c>
      <c r="T552" s="2" t="str">
        <f t="shared" si="80"/>
        <v>Good</v>
      </c>
      <c r="U552" s="2"/>
    </row>
    <row r="553" spans="1:21" x14ac:dyDescent="0.3">
      <c r="A553">
        <v>552</v>
      </c>
      <c r="B553" t="s">
        <v>878</v>
      </c>
      <c r="C553" t="str">
        <f t="shared" si="72"/>
        <v>EMP_552</v>
      </c>
      <c r="D553" t="s">
        <v>15</v>
      </c>
      <c r="E553" t="str">
        <f t="shared" si="73"/>
        <v>EMP_552Sales</v>
      </c>
      <c r="F553" t="s">
        <v>7</v>
      </c>
      <c r="G553" t="s">
        <v>13</v>
      </c>
      <c r="H553">
        <v>46943</v>
      </c>
      <c r="I553">
        <v>3716</v>
      </c>
      <c r="J553">
        <v>256039</v>
      </c>
      <c r="K553">
        <v>105107</v>
      </c>
      <c r="L553" s="4" t="s">
        <v>879</v>
      </c>
      <c r="M553" s="4" t="str">
        <f t="shared" si="74"/>
        <v>9/27/2021</v>
      </c>
      <c r="N553" s="1">
        <f t="shared" ca="1" si="75"/>
        <v>46064</v>
      </c>
      <c r="O553" s="6" t="e">
        <f t="shared" ca="1" si="76"/>
        <v>#VALUE!</v>
      </c>
      <c r="P553">
        <v>2</v>
      </c>
      <c r="Q553">
        <f t="shared" si="77"/>
        <v>50659</v>
      </c>
      <c r="R553" s="2">
        <f t="shared" si="78"/>
        <v>25329.5</v>
      </c>
      <c r="S553" s="2" t="str">
        <f t="shared" si="79"/>
        <v>Achieved</v>
      </c>
      <c r="T553" s="2" t="str">
        <f t="shared" si="80"/>
        <v>Good</v>
      </c>
      <c r="U553" s="2"/>
    </row>
    <row r="554" spans="1:21" x14ac:dyDescent="0.3">
      <c r="A554">
        <v>553</v>
      </c>
      <c r="B554" t="s">
        <v>880</v>
      </c>
      <c r="C554" t="str">
        <f t="shared" si="72"/>
        <v>EMP_553</v>
      </c>
      <c r="D554" t="s">
        <v>15</v>
      </c>
      <c r="E554" t="str">
        <f t="shared" si="73"/>
        <v>EMP_553Finance</v>
      </c>
      <c r="F554" t="s">
        <v>18</v>
      </c>
      <c r="G554" t="s">
        <v>13</v>
      </c>
      <c r="H554">
        <v>79472</v>
      </c>
      <c r="I554">
        <v>3424</v>
      </c>
      <c r="J554">
        <v>0</v>
      </c>
      <c r="K554">
        <v>0</v>
      </c>
      <c r="L554" s="4" t="s">
        <v>881</v>
      </c>
      <c r="M554" s="4" t="str">
        <f t="shared" si="74"/>
        <v>4/21/2022</v>
      </c>
      <c r="N554" s="1">
        <f t="shared" ca="1" si="75"/>
        <v>46064</v>
      </c>
      <c r="O554" s="6" t="e">
        <f t="shared" ca="1" si="76"/>
        <v>#VALUE!</v>
      </c>
      <c r="P554">
        <v>1</v>
      </c>
      <c r="Q554">
        <f t="shared" si="77"/>
        <v>82896</v>
      </c>
      <c r="R554" s="2">
        <f t="shared" si="78"/>
        <v>41448</v>
      </c>
      <c r="S554" s="2" t="str">
        <f t="shared" si="79"/>
        <v xml:space="preserve"> Not Achieved</v>
      </c>
      <c r="T554" s="2" t="str">
        <f t="shared" si="80"/>
        <v xml:space="preserve"> Excellent</v>
      </c>
      <c r="U554" s="2"/>
    </row>
    <row r="555" spans="1:21" x14ac:dyDescent="0.3">
      <c r="A555">
        <v>554</v>
      </c>
      <c r="B555" t="s">
        <v>882</v>
      </c>
      <c r="C555" t="str">
        <f t="shared" si="72"/>
        <v>EMP_554</v>
      </c>
      <c r="D555" t="s">
        <v>11</v>
      </c>
      <c r="E555" t="str">
        <f t="shared" si="73"/>
        <v>EMP_554Sales</v>
      </c>
      <c r="F555" t="s">
        <v>7</v>
      </c>
      <c r="G555" t="s">
        <v>13</v>
      </c>
      <c r="H555">
        <v>29903</v>
      </c>
      <c r="I555">
        <v>2500</v>
      </c>
      <c r="J555">
        <v>285745</v>
      </c>
      <c r="K555">
        <v>136288</v>
      </c>
      <c r="L555" s="4">
        <v>45627</v>
      </c>
      <c r="M555" s="4" t="str">
        <f t="shared" si="74"/>
        <v>2024</v>
      </c>
      <c r="N555" s="1">
        <f t="shared" ca="1" si="75"/>
        <v>46064</v>
      </c>
      <c r="O555" s="6">
        <f t="shared" ca="1" si="76"/>
        <v>1</v>
      </c>
      <c r="P555">
        <v>2</v>
      </c>
      <c r="Q555">
        <f t="shared" si="77"/>
        <v>32403</v>
      </c>
      <c r="R555" s="2">
        <f t="shared" si="78"/>
        <v>16201.5</v>
      </c>
      <c r="S555" s="2" t="str">
        <f t="shared" si="79"/>
        <v>Achieved</v>
      </c>
      <c r="T555" s="2" t="str">
        <f t="shared" si="80"/>
        <v>poor</v>
      </c>
      <c r="U555" s="2"/>
    </row>
    <row r="556" spans="1:21" x14ac:dyDescent="0.3">
      <c r="A556">
        <v>555</v>
      </c>
      <c r="B556" t="s">
        <v>883</v>
      </c>
      <c r="C556" t="str">
        <f t="shared" si="72"/>
        <v>EMP_555</v>
      </c>
      <c r="D556" t="s">
        <v>11</v>
      </c>
      <c r="E556" t="str">
        <f t="shared" si="73"/>
        <v>EMP_555Marketing</v>
      </c>
      <c r="F556" t="s">
        <v>24</v>
      </c>
      <c r="G556" t="s">
        <v>22</v>
      </c>
      <c r="H556">
        <v>56871</v>
      </c>
      <c r="I556">
        <v>9694</v>
      </c>
      <c r="J556">
        <v>0</v>
      </c>
      <c r="K556">
        <v>0</v>
      </c>
      <c r="L556" s="4">
        <v>44105</v>
      </c>
      <c r="M556" s="4" t="str">
        <f t="shared" si="74"/>
        <v>2020</v>
      </c>
      <c r="N556" s="1">
        <f t="shared" ca="1" si="75"/>
        <v>46064</v>
      </c>
      <c r="O556" s="6">
        <f t="shared" ca="1" si="76"/>
        <v>5</v>
      </c>
      <c r="P556">
        <v>1</v>
      </c>
      <c r="Q556">
        <f t="shared" si="77"/>
        <v>66565</v>
      </c>
      <c r="R556" s="2">
        <f t="shared" si="78"/>
        <v>33282.5</v>
      </c>
      <c r="S556" s="2" t="str">
        <f t="shared" si="79"/>
        <v xml:space="preserve"> Not Achieved</v>
      </c>
      <c r="T556" s="2" t="str">
        <f t="shared" si="80"/>
        <v xml:space="preserve"> Excellent</v>
      </c>
      <c r="U556" s="2"/>
    </row>
    <row r="557" spans="1:21" x14ac:dyDescent="0.3">
      <c r="A557">
        <v>556</v>
      </c>
      <c r="B557" t="s">
        <v>884</v>
      </c>
      <c r="C557" t="str">
        <f t="shared" si="72"/>
        <v>EMP_556</v>
      </c>
      <c r="D557" t="s">
        <v>15</v>
      </c>
      <c r="E557" t="str">
        <f t="shared" si="73"/>
        <v>EMP_556Finance</v>
      </c>
      <c r="F557" t="s">
        <v>18</v>
      </c>
      <c r="G557" t="s">
        <v>22</v>
      </c>
      <c r="H557">
        <v>21523</v>
      </c>
      <c r="I557">
        <v>10281</v>
      </c>
      <c r="J557">
        <v>0</v>
      </c>
      <c r="K557">
        <v>0</v>
      </c>
      <c r="L557" s="4" t="s">
        <v>885</v>
      </c>
      <c r="M557" s="4" t="str">
        <f t="shared" si="74"/>
        <v>12/28/2021</v>
      </c>
      <c r="N557" s="1">
        <f t="shared" ca="1" si="75"/>
        <v>46064</v>
      </c>
      <c r="O557" s="6" t="e">
        <f t="shared" ca="1" si="76"/>
        <v>#VALUE!</v>
      </c>
      <c r="P557">
        <v>4</v>
      </c>
      <c r="Q557">
        <f t="shared" si="77"/>
        <v>31804</v>
      </c>
      <c r="R557" s="2">
        <f t="shared" si="78"/>
        <v>15902</v>
      </c>
      <c r="S557" s="2" t="str">
        <f t="shared" si="79"/>
        <v xml:space="preserve"> Not Achieved</v>
      </c>
      <c r="T557" s="2" t="str">
        <f t="shared" si="80"/>
        <v>poor</v>
      </c>
      <c r="U557" s="2"/>
    </row>
    <row r="558" spans="1:21" x14ac:dyDescent="0.3">
      <c r="A558">
        <v>557</v>
      </c>
      <c r="B558" t="s">
        <v>886</v>
      </c>
      <c r="C558" t="str">
        <f t="shared" si="72"/>
        <v>EMP_557</v>
      </c>
      <c r="D558" t="s">
        <v>15</v>
      </c>
      <c r="E558" t="str">
        <f t="shared" si="73"/>
        <v>EMP_557Marketing</v>
      </c>
      <c r="F558" t="s">
        <v>24</v>
      </c>
      <c r="G558" t="s">
        <v>16</v>
      </c>
      <c r="H558">
        <v>44682</v>
      </c>
      <c r="I558">
        <v>3227</v>
      </c>
      <c r="J558">
        <v>0</v>
      </c>
      <c r="K558">
        <v>0</v>
      </c>
      <c r="L558" s="4" t="s">
        <v>887</v>
      </c>
      <c r="M558" s="4" t="str">
        <f t="shared" si="74"/>
        <v>7/26/2018</v>
      </c>
      <c r="N558" s="1">
        <f t="shared" ca="1" si="75"/>
        <v>46064</v>
      </c>
      <c r="O558" s="6" t="e">
        <f t="shared" ca="1" si="76"/>
        <v>#VALUE!</v>
      </c>
      <c r="P558">
        <v>5</v>
      </c>
      <c r="Q558">
        <f t="shared" si="77"/>
        <v>47909</v>
      </c>
      <c r="R558" s="2">
        <f t="shared" si="78"/>
        <v>23954.5</v>
      </c>
      <c r="S558" s="2" t="str">
        <f t="shared" si="79"/>
        <v xml:space="preserve"> Not Achieved</v>
      </c>
      <c r="T558" s="2" t="str">
        <f t="shared" si="80"/>
        <v>Good</v>
      </c>
      <c r="U558" s="2"/>
    </row>
    <row r="559" spans="1:21" x14ac:dyDescent="0.3">
      <c r="A559">
        <v>558</v>
      </c>
      <c r="B559" t="s">
        <v>888</v>
      </c>
      <c r="C559" t="str">
        <f t="shared" si="72"/>
        <v>EMP_558</v>
      </c>
      <c r="D559" t="s">
        <v>11</v>
      </c>
      <c r="E559" t="str">
        <f t="shared" si="73"/>
        <v>EMP_558Marketing</v>
      </c>
      <c r="F559" t="s">
        <v>24</v>
      </c>
      <c r="G559" t="s">
        <v>19</v>
      </c>
      <c r="H559">
        <v>30854</v>
      </c>
      <c r="I559">
        <v>2046</v>
      </c>
      <c r="J559">
        <v>0</v>
      </c>
      <c r="K559">
        <v>0</v>
      </c>
      <c r="L559" s="4">
        <v>44379</v>
      </c>
      <c r="M559" s="4" t="str">
        <f t="shared" si="74"/>
        <v>2021</v>
      </c>
      <c r="N559" s="1">
        <f t="shared" ca="1" si="75"/>
        <v>46064</v>
      </c>
      <c r="O559" s="6">
        <f t="shared" ca="1" si="76"/>
        <v>4</v>
      </c>
      <c r="P559">
        <v>5</v>
      </c>
      <c r="Q559">
        <f t="shared" si="77"/>
        <v>32900</v>
      </c>
      <c r="R559" s="2">
        <f t="shared" si="78"/>
        <v>16450</v>
      </c>
      <c r="S559" s="2" t="str">
        <f t="shared" si="79"/>
        <v xml:space="preserve"> Not Achieved</v>
      </c>
      <c r="T559" s="2" t="str">
        <f t="shared" si="80"/>
        <v>Average</v>
      </c>
      <c r="U559" s="2"/>
    </row>
    <row r="560" spans="1:21" x14ac:dyDescent="0.3">
      <c r="A560">
        <v>559</v>
      </c>
      <c r="B560" t="s">
        <v>889</v>
      </c>
      <c r="C560" t="str">
        <f t="shared" si="72"/>
        <v>EMP_559</v>
      </c>
      <c r="D560" t="s">
        <v>15</v>
      </c>
      <c r="E560" t="str">
        <f t="shared" si="73"/>
        <v>EMP_559Marketing</v>
      </c>
      <c r="F560" t="s">
        <v>24</v>
      </c>
      <c r="G560" t="s">
        <v>16</v>
      </c>
      <c r="H560">
        <v>44617</v>
      </c>
      <c r="I560">
        <v>6108</v>
      </c>
      <c r="J560">
        <v>0</v>
      </c>
      <c r="K560">
        <v>0</v>
      </c>
      <c r="L560" s="4">
        <v>44017</v>
      </c>
      <c r="M560" s="4" t="str">
        <f t="shared" si="74"/>
        <v>2020</v>
      </c>
      <c r="N560" s="1">
        <f t="shared" ca="1" si="75"/>
        <v>46064</v>
      </c>
      <c r="O560" s="6">
        <f t="shared" ca="1" si="76"/>
        <v>5</v>
      </c>
      <c r="P560">
        <v>2</v>
      </c>
      <c r="Q560">
        <f t="shared" si="77"/>
        <v>50725</v>
      </c>
      <c r="R560" s="2">
        <f t="shared" si="78"/>
        <v>25362.5</v>
      </c>
      <c r="S560" s="2" t="str">
        <f t="shared" si="79"/>
        <v xml:space="preserve"> Not Achieved</v>
      </c>
      <c r="T560" s="2" t="str">
        <f t="shared" si="80"/>
        <v>Good</v>
      </c>
      <c r="U560" s="2"/>
    </row>
    <row r="561" spans="1:21" x14ac:dyDescent="0.3">
      <c r="A561">
        <v>560</v>
      </c>
      <c r="B561" t="s">
        <v>890</v>
      </c>
      <c r="C561" t="str">
        <f t="shared" si="72"/>
        <v>EMP_560</v>
      </c>
      <c r="D561" t="s">
        <v>11</v>
      </c>
      <c r="E561" t="str">
        <f t="shared" si="73"/>
        <v>EMP_560Marketing</v>
      </c>
      <c r="F561" t="s">
        <v>24</v>
      </c>
      <c r="G561" t="s">
        <v>22</v>
      </c>
      <c r="H561">
        <v>70441</v>
      </c>
      <c r="I561">
        <v>14499</v>
      </c>
      <c r="J561">
        <v>0</v>
      </c>
      <c r="K561">
        <v>0</v>
      </c>
      <c r="L561" s="4">
        <v>43474</v>
      </c>
      <c r="M561" s="4" t="str">
        <f t="shared" si="74"/>
        <v>2019</v>
      </c>
      <c r="N561" s="1">
        <f t="shared" ca="1" si="75"/>
        <v>46064</v>
      </c>
      <c r="O561" s="6">
        <f t="shared" ca="1" si="76"/>
        <v>7</v>
      </c>
      <c r="P561">
        <v>2</v>
      </c>
      <c r="Q561">
        <f t="shared" si="77"/>
        <v>84940</v>
      </c>
      <c r="R561" s="2">
        <f t="shared" si="78"/>
        <v>42470</v>
      </c>
      <c r="S561" s="2" t="str">
        <f t="shared" si="79"/>
        <v xml:space="preserve"> Not Achieved</v>
      </c>
      <c r="T561" s="2" t="str">
        <f t="shared" si="80"/>
        <v xml:space="preserve"> Excellent</v>
      </c>
      <c r="U561" s="2"/>
    </row>
    <row r="562" spans="1:21" x14ac:dyDescent="0.3">
      <c r="A562">
        <v>561</v>
      </c>
      <c r="B562" t="s">
        <v>891</v>
      </c>
      <c r="C562" t="str">
        <f t="shared" si="72"/>
        <v>EMP_561</v>
      </c>
      <c r="D562" t="s">
        <v>11</v>
      </c>
      <c r="E562" t="str">
        <f t="shared" si="73"/>
        <v>EMP_561IT</v>
      </c>
      <c r="F562" t="s">
        <v>21</v>
      </c>
      <c r="G562" t="s">
        <v>13</v>
      </c>
      <c r="H562">
        <v>20032</v>
      </c>
      <c r="I562">
        <v>2129</v>
      </c>
      <c r="J562">
        <v>0</v>
      </c>
      <c r="K562">
        <v>0</v>
      </c>
      <c r="L562" s="4">
        <v>44239</v>
      </c>
      <c r="M562" s="4" t="str">
        <f t="shared" si="74"/>
        <v>2021</v>
      </c>
      <c r="N562" s="1">
        <f t="shared" ca="1" si="75"/>
        <v>46064</v>
      </c>
      <c r="O562" s="6">
        <f t="shared" ca="1" si="76"/>
        <v>4</v>
      </c>
      <c r="P562">
        <v>3</v>
      </c>
      <c r="Q562">
        <f t="shared" si="77"/>
        <v>22161</v>
      </c>
      <c r="R562" s="2">
        <f t="shared" si="78"/>
        <v>11080.5</v>
      </c>
      <c r="S562" s="2" t="str">
        <f t="shared" si="79"/>
        <v xml:space="preserve"> Not Achieved</v>
      </c>
      <c r="T562" s="2" t="str">
        <f t="shared" si="80"/>
        <v>poor</v>
      </c>
      <c r="U562" s="2"/>
    </row>
    <row r="563" spans="1:21" x14ac:dyDescent="0.3">
      <c r="A563">
        <v>562</v>
      </c>
      <c r="B563" t="s">
        <v>892</v>
      </c>
      <c r="C563" t="str">
        <f t="shared" si="72"/>
        <v>EMP_562</v>
      </c>
      <c r="D563" t="s">
        <v>11</v>
      </c>
      <c r="E563" t="str">
        <f t="shared" si="73"/>
        <v>EMP_562HR</v>
      </c>
      <c r="F563" t="s">
        <v>12</v>
      </c>
      <c r="G563" t="s">
        <v>16</v>
      </c>
      <c r="H563">
        <v>29308</v>
      </c>
      <c r="I563">
        <v>9617</v>
      </c>
      <c r="J563">
        <v>0</v>
      </c>
      <c r="K563">
        <v>0</v>
      </c>
      <c r="L563" s="4">
        <v>45601</v>
      </c>
      <c r="M563" s="4" t="str">
        <f t="shared" si="74"/>
        <v>2024</v>
      </c>
      <c r="N563" s="1">
        <f t="shared" ca="1" si="75"/>
        <v>46064</v>
      </c>
      <c r="O563" s="6">
        <f t="shared" ca="1" si="76"/>
        <v>1</v>
      </c>
      <c r="P563">
        <v>5</v>
      </c>
      <c r="Q563">
        <f t="shared" si="77"/>
        <v>38925</v>
      </c>
      <c r="R563" s="2">
        <f t="shared" si="78"/>
        <v>19462.5</v>
      </c>
      <c r="S563" s="2" t="str">
        <f t="shared" si="79"/>
        <v xml:space="preserve"> Not Achieved</v>
      </c>
      <c r="T563" s="2" t="str">
        <f t="shared" si="80"/>
        <v>poor</v>
      </c>
      <c r="U563" s="2"/>
    </row>
    <row r="564" spans="1:21" x14ac:dyDescent="0.3">
      <c r="A564">
        <v>563</v>
      </c>
      <c r="B564" t="s">
        <v>893</v>
      </c>
      <c r="C564" t="str">
        <f t="shared" si="72"/>
        <v>EMP_563</v>
      </c>
      <c r="D564" t="s">
        <v>15</v>
      </c>
      <c r="E564" t="str">
        <f t="shared" si="73"/>
        <v>EMP_563HR</v>
      </c>
      <c r="F564" t="s">
        <v>12</v>
      </c>
      <c r="G564" t="s">
        <v>16</v>
      </c>
      <c r="H564">
        <v>60585</v>
      </c>
      <c r="I564">
        <v>9484</v>
      </c>
      <c r="J564">
        <v>0</v>
      </c>
      <c r="K564">
        <v>0</v>
      </c>
      <c r="L564" s="4" t="s">
        <v>894</v>
      </c>
      <c r="M564" s="4" t="str">
        <f t="shared" si="74"/>
        <v>8/26/2018</v>
      </c>
      <c r="N564" s="1">
        <f t="shared" ca="1" si="75"/>
        <v>46064</v>
      </c>
      <c r="O564" s="6" t="e">
        <f t="shared" ca="1" si="76"/>
        <v>#VALUE!</v>
      </c>
      <c r="P564">
        <v>4</v>
      </c>
      <c r="Q564">
        <f t="shared" si="77"/>
        <v>70069</v>
      </c>
      <c r="R564" s="2">
        <f t="shared" si="78"/>
        <v>35034.5</v>
      </c>
      <c r="S564" s="2" t="str">
        <f t="shared" si="79"/>
        <v xml:space="preserve"> Not Achieved</v>
      </c>
      <c r="T564" s="2" t="str">
        <f t="shared" si="80"/>
        <v xml:space="preserve"> Excellent</v>
      </c>
      <c r="U564" s="2"/>
    </row>
    <row r="565" spans="1:21" x14ac:dyDescent="0.3">
      <c r="A565">
        <v>564</v>
      </c>
      <c r="B565" t="s">
        <v>895</v>
      </c>
      <c r="C565" t="str">
        <f t="shared" si="72"/>
        <v>EMP_564</v>
      </c>
      <c r="D565" t="s">
        <v>15</v>
      </c>
      <c r="E565" t="str">
        <f t="shared" si="73"/>
        <v>EMP_564HR</v>
      </c>
      <c r="F565" t="s">
        <v>12</v>
      </c>
      <c r="G565" t="s">
        <v>25</v>
      </c>
      <c r="H565">
        <v>46744</v>
      </c>
      <c r="I565">
        <v>4740</v>
      </c>
      <c r="J565">
        <v>0</v>
      </c>
      <c r="K565">
        <v>0</v>
      </c>
      <c r="L565" s="4">
        <v>43710</v>
      </c>
      <c r="M565" s="4" t="str">
        <f t="shared" si="74"/>
        <v>2019</v>
      </c>
      <c r="N565" s="1">
        <f t="shared" ca="1" si="75"/>
        <v>46064</v>
      </c>
      <c r="O565" s="6">
        <f t="shared" ca="1" si="76"/>
        <v>6</v>
      </c>
      <c r="P565">
        <v>3</v>
      </c>
      <c r="Q565">
        <f t="shared" si="77"/>
        <v>51484</v>
      </c>
      <c r="R565" s="2">
        <f t="shared" si="78"/>
        <v>25742</v>
      </c>
      <c r="S565" s="2" t="str">
        <f t="shared" si="79"/>
        <v xml:space="preserve"> Not Achieved</v>
      </c>
      <c r="T565" s="2" t="str">
        <f t="shared" si="80"/>
        <v>Good</v>
      </c>
      <c r="U565" s="2"/>
    </row>
    <row r="566" spans="1:21" x14ac:dyDescent="0.3">
      <c r="A566">
        <v>565</v>
      </c>
      <c r="B566" t="s">
        <v>896</v>
      </c>
      <c r="C566" t="str">
        <f t="shared" si="72"/>
        <v>EMP_565</v>
      </c>
      <c r="D566" t="s">
        <v>15</v>
      </c>
      <c r="E566" t="str">
        <f t="shared" si="73"/>
        <v>EMP_565Marketing</v>
      </c>
      <c r="F566" t="s">
        <v>24</v>
      </c>
      <c r="G566" t="s">
        <v>22</v>
      </c>
      <c r="H566">
        <v>39109</v>
      </c>
      <c r="I566">
        <v>11543</v>
      </c>
      <c r="J566">
        <v>0</v>
      </c>
      <c r="K566">
        <v>0</v>
      </c>
      <c r="L566" s="4">
        <v>44877</v>
      </c>
      <c r="M566" s="4" t="str">
        <f t="shared" si="74"/>
        <v>2022</v>
      </c>
      <c r="N566" s="1">
        <f t="shared" ca="1" si="75"/>
        <v>46064</v>
      </c>
      <c r="O566" s="6">
        <f t="shared" ca="1" si="76"/>
        <v>3</v>
      </c>
      <c r="P566">
        <v>5</v>
      </c>
      <c r="Q566">
        <f t="shared" si="77"/>
        <v>50652</v>
      </c>
      <c r="R566" s="2">
        <f t="shared" si="78"/>
        <v>25326</v>
      </c>
      <c r="S566" s="2" t="str">
        <f t="shared" si="79"/>
        <v xml:space="preserve"> Not Achieved</v>
      </c>
      <c r="T566" s="2" t="str">
        <f t="shared" si="80"/>
        <v>Average</v>
      </c>
      <c r="U566" s="2"/>
    </row>
    <row r="567" spans="1:21" x14ac:dyDescent="0.3">
      <c r="A567">
        <v>566</v>
      </c>
      <c r="B567" t="s">
        <v>897</v>
      </c>
      <c r="C567" t="str">
        <f t="shared" si="72"/>
        <v>EMP_566</v>
      </c>
      <c r="D567" t="s">
        <v>15</v>
      </c>
      <c r="E567" t="str">
        <f t="shared" si="73"/>
        <v>EMP_566Sales</v>
      </c>
      <c r="F567" t="s">
        <v>7</v>
      </c>
      <c r="G567" t="s">
        <v>16</v>
      </c>
      <c r="H567">
        <v>74104</v>
      </c>
      <c r="I567">
        <v>14535</v>
      </c>
      <c r="J567">
        <v>240099</v>
      </c>
      <c r="K567">
        <v>120250</v>
      </c>
      <c r="L567" s="4">
        <v>44229</v>
      </c>
      <c r="M567" s="4" t="str">
        <f t="shared" si="74"/>
        <v>2021</v>
      </c>
      <c r="N567" s="1">
        <f t="shared" ca="1" si="75"/>
        <v>46064</v>
      </c>
      <c r="O567" s="6">
        <f t="shared" ca="1" si="76"/>
        <v>5</v>
      </c>
      <c r="P567">
        <v>4</v>
      </c>
      <c r="Q567">
        <f t="shared" si="77"/>
        <v>88639</v>
      </c>
      <c r="R567" s="2">
        <f t="shared" si="78"/>
        <v>44319.5</v>
      </c>
      <c r="S567" s="2" t="str">
        <f t="shared" si="79"/>
        <v>Achieved</v>
      </c>
      <c r="T567" s="2" t="str">
        <f t="shared" si="80"/>
        <v xml:space="preserve"> Excellent</v>
      </c>
      <c r="U567" s="2"/>
    </row>
    <row r="568" spans="1:21" x14ac:dyDescent="0.3">
      <c r="A568">
        <v>567</v>
      </c>
      <c r="B568" t="s">
        <v>898</v>
      </c>
      <c r="C568" t="str">
        <f t="shared" si="72"/>
        <v>EMP_567</v>
      </c>
      <c r="D568" t="s">
        <v>15</v>
      </c>
      <c r="E568" t="str">
        <f t="shared" si="73"/>
        <v>EMP_567Marketing</v>
      </c>
      <c r="F568" t="s">
        <v>24</v>
      </c>
      <c r="G568" t="s">
        <v>25</v>
      </c>
      <c r="H568">
        <v>24207</v>
      </c>
      <c r="I568">
        <v>5072</v>
      </c>
      <c r="J568">
        <v>0</v>
      </c>
      <c r="K568">
        <v>0</v>
      </c>
      <c r="L568" s="4" t="s">
        <v>899</v>
      </c>
      <c r="M568" s="4" t="str">
        <f t="shared" si="74"/>
        <v>11/14/2019</v>
      </c>
      <c r="N568" s="1">
        <f t="shared" ca="1" si="75"/>
        <v>46064</v>
      </c>
      <c r="O568" s="6" t="e">
        <f t="shared" ca="1" si="76"/>
        <v>#VALUE!</v>
      </c>
      <c r="P568">
        <v>5</v>
      </c>
      <c r="Q568">
        <f t="shared" si="77"/>
        <v>29279</v>
      </c>
      <c r="R568" s="2">
        <f t="shared" si="78"/>
        <v>14639.5</v>
      </c>
      <c r="S568" s="2" t="str">
        <f t="shared" si="79"/>
        <v xml:space="preserve"> Not Achieved</v>
      </c>
      <c r="T568" s="2" t="str">
        <f t="shared" si="80"/>
        <v>poor</v>
      </c>
      <c r="U568" s="2"/>
    </row>
    <row r="569" spans="1:21" x14ac:dyDescent="0.3">
      <c r="A569">
        <v>568</v>
      </c>
      <c r="B569" t="s">
        <v>900</v>
      </c>
      <c r="C569" t="str">
        <f t="shared" si="72"/>
        <v>EMP_568</v>
      </c>
      <c r="D569" t="s">
        <v>15</v>
      </c>
      <c r="E569" t="str">
        <f t="shared" si="73"/>
        <v>EMP_568HR</v>
      </c>
      <c r="F569" t="s">
        <v>12</v>
      </c>
      <c r="G569" t="s">
        <v>22</v>
      </c>
      <c r="H569">
        <v>36385</v>
      </c>
      <c r="I569">
        <v>14472</v>
      </c>
      <c r="J569">
        <v>0</v>
      </c>
      <c r="K569">
        <v>0</v>
      </c>
      <c r="L569" s="4">
        <v>43563</v>
      </c>
      <c r="M569" s="4" t="str">
        <f t="shared" si="74"/>
        <v>2019</v>
      </c>
      <c r="N569" s="1">
        <f t="shared" ca="1" si="75"/>
        <v>46064</v>
      </c>
      <c r="O569" s="6">
        <f t="shared" ca="1" si="76"/>
        <v>6</v>
      </c>
      <c r="P569">
        <v>3</v>
      </c>
      <c r="Q569">
        <f t="shared" si="77"/>
        <v>50857</v>
      </c>
      <c r="R569" s="2">
        <f t="shared" si="78"/>
        <v>25428.5</v>
      </c>
      <c r="S569" s="2" t="str">
        <f t="shared" si="79"/>
        <v xml:space="preserve"> Not Achieved</v>
      </c>
      <c r="T569" s="2" t="str">
        <f t="shared" si="80"/>
        <v>Average</v>
      </c>
      <c r="U569" s="2"/>
    </row>
    <row r="570" spans="1:21" x14ac:dyDescent="0.3">
      <c r="A570">
        <v>569</v>
      </c>
      <c r="B570" t="s">
        <v>901</v>
      </c>
      <c r="C570" t="str">
        <f t="shared" si="72"/>
        <v>EMP_569</v>
      </c>
      <c r="D570" t="s">
        <v>11</v>
      </c>
      <c r="E570" t="str">
        <f t="shared" si="73"/>
        <v>EMP_569IT</v>
      </c>
      <c r="F570" t="s">
        <v>21</v>
      </c>
      <c r="G570" t="s">
        <v>25</v>
      </c>
      <c r="H570">
        <v>77927</v>
      </c>
      <c r="I570">
        <v>14412</v>
      </c>
      <c r="J570">
        <v>0</v>
      </c>
      <c r="K570">
        <v>0</v>
      </c>
      <c r="L570" s="4" t="s">
        <v>902</v>
      </c>
      <c r="M570" s="4" t="str">
        <f t="shared" si="74"/>
        <v>2/24/2024</v>
      </c>
      <c r="N570" s="1">
        <f t="shared" ca="1" si="75"/>
        <v>46064</v>
      </c>
      <c r="O570" s="6" t="e">
        <f t="shared" ca="1" si="76"/>
        <v>#VALUE!</v>
      </c>
      <c r="P570">
        <v>4</v>
      </c>
      <c r="Q570">
        <f t="shared" si="77"/>
        <v>92339</v>
      </c>
      <c r="R570" s="2">
        <f t="shared" si="78"/>
        <v>46169.5</v>
      </c>
      <c r="S570" s="2" t="str">
        <f t="shared" si="79"/>
        <v xml:space="preserve"> Not Achieved</v>
      </c>
      <c r="T570" s="2" t="str">
        <f t="shared" si="80"/>
        <v xml:space="preserve"> Excellent</v>
      </c>
      <c r="U570" s="2"/>
    </row>
    <row r="571" spans="1:21" x14ac:dyDescent="0.3">
      <c r="A571">
        <v>570</v>
      </c>
      <c r="B571" t="s">
        <v>903</v>
      </c>
      <c r="C571" t="str">
        <f t="shared" si="72"/>
        <v>EMP_570</v>
      </c>
      <c r="D571" t="s">
        <v>15</v>
      </c>
      <c r="E571" t="str">
        <f t="shared" si="73"/>
        <v>EMP_570Sales</v>
      </c>
      <c r="F571" t="s">
        <v>7</v>
      </c>
      <c r="G571" t="s">
        <v>22</v>
      </c>
      <c r="H571">
        <v>73996</v>
      </c>
      <c r="I571">
        <v>8505</v>
      </c>
      <c r="J571">
        <v>162380</v>
      </c>
      <c r="K571">
        <v>104734</v>
      </c>
      <c r="L571" s="4" t="s">
        <v>904</v>
      </c>
      <c r="M571" s="4" t="str">
        <f t="shared" si="74"/>
        <v>6/24/2020</v>
      </c>
      <c r="N571" s="1">
        <f t="shared" ca="1" si="75"/>
        <v>46064</v>
      </c>
      <c r="O571" s="6" t="e">
        <f t="shared" ca="1" si="76"/>
        <v>#VALUE!</v>
      </c>
      <c r="P571">
        <v>3</v>
      </c>
      <c r="Q571">
        <f t="shared" si="77"/>
        <v>82501</v>
      </c>
      <c r="R571" s="2">
        <f t="shared" si="78"/>
        <v>41250.5</v>
      </c>
      <c r="S571" s="2" t="str">
        <f t="shared" si="79"/>
        <v>Achieved</v>
      </c>
      <c r="T571" s="2" t="str">
        <f t="shared" si="80"/>
        <v xml:space="preserve"> Excellent</v>
      </c>
      <c r="U571" s="2"/>
    </row>
    <row r="572" spans="1:21" x14ac:dyDescent="0.3">
      <c r="A572">
        <v>571</v>
      </c>
      <c r="B572" t="s">
        <v>905</v>
      </c>
      <c r="C572" t="str">
        <f t="shared" si="72"/>
        <v>EMP_571</v>
      </c>
      <c r="D572" t="s">
        <v>11</v>
      </c>
      <c r="E572" t="str">
        <f t="shared" si="73"/>
        <v>EMP_571IT</v>
      </c>
      <c r="F572" t="s">
        <v>21</v>
      </c>
      <c r="G572" t="s">
        <v>25</v>
      </c>
      <c r="H572">
        <v>47866</v>
      </c>
      <c r="I572">
        <v>9167</v>
      </c>
      <c r="J572">
        <v>0</v>
      </c>
      <c r="K572">
        <v>0</v>
      </c>
      <c r="L572" s="4" t="s">
        <v>849</v>
      </c>
      <c r="M572" s="4" t="str">
        <f t="shared" si="74"/>
        <v>12/17/2020</v>
      </c>
      <c r="N572" s="1">
        <f t="shared" ca="1" si="75"/>
        <v>46064</v>
      </c>
      <c r="O572" s="6" t="e">
        <f t="shared" ca="1" si="76"/>
        <v>#VALUE!</v>
      </c>
      <c r="P572">
        <v>1</v>
      </c>
      <c r="Q572">
        <f t="shared" si="77"/>
        <v>57033</v>
      </c>
      <c r="R572" s="2">
        <f t="shared" si="78"/>
        <v>28516.5</v>
      </c>
      <c r="S572" s="2" t="str">
        <f t="shared" si="79"/>
        <v xml:space="preserve"> Not Achieved</v>
      </c>
      <c r="T572" s="2" t="str">
        <f t="shared" si="80"/>
        <v>Good</v>
      </c>
      <c r="U572" s="2"/>
    </row>
    <row r="573" spans="1:21" x14ac:dyDescent="0.3">
      <c r="A573">
        <v>572</v>
      </c>
      <c r="B573" t="s">
        <v>906</v>
      </c>
      <c r="C573" t="str">
        <f t="shared" si="72"/>
        <v>EMP_572</v>
      </c>
      <c r="D573" t="s">
        <v>11</v>
      </c>
      <c r="E573" t="str">
        <f t="shared" si="73"/>
        <v>EMP_572Sales</v>
      </c>
      <c r="F573" t="s">
        <v>7</v>
      </c>
      <c r="G573" t="s">
        <v>16</v>
      </c>
      <c r="H573">
        <v>68340</v>
      </c>
      <c r="I573">
        <v>2067</v>
      </c>
      <c r="J573">
        <v>72761</v>
      </c>
      <c r="K573">
        <v>241904</v>
      </c>
      <c r="L573" s="4" t="s">
        <v>907</v>
      </c>
      <c r="M573" s="4" t="str">
        <f t="shared" si="74"/>
        <v>12/21/2022</v>
      </c>
      <c r="N573" s="1">
        <f t="shared" ca="1" si="75"/>
        <v>46064</v>
      </c>
      <c r="O573" s="6" t="e">
        <f t="shared" ca="1" si="76"/>
        <v>#VALUE!</v>
      </c>
      <c r="P573">
        <v>4</v>
      </c>
      <c r="Q573">
        <f t="shared" si="77"/>
        <v>70407</v>
      </c>
      <c r="R573" s="2">
        <f t="shared" si="78"/>
        <v>35203.5</v>
      </c>
      <c r="S573" s="2" t="str">
        <f t="shared" si="79"/>
        <v xml:space="preserve"> Not Achieved</v>
      </c>
      <c r="T573" s="2" t="str">
        <f t="shared" si="80"/>
        <v xml:space="preserve"> Excellent</v>
      </c>
      <c r="U573" s="2"/>
    </row>
    <row r="574" spans="1:21" x14ac:dyDescent="0.3">
      <c r="A574">
        <v>573</v>
      </c>
      <c r="B574" t="s">
        <v>908</v>
      </c>
      <c r="C574" t="str">
        <f t="shared" si="72"/>
        <v>EMP_573</v>
      </c>
      <c r="D574" t="s">
        <v>15</v>
      </c>
      <c r="E574" t="str">
        <f t="shared" si="73"/>
        <v>EMP_573Sales</v>
      </c>
      <c r="F574" t="s">
        <v>7</v>
      </c>
      <c r="G574" t="s">
        <v>22</v>
      </c>
      <c r="H574">
        <v>49752</v>
      </c>
      <c r="I574">
        <v>3710</v>
      </c>
      <c r="J574">
        <v>288639</v>
      </c>
      <c r="K574">
        <v>180408</v>
      </c>
      <c r="L574" s="4" t="s">
        <v>219</v>
      </c>
      <c r="M574" s="4" t="str">
        <f t="shared" si="74"/>
        <v>4/27/2022</v>
      </c>
      <c r="N574" s="1">
        <f t="shared" ca="1" si="75"/>
        <v>46064</v>
      </c>
      <c r="O574" s="6" t="e">
        <f t="shared" ca="1" si="76"/>
        <v>#VALUE!</v>
      </c>
      <c r="P574">
        <v>3</v>
      </c>
      <c r="Q574">
        <f t="shared" si="77"/>
        <v>53462</v>
      </c>
      <c r="R574" s="2">
        <f t="shared" si="78"/>
        <v>26731</v>
      </c>
      <c r="S574" s="2" t="str">
        <f t="shared" si="79"/>
        <v>Achieved</v>
      </c>
      <c r="T574" s="2" t="str">
        <f t="shared" si="80"/>
        <v>Good</v>
      </c>
      <c r="U574" s="2"/>
    </row>
    <row r="575" spans="1:21" x14ac:dyDescent="0.3">
      <c r="A575">
        <v>574</v>
      </c>
      <c r="B575" t="s">
        <v>909</v>
      </c>
      <c r="C575" t="str">
        <f t="shared" si="72"/>
        <v>EMP_574</v>
      </c>
      <c r="D575" t="s">
        <v>11</v>
      </c>
      <c r="E575" t="str">
        <f t="shared" si="73"/>
        <v>EMP_574IT</v>
      </c>
      <c r="F575" t="s">
        <v>21</v>
      </c>
      <c r="G575" t="s">
        <v>16</v>
      </c>
      <c r="H575">
        <v>59696</v>
      </c>
      <c r="I575">
        <v>10102</v>
      </c>
      <c r="J575">
        <v>0</v>
      </c>
      <c r="K575">
        <v>0</v>
      </c>
      <c r="L575" s="4" t="s">
        <v>910</v>
      </c>
      <c r="M575" s="4" t="str">
        <f t="shared" si="74"/>
        <v>3/16/2020</v>
      </c>
      <c r="N575" s="1">
        <f t="shared" ca="1" si="75"/>
        <v>46064</v>
      </c>
      <c r="O575" s="6" t="e">
        <f t="shared" ca="1" si="76"/>
        <v>#VALUE!</v>
      </c>
      <c r="P575">
        <v>1</v>
      </c>
      <c r="Q575">
        <f t="shared" si="77"/>
        <v>69798</v>
      </c>
      <c r="R575" s="2">
        <f t="shared" si="78"/>
        <v>34899</v>
      </c>
      <c r="S575" s="2" t="str">
        <f t="shared" si="79"/>
        <v xml:space="preserve"> Not Achieved</v>
      </c>
      <c r="T575" s="2" t="str">
        <f t="shared" si="80"/>
        <v xml:space="preserve"> Excellent</v>
      </c>
      <c r="U575" s="2"/>
    </row>
    <row r="576" spans="1:21" x14ac:dyDescent="0.3">
      <c r="A576">
        <v>575</v>
      </c>
      <c r="B576" t="s">
        <v>911</v>
      </c>
      <c r="C576" t="str">
        <f t="shared" si="72"/>
        <v>EMP_575</v>
      </c>
      <c r="D576" t="s">
        <v>11</v>
      </c>
      <c r="E576" t="str">
        <f t="shared" si="73"/>
        <v>EMP_575Marketing</v>
      </c>
      <c r="F576" t="s">
        <v>24</v>
      </c>
      <c r="G576" t="s">
        <v>13</v>
      </c>
      <c r="H576">
        <v>53064</v>
      </c>
      <c r="I576">
        <v>9802</v>
      </c>
      <c r="J576">
        <v>0</v>
      </c>
      <c r="K576">
        <v>0</v>
      </c>
      <c r="L576" s="4" t="s">
        <v>912</v>
      </c>
      <c r="M576" s="4" t="str">
        <f t="shared" si="74"/>
        <v>7/21/2018</v>
      </c>
      <c r="N576" s="1">
        <f t="shared" ca="1" si="75"/>
        <v>46064</v>
      </c>
      <c r="O576" s="6" t="e">
        <f t="shared" ca="1" si="76"/>
        <v>#VALUE!</v>
      </c>
      <c r="P576">
        <v>3</v>
      </c>
      <c r="Q576">
        <f t="shared" si="77"/>
        <v>62866</v>
      </c>
      <c r="R576" s="2">
        <f t="shared" si="78"/>
        <v>31433</v>
      </c>
      <c r="S576" s="2" t="str">
        <f t="shared" si="79"/>
        <v xml:space="preserve"> Not Achieved</v>
      </c>
      <c r="T576" s="2" t="str">
        <f t="shared" si="80"/>
        <v xml:space="preserve"> Excellent</v>
      </c>
      <c r="U576" s="2"/>
    </row>
    <row r="577" spans="1:21" x14ac:dyDescent="0.3">
      <c r="A577">
        <v>576</v>
      </c>
      <c r="B577" t="s">
        <v>913</v>
      </c>
      <c r="C577" t="str">
        <f t="shared" si="72"/>
        <v>EMP_576</v>
      </c>
      <c r="D577" t="s">
        <v>11</v>
      </c>
      <c r="E577" t="str">
        <f t="shared" si="73"/>
        <v>EMP_576HR</v>
      </c>
      <c r="F577" t="s">
        <v>12</v>
      </c>
      <c r="G577" t="s">
        <v>16</v>
      </c>
      <c r="H577">
        <v>46193</v>
      </c>
      <c r="I577">
        <v>4038</v>
      </c>
      <c r="J577">
        <v>0</v>
      </c>
      <c r="K577">
        <v>0</v>
      </c>
      <c r="L577" s="4" t="s">
        <v>914</v>
      </c>
      <c r="M577" s="4" t="str">
        <f t="shared" si="74"/>
        <v>10/13/2022</v>
      </c>
      <c r="N577" s="1">
        <f t="shared" ca="1" si="75"/>
        <v>46064</v>
      </c>
      <c r="O577" s="6" t="e">
        <f t="shared" ca="1" si="76"/>
        <v>#VALUE!</v>
      </c>
      <c r="P577">
        <v>3</v>
      </c>
      <c r="Q577">
        <f t="shared" si="77"/>
        <v>50231</v>
      </c>
      <c r="R577" s="2">
        <f t="shared" si="78"/>
        <v>25115.5</v>
      </c>
      <c r="S577" s="2" t="str">
        <f t="shared" si="79"/>
        <v xml:space="preserve"> Not Achieved</v>
      </c>
      <c r="T577" s="2" t="str">
        <f t="shared" si="80"/>
        <v>Good</v>
      </c>
      <c r="U577" s="2"/>
    </row>
    <row r="578" spans="1:21" x14ac:dyDescent="0.3">
      <c r="A578">
        <v>577</v>
      </c>
      <c r="B578" t="s">
        <v>915</v>
      </c>
      <c r="C578" t="str">
        <f t="shared" si="72"/>
        <v>EMP_577</v>
      </c>
      <c r="D578" t="s">
        <v>11</v>
      </c>
      <c r="E578" t="str">
        <f t="shared" si="73"/>
        <v>EMP_577Finance</v>
      </c>
      <c r="F578" t="s">
        <v>18</v>
      </c>
      <c r="G578" t="s">
        <v>13</v>
      </c>
      <c r="H578">
        <v>62941</v>
      </c>
      <c r="I578">
        <v>6664</v>
      </c>
      <c r="J578">
        <v>0</v>
      </c>
      <c r="K578">
        <v>0</v>
      </c>
      <c r="L578" s="4" t="s">
        <v>916</v>
      </c>
      <c r="M578" s="4" t="str">
        <f t="shared" si="74"/>
        <v>3/16/2018</v>
      </c>
      <c r="N578" s="1">
        <f t="shared" ca="1" si="75"/>
        <v>46064</v>
      </c>
      <c r="O578" s="6" t="e">
        <f t="shared" ca="1" si="76"/>
        <v>#VALUE!</v>
      </c>
      <c r="P578">
        <v>4</v>
      </c>
      <c r="Q578">
        <f t="shared" si="77"/>
        <v>69605</v>
      </c>
      <c r="R578" s="2">
        <f t="shared" si="78"/>
        <v>34802.5</v>
      </c>
      <c r="S578" s="2" t="str">
        <f t="shared" si="79"/>
        <v xml:space="preserve"> Not Achieved</v>
      </c>
      <c r="T578" s="2" t="str">
        <f t="shared" si="80"/>
        <v xml:space="preserve"> Excellent</v>
      </c>
      <c r="U578" s="2"/>
    </row>
    <row r="579" spans="1:21" x14ac:dyDescent="0.3">
      <c r="A579">
        <v>578</v>
      </c>
      <c r="B579" t="s">
        <v>917</v>
      </c>
      <c r="C579" t="str">
        <f t="shared" ref="C579:C642" si="81">UPPER(B579)</f>
        <v>EMP_578</v>
      </c>
      <c r="D579" t="s">
        <v>11</v>
      </c>
      <c r="E579" t="str">
        <f t="shared" ref="E579:E642" si="82">_xlfn.CONCAT(C579,F579)</f>
        <v>EMP_578HR</v>
      </c>
      <c r="F579" t="s">
        <v>12</v>
      </c>
      <c r="G579" t="s">
        <v>19</v>
      </c>
      <c r="H579">
        <v>44726</v>
      </c>
      <c r="I579">
        <v>13195</v>
      </c>
      <c r="J579">
        <v>0</v>
      </c>
      <c r="K579">
        <v>0</v>
      </c>
      <c r="L579" s="4" t="s">
        <v>918</v>
      </c>
      <c r="M579" s="4" t="str">
        <f t="shared" ref="M579:M642" si="83">TEXT(L579,"yyyy")</f>
        <v>8/16/2020</v>
      </c>
      <c r="N579" s="1">
        <f t="shared" ref="N579:N642" ca="1" si="84">TODAY()</f>
        <v>46064</v>
      </c>
      <c r="O579" s="6" t="e">
        <f t="shared" ref="O579:O642" ca="1" si="85">DATEDIF(L579, TODAY(), "y")</f>
        <v>#VALUE!</v>
      </c>
      <c r="P579">
        <v>2</v>
      </c>
      <c r="Q579">
        <f t="shared" ref="Q579:Q642" si="86">SUM(H579,I579)</f>
        <v>57921</v>
      </c>
      <c r="R579" s="2">
        <f t="shared" ref="R579:R642" si="87">AVERAGE(H579,I579)</f>
        <v>28960.5</v>
      </c>
      <c r="S579" s="2" t="str">
        <f t="shared" ref="S579:S642" si="88">IF(J579&gt;K579,"Achieved"," Not Achieved")</f>
        <v xml:space="preserve"> Not Achieved</v>
      </c>
      <c r="T579" s="2" t="str">
        <f t="shared" ref="T579:T642" si="89">_xlfn.IFS(H579&gt;=50000," Excellent",H579&gt;=40000,"Good",H579&gt;=30000,"Average",H579&lt;30000,"poor")</f>
        <v>Good</v>
      </c>
      <c r="U579" s="2"/>
    </row>
    <row r="580" spans="1:21" x14ac:dyDescent="0.3">
      <c r="A580">
        <v>579</v>
      </c>
      <c r="B580" t="s">
        <v>919</v>
      </c>
      <c r="C580" t="str">
        <f t="shared" si="81"/>
        <v>EMP_579</v>
      </c>
      <c r="D580" t="s">
        <v>15</v>
      </c>
      <c r="E580" t="str">
        <f t="shared" si="82"/>
        <v>EMP_579Sales</v>
      </c>
      <c r="F580" t="s">
        <v>7</v>
      </c>
      <c r="G580" t="s">
        <v>22</v>
      </c>
      <c r="H580">
        <v>24355</v>
      </c>
      <c r="I580">
        <v>6821</v>
      </c>
      <c r="J580">
        <v>140001</v>
      </c>
      <c r="K580">
        <v>177637</v>
      </c>
      <c r="L580" s="4" t="s">
        <v>920</v>
      </c>
      <c r="M580" s="4" t="str">
        <f t="shared" si="83"/>
        <v>9/25/2023</v>
      </c>
      <c r="N580" s="1">
        <f t="shared" ca="1" si="84"/>
        <v>46064</v>
      </c>
      <c r="O580" s="6" t="e">
        <f t="shared" ca="1" si="85"/>
        <v>#VALUE!</v>
      </c>
      <c r="P580">
        <v>3</v>
      </c>
      <c r="Q580">
        <f t="shared" si="86"/>
        <v>31176</v>
      </c>
      <c r="R580" s="2">
        <f t="shared" si="87"/>
        <v>15588</v>
      </c>
      <c r="S580" s="2" t="str">
        <f t="shared" si="88"/>
        <v xml:space="preserve"> Not Achieved</v>
      </c>
      <c r="T580" s="2" t="str">
        <f t="shared" si="89"/>
        <v>poor</v>
      </c>
      <c r="U580" s="2"/>
    </row>
    <row r="581" spans="1:21" x14ac:dyDescent="0.3">
      <c r="A581">
        <v>580</v>
      </c>
      <c r="B581" t="s">
        <v>921</v>
      </c>
      <c r="C581" t="str">
        <f t="shared" si="81"/>
        <v>EMP_580</v>
      </c>
      <c r="D581" t="s">
        <v>15</v>
      </c>
      <c r="E581" t="str">
        <f t="shared" si="82"/>
        <v>EMP_580Marketing</v>
      </c>
      <c r="F581" t="s">
        <v>24</v>
      </c>
      <c r="G581" t="s">
        <v>13</v>
      </c>
      <c r="H581">
        <v>74591</v>
      </c>
      <c r="I581">
        <v>9569</v>
      </c>
      <c r="J581">
        <v>0</v>
      </c>
      <c r="K581">
        <v>0</v>
      </c>
      <c r="L581" s="4">
        <v>44595</v>
      </c>
      <c r="M581" s="4" t="str">
        <f t="shared" si="83"/>
        <v>2022</v>
      </c>
      <c r="N581" s="1">
        <f t="shared" ca="1" si="84"/>
        <v>46064</v>
      </c>
      <c r="O581" s="6">
        <f t="shared" ca="1" si="85"/>
        <v>4</v>
      </c>
      <c r="P581">
        <v>1</v>
      </c>
      <c r="Q581">
        <f t="shared" si="86"/>
        <v>84160</v>
      </c>
      <c r="R581" s="2">
        <f t="shared" si="87"/>
        <v>42080</v>
      </c>
      <c r="S581" s="2" t="str">
        <f t="shared" si="88"/>
        <v xml:space="preserve"> Not Achieved</v>
      </c>
      <c r="T581" s="2" t="str">
        <f t="shared" si="89"/>
        <v xml:space="preserve"> Excellent</v>
      </c>
      <c r="U581" s="2"/>
    </row>
    <row r="582" spans="1:21" x14ac:dyDescent="0.3">
      <c r="A582">
        <v>581</v>
      </c>
      <c r="B582" t="s">
        <v>922</v>
      </c>
      <c r="C582" t="str">
        <f t="shared" si="81"/>
        <v>EMP_581</v>
      </c>
      <c r="D582" t="s">
        <v>11</v>
      </c>
      <c r="E582" t="str">
        <f t="shared" si="82"/>
        <v>EMP_581Finance</v>
      </c>
      <c r="F582" t="s">
        <v>18</v>
      </c>
      <c r="G582" t="s">
        <v>25</v>
      </c>
      <c r="H582">
        <v>48984</v>
      </c>
      <c r="I582">
        <v>13617</v>
      </c>
      <c r="J582">
        <v>0</v>
      </c>
      <c r="K582">
        <v>0</v>
      </c>
      <c r="L582" s="4" t="s">
        <v>923</v>
      </c>
      <c r="M582" s="4" t="str">
        <f t="shared" si="83"/>
        <v>7/26/2021</v>
      </c>
      <c r="N582" s="1">
        <f t="shared" ca="1" si="84"/>
        <v>46064</v>
      </c>
      <c r="O582" s="6" t="e">
        <f t="shared" ca="1" si="85"/>
        <v>#VALUE!</v>
      </c>
      <c r="P582">
        <v>5</v>
      </c>
      <c r="Q582">
        <f t="shared" si="86"/>
        <v>62601</v>
      </c>
      <c r="R582" s="2">
        <f t="shared" si="87"/>
        <v>31300.5</v>
      </c>
      <c r="S582" s="2" t="str">
        <f t="shared" si="88"/>
        <v xml:space="preserve"> Not Achieved</v>
      </c>
      <c r="T582" s="2" t="str">
        <f t="shared" si="89"/>
        <v>Good</v>
      </c>
      <c r="U582" s="2"/>
    </row>
    <row r="583" spans="1:21" x14ac:dyDescent="0.3">
      <c r="A583">
        <v>582</v>
      </c>
      <c r="B583" t="s">
        <v>924</v>
      </c>
      <c r="C583" t="str">
        <f t="shared" si="81"/>
        <v>EMP_582</v>
      </c>
      <c r="D583" t="s">
        <v>15</v>
      </c>
      <c r="E583" t="str">
        <f t="shared" si="82"/>
        <v>EMP_582Finance</v>
      </c>
      <c r="F583" t="s">
        <v>18</v>
      </c>
      <c r="G583" t="s">
        <v>22</v>
      </c>
      <c r="H583">
        <v>43708</v>
      </c>
      <c r="I583">
        <v>2477</v>
      </c>
      <c r="J583">
        <v>0</v>
      </c>
      <c r="K583">
        <v>0</v>
      </c>
      <c r="L583" s="4" t="s">
        <v>925</v>
      </c>
      <c r="M583" s="4" t="str">
        <f t="shared" si="83"/>
        <v>8/31/2020</v>
      </c>
      <c r="N583" s="1">
        <f t="shared" ca="1" si="84"/>
        <v>46064</v>
      </c>
      <c r="O583" s="6" t="e">
        <f t="shared" ca="1" si="85"/>
        <v>#VALUE!</v>
      </c>
      <c r="P583">
        <v>1</v>
      </c>
      <c r="Q583">
        <f t="shared" si="86"/>
        <v>46185</v>
      </c>
      <c r="R583" s="2">
        <f t="shared" si="87"/>
        <v>23092.5</v>
      </c>
      <c r="S583" s="2" t="str">
        <f t="shared" si="88"/>
        <v xml:space="preserve"> Not Achieved</v>
      </c>
      <c r="T583" s="2" t="str">
        <f t="shared" si="89"/>
        <v>Good</v>
      </c>
      <c r="U583" s="2"/>
    </row>
    <row r="584" spans="1:21" x14ac:dyDescent="0.3">
      <c r="A584">
        <v>583</v>
      </c>
      <c r="B584" t="s">
        <v>926</v>
      </c>
      <c r="C584" t="str">
        <f t="shared" si="81"/>
        <v>EMP_583</v>
      </c>
      <c r="D584" t="s">
        <v>15</v>
      </c>
      <c r="E584" t="str">
        <f t="shared" si="82"/>
        <v>EMP_583IT</v>
      </c>
      <c r="F584" t="s">
        <v>21</v>
      </c>
      <c r="G584" t="s">
        <v>25</v>
      </c>
      <c r="H584">
        <v>56308</v>
      </c>
      <c r="I584">
        <v>7007</v>
      </c>
      <c r="J584">
        <v>0</v>
      </c>
      <c r="K584">
        <v>0</v>
      </c>
      <c r="L584" s="4">
        <v>45324</v>
      </c>
      <c r="M584" s="4" t="str">
        <f t="shared" si="83"/>
        <v>2024</v>
      </c>
      <c r="N584" s="1">
        <f t="shared" ca="1" si="84"/>
        <v>46064</v>
      </c>
      <c r="O584" s="6">
        <f t="shared" ca="1" si="85"/>
        <v>2</v>
      </c>
      <c r="P584">
        <v>5</v>
      </c>
      <c r="Q584">
        <f t="shared" si="86"/>
        <v>63315</v>
      </c>
      <c r="R584" s="2">
        <f t="shared" si="87"/>
        <v>31657.5</v>
      </c>
      <c r="S584" s="2" t="str">
        <f t="shared" si="88"/>
        <v xml:space="preserve"> Not Achieved</v>
      </c>
      <c r="T584" s="2" t="str">
        <f t="shared" si="89"/>
        <v xml:space="preserve"> Excellent</v>
      </c>
      <c r="U584" s="2"/>
    </row>
    <row r="585" spans="1:21" x14ac:dyDescent="0.3">
      <c r="A585">
        <v>584</v>
      </c>
      <c r="B585" t="s">
        <v>927</v>
      </c>
      <c r="C585" t="str">
        <f t="shared" si="81"/>
        <v>EMP_584</v>
      </c>
      <c r="D585" t="s">
        <v>15</v>
      </c>
      <c r="E585" t="str">
        <f t="shared" si="82"/>
        <v>EMP_584Marketing</v>
      </c>
      <c r="F585" t="s">
        <v>24</v>
      </c>
      <c r="G585" t="s">
        <v>13</v>
      </c>
      <c r="H585">
        <v>21380</v>
      </c>
      <c r="I585">
        <v>8543</v>
      </c>
      <c r="J585">
        <v>0</v>
      </c>
      <c r="K585">
        <v>0</v>
      </c>
      <c r="L585" s="4">
        <v>43440</v>
      </c>
      <c r="M585" s="4" t="str">
        <f t="shared" si="83"/>
        <v>2018</v>
      </c>
      <c r="N585" s="1">
        <f t="shared" ca="1" si="84"/>
        <v>46064</v>
      </c>
      <c r="O585" s="6">
        <f t="shared" ca="1" si="85"/>
        <v>7</v>
      </c>
      <c r="P585">
        <v>5</v>
      </c>
      <c r="Q585">
        <f t="shared" si="86"/>
        <v>29923</v>
      </c>
      <c r="R585" s="2">
        <f t="shared" si="87"/>
        <v>14961.5</v>
      </c>
      <c r="S585" s="2" t="str">
        <f t="shared" si="88"/>
        <v xml:space="preserve"> Not Achieved</v>
      </c>
      <c r="T585" s="2" t="str">
        <f t="shared" si="89"/>
        <v>poor</v>
      </c>
      <c r="U585" s="2"/>
    </row>
    <row r="586" spans="1:21" x14ac:dyDescent="0.3">
      <c r="A586">
        <v>585</v>
      </c>
      <c r="B586" t="s">
        <v>928</v>
      </c>
      <c r="C586" t="str">
        <f t="shared" si="81"/>
        <v>EMP_585</v>
      </c>
      <c r="D586" t="s">
        <v>11</v>
      </c>
      <c r="E586" t="str">
        <f t="shared" si="82"/>
        <v>EMP_585HR</v>
      </c>
      <c r="F586" t="s">
        <v>12</v>
      </c>
      <c r="G586" t="s">
        <v>22</v>
      </c>
      <c r="H586">
        <v>73591</v>
      </c>
      <c r="I586">
        <v>14471</v>
      </c>
      <c r="J586">
        <v>0</v>
      </c>
      <c r="K586">
        <v>0</v>
      </c>
      <c r="L586" s="4">
        <v>45086</v>
      </c>
      <c r="M586" s="4" t="str">
        <f t="shared" si="83"/>
        <v>2023</v>
      </c>
      <c r="N586" s="1">
        <f t="shared" ca="1" si="84"/>
        <v>46064</v>
      </c>
      <c r="O586" s="6">
        <f t="shared" ca="1" si="85"/>
        <v>2</v>
      </c>
      <c r="P586">
        <v>2</v>
      </c>
      <c r="Q586">
        <f t="shared" si="86"/>
        <v>88062</v>
      </c>
      <c r="R586" s="2">
        <f t="shared" si="87"/>
        <v>44031</v>
      </c>
      <c r="S586" s="2" t="str">
        <f t="shared" si="88"/>
        <v xml:space="preserve"> Not Achieved</v>
      </c>
      <c r="T586" s="2" t="str">
        <f t="shared" si="89"/>
        <v xml:space="preserve"> Excellent</v>
      </c>
      <c r="U586" s="2"/>
    </row>
    <row r="587" spans="1:21" x14ac:dyDescent="0.3">
      <c r="A587">
        <v>586</v>
      </c>
      <c r="B587" t="s">
        <v>929</v>
      </c>
      <c r="C587" t="str">
        <f t="shared" si="81"/>
        <v>EMP_586</v>
      </c>
      <c r="D587" t="s">
        <v>15</v>
      </c>
      <c r="E587" t="str">
        <f t="shared" si="82"/>
        <v>EMP_586HR</v>
      </c>
      <c r="F587" t="s">
        <v>12</v>
      </c>
      <c r="G587" t="s">
        <v>25</v>
      </c>
      <c r="H587">
        <v>60926</v>
      </c>
      <c r="I587">
        <v>7701</v>
      </c>
      <c r="J587">
        <v>0</v>
      </c>
      <c r="K587">
        <v>0</v>
      </c>
      <c r="L587" s="4">
        <v>44207</v>
      </c>
      <c r="M587" s="4" t="str">
        <f t="shared" si="83"/>
        <v>2021</v>
      </c>
      <c r="N587" s="1">
        <f t="shared" ca="1" si="84"/>
        <v>46064</v>
      </c>
      <c r="O587" s="6">
        <f t="shared" ca="1" si="85"/>
        <v>5</v>
      </c>
      <c r="P587">
        <v>5</v>
      </c>
      <c r="Q587">
        <f t="shared" si="86"/>
        <v>68627</v>
      </c>
      <c r="R587" s="2">
        <f t="shared" si="87"/>
        <v>34313.5</v>
      </c>
      <c r="S587" s="2" t="str">
        <f t="shared" si="88"/>
        <v xml:space="preserve"> Not Achieved</v>
      </c>
      <c r="T587" s="2" t="str">
        <f t="shared" si="89"/>
        <v xml:space="preserve"> Excellent</v>
      </c>
      <c r="U587" s="2"/>
    </row>
    <row r="588" spans="1:21" x14ac:dyDescent="0.3">
      <c r="A588">
        <v>587</v>
      </c>
      <c r="B588" t="s">
        <v>930</v>
      </c>
      <c r="C588" t="str">
        <f t="shared" si="81"/>
        <v>EMP_587</v>
      </c>
      <c r="D588" t="s">
        <v>11</v>
      </c>
      <c r="E588" t="str">
        <f t="shared" si="82"/>
        <v>EMP_587Sales</v>
      </c>
      <c r="F588" t="s">
        <v>7</v>
      </c>
      <c r="G588" t="s">
        <v>25</v>
      </c>
      <c r="H588">
        <v>68611</v>
      </c>
      <c r="I588">
        <v>7676</v>
      </c>
      <c r="J588">
        <v>241647</v>
      </c>
      <c r="K588">
        <v>154786</v>
      </c>
      <c r="L588" s="4">
        <v>43498</v>
      </c>
      <c r="M588" s="4" t="str">
        <f t="shared" si="83"/>
        <v>2019</v>
      </c>
      <c r="N588" s="1">
        <f t="shared" ca="1" si="84"/>
        <v>46064</v>
      </c>
      <c r="O588" s="6">
        <f t="shared" ca="1" si="85"/>
        <v>7</v>
      </c>
      <c r="P588">
        <v>3</v>
      </c>
      <c r="Q588">
        <f t="shared" si="86"/>
        <v>76287</v>
      </c>
      <c r="R588" s="2">
        <f t="shared" si="87"/>
        <v>38143.5</v>
      </c>
      <c r="S588" s="2" t="str">
        <f t="shared" si="88"/>
        <v>Achieved</v>
      </c>
      <c r="T588" s="2" t="str">
        <f t="shared" si="89"/>
        <v xml:space="preserve"> Excellent</v>
      </c>
      <c r="U588" s="2"/>
    </row>
    <row r="589" spans="1:21" x14ac:dyDescent="0.3">
      <c r="A589">
        <v>588</v>
      </c>
      <c r="B589" t="s">
        <v>931</v>
      </c>
      <c r="C589" t="str">
        <f t="shared" si="81"/>
        <v>EMP_588</v>
      </c>
      <c r="D589" t="s">
        <v>11</v>
      </c>
      <c r="E589" t="str">
        <f t="shared" si="82"/>
        <v>EMP_588HR</v>
      </c>
      <c r="F589" t="s">
        <v>12</v>
      </c>
      <c r="G589" t="s">
        <v>19</v>
      </c>
      <c r="H589">
        <v>44645</v>
      </c>
      <c r="I589">
        <v>4523</v>
      </c>
      <c r="J589">
        <v>0</v>
      </c>
      <c r="K589">
        <v>0</v>
      </c>
      <c r="L589" s="4">
        <v>43132</v>
      </c>
      <c r="M589" s="4" t="str">
        <f t="shared" si="83"/>
        <v>2018</v>
      </c>
      <c r="N589" s="1">
        <f t="shared" ca="1" si="84"/>
        <v>46064</v>
      </c>
      <c r="O589" s="6">
        <f t="shared" ca="1" si="85"/>
        <v>8</v>
      </c>
      <c r="P589">
        <v>2</v>
      </c>
      <c r="Q589">
        <f t="shared" si="86"/>
        <v>49168</v>
      </c>
      <c r="R589" s="2">
        <f t="shared" si="87"/>
        <v>24584</v>
      </c>
      <c r="S589" s="2" t="str">
        <f t="shared" si="88"/>
        <v xml:space="preserve"> Not Achieved</v>
      </c>
      <c r="T589" s="2" t="str">
        <f t="shared" si="89"/>
        <v>Good</v>
      </c>
      <c r="U589" s="2"/>
    </row>
    <row r="590" spans="1:21" x14ac:dyDescent="0.3">
      <c r="A590">
        <v>589</v>
      </c>
      <c r="B590" t="s">
        <v>932</v>
      </c>
      <c r="C590" t="str">
        <f t="shared" si="81"/>
        <v>EMP_589</v>
      </c>
      <c r="D590" t="s">
        <v>15</v>
      </c>
      <c r="E590" t="str">
        <f t="shared" si="82"/>
        <v>EMP_589Finance</v>
      </c>
      <c r="F590" t="s">
        <v>18</v>
      </c>
      <c r="G590" t="s">
        <v>22</v>
      </c>
      <c r="H590">
        <v>49194</v>
      </c>
      <c r="I590">
        <v>8887</v>
      </c>
      <c r="J590">
        <v>0</v>
      </c>
      <c r="K590">
        <v>0</v>
      </c>
      <c r="L590" s="4">
        <v>44866</v>
      </c>
      <c r="M590" s="4" t="str">
        <f t="shared" si="83"/>
        <v>2022</v>
      </c>
      <c r="N590" s="1">
        <f t="shared" ca="1" si="84"/>
        <v>46064</v>
      </c>
      <c r="O590" s="6">
        <f t="shared" ca="1" si="85"/>
        <v>3</v>
      </c>
      <c r="P590">
        <v>5</v>
      </c>
      <c r="Q590">
        <f t="shared" si="86"/>
        <v>58081</v>
      </c>
      <c r="R590" s="2">
        <f t="shared" si="87"/>
        <v>29040.5</v>
      </c>
      <c r="S590" s="2" t="str">
        <f t="shared" si="88"/>
        <v xml:space="preserve"> Not Achieved</v>
      </c>
      <c r="T590" s="2" t="str">
        <f t="shared" si="89"/>
        <v>Good</v>
      </c>
      <c r="U590" s="2"/>
    </row>
    <row r="591" spans="1:21" x14ac:dyDescent="0.3">
      <c r="A591">
        <v>590</v>
      </c>
      <c r="B591" t="s">
        <v>933</v>
      </c>
      <c r="C591" t="str">
        <f t="shared" si="81"/>
        <v>EMP_590</v>
      </c>
      <c r="D591" t="s">
        <v>11</v>
      </c>
      <c r="E591" t="str">
        <f t="shared" si="82"/>
        <v>EMP_590IT</v>
      </c>
      <c r="F591" t="s">
        <v>21</v>
      </c>
      <c r="G591" t="s">
        <v>19</v>
      </c>
      <c r="H591">
        <v>71116</v>
      </c>
      <c r="I591">
        <v>3327</v>
      </c>
      <c r="J591">
        <v>0</v>
      </c>
      <c r="K591">
        <v>0</v>
      </c>
      <c r="L591" s="4" t="s">
        <v>934</v>
      </c>
      <c r="M591" s="4" t="str">
        <f t="shared" si="83"/>
        <v>9/27/2024</v>
      </c>
      <c r="N591" s="1">
        <f t="shared" ca="1" si="84"/>
        <v>46064</v>
      </c>
      <c r="O591" s="6" t="e">
        <f t="shared" ca="1" si="85"/>
        <v>#VALUE!</v>
      </c>
      <c r="P591">
        <v>1</v>
      </c>
      <c r="Q591">
        <f t="shared" si="86"/>
        <v>74443</v>
      </c>
      <c r="R591" s="2">
        <f t="shared" si="87"/>
        <v>37221.5</v>
      </c>
      <c r="S591" s="2" t="str">
        <f t="shared" si="88"/>
        <v xml:space="preserve"> Not Achieved</v>
      </c>
      <c r="T591" s="2" t="str">
        <f t="shared" si="89"/>
        <v xml:space="preserve"> Excellent</v>
      </c>
      <c r="U591" s="2"/>
    </row>
    <row r="592" spans="1:21" x14ac:dyDescent="0.3">
      <c r="A592">
        <v>591</v>
      </c>
      <c r="B592" t="s">
        <v>935</v>
      </c>
      <c r="C592" t="str">
        <f t="shared" si="81"/>
        <v>EMP_591</v>
      </c>
      <c r="D592" t="s">
        <v>15</v>
      </c>
      <c r="E592" t="str">
        <f t="shared" si="82"/>
        <v>EMP_591IT</v>
      </c>
      <c r="F592" t="s">
        <v>21</v>
      </c>
      <c r="G592" t="s">
        <v>25</v>
      </c>
      <c r="H592">
        <v>23090</v>
      </c>
      <c r="I592">
        <v>4851</v>
      </c>
      <c r="J592">
        <v>0</v>
      </c>
      <c r="K592">
        <v>0</v>
      </c>
      <c r="L592" s="4" t="s">
        <v>936</v>
      </c>
      <c r="M592" s="4" t="str">
        <f t="shared" si="83"/>
        <v>5/22/2020</v>
      </c>
      <c r="N592" s="1">
        <f t="shared" ca="1" si="84"/>
        <v>46064</v>
      </c>
      <c r="O592" s="6" t="e">
        <f t="shared" ca="1" si="85"/>
        <v>#VALUE!</v>
      </c>
      <c r="P592">
        <v>3</v>
      </c>
      <c r="Q592">
        <f t="shared" si="86"/>
        <v>27941</v>
      </c>
      <c r="R592" s="2">
        <f t="shared" si="87"/>
        <v>13970.5</v>
      </c>
      <c r="S592" s="2" t="str">
        <f t="shared" si="88"/>
        <v xml:space="preserve"> Not Achieved</v>
      </c>
      <c r="T592" s="2" t="str">
        <f t="shared" si="89"/>
        <v>poor</v>
      </c>
      <c r="U592" s="2"/>
    </row>
    <row r="593" spans="1:21" x14ac:dyDescent="0.3">
      <c r="A593">
        <v>592</v>
      </c>
      <c r="B593" t="s">
        <v>937</v>
      </c>
      <c r="C593" t="str">
        <f t="shared" si="81"/>
        <v>EMP_592</v>
      </c>
      <c r="D593" t="s">
        <v>11</v>
      </c>
      <c r="E593" t="str">
        <f t="shared" si="82"/>
        <v>EMP_592Sales</v>
      </c>
      <c r="F593" t="s">
        <v>7</v>
      </c>
      <c r="G593" t="s">
        <v>22</v>
      </c>
      <c r="H593">
        <v>66462</v>
      </c>
      <c r="I593">
        <v>8353</v>
      </c>
      <c r="J593">
        <v>110416</v>
      </c>
      <c r="K593">
        <v>216938</v>
      </c>
      <c r="L593" s="4" t="s">
        <v>938</v>
      </c>
      <c r="M593" s="4" t="str">
        <f t="shared" si="83"/>
        <v>2/27/2024</v>
      </c>
      <c r="N593" s="1">
        <f t="shared" ca="1" si="84"/>
        <v>46064</v>
      </c>
      <c r="O593" s="6" t="e">
        <f t="shared" ca="1" si="85"/>
        <v>#VALUE!</v>
      </c>
      <c r="P593">
        <v>3</v>
      </c>
      <c r="Q593">
        <f t="shared" si="86"/>
        <v>74815</v>
      </c>
      <c r="R593" s="2">
        <f t="shared" si="87"/>
        <v>37407.5</v>
      </c>
      <c r="S593" s="2" t="str">
        <f t="shared" si="88"/>
        <v xml:space="preserve"> Not Achieved</v>
      </c>
      <c r="T593" s="2" t="str">
        <f t="shared" si="89"/>
        <v xml:space="preserve"> Excellent</v>
      </c>
      <c r="U593" s="2"/>
    </row>
    <row r="594" spans="1:21" x14ac:dyDescent="0.3">
      <c r="A594">
        <v>593</v>
      </c>
      <c r="B594" t="s">
        <v>939</v>
      </c>
      <c r="C594" t="str">
        <f t="shared" si="81"/>
        <v>EMP_593</v>
      </c>
      <c r="D594" t="s">
        <v>15</v>
      </c>
      <c r="E594" t="str">
        <f t="shared" si="82"/>
        <v>EMP_593Marketing</v>
      </c>
      <c r="F594" t="s">
        <v>24</v>
      </c>
      <c r="G594" t="s">
        <v>16</v>
      </c>
      <c r="H594">
        <v>67700</v>
      </c>
      <c r="I594">
        <v>7730</v>
      </c>
      <c r="J594">
        <v>0</v>
      </c>
      <c r="K594">
        <v>0</v>
      </c>
      <c r="L594" s="4" t="s">
        <v>940</v>
      </c>
      <c r="M594" s="4" t="str">
        <f t="shared" si="83"/>
        <v>6/16/2019</v>
      </c>
      <c r="N594" s="1">
        <f t="shared" ca="1" si="84"/>
        <v>46064</v>
      </c>
      <c r="O594" s="6" t="e">
        <f t="shared" ca="1" si="85"/>
        <v>#VALUE!</v>
      </c>
      <c r="P594">
        <v>2</v>
      </c>
      <c r="Q594">
        <f t="shared" si="86"/>
        <v>75430</v>
      </c>
      <c r="R594" s="2">
        <f t="shared" si="87"/>
        <v>37715</v>
      </c>
      <c r="S594" s="2" t="str">
        <f t="shared" si="88"/>
        <v xml:space="preserve"> Not Achieved</v>
      </c>
      <c r="T594" s="2" t="str">
        <f t="shared" si="89"/>
        <v xml:space="preserve"> Excellent</v>
      </c>
      <c r="U594" s="2"/>
    </row>
    <row r="595" spans="1:21" x14ac:dyDescent="0.3">
      <c r="A595">
        <v>594</v>
      </c>
      <c r="B595" t="s">
        <v>941</v>
      </c>
      <c r="C595" t="str">
        <f t="shared" si="81"/>
        <v>EMP_594</v>
      </c>
      <c r="D595" t="s">
        <v>15</v>
      </c>
      <c r="E595" t="str">
        <f t="shared" si="82"/>
        <v>EMP_594HR</v>
      </c>
      <c r="F595" t="s">
        <v>12</v>
      </c>
      <c r="G595" t="s">
        <v>25</v>
      </c>
      <c r="H595">
        <v>63357</v>
      </c>
      <c r="I595">
        <v>5840</v>
      </c>
      <c r="J595">
        <v>0</v>
      </c>
      <c r="K595">
        <v>0</v>
      </c>
      <c r="L595" s="4">
        <v>43466</v>
      </c>
      <c r="M595" s="4" t="str">
        <f t="shared" si="83"/>
        <v>2019</v>
      </c>
      <c r="N595" s="1">
        <f t="shared" ca="1" si="84"/>
        <v>46064</v>
      </c>
      <c r="O595" s="6">
        <f t="shared" ca="1" si="85"/>
        <v>7</v>
      </c>
      <c r="P595">
        <v>3</v>
      </c>
      <c r="Q595">
        <f t="shared" si="86"/>
        <v>69197</v>
      </c>
      <c r="R595" s="2">
        <f t="shared" si="87"/>
        <v>34598.5</v>
      </c>
      <c r="S595" s="2" t="str">
        <f t="shared" si="88"/>
        <v xml:space="preserve"> Not Achieved</v>
      </c>
      <c r="T595" s="2" t="str">
        <f t="shared" si="89"/>
        <v xml:space="preserve"> Excellent</v>
      </c>
      <c r="U595" s="2"/>
    </row>
    <row r="596" spans="1:21" x14ac:dyDescent="0.3">
      <c r="A596">
        <v>595</v>
      </c>
      <c r="B596" t="s">
        <v>942</v>
      </c>
      <c r="C596" t="str">
        <f t="shared" si="81"/>
        <v>EMP_595</v>
      </c>
      <c r="D596" t="s">
        <v>15</v>
      </c>
      <c r="E596" t="str">
        <f t="shared" si="82"/>
        <v>EMP_595IT</v>
      </c>
      <c r="F596" t="s">
        <v>21</v>
      </c>
      <c r="G596" t="s">
        <v>25</v>
      </c>
      <c r="H596">
        <v>43450</v>
      </c>
      <c r="I596">
        <v>7973</v>
      </c>
      <c r="J596">
        <v>0</v>
      </c>
      <c r="K596">
        <v>0</v>
      </c>
      <c r="L596" s="4">
        <v>45332</v>
      </c>
      <c r="M596" s="4" t="str">
        <f t="shared" si="83"/>
        <v>2024</v>
      </c>
      <c r="N596" s="1">
        <f t="shared" ca="1" si="84"/>
        <v>46064</v>
      </c>
      <c r="O596" s="6">
        <f t="shared" ca="1" si="85"/>
        <v>2</v>
      </c>
      <c r="P596">
        <v>1</v>
      </c>
      <c r="Q596">
        <f t="shared" si="86"/>
        <v>51423</v>
      </c>
      <c r="R596" s="2">
        <f t="shared" si="87"/>
        <v>25711.5</v>
      </c>
      <c r="S596" s="2" t="str">
        <f t="shared" si="88"/>
        <v xml:space="preserve"> Not Achieved</v>
      </c>
      <c r="T596" s="2" t="str">
        <f t="shared" si="89"/>
        <v>Good</v>
      </c>
      <c r="U596" s="2"/>
    </row>
    <row r="597" spans="1:21" x14ac:dyDescent="0.3">
      <c r="A597">
        <v>596</v>
      </c>
      <c r="B597" t="s">
        <v>943</v>
      </c>
      <c r="C597" t="str">
        <f t="shared" si="81"/>
        <v>EMP_596</v>
      </c>
      <c r="D597" t="s">
        <v>11</v>
      </c>
      <c r="E597" t="str">
        <f t="shared" si="82"/>
        <v>EMP_596HR</v>
      </c>
      <c r="F597" t="s">
        <v>12</v>
      </c>
      <c r="G597" t="s">
        <v>16</v>
      </c>
      <c r="H597">
        <v>20266</v>
      </c>
      <c r="I597">
        <v>6011</v>
      </c>
      <c r="J597">
        <v>0</v>
      </c>
      <c r="K597">
        <v>0</v>
      </c>
      <c r="L597" s="4">
        <v>43567</v>
      </c>
      <c r="M597" s="4" t="str">
        <f t="shared" si="83"/>
        <v>2019</v>
      </c>
      <c r="N597" s="1">
        <f t="shared" ca="1" si="84"/>
        <v>46064</v>
      </c>
      <c r="O597" s="6">
        <f t="shared" ca="1" si="85"/>
        <v>6</v>
      </c>
      <c r="P597">
        <v>1</v>
      </c>
      <c r="Q597">
        <f t="shared" si="86"/>
        <v>26277</v>
      </c>
      <c r="R597" s="2">
        <f t="shared" si="87"/>
        <v>13138.5</v>
      </c>
      <c r="S597" s="2" t="str">
        <f t="shared" si="88"/>
        <v xml:space="preserve"> Not Achieved</v>
      </c>
      <c r="T597" s="2" t="str">
        <f t="shared" si="89"/>
        <v>poor</v>
      </c>
      <c r="U597" s="2"/>
    </row>
    <row r="598" spans="1:21" x14ac:dyDescent="0.3">
      <c r="A598">
        <v>597</v>
      </c>
      <c r="B598" t="s">
        <v>944</v>
      </c>
      <c r="C598" t="str">
        <f t="shared" si="81"/>
        <v>EMP_597</v>
      </c>
      <c r="D598" t="s">
        <v>11</v>
      </c>
      <c r="E598" t="str">
        <f t="shared" si="82"/>
        <v>EMP_597IT</v>
      </c>
      <c r="F598" t="s">
        <v>21</v>
      </c>
      <c r="G598" t="s">
        <v>22</v>
      </c>
      <c r="H598">
        <v>33817</v>
      </c>
      <c r="I598">
        <v>8770</v>
      </c>
      <c r="J598">
        <v>0</v>
      </c>
      <c r="K598">
        <v>0</v>
      </c>
      <c r="L598" s="4">
        <v>45475</v>
      </c>
      <c r="M598" s="4" t="str">
        <f t="shared" si="83"/>
        <v>2024</v>
      </c>
      <c r="N598" s="1">
        <f t="shared" ca="1" si="84"/>
        <v>46064</v>
      </c>
      <c r="O598" s="6">
        <f t="shared" ca="1" si="85"/>
        <v>1</v>
      </c>
      <c r="P598">
        <v>2</v>
      </c>
      <c r="Q598">
        <f t="shared" si="86"/>
        <v>42587</v>
      </c>
      <c r="R598" s="2">
        <f t="shared" si="87"/>
        <v>21293.5</v>
      </c>
      <c r="S598" s="2" t="str">
        <f t="shared" si="88"/>
        <v xml:space="preserve"> Not Achieved</v>
      </c>
      <c r="T598" s="2" t="str">
        <f t="shared" si="89"/>
        <v>Average</v>
      </c>
      <c r="U598" s="2"/>
    </row>
    <row r="599" spans="1:21" x14ac:dyDescent="0.3">
      <c r="A599">
        <v>598</v>
      </c>
      <c r="B599" t="s">
        <v>945</v>
      </c>
      <c r="C599" t="str">
        <f t="shared" si="81"/>
        <v>EMP_598</v>
      </c>
      <c r="D599" t="s">
        <v>11</v>
      </c>
      <c r="E599" t="str">
        <f t="shared" si="82"/>
        <v>EMP_598IT</v>
      </c>
      <c r="F599" t="s">
        <v>21</v>
      </c>
      <c r="G599" t="s">
        <v>13</v>
      </c>
      <c r="H599">
        <v>31547</v>
      </c>
      <c r="I599">
        <v>3003</v>
      </c>
      <c r="J599">
        <v>0</v>
      </c>
      <c r="K599">
        <v>0</v>
      </c>
      <c r="L599" s="4" t="s">
        <v>946</v>
      </c>
      <c r="M599" s="4" t="str">
        <f t="shared" si="83"/>
        <v>10/20/2019</v>
      </c>
      <c r="N599" s="1">
        <f t="shared" ca="1" si="84"/>
        <v>46064</v>
      </c>
      <c r="O599" s="6" t="e">
        <f t="shared" ca="1" si="85"/>
        <v>#VALUE!</v>
      </c>
      <c r="P599">
        <v>3</v>
      </c>
      <c r="Q599">
        <f t="shared" si="86"/>
        <v>34550</v>
      </c>
      <c r="R599" s="2">
        <f t="shared" si="87"/>
        <v>17275</v>
      </c>
      <c r="S599" s="2" t="str">
        <f t="shared" si="88"/>
        <v xml:space="preserve"> Not Achieved</v>
      </c>
      <c r="T599" s="2" t="str">
        <f t="shared" si="89"/>
        <v>Average</v>
      </c>
      <c r="U599" s="2"/>
    </row>
    <row r="600" spans="1:21" x14ac:dyDescent="0.3">
      <c r="A600">
        <v>599</v>
      </c>
      <c r="B600" t="s">
        <v>947</v>
      </c>
      <c r="C600" t="str">
        <f t="shared" si="81"/>
        <v>EMP_599</v>
      </c>
      <c r="D600" t="s">
        <v>11</v>
      </c>
      <c r="E600" t="str">
        <f t="shared" si="82"/>
        <v>EMP_599Sales</v>
      </c>
      <c r="F600" t="s">
        <v>7</v>
      </c>
      <c r="G600" t="s">
        <v>19</v>
      </c>
      <c r="H600">
        <v>37875</v>
      </c>
      <c r="I600">
        <v>7896</v>
      </c>
      <c r="J600">
        <v>58298</v>
      </c>
      <c r="K600">
        <v>106907</v>
      </c>
      <c r="L600" s="4" t="s">
        <v>96</v>
      </c>
      <c r="M600" s="4" t="str">
        <f t="shared" si="83"/>
        <v>8/19/2024</v>
      </c>
      <c r="N600" s="1">
        <f t="shared" ca="1" si="84"/>
        <v>46064</v>
      </c>
      <c r="O600" s="6" t="e">
        <f t="shared" ca="1" si="85"/>
        <v>#VALUE!</v>
      </c>
      <c r="P600">
        <v>4</v>
      </c>
      <c r="Q600">
        <f t="shared" si="86"/>
        <v>45771</v>
      </c>
      <c r="R600" s="2">
        <f t="shared" si="87"/>
        <v>22885.5</v>
      </c>
      <c r="S600" s="2" t="str">
        <f t="shared" si="88"/>
        <v xml:space="preserve"> Not Achieved</v>
      </c>
      <c r="T600" s="2" t="str">
        <f t="shared" si="89"/>
        <v>Average</v>
      </c>
      <c r="U600" s="2"/>
    </row>
    <row r="601" spans="1:21" x14ac:dyDescent="0.3">
      <c r="A601">
        <v>600</v>
      </c>
      <c r="B601" t="s">
        <v>948</v>
      </c>
      <c r="C601" t="str">
        <f t="shared" si="81"/>
        <v>EMP_600</v>
      </c>
      <c r="D601" t="s">
        <v>11</v>
      </c>
      <c r="E601" t="str">
        <f t="shared" si="82"/>
        <v>EMP_600Marketing</v>
      </c>
      <c r="F601" t="s">
        <v>24</v>
      </c>
      <c r="G601" t="s">
        <v>13</v>
      </c>
      <c r="H601">
        <v>60588</v>
      </c>
      <c r="I601">
        <v>8182</v>
      </c>
      <c r="J601">
        <v>0</v>
      </c>
      <c r="K601">
        <v>0</v>
      </c>
      <c r="L601" s="4" t="s">
        <v>129</v>
      </c>
      <c r="M601" s="4" t="str">
        <f t="shared" si="83"/>
        <v>8/19/2023</v>
      </c>
      <c r="N601" s="1">
        <f t="shared" ca="1" si="84"/>
        <v>46064</v>
      </c>
      <c r="O601" s="6" t="e">
        <f t="shared" ca="1" si="85"/>
        <v>#VALUE!</v>
      </c>
      <c r="P601">
        <v>5</v>
      </c>
      <c r="Q601">
        <f t="shared" si="86"/>
        <v>68770</v>
      </c>
      <c r="R601" s="2">
        <f t="shared" si="87"/>
        <v>34385</v>
      </c>
      <c r="S601" s="2" t="str">
        <f t="shared" si="88"/>
        <v xml:space="preserve"> Not Achieved</v>
      </c>
      <c r="T601" s="2" t="str">
        <f t="shared" si="89"/>
        <v xml:space="preserve"> Excellent</v>
      </c>
      <c r="U601" s="2"/>
    </row>
    <row r="602" spans="1:21" x14ac:dyDescent="0.3">
      <c r="A602">
        <v>601</v>
      </c>
      <c r="B602" t="s">
        <v>949</v>
      </c>
      <c r="C602" t="str">
        <f t="shared" si="81"/>
        <v>EMP_601</v>
      </c>
      <c r="D602" t="s">
        <v>15</v>
      </c>
      <c r="E602" t="str">
        <f t="shared" si="82"/>
        <v>EMP_601Marketing</v>
      </c>
      <c r="F602" t="s">
        <v>24</v>
      </c>
      <c r="G602" t="s">
        <v>22</v>
      </c>
      <c r="H602">
        <v>46957</v>
      </c>
      <c r="I602">
        <v>8847</v>
      </c>
      <c r="J602">
        <v>0</v>
      </c>
      <c r="K602">
        <v>0</v>
      </c>
      <c r="L602" s="4">
        <v>43840</v>
      </c>
      <c r="M602" s="4" t="str">
        <f t="shared" si="83"/>
        <v>2020</v>
      </c>
      <c r="N602" s="1">
        <f t="shared" ca="1" si="84"/>
        <v>46064</v>
      </c>
      <c r="O602" s="6">
        <f t="shared" ca="1" si="85"/>
        <v>6</v>
      </c>
      <c r="P602">
        <v>4</v>
      </c>
      <c r="Q602">
        <f t="shared" si="86"/>
        <v>55804</v>
      </c>
      <c r="R602" s="2">
        <f t="shared" si="87"/>
        <v>27902</v>
      </c>
      <c r="S602" s="2" t="str">
        <f t="shared" si="88"/>
        <v xml:space="preserve"> Not Achieved</v>
      </c>
      <c r="T602" s="2" t="str">
        <f t="shared" si="89"/>
        <v>Good</v>
      </c>
      <c r="U602" s="2"/>
    </row>
    <row r="603" spans="1:21" x14ac:dyDescent="0.3">
      <c r="A603">
        <v>602</v>
      </c>
      <c r="B603" t="s">
        <v>950</v>
      </c>
      <c r="C603" t="str">
        <f t="shared" si="81"/>
        <v>EMP_602</v>
      </c>
      <c r="D603" t="s">
        <v>15</v>
      </c>
      <c r="E603" t="str">
        <f t="shared" si="82"/>
        <v>EMP_602Marketing</v>
      </c>
      <c r="F603" t="s">
        <v>24</v>
      </c>
      <c r="G603" t="s">
        <v>22</v>
      </c>
      <c r="H603">
        <v>49732</v>
      </c>
      <c r="I603">
        <v>9119</v>
      </c>
      <c r="J603">
        <v>0</v>
      </c>
      <c r="K603">
        <v>0</v>
      </c>
      <c r="L603" s="4">
        <v>43865</v>
      </c>
      <c r="M603" s="4" t="str">
        <f t="shared" si="83"/>
        <v>2020</v>
      </c>
      <c r="N603" s="1">
        <f t="shared" ca="1" si="84"/>
        <v>46064</v>
      </c>
      <c r="O603" s="6">
        <f t="shared" ca="1" si="85"/>
        <v>6</v>
      </c>
      <c r="P603">
        <v>5</v>
      </c>
      <c r="Q603">
        <f t="shared" si="86"/>
        <v>58851</v>
      </c>
      <c r="R603" s="2">
        <f t="shared" si="87"/>
        <v>29425.5</v>
      </c>
      <c r="S603" s="2" t="str">
        <f t="shared" si="88"/>
        <v xml:space="preserve"> Not Achieved</v>
      </c>
      <c r="T603" s="2" t="str">
        <f t="shared" si="89"/>
        <v>Good</v>
      </c>
      <c r="U603" s="2"/>
    </row>
    <row r="604" spans="1:21" x14ac:dyDescent="0.3">
      <c r="A604">
        <v>603</v>
      </c>
      <c r="B604" t="s">
        <v>951</v>
      </c>
      <c r="C604" t="str">
        <f t="shared" si="81"/>
        <v>EMP_603</v>
      </c>
      <c r="D604" t="s">
        <v>15</v>
      </c>
      <c r="E604" t="str">
        <f t="shared" si="82"/>
        <v>EMP_603HR</v>
      </c>
      <c r="F604" t="s">
        <v>12</v>
      </c>
      <c r="G604" t="s">
        <v>25</v>
      </c>
      <c r="H604">
        <v>56600</v>
      </c>
      <c r="I604">
        <v>7697</v>
      </c>
      <c r="J604">
        <v>0</v>
      </c>
      <c r="K604">
        <v>0</v>
      </c>
      <c r="L604" s="4" t="s">
        <v>952</v>
      </c>
      <c r="M604" s="4" t="str">
        <f t="shared" si="83"/>
        <v>10/30/2024</v>
      </c>
      <c r="N604" s="1">
        <f t="shared" ca="1" si="84"/>
        <v>46064</v>
      </c>
      <c r="O604" s="6" t="e">
        <f t="shared" ca="1" si="85"/>
        <v>#VALUE!</v>
      </c>
      <c r="P604">
        <v>5</v>
      </c>
      <c r="Q604">
        <f t="shared" si="86"/>
        <v>64297</v>
      </c>
      <c r="R604" s="2">
        <f t="shared" si="87"/>
        <v>32148.5</v>
      </c>
      <c r="S604" s="2" t="str">
        <f t="shared" si="88"/>
        <v xml:space="preserve"> Not Achieved</v>
      </c>
      <c r="T604" s="2" t="str">
        <f t="shared" si="89"/>
        <v xml:space="preserve"> Excellent</v>
      </c>
      <c r="U604" s="2"/>
    </row>
    <row r="605" spans="1:21" x14ac:dyDescent="0.3">
      <c r="A605">
        <v>604</v>
      </c>
      <c r="B605" t="s">
        <v>953</v>
      </c>
      <c r="C605" t="str">
        <f t="shared" si="81"/>
        <v>EMP_604</v>
      </c>
      <c r="D605" t="s">
        <v>15</v>
      </c>
      <c r="E605" t="str">
        <f t="shared" si="82"/>
        <v>EMP_604Marketing</v>
      </c>
      <c r="F605" t="s">
        <v>24</v>
      </c>
      <c r="G605" t="s">
        <v>25</v>
      </c>
      <c r="H605">
        <v>44359</v>
      </c>
      <c r="I605">
        <v>14783</v>
      </c>
      <c r="J605">
        <v>0</v>
      </c>
      <c r="K605">
        <v>0</v>
      </c>
      <c r="L605" s="4" t="s">
        <v>347</v>
      </c>
      <c r="M605" s="4" t="str">
        <f t="shared" si="83"/>
        <v>8/21/2024</v>
      </c>
      <c r="N605" s="1">
        <f t="shared" ca="1" si="84"/>
        <v>46064</v>
      </c>
      <c r="O605" s="6" t="e">
        <f t="shared" ca="1" si="85"/>
        <v>#VALUE!</v>
      </c>
      <c r="P605">
        <v>4</v>
      </c>
      <c r="Q605">
        <f t="shared" si="86"/>
        <v>59142</v>
      </c>
      <c r="R605" s="2">
        <f t="shared" si="87"/>
        <v>29571</v>
      </c>
      <c r="S605" s="2" t="str">
        <f t="shared" si="88"/>
        <v xml:space="preserve"> Not Achieved</v>
      </c>
      <c r="T605" s="2" t="str">
        <f t="shared" si="89"/>
        <v>Good</v>
      </c>
      <c r="U605" s="2"/>
    </row>
    <row r="606" spans="1:21" x14ac:dyDescent="0.3">
      <c r="A606">
        <v>605</v>
      </c>
      <c r="B606" t="s">
        <v>954</v>
      </c>
      <c r="C606" t="str">
        <f t="shared" si="81"/>
        <v>EMP_605</v>
      </c>
      <c r="D606" t="s">
        <v>11</v>
      </c>
      <c r="E606" t="str">
        <f t="shared" si="82"/>
        <v>EMP_605HR</v>
      </c>
      <c r="F606" t="s">
        <v>12</v>
      </c>
      <c r="G606" t="s">
        <v>22</v>
      </c>
      <c r="H606">
        <v>40921</v>
      </c>
      <c r="I606">
        <v>11212</v>
      </c>
      <c r="J606">
        <v>0</v>
      </c>
      <c r="K606">
        <v>0</v>
      </c>
      <c r="L606" s="4" t="s">
        <v>955</v>
      </c>
      <c r="M606" s="4" t="str">
        <f t="shared" si="83"/>
        <v>4/27/2024</v>
      </c>
      <c r="N606" s="1">
        <f t="shared" ca="1" si="84"/>
        <v>46064</v>
      </c>
      <c r="O606" s="6" t="e">
        <f t="shared" ca="1" si="85"/>
        <v>#VALUE!</v>
      </c>
      <c r="P606">
        <v>4</v>
      </c>
      <c r="Q606">
        <f t="shared" si="86"/>
        <v>52133</v>
      </c>
      <c r="R606" s="2">
        <f t="shared" si="87"/>
        <v>26066.5</v>
      </c>
      <c r="S606" s="2" t="str">
        <f t="shared" si="88"/>
        <v xml:space="preserve"> Not Achieved</v>
      </c>
      <c r="T606" s="2" t="str">
        <f t="shared" si="89"/>
        <v>Good</v>
      </c>
      <c r="U606" s="2"/>
    </row>
    <row r="607" spans="1:21" x14ac:dyDescent="0.3">
      <c r="A607">
        <v>606</v>
      </c>
      <c r="B607" t="s">
        <v>956</v>
      </c>
      <c r="C607" t="str">
        <f t="shared" si="81"/>
        <v>EMP_606</v>
      </c>
      <c r="D607" t="s">
        <v>15</v>
      </c>
      <c r="E607" t="str">
        <f t="shared" si="82"/>
        <v>EMP_606Marketing</v>
      </c>
      <c r="F607" t="s">
        <v>24</v>
      </c>
      <c r="G607" t="s">
        <v>16</v>
      </c>
      <c r="H607">
        <v>38285</v>
      </c>
      <c r="I607">
        <v>14526</v>
      </c>
      <c r="J607">
        <v>0</v>
      </c>
      <c r="K607">
        <v>0</v>
      </c>
      <c r="L607" s="4" t="s">
        <v>957</v>
      </c>
      <c r="M607" s="4" t="str">
        <f t="shared" si="83"/>
        <v>12/15/2024</v>
      </c>
      <c r="N607" s="1">
        <f t="shared" ca="1" si="84"/>
        <v>46064</v>
      </c>
      <c r="O607" s="6" t="e">
        <f t="shared" ca="1" si="85"/>
        <v>#VALUE!</v>
      </c>
      <c r="P607">
        <v>5</v>
      </c>
      <c r="Q607">
        <f t="shared" si="86"/>
        <v>52811</v>
      </c>
      <c r="R607" s="2">
        <f t="shared" si="87"/>
        <v>26405.5</v>
      </c>
      <c r="S607" s="2" t="str">
        <f t="shared" si="88"/>
        <v xml:space="preserve"> Not Achieved</v>
      </c>
      <c r="T607" s="2" t="str">
        <f t="shared" si="89"/>
        <v>Average</v>
      </c>
      <c r="U607" s="2"/>
    </row>
    <row r="608" spans="1:21" x14ac:dyDescent="0.3">
      <c r="A608">
        <v>607</v>
      </c>
      <c r="B608" t="s">
        <v>958</v>
      </c>
      <c r="C608" t="str">
        <f t="shared" si="81"/>
        <v>EMP_607</v>
      </c>
      <c r="D608" t="s">
        <v>15</v>
      </c>
      <c r="E608" t="str">
        <f t="shared" si="82"/>
        <v>EMP_607HR</v>
      </c>
      <c r="F608" t="s">
        <v>12</v>
      </c>
      <c r="G608" t="s">
        <v>13</v>
      </c>
      <c r="H608">
        <v>59242</v>
      </c>
      <c r="I608">
        <v>6524</v>
      </c>
      <c r="J608">
        <v>0</v>
      </c>
      <c r="K608">
        <v>0</v>
      </c>
      <c r="L608" s="4" t="s">
        <v>959</v>
      </c>
      <c r="M608" s="4" t="str">
        <f t="shared" si="83"/>
        <v>11/25/2020</v>
      </c>
      <c r="N608" s="1">
        <f t="shared" ca="1" si="84"/>
        <v>46064</v>
      </c>
      <c r="O608" s="6" t="e">
        <f t="shared" ca="1" si="85"/>
        <v>#VALUE!</v>
      </c>
      <c r="P608">
        <v>4</v>
      </c>
      <c r="Q608">
        <f t="shared" si="86"/>
        <v>65766</v>
      </c>
      <c r="R608" s="2">
        <f t="shared" si="87"/>
        <v>32883</v>
      </c>
      <c r="S608" s="2" t="str">
        <f t="shared" si="88"/>
        <v xml:space="preserve"> Not Achieved</v>
      </c>
      <c r="T608" s="2" t="str">
        <f t="shared" si="89"/>
        <v xml:space="preserve"> Excellent</v>
      </c>
      <c r="U608" s="2"/>
    </row>
    <row r="609" spans="1:21" x14ac:dyDescent="0.3">
      <c r="A609">
        <v>608</v>
      </c>
      <c r="B609" t="s">
        <v>960</v>
      </c>
      <c r="C609" t="str">
        <f t="shared" si="81"/>
        <v>EMP_608</v>
      </c>
      <c r="D609" t="s">
        <v>15</v>
      </c>
      <c r="E609" t="str">
        <f t="shared" si="82"/>
        <v>EMP_608Finance</v>
      </c>
      <c r="F609" t="s">
        <v>18</v>
      </c>
      <c r="G609" t="s">
        <v>19</v>
      </c>
      <c r="H609">
        <v>38821</v>
      </c>
      <c r="I609">
        <v>9275</v>
      </c>
      <c r="J609">
        <v>0</v>
      </c>
      <c r="K609">
        <v>0</v>
      </c>
      <c r="L609" s="4" t="s">
        <v>515</v>
      </c>
      <c r="M609" s="4" t="str">
        <f t="shared" si="83"/>
        <v>10/18/2024</v>
      </c>
      <c r="N609" s="1">
        <f t="shared" ca="1" si="84"/>
        <v>46064</v>
      </c>
      <c r="O609" s="6" t="e">
        <f t="shared" ca="1" si="85"/>
        <v>#VALUE!</v>
      </c>
      <c r="P609">
        <v>3</v>
      </c>
      <c r="Q609">
        <f t="shared" si="86"/>
        <v>48096</v>
      </c>
      <c r="R609" s="2">
        <f t="shared" si="87"/>
        <v>24048</v>
      </c>
      <c r="S609" s="2" t="str">
        <f t="shared" si="88"/>
        <v xml:space="preserve"> Not Achieved</v>
      </c>
      <c r="T609" s="2" t="str">
        <f t="shared" si="89"/>
        <v>Average</v>
      </c>
      <c r="U609" s="2"/>
    </row>
    <row r="610" spans="1:21" x14ac:dyDescent="0.3">
      <c r="A610">
        <v>609</v>
      </c>
      <c r="B610" t="s">
        <v>961</v>
      </c>
      <c r="C610" t="str">
        <f t="shared" si="81"/>
        <v>EMP_609</v>
      </c>
      <c r="D610" t="s">
        <v>11</v>
      </c>
      <c r="E610" t="str">
        <f t="shared" si="82"/>
        <v>EMP_609IT</v>
      </c>
      <c r="F610" t="s">
        <v>21</v>
      </c>
      <c r="G610" t="s">
        <v>19</v>
      </c>
      <c r="H610">
        <v>36541</v>
      </c>
      <c r="I610">
        <v>9855</v>
      </c>
      <c r="J610">
        <v>0</v>
      </c>
      <c r="K610">
        <v>0</v>
      </c>
      <c r="L610" s="4" t="s">
        <v>962</v>
      </c>
      <c r="M610" s="4" t="str">
        <f t="shared" si="83"/>
        <v>3/28/2023</v>
      </c>
      <c r="N610" s="1">
        <f t="shared" ca="1" si="84"/>
        <v>46064</v>
      </c>
      <c r="O610" s="6" t="e">
        <f t="shared" ca="1" si="85"/>
        <v>#VALUE!</v>
      </c>
      <c r="P610">
        <v>4</v>
      </c>
      <c r="Q610">
        <f t="shared" si="86"/>
        <v>46396</v>
      </c>
      <c r="R610" s="2">
        <f t="shared" si="87"/>
        <v>23198</v>
      </c>
      <c r="S610" s="2" t="str">
        <f t="shared" si="88"/>
        <v xml:space="preserve"> Not Achieved</v>
      </c>
      <c r="T610" s="2" t="str">
        <f t="shared" si="89"/>
        <v>Average</v>
      </c>
      <c r="U610" s="2"/>
    </row>
    <row r="611" spans="1:21" x14ac:dyDescent="0.3">
      <c r="A611">
        <v>610</v>
      </c>
      <c r="B611" t="s">
        <v>963</v>
      </c>
      <c r="C611" t="str">
        <f t="shared" si="81"/>
        <v>EMP_610</v>
      </c>
      <c r="D611" t="s">
        <v>15</v>
      </c>
      <c r="E611" t="str">
        <f t="shared" si="82"/>
        <v>EMP_610Marketing</v>
      </c>
      <c r="F611" t="s">
        <v>24</v>
      </c>
      <c r="G611" t="s">
        <v>13</v>
      </c>
      <c r="H611">
        <v>52930</v>
      </c>
      <c r="I611">
        <v>14192</v>
      </c>
      <c r="J611">
        <v>0</v>
      </c>
      <c r="K611">
        <v>0</v>
      </c>
      <c r="L611" s="4" t="s">
        <v>964</v>
      </c>
      <c r="M611" s="4" t="str">
        <f t="shared" si="83"/>
        <v>8/13/2019</v>
      </c>
      <c r="N611" s="1">
        <f t="shared" ca="1" si="84"/>
        <v>46064</v>
      </c>
      <c r="O611" s="6" t="e">
        <f t="shared" ca="1" si="85"/>
        <v>#VALUE!</v>
      </c>
      <c r="P611">
        <v>2</v>
      </c>
      <c r="Q611">
        <f t="shared" si="86"/>
        <v>67122</v>
      </c>
      <c r="R611" s="2">
        <f t="shared" si="87"/>
        <v>33561</v>
      </c>
      <c r="S611" s="2" t="str">
        <f t="shared" si="88"/>
        <v xml:space="preserve"> Not Achieved</v>
      </c>
      <c r="T611" s="2" t="str">
        <f t="shared" si="89"/>
        <v xml:space="preserve"> Excellent</v>
      </c>
      <c r="U611" s="2"/>
    </row>
    <row r="612" spans="1:21" x14ac:dyDescent="0.3">
      <c r="A612">
        <v>611</v>
      </c>
      <c r="B612" t="s">
        <v>965</v>
      </c>
      <c r="C612" t="str">
        <f t="shared" si="81"/>
        <v>EMP_611</v>
      </c>
      <c r="D612" t="s">
        <v>15</v>
      </c>
      <c r="E612" t="str">
        <f t="shared" si="82"/>
        <v>EMP_611Marketing</v>
      </c>
      <c r="F612" t="s">
        <v>24</v>
      </c>
      <c r="G612" t="s">
        <v>25</v>
      </c>
      <c r="H612">
        <v>45132</v>
      </c>
      <c r="I612">
        <v>3865</v>
      </c>
      <c r="J612">
        <v>0</v>
      </c>
      <c r="K612">
        <v>0</v>
      </c>
      <c r="L612" s="4" t="s">
        <v>966</v>
      </c>
      <c r="M612" s="4" t="str">
        <f t="shared" si="83"/>
        <v>9/27/2020</v>
      </c>
      <c r="N612" s="1">
        <f t="shared" ca="1" si="84"/>
        <v>46064</v>
      </c>
      <c r="O612" s="6" t="e">
        <f t="shared" ca="1" si="85"/>
        <v>#VALUE!</v>
      </c>
      <c r="P612">
        <v>4</v>
      </c>
      <c r="Q612">
        <f t="shared" si="86"/>
        <v>48997</v>
      </c>
      <c r="R612" s="2">
        <f t="shared" si="87"/>
        <v>24498.5</v>
      </c>
      <c r="S612" s="2" t="str">
        <f t="shared" si="88"/>
        <v xml:space="preserve"> Not Achieved</v>
      </c>
      <c r="T612" s="2" t="str">
        <f t="shared" si="89"/>
        <v>Good</v>
      </c>
      <c r="U612" s="2"/>
    </row>
    <row r="613" spans="1:21" x14ac:dyDescent="0.3">
      <c r="A613">
        <v>612</v>
      </c>
      <c r="B613" t="s">
        <v>967</v>
      </c>
      <c r="C613" t="str">
        <f t="shared" si="81"/>
        <v>EMP_612</v>
      </c>
      <c r="D613" t="s">
        <v>11</v>
      </c>
      <c r="E613" t="str">
        <f t="shared" si="82"/>
        <v>EMP_612Marketing</v>
      </c>
      <c r="F613" t="s">
        <v>24</v>
      </c>
      <c r="G613" t="s">
        <v>16</v>
      </c>
      <c r="H613">
        <v>40127</v>
      </c>
      <c r="I613">
        <v>2676</v>
      </c>
      <c r="J613">
        <v>0</v>
      </c>
      <c r="K613">
        <v>0</v>
      </c>
      <c r="L613" s="4">
        <v>45507</v>
      </c>
      <c r="M613" s="4" t="str">
        <f t="shared" si="83"/>
        <v>2024</v>
      </c>
      <c r="N613" s="1">
        <f t="shared" ca="1" si="84"/>
        <v>46064</v>
      </c>
      <c r="O613" s="6">
        <f t="shared" ca="1" si="85"/>
        <v>1</v>
      </c>
      <c r="P613">
        <v>5</v>
      </c>
      <c r="Q613">
        <f t="shared" si="86"/>
        <v>42803</v>
      </c>
      <c r="R613" s="2">
        <f t="shared" si="87"/>
        <v>21401.5</v>
      </c>
      <c r="S613" s="2" t="str">
        <f t="shared" si="88"/>
        <v xml:space="preserve"> Not Achieved</v>
      </c>
      <c r="T613" s="2" t="str">
        <f t="shared" si="89"/>
        <v>Good</v>
      </c>
      <c r="U613" s="2"/>
    </row>
    <row r="614" spans="1:21" x14ac:dyDescent="0.3">
      <c r="A614">
        <v>613</v>
      </c>
      <c r="B614" t="s">
        <v>968</v>
      </c>
      <c r="C614" t="str">
        <f t="shared" si="81"/>
        <v>EMP_613</v>
      </c>
      <c r="D614" t="s">
        <v>15</v>
      </c>
      <c r="E614" t="str">
        <f t="shared" si="82"/>
        <v>EMP_613Sales</v>
      </c>
      <c r="F614" t="s">
        <v>7</v>
      </c>
      <c r="G614" t="s">
        <v>16</v>
      </c>
      <c r="H614">
        <v>27290</v>
      </c>
      <c r="I614">
        <v>5522</v>
      </c>
      <c r="J614">
        <v>243220</v>
      </c>
      <c r="K614">
        <v>184755</v>
      </c>
      <c r="L614" s="4">
        <v>43201</v>
      </c>
      <c r="M614" s="4" t="str">
        <f t="shared" si="83"/>
        <v>2018</v>
      </c>
      <c r="N614" s="1">
        <f t="shared" ca="1" si="84"/>
        <v>46064</v>
      </c>
      <c r="O614" s="6">
        <f t="shared" ca="1" si="85"/>
        <v>7</v>
      </c>
      <c r="P614">
        <v>5</v>
      </c>
      <c r="Q614">
        <f t="shared" si="86"/>
        <v>32812</v>
      </c>
      <c r="R614" s="2">
        <f t="shared" si="87"/>
        <v>16406</v>
      </c>
      <c r="S614" s="2" t="str">
        <f t="shared" si="88"/>
        <v>Achieved</v>
      </c>
      <c r="T614" s="2" t="str">
        <f t="shared" si="89"/>
        <v>poor</v>
      </c>
      <c r="U614" s="2"/>
    </row>
    <row r="615" spans="1:21" x14ac:dyDescent="0.3">
      <c r="A615">
        <v>614</v>
      </c>
      <c r="B615" t="s">
        <v>969</v>
      </c>
      <c r="C615" t="str">
        <f t="shared" si="81"/>
        <v>EMP_614</v>
      </c>
      <c r="D615" t="s">
        <v>11</v>
      </c>
      <c r="E615" t="str">
        <f t="shared" si="82"/>
        <v>EMP_614Marketing</v>
      </c>
      <c r="F615" t="s">
        <v>24</v>
      </c>
      <c r="G615" t="s">
        <v>22</v>
      </c>
      <c r="H615">
        <v>74291</v>
      </c>
      <c r="I615">
        <v>3660</v>
      </c>
      <c r="J615">
        <v>0</v>
      </c>
      <c r="K615">
        <v>0</v>
      </c>
      <c r="L615" s="4">
        <v>45174</v>
      </c>
      <c r="M615" s="4" t="str">
        <f t="shared" si="83"/>
        <v>2023</v>
      </c>
      <c r="N615" s="1">
        <f t="shared" ca="1" si="84"/>
        <v>46064</v>
      </c>
      <c r="O615" s="6">
        <f t="shared" ca="1" si="85"/>
        <v>2</v>
      </c>
      <c r="P615">
        <v>2</v>
      </c>
      <c r="Q615">
        <f t="shared" si="86"/>
        <v>77951</v>
      </c>
      <c r="R615" s="2">
        <f t="shared" si="87"/>
        <v>38975.5</v>
      </c>
      <c r="S615" s="2" t="str">
        <f t="shared" si="88"/>
        <v xml:space="preserve"> Not Achieved</v>
      </c>
      <c r="T615" s="2" t="str">
        <f t="shared" si="89"/>
        <v xml:space="preserve"> Excellent</v>
      </c>
      <c r="U615" s="2"/>
    </row>
    <row r="616" spans="1:21" x14ac:dyDescent="0.3">
      <c r="A616">
        <v>615</v>
      </c>
      <c r="B616" t="s">
        <v>970</v>
      </c>
      <c r="C616" t="str">
        <f t="shared" si="81"/>
        <v>EMP_615</v>
      </c>
      <c r="D616" t="s">
        <v>15</v>
      </c>
      <c r="E616" t="str">
        <f t="shared" si="82"/>
        <v>EMP_615Sales</v>
      </c>
      <c r="F616" t="s">
        <v>7</v>
      </c>
      <c r="G616" t="s">
        <v>19</v>
      </c>
      <c r="H616">
        <v>45193</v>
      </c>
      <c r="I616">
        <v>11351</v>
      </c>
      <c r="J616">
        <v>246818</v>
      </c>
      <c r="K616">
        <v>105599</v>
      </c>
      <c r="L616" s="4" t="s">
        <v>971</v>
      </c>
      <c r="M616" s="4" t="str">
        <f t="shared" si="83"/>
        <v>7/26/2022</v>
      </c>
      <c r="N616" s="1">
        <f t="shared" ca="1" si="84"/>
        <v>46064</v>
      </c>
      <c r="O616" s="6" t="e">
        <f t="shared" ca="1" si="85"/>
        <v>#VALUE!</v>
      </c>
      <c r="P616">
        <v>5</v>
      </c>
      <c r="Q616">
        <f t="shared" si="86"/>
        <v>56544</v>
      </c>
      <c r="R616" s="2">
        <f t="shared" si="87"/>
        <v>28272</v>
      </c>
      <c r="S616" s="2" t="str">
        <f t="shared" si="88"/>
        <v>Achieved</v>
      </c>
      <c r="T616" s="2" t="str">
        <f t="shared" si="89"/>
        <v>Good</v>
      </c>
      <c r="U616" s="2"/>
    </row>
    <row r="617" spans="1:21" x14ac:dyDescent="0.3">
      <c r="A617">
        <v>616</v>
      </c>
      <c r="B617" t="s">
        <v>972</v>
      </c>
      <c r="C617" t="str">
        <f t="shared" si="81"/>
        <v>EMP_616</v>
      </c>
      <c r="D617" t="s">
        <v>15</v>
      </c>
      <c r="E617" t="str">
        <f t="shared" si="82"/>
        <v>EMP_616Marketing</v>
      </c>
      <c r="F617" t="s">
        <v>24</v>
      </c>
      <c r="G617" t="s">
        <v>16</v>
      </c>
      <c r="H617">
        <v>38161</v>
      </c>
      <c r="I617">
        <v>11401</v>
      </c>
      <c r="J617">
        <v>0</v>
      </c>
      <c r="K617">
        <v>0</v>
      </c>
      <c r="L617" s="4" t="s">
        <v>973</v>
      </c>
      <c r="M617" s="4" t="str">
        <f t="shared" si="83"/>
        <v>11/24/2018</v>
      </c>
      <c r="N617" s="1">
        <f t="shared" ca="1" si="84"/>
        <v>46064</v>
      </c>
      <c r="O617" s="6" t="e">
        <f t="shared" ca="1" si="85"/>
        <v>#VALUE!</v>
      </c>
      <c r="P617">
        <v>4</v>
      </c>
      <c r="Q617">
        <f t="shared" si="86"/>
        <v>49562</v>
      </c>
      <c r="R617" s="2">
        <f t="shared" si="87"/>
        <v>24781</v>
      </c>
      <c r="S617" s="2" t="str">
        <f t="shared" si="88"/>
        <v xml:space="preserve"> Not Achieved</v>
      </c>
      <c r="T617" s="2" t="str">
        <f t="shared" si="89"/>
        <v>Average</v>
      </c>
      <c r="U617" s="2"/>
    </row>
    <row r="618" spans="1:21" x14ac:dyDescent="0.3">
      <c r="A618">
        <v>617</v>
      </c>
      <c r="B618" t="s">
        <v>974</v>
      </c>
      <c r="C618" t="str">
        <f t="shared" si="81"/>
        <v>EMP_617</v>
      </c>
      <c r="D618" t="s">
        <v>11</v>
      </c>
      <c r="E618" t="str">
        <f t="shared" si="82"/>
        <v>EMP_617Finance</v>
      </c>
      <c r="F618" t="s">
        <v>18</v>
      </c>
      <c r="G618" t="s">
        <v>22</v>
      </c>
      <c r="H618">
        <v>44846</v>
      </c>
      <c r="I618">
        <v>8253</v>
      </c>
      <c r="J618">
        <v>0</v>
      </c>
      <c r="K618">
        <v>0</v>
      </c>
      <c r="L618" s="4" t="s">
        <v>975</v>
      </c>
      <c r="M618" s="4" t="str">
        <f t="shared" si="83"/>
        <v>3/14/2024</v>
      </c>
      <c r="N618" s="1">
        <f t="shared" ca="1" si="84"/>
        <v>46064</v>
      </c>
      <c r="O618" s="6" t="e">
        <f t="shared" ca="1" si="85"/>
        <v>#VALUE!</v>
      </c>
      <c r="P618">
        <v>4</v>
      </c>
      <c r="Q618">
        <f t="shared" si="86"/>
        <v>53099</v>
      </c>
      <c r="R618" s="2">
        <f t="shared" si="87"/>
        <v>26549.5</v>
      </c>
      <c r="S618" s="2" t="str">
        <f t="shared" si="88"/>
        <v xml:space="preserve"> Not Achieved</v>
      </c>
      <c r="T618" s="2" t="str">
        <f t="shared" si="89"/>
        <v>Good</v>
      </c>
      <c r="U618" s="2"/>
    </row>
    <row r="619" spans="1:21" x14ac:dyDescent="0.3">
      <c r="A619">
        <v>618</v>
      </c>
      <c r="B619" t="s">
        <v>976</v>
      </c>
      <c r="C619" t="str">
        <f t="shared" si="81"/>
        <v>EMP_618</v>
      </c>
      <c r="D619" t="s">
        <v>11</v>
      </c>
      <c r="E619" t="str">
        <f t="shared" si="82"/>
        <v>EMP_618Sales</v>
      </c>
      <c r="F619" t="s">
        <v>7</v>
      </c>
      <c r="G619" t="s">
        <v>13</v>
      </c>
      <c r="H619">
        <v>39700</v>
      </c>
      <c r="I619">
        <v>8094</v>
      </c>
      <c r="J619">
        <v>92861</v>
      </c>
      <c r="K619">
        <v>246458</v>
      </c>
      <c r="L619" s="4" t="s">
        <v>977</v>
      </c>
      <c r="M619" s="4" t="str">
        <f t="shared" si="83"/>
        <v>4/30/2023</v>
      </c>
      <c r="N619" s="1">
        <f t="shared" ca="1" si="84"/>
        <v>46064</v>
      </c>
      <c r="O619" s="6" t="e">
        <f t="shared" ca="1" si="85"/>
        <v>#VALUE!</v>
      </c>
      <c r="P619">
        <v>1</v>
      </c>
      <c r="Q619">
        <f t="shared" si="86"/>
        <v>47794</v>
      </c>
      <c r="R619" s="2">
        <f t="shared" si="87"/>
        <v>23897</v>
      </c>
      <c r="S619" s="2" t="str">
        <f t="shared" si="88"/>
        <v xml:space="preserve"> Not Achieved</v>
      </c>
      <c r="T619" s="2" t="str">
        <f t="shared" si="89"/>
        <v>Average</v>
      </c>
      <c r="U619" s="2"/>
    </row>
    <row r="620" spans="1:21" x14ac:dyDescent="0.3">
      <c r="A620">
        <v>619</v>
      </c>
      <c r="B620" t="s">
        <v>978</v>
      </c>
      <c r="C620" t="str">
        <f t="shared" si="81"/>
        <v>EMP_619</v>
      </c>
      <c r="D620" t="s">
        <v>11</v>
      </c>
      <c r="E620" t="str">
        <f t="shared" si="82"/>
        <v>EMP_619Finance</v>
      </c>
      <c r="F620" t="s">
        <v>18</v>
      </c>
      <c r="G620" t="s">
        <v>13</v>
      </c>
      <c r="H620">
        <v>69871</v>
      </c>
      <c r="I620">
        <v>11817</v>
      </c>
      <c r="J620">
        <v>0</v>
      </c>
      <c r="K620">
        <v>0</v>
      </c>
      <c r="L620" s="4">
        <v>43376</v>
      </c>
      <c r="M620" s="4" t="str">
        <f t="shared" si="83"/>
        <v>2018</v>
      </c>
      <c r="N620" s="1">
        <f t="shared" ca="1" si="84"/>
        <v>46064</v>
      </c>
      <c r="O620" s="6">
        <f t="shared" ca="1" si="85"/>
        <v>7</v>
      </c>
      <c r="P620">
        <v>1</v>
      </c>
      <c r="Q620">
        <f t="shared" si="86"/>
        <v>81688</v>
      </c>
      <c r="R620" s="2">
        <f t="shared" si="87"/>
        <v>40844</v>
      </c>
      <c r="S620" s="2" t="str">
        <f t="shared" si="88"/>
        <v xml:space="preserve"> Not Achieved</v>
      </c>
      <c r="T620" s="2" t="str">
        <f t="shared" si="89"/>
        <v xml:space="preserve"> Excellent</v>
      </c>
      <c r="U620" s="2"/>
    </row>
    <row r="621" spans="1:21" x14ac:dyDescent="0.3">
      <c r="A621">
        <v>620</v>
      </c>
      <c r="B621" t="s">
        <v>979</v>
      </c>
      <c r="C621" t="str">
        <f t="shared" si="81"/>
        <v>EMP_620</v>
      </c>
      <c r="D621" t="s">
        <v>11</v>
      </c>
      <c r="E621" t="str">
        <f t="shared" si="82"/>
        <v>EMP_620Marketing</v>
      </c>
      <c r="F621" t="s">
        <v>24</v>
      </c>
      <c r="G621" t="s">
        <v>25</v>
      </c>
      <c r="H621">
        <v>64159</v>
      </c>
      <c r="I621">
        <v>9573</v>
      </c>
      <c r="J621">
        <v>0</v>
      </c>
      <c r="K621">
        <v>0</v>
      </c>
      <c r="L621" s="4" t="s">
        <v>980</v>
      </c>
      <c r="M621" s="4" t="str">
        <f t="shared" si="83"/>
        <v>10/27/2019</v>
      </c>
      <c r="N621" s="1">
        <f t="shared" ca="1" si="84"/>
        <v>46064</v>
      </c>
      <c r="O621" s="6" t="e">
        <f t="shared" ca="1" si="85"/>
        <v>#VALUE!</v>
      </c>
      <c r="P621">
        <v>1</v>
      </c>
      <c r="Q621">
        <f t="shared" si="86"/>
        <v>73732</v>
      </c>
      <c r="R621" s="2">
        <f t="shared" si="87"/>
        <v>36866</v>
      </c>
      <c r="S621" s="2" t="str">
        <f t="shared" si="88"/>
        <v xml:space="preserve"> Not Achieved</v>
      </c>
      <c r="T621" s="2" t="str">
        <f t="shared" si="89"/>
        <v xml:space="preserve"> Excellent</v>
      </c>
      <c r="U621" s="2"/>
    </row>
    <row r="622" spans="1:21" x14ac:dyDescent="0.3">
      <c r="A622">
        <v>621</v>
      </c>
      <c r="B622" t="s">
        <v>981</v>
      </c>
      <c r="C622" t="str">
        <f t="shared" si="81"/>
        <v>EMP_621</v>
      </c>
      <c r="D622" t="s">
        <v>15</v>
      </c>
      <c r="E622" t="str">
        <f t="shared" si="82"/>
        <v>EMP_621Marketing</v>
      </c>
      <c r="F622" t="s">
        <v>24</v>
      </c>
      <c r="G622" t="s">
        <v>22</v>
      </c>
      <c r="H622">
        <v>71484</v>
      </c>
      <c r="I622">
        <v>9281</v>
      </c>
      <c r="J622">
        <v>0</v>
      </c>
      <c r="K622">
        <v>0</v>
      </c>
      <c r="L622" s="4" t="s">
        <v>982</v>
      </c>
      <c r="M622" s="4" t="str">
        <f t="shared" si="83"/>
        <v>11/28/2021</v>
      </c>
      <c r="N622" s="1">
        <f t="shared" ca="1" si="84"/>
        <v>46064</v>
      </c>
      <c r="O622" s="6" t="e">
        <f t="shared" ca="1" si="85"/>
        <v>#VALUE!</v>
      </c>
      <c r="P622">
        <v>1</v>
      </c>
      <c r="Q622">
        <f t="shared" si="86"/>
        <v>80765</v>
      </c>
      <c r="R622" s="2">
        <f t="shared" si="87"/>
        <v>40382.5</v>
      </c>
      <c r="S622" s="2" t="str">
        <f t="shared" si="88"/>
        <v xml:space="preserve"> Not Achieved</v>
      </c>
      <c r="T622" s="2" t="str">
        <f t="shared" si="89"/>
        <v xml:space="preserve"> Excellent</v>
      </c>
      <c r="U622" s="2"/>
    </row>
    <row r="623" spans="1:21" x14ac:dyDescent="0.3">
      <c r="A623">
        <v>622</v>
      </c>
      <c r="B623" t="s">
        <v>983</v>
      </c>
      <c r="C623" t="str">
        <f t="shared" si="81"/>
        <v>EMP_622</v>
      </c>
      <c r="D623" t="s">
        <v>15</v>
      </c>
      <c r="E623" t="str">
        <f t="shared" si="82"/>
        <v>EMP_622Finance</v>
      </c>
      <c r="F623" t="s">
        <v>18</v>
      </c>
      <c r="G623" t="s">
        <v>22</v>
      </c>
      <c r="H623">
        <v>44438</v>
      </c>
      <c r="I623">
        <v>10559</v>
      </c>
      <c r="J623">
        <v>0</v>
      </c>
      <c r="K623">
        <v>0</v>
      </c>
      <c r="L623" s="4" t="s">
        <v>984</v>
      </c>
      <c r="M623" s="4" t="str">
        <f t="shared" si="83"/>
        <v>1/16/2024</v>
      </c>
      <c r="N623" s="1">
        <f t="shared" ca="1" si="84"/>
        <v>46064</v>
      </c>
      <c r="O623" s="6" t="e">
        <f t="shared" ca="1" si="85"/>
        <v>#VALUE!</v>
      </c>
      <c r="P623">
        <v>3</v>
      </c>
      <c r="Q623">
        <f t="shared" si="86"/>
        <v>54997</v>
      </c>
      <c r="R623" s="2">
        <f t="shared" si="87"/>
        <v>27498.5</v>
      </c>
      <c r="S623" s="2" t="str">
        <f t="shared" si="88"/>
        <v xml:space="preserve"> Not Achieved</v>
      </c>
      <c r="T623" s="2" t="str">
        <f t="shared" si="89"/>
        <v>Good</v>
      </c>
      <c r="U623" s="2"/>
    </row>
    <row r="624" spans="1:21" x14ac:dyDescent="0.3">
      <c r="A624">
        <v>623</v>
      </c>
      <c r="B624" t="s">
        <v>985</v>
      </c>
      <c r="C624" t="str">
        <f t="shared" si="81"/>
        <v>EMP_623</v>
      </c>
      <c r="D624" t="s">
        <v>15</v>
      </c>
      <c r="E624" t="str">
        <f t="shared" si="82"/>
        <v>EMP_623Marketing</v>
      </c>
      <c r="F624" t="s">
        <v>24</v>
      </c>
      <c r="G624" t="s">
        <v>25</v>
      </c>
      <c r="H624">
        <v>73531</v>
      </c>
      <c r="I624">
        <v>11530</v>
      </c>
      <c r="J624">
        <v>0</v>
      </c>
      <c r="K624">
        <v>0</v>
      </c>
      <c r="L624" s="4">
        <v>44208</v>
      </c>
      <c r="M624" s="4" t="str">
        <f t="shared" si="83"/>
        <v>2021</v>
      </c>
      <c r="N624" s="1">
        <f t="shared" ca="1" si="84"/>
        <v>46064</v>
      </c>
      <c r="O624" s="6">
        <f t="shared" ca="1" si="85"/>
        <v>5</v>
      </c>
      <c r="P624">
        <v>2</v>
      </c>
      <c r="Q624">
        <f t="shared" si="86"/>
        <v>85061</v>
      </c>
      <c r="R624" s="2">
        <f t="shared" si="87"/>
        <v>42530.5</v>
      </c>
      <c r="S624" s="2" t="str">
        <f t="shared" si="88"/>
        <v xml:space="preserve"> Not Achieved</v>
      </c>
      <c r="T624" s="2" t="str">
        <f t="shared" si="89"/>
        <v xml:space="preserve"> Excellent</v>
      </c>
      <c r="U624" s="2"/>
    </row>
    <row r="625" spans="1:21" x14ac:dyDescent="0.3">
      <c r="A625">
        <v>624</v>
      </c>
      <c r="B625" t="s">
        <v>986</v>
      </c>
      <c r="C625" t="str">
        <f t="shared" si="81"/>
        <v>EMP_624</v>
      </c>
      <c r="D625" t="s">
        <v>11</v>
      </c>
      <c r="E625" t="str">
        <f t="shared" si="82"/>
        <v>EMP_624Marketing</v>
      </c>
      <c r="F625" t="s">
        <v>24</v>
      </c>
      <c r="G625" t="s">
        <v>19</v>
      </c>
      <c r="H625">
        <v>78791</v>
      </c>
      <c r="I625">
        <v>2250</v>
      </c>
      <c r="J625">
        <v>0</v>
      </c>
      <c r="K625">
        <v>0</v>
      </c>
      <c r="L625" s="4" t="s">
        <v>987</v>
      </c>
      <c r="M625" s="4" t="str">
        <f t="shared" si="83"/>
        <v>2/25/2018</v>
      </c>
      <c r="N625" s="1">
        <f t="shared" ca="1" si="84"/>
        <v>46064</v>
      </c>
      <c r="O625" s="6" t="e">
        <f t="shared" ca="1" si="85"/>
        <v>#VALUE!</v>
      </c>
      <c r="P625">
        <v>2</v>
      </c>
      <c r="Q625">
        <f t="shared" si="86"/>
        <v>81041</v>
      </c>
      <c r="R625" s="2">
        <f t="shared" si="87"/>
        <v>40520.5</v>
      </c>
      <c r="S625" s="2" t="str">
        <f t="shared" si="88"/>
        <v xml:space="preserve"> Not Achieved</v>
      </c>
      <c r="T625" s="2" t="str">
        <f t="shared" si="89"/>
        <v xml:space="preserve"> Excellent</v>
      </c>
      <c r="U625" s="2"/>
    </row>
    <row r="626" spans="1:21" x14ac:dyDescent="0.3">
      <c r="A626">
        <v>625</v>
      </c>
      <c r="B626" t="s">
        <v>988</v>
      </c>
      <c r="C626" t="str">
        <f t="shared" si="81"/>
        <v>EMP_625</v>
      </c>
      <c r="D626" t="s">
        <v>15</v>
      </c>
      <c r="E626" t="str">
        <f t="shared" si="82"/>
        <v>EMP_625Sales</v>
      </c>
      <c r="F626" t="s">
        <v>7</v>
      </c>
      <c r="G626" t="s">
        <v>22</v>
      </c>
      <c r="H626">
        <v>68158</v>
      </c>
      <c r="I626">
        <v>7785</v>
      </c>
      <c r="J626">
        <v>213903</v>
      </c>
      <c r="K626">
        <v>181354</v>
      </c>
      <c r="L626" s="4">
        <v>44811</v>
      </c>
      <c r="M626" s="4" t="str">
        <f t="shared" si="83"/>
        <v>2022</v>
      </c>
      <c r="N626" s="1">
        <f t="shared" ca="1" si="84"/>
        <v>46064</v>
      </c>
      <c r="O626" s="6">
        <f t="shared" ca="1" si="85"/>
        <v>3</v>
      </c>
      <c r="P626">
        <v>5</v>
      </c>
      <c r="Q626">
        <f t="shared" si="86"/>
        <v>75943</v>
      </c>
      <c r="R626" s="2">
        <f t="shared" si="87"/>
        <v>37971.5</v>
      </c>
      <c r="S626" s="2" t="str">
        <f t="shared" si="88"/>
        <v>Achieved</v>
      </c>
      <c r="T626" s="2" t="str">
        <f t="shared" si="89"/>
        <v xml:space="preserve"> Excellent</v>
      </c>
      <c r="U626" s="2"/>
    </row>
    <row r="627" spans="1:21" x14ac:dyDescent="0.3">
      <c r="A627">
        <v>626</v>
      </c>
      <c r="B627" t="s">
        <v>989</v>
      </c>
      <c r="C627" t="str">
        <f t="shared" si="81"/>
        <v>EMP_626</v>
      </c>
      <c r="D627" t="s">
        <v>11</v>
      </c>
      <c r="E627" t="str">
        <f t="shared" si="82"/>
        <v>EMP_626IT</v>
      </c>
      <c r="F627" t="s">
        <v>21</v>
      </c>
      <c r="G627" t="s">
        <v>13</v>
      </c>
      <c r="H627">
        <v>49096</v>
      </c>
      <c r="I627">
        <v>11584</v>
      </c>
      <c r="J627">
        <v>0</v>
      </c>
      <c r="K627">
        <v>0</v>
      </c>
      <c r="L627" s="4" t="s">
        <v>990</v>
      </c>
      <c r="M627" s="4" t="str">
        <f t="shared" si="83"/>
        <v>10/31/2018</v>
      </c>
      <c r="N627" s="1">
        <f t="shared" ca="1" si="84"/>
        <v>46064</v>
      </c>
      <c r="O627" s="6" t="e">
        <f t="shared" ca="1" si="85"/>
        <v>#VALUE!</v>
      </c>
      <c r="P627">
        <v>1</v>
      </c>
      <c r="Q627">
        <f t="shared" si="86"/>
        <v>60680</v>
      </c>
      <c r="R627" s="2">
        <f t="shared" si="87"/>
        <v>30340</v>
      </c>
      <c r="S627" s="2" t="str">
        <f t="shared" si="88"/>
        <v xml:space="preserve"> Not Achieved</v>
      </c>
      <c r="T627" s="2" t="str">
        <f t="shared" si="89"/>
        <v>Good</v>
      </c>
      <c r="U627" s="2"/>
    </row>
    <row r="628" spans="1:21" x14ac:dyDescent="0.3">
      <c r="A628">
        <v>627</v>
      </c>
      <c r="B628" t="s">
        <v>991</v>
      </c>
      <c r="C628" t="str">
        <f t="shared" si="81"/>
        <v>EMP_627</v>
      </c>
      <c r="D628" t="s">
        <v>11</v>
      </c>
      <c r="E628" t="str">
        <f t="shared" si="82"/>
        <v>EMP_627IT</v>
      </c>
      <c r="F628" t="s">
        <v>21</v>
      </c>
      <c r="G628" t="s">
        <v>19</v>
      </c>
      <c r="H628">
        <v>31172</v>
      </c>
      <c r="I628">
        <v>10204</v>
      </c>
      <c r="J628">
        <v>0</v>
      </c>
      <c r="K628">
        <v>0</v>
      </c>
      <c r="L628" s="4" t="s">
        <v>94</v>
      </c>
      <c r="M628" s="4" t="str">
        <f t="shared" si="83"/>
        <v>11/23/2020</v>
      </c>
      <c r="N628" s="1">
        <f t="shared" ca="1" si="84"/>
        <v>46064</v>
      </c>
      <c r="O628" s="6" t="e">
        <f t="shared" ca="1" si="85"/>
        <v>#VALUE!</v>
      </c>
      <c r="P628">
        <v>4</v>
      </c>
      <c r="Q628">
        <f t="shared" si="86"/>
        <v>41376</v>
      </c>
      <c r="R628" s="2">
        <f t="shared" si="87"/>
        <v>20688</v>
      </c>
      <c r="S628" s="2" t="str">
        <f t="shared" si="88"/>
        <v xml:space="preserve"> Not Achieved</v>
      </c>
      <c r="T628" s="2" t="str">
        <f t="shared" si="89"/>
        <v>Average</v>
      </c>
      <c r="U628" s="2"/>
    </row>
    <row r="629" spans="1:21" x14ac:dyDescent="0.3">
      <c r="A629">
        <v>628</v>
      </c>
      <c r="B629" t="s">
        <v>992</v>
      </c>
      <c r="C629" t="str">
        <f t="shared" si="81"/>
        <v>EMP_628</v>
      </c>
      <c r="D629" t="s">
        <v>11</v>
      </c>
      <c r="E629" t="str">
        <f t="shared" si="82"/>
        <v>EMP_628Finance</v>
      </c>
      <c r="F629" t="s">
        <v>18</v>
      </c>
      <c r="G629" t="s">
        <v>22</v>
      </c>
      <c r="H629">
        <v>39672</v>
      </c>
      <c r="I629">
        <v>14518</v>
      </c>
      <c r="J629">
        <v>0</v>
      </c>
      <c r="K629">
        <v>0</v>
      </c>
      <c r="L629" s="4" t="s">
        <v>993</v>
      </c>
      <c r="M629" s="4" t="str">
        <f t="shared" si="83"/>
        <v>9/30/2019</v>
      </c>
      <c r="N629" s="1">
        <f t="shared" ca="1" si="84"/>
        <v>46064</v>
      </c>
      <c r="O629" s="6" t="e">
        <f t="shared" ca="1" si="85"/>
        <v>#VALUE!</v>
      </c>
      <c r="P629">
        <v>2</v>
      </c>
      <c r="Q629">
        <f t="shared" si="86"/>
        <v>54190</v>
      </c>
      <c r="R629" s="2">
        <f t="shared" si="87"/>
        <v>27095</v>
      </c>
      <c r="S629" s="2" t="str">
        <f t="shared" si="88"/>
        <v xml:space="preserve"> Not Achieved</v>
      </c>
      <c r="T629" s="2" t="str">
        <f t="shared" si="89"/>
        <v>Average</v>
      </c>
      <c r="U629" s="2"/>
    </row>
    <row r="630" spans="1:21" x14ac:dyDescent="0.3">
      <c r="A630">
        <v>629</v>
      </c>
      <c r="B630" t="s">
        <v>994</v>
      </c>
      <c r="C630" t="str">
        <f t="shared" si="81"/>
        <v>EMP_629</v>
      </c>
      <c r="D630" t="s">
        <v>15</v>
      </c>
      <c r="E630" t="str">
        <f t="shared" si="82"/>
        <v>EMP_629Marketing</v>
      </c>
      <c r="F630" t="s">
        <v>24</v>
      </c>
      <c r="G630" t="s">
        <v>22</v>
      </c>
      <c r="H630">
        <v>65923</v>
      </c>
      <c r="I630">
        <v>4726</v>
      </c>
      <c r="J630">
        <v>0</v>
      </c>
      <c r="K630">
        <v>0</v>
      </c>
      <c r="L630" s="4">
        <v>44744</v>
      </c>
      <c r="M630" s="4" t="str">
        <f t="shared" si="83"/>
        <v>2022</v>
      </c>
      <c r="N630" s="1">
        <f t="shared" ca="1" si="84"/>
        <v>46064</v>
      </c>
      <c r="O630" s="6">
        <f t="shared" ca="1" si="85"/>
        <v>3</v>
      </c>
      <c r="P630">
        <v>2</v>
      </c>
      <c r="Q630">
        <f t="shared" si="86"/>
        <v>70649</v>
      </c>
      <c r="R630" s="2">
        <f t="shared" si="87"/>
        <v>35324.5</v>
      </c>
      <c r="S630" s="2" t="str">
        <f t="shared" si="88"/>
        <v xml:space="preserve"> Not Achieved</v>
      </c>
      <c r="T630" s="2" t="str">
        <f t="shared" si="89"/>
        <v xml:space="preserve"> Excellent</v>
      </c>
      <c r="U630" s="2"/>
    </row>
    <row r="631" spans="1:21" x14ac:dyDescent="0.3">
      <c r="A631">
        <v>630</v>
      </c>
      <c r="B631" t="s">
        <v>995</v>
      </c>
      <c r="C631" t="str">
        <f t="shared" si="81"/>
        <v>EMP_630</v>
      </c>
      <c r="D631" t="s">
        <v>15</v>
      </c>
      <c r="E631" t="str">
        <f t="shared" si="82"/>
        <v>EMP_630Marketing</v>
      </c>
      <c r="F631" t="s">
        <v>24</v>
      </c>
      <c r="G631" t="s">
        <v>25</v>
      </c>
      <c r="H631">
        <v>25665</v>
      </c>
      <c r="I631">
        <v>12960</v>
      </c>
      <c r="J631">
        <v>0</v>
      </c>
      <c r="K631">
        <v>0</v>
      </c>
      <c r="L631" s="4">
        <v>43872</v>
      </c>
      <c r="M631" s="4" t="str">
        <f t="shared" si="83"/>
        <v>2020</v>
      </c>
      <c r="N631" s="1">
        <f t="shared" ca="1" si="84"/>
        <v>46064</v>
      </c>
      <c r="O631" s="6">
        <f t="shared" ca="1" si="85"/>
        <v>6</v>
      </c>
      <c r="P631">
        <v>4</v>
      </c>
      <c r="Q631">
        <f t="shared" si="86"/>
        <v>38625</v>
      </c>
      <c r="R631" s="2">
        <f t="shared" si="87"/>
        <v>19312.5</v>
      </c>
      <c r="S631" s="2" t="str">
        <f t="shared" si="88"/>
        <v xml:space="preserve"> Not Achieved</v>
      </c>
      <c r="T631" s="2" t="str">
        <f t="shared" si="89"/>
        <v>poor</v>
      </c>
      <c r="U631" s="2"/>
    </row>
    <row r="632" spans="1:21" x14ac:dyDescent="0.3">
      <c r="A632">
        <v>631</v>
      </c>
      <c r="B632" t="s">
        <v>996</v>
      </c>
      <c r="C632" t="str">
        <f t="shared" si="81"/>
        <v>EMP_631</v>
      </c>
      <c r="D632" t="s">
        <v>15</v>
      </c>
      <c r="E632" t="str">
        <f t="shared" si="82"/>
        <v>EMP_631Marketing</v>
      </c>
      <c r="F632" t="s">
        <v>24</v>
      </c>
      <c r="G632" t="s">
        <v>13</v>
      </c>
      <c r="H632">
        <v>38265</v>
      </c>
      <c r="I632">
        <v>14324</v>
      </c>
      <c r="J632">
        <v>0</v>
      </c>
      <c r="K632">
        <v>0</v>
      </c>
      <c r="L632" s="4" t="s">
        <v>997</v>
      </c>
      <c r="M632" s="4" t="str">
        <f t="shared" si="83"/>
        <v>11/23/2019</v>
      </c>
      <c r="N632" s="1">
        <f t="shared" ca="1" si="84"/>
        <v>46064</v>
      </c>
      <c r="O632" s="6" t="e">
        <f t="shared" ca="1" si="85"/>
        <v>#VALUE!</v>
      </c>
      <c r="P632">
        <v>4</v>
      </c>
      <c r="Q632">
        <f t="shared" si="86"/>
        <v>52589</v>
      </c>
      <c r="R632" s="2">
        <f t="shared" si="87"/>
        <v>26294.5</v>
      </c>
      <c r="S632" s="2" t="str">
        <f t="shared" si="88"/>
        <v xml:space="preserve"> Not Achieved</v>
      </c>
      <c r="T632" s="2" t="str">
        <f t="shared" si="89"/>
        <v>Average</v>
      </c>
      <c r="U632" s="2"/>
    </row>
    <row r="633" spans="1:21" x14ac:dyDescent="0.3">
      <c r="A633">
        <v>632</v>
      </c>
      <c r="B633" t="s">
        <v>998</v>
      </c>
      <c r="C633" t="str">
        <f t="shared" si="81"/>
        <v>EMP_632</v>
      </c>
      <c r="D633" t="s">
        <v>15</v>
      </c>
      <c r="E633" t="str">
        <f t="shared" si="82"/>
        <v>EMP_632IT</v>
      </c>
      <c r="F633" t="s">
        <v>21</v>
      </c>
      <c r="G633" t="s">
        <v>16</v>
      </c>
      <c r="H633">
        <v>70293</v>
      </c>
      <c r="I633">
        <v>4696</v>
      </c>
      <c r="J633">
        <v>0</v>
      </c>
      <c r="K633">
        <v>0</v>
      </c>
      <c r="L633" s="4" t="s">
        <v>999</v>
      </c>
      <c r="M633" s="4" t="str">
        <f t="shared" si="83"/>
        <v>6/13/2018</v>
      </c>
      <c r="N633" s="1">
        <f t="shared" ca="1" si="84"/>
        <v>46064</v>
      </c>
      <c r="O633" s="6" t="e">
        <f t="shared" ca="1" si="85"/>
        <v>#VALUE!</v>
      </c>
      <c r="P633">
        <v>2</v>
      </c>
      <c r="Q633">
        <f t="shared" si="86"/>
        <v>74989</v>
      </c>
      <c r="R633" s="2">
        <f t="shared" si="87"/>
        <v>37494.5</v>
      </c>
      <c r="S633" s="2" t="str">
        <f t="shared" si="88"/>
        <v xml:space="preserve"> Not Achieved</v>
      </c>
      <c r="T633" s="2" t="str">
        <f t="shared" si="89"/>
        <v xml:space="preserve"> Excellent</v>
      </c>
      <c r="U633" s="2"/>
    </row>
    <row r="634" spans="1:21" x14ac:dyDescent="0.3">
      <c r="A634">
        <v>633</v>
      </c>
      <c r="B634" t="s">
        <v>1000</v>
      </c>
      <c r="C634" t="str">
        <f t="shared" si="81"/>
        <v>EMP_633</v>
      </c>
      <c r="D634" t="s">
        <v>15</v>
      </c>
      <c r="E634" t="str">
        <f t="shared" si="82"/>
        <v>EMP_633Finance</v>
      </c>
      <c r="F634" t="s">
        <v>18</v>
      </c>
      <c r="G634" t="s">
        <v>19</v>
      </c>
      <c r="H634">
        <v>32458</v>
      </c>
      <c r="I634">
        <v>9212</v>
      </c>
      <c r="J634">
        <v>0</v>
      </c>
      <c r="K634">
        <v>0</v>
      </c>
      <c r="L634" s="4" t="s">
        <v>1001</v>
      </c>
      <c r="M634" s="4" t="str">
        <f t="shared" si="83"/>
        <v>11/14/2023</v>
      </c>
      <c r="N634" s="1">
        <f t="shared" ca="1" si="84"/>
        <v>46064</v>
      </c>
      <c r="O634" s="6" t="e">
        <f t="shared" ca="1" si="85"/>
        <v>#VALUE!</v>
      </c>
      <c r="P634">
        <v>4</v>
      </c>
      <c r="Q634">
        <f t="shared" si="86"/>
        <v>41670</v>
      </c>
      <c r="R634" s="2">
        <f t="shared" si="87"/>
        <v>20835</v>
      </c>
      <c r="S634" s="2" t="str">
        <f t="shared" si="88"/>
        <v xml:space="preserve"> Not Achieved</v>
      </c>
      <c r="T634" s="2" t="str">
        <f t="shared" si="89"/>
        <v>Average</v>
      </c>
      <c r="U634" s="2"/>
    </row>
    <row r="635" spans="1:21" x14ac:dyDescent="0.3">
      <c r="A635">
        <v>634</v>
      </c>
      <c r="B635" t="s">
        <v>1002</v>
      </c>
      <c r="C635" t="str">
        <f t="shared" si="81"/>
        <v>EMP_634</v>
      </c>
      <c r="D635" t="s">
        <v>11</v>
      </c>
      <c r="E635" t="str">
        <f t="shared" si="82"/>
        <v>EMP_634HR</v>
      </c>
      <c r="F635" t="s">
        <v>12</v>
      </c>
      <c r="G635" t="s">
        <v>16</v>
      </c>
      <c r="H635">
        <v>38004</v>
      </c>
      <c r="I635">
        <v>13476</v>
      </c>
      <c r="J635">
        <v>0</v>
      </c>
      <c r="K635">
        <v>0</v>
      </c>
      <c r="L635" s="4" t="s">
        <v>1003</v>
      </c>
      <c r="M635" s="4" t="str">
        <f t="shared" si="83"/>
        <v>2/14/2018</v>
      </c>
      <c r="N635" s="1">
        <f t="shared" ca="1" si="84"/>
        <v>46064</v>
      </c>
      <c r="O635" s="6" t="e">
        <f t="shared" ca="1" si="85"/>
        <v>#VALUE!</v>
      </c>
      <c r="P635">
        <v>1</v>
      </c>
      <c r="Q635">
        <f t="shared" si="86"/>
        <v>51480</v>
      </c>
      <c r="R635" s="2">
        <f t="shared" si="87"/>
        <v>25740</v>
      </c>
      <c r="S635" s="2" t="str">
        <f t="shared" si="88"/>
        <v xml:space="preserve"> Not Achieved</v>
      </c>
      <c r="T635" s="2" t="str">
        <f t="shared" si="89"/>
        <v>Average</v>
      </c>
      <c r="U635" s="2"/>
    </row>
    <row r="636" spans="1:21" x14ac:dyDescent="0.3">
      <c r="A636">
        <v>635</v>
      </c>
      <c r="B636" t="s">
        <v>1004</v>
      </c>
      <c r="C636" t="str">
        <f t="shared" si="81"/>
        <v>EMP_635</v>
      </c>
      <c r="D636" t="s">
        <v>11</v>
      </c>
      <c r="E636" t="str">
        <f t="shared" si="82"/>
        <v>EMP_635HR</v>
      </c>
      <c r="F636" t="s">
        <v>12</v>
      </c>
      <c r="G636" t="s">
        <v>13</v>
      </c>
      <c r="H636">
        <v>25088</v>
      </c>
      <c r="I636">
        <v>13282</v>
      </c>
      <c r="J636">
        <v>0</v>
      </c>
      <c r="K636">
        <v>0</v>
      </c>
      <c r="L636" s="4" t="s">
        <v>1005</v>
      </c>
      <c r="M636" s="4" t="str">
        <f t="shared" si="83"/>
        <v>10/30/2023</v>
      </c>
      <c r="N636" s="1">
        <f t="shared" ca="1" si="84"/>
        <v>46064</v>
      </c>
      <c r="O636" s="6" t="e">
        <f t="shared" ca="1" si="85"/>
        <v>#VALUE!</v>
      </c>
      <c r="P636">
        <v>4</v>
      </c>
      <c r="Q636">
        <f t="shared" si="86"/>
        <v>38370</v>
      </c>
      <c r="R636" s="2">
        <f t="shared" si="87"/>
        <v>19185</v>
      </c>
      <c r="S636" s="2" t="str">
        <f t="shared" si="88"/>
        <v xml:space="preserve"> Not Achieved</v>
      </c>
      <c r="T636" s="2" t="str">
        <f t="shared" si="89"/>
        <v>poor</v>
      </c>
      <c r="U636" s="2"/>
    </row>
    <row r="637" spans="1:21" x14ac:dyDescent="0.3">
      <c r="A637">
        <v>636</v>
      </c>
      <c r="B637" t="s">
        <v>1006</v>
      </c>
      <c r="C637" t="str">
        <f t="shared" si="81"/>
        <v>EMP_636</v>
      </c>
      <c r="D637" t="s">
        <v>15</v>
      </c>
      <c r="E637" t="str">
        <f t="shared" si="82"/>
        <v>EMP_636Sales</v>
      </c>
      <c r="F637" t="s">
        <v>7</v>
      </c>
      <c r="G637" t="s">
        <v>25</v>
      </c>
      <c r="H637">
        <v>57094</v>
      </c>
      <c r="I637">
        <v>9233</v>
      </c>
      <c r="J637">
        <v>227098</v>
      </c>
      <c r="K637">
        <v>240158</v>
      </c>
      <c r="L637" s="4" t="s">
        <v>1007</v>
      </c>
      <c r="M637" s="4" t="str">
        <f t="shared" si="83"/>
        <v>8/15/2023</v>
      </c>
      <c r="N637" s="1">
        <f t="shared" ca="1" si="84"/>
        <v>46064</v>
      </c>
      <c r="O637" s="6" t="e">
        <f t="shared" ca="1" si="85"/>
        <v>#VALUE!</v>
      </c>
      <c r="P637">
        <v>3</v>
      </c>
      <c r="Q637">
        <f t="shared" si="86"/>
        <v>66327</v>
      </c>
      <c r="R637" s="2">
        <f t="shared" si="87"/>
        <v>33163.5</v>
      </c>
      <c r="S637" s="2" t="str">
        <f t="shared" si="88"/>
        <v xml:space="preserve"> Not Achieved</v>
      </c>
      <c r="T637" s="2" t="str">
        <f t="shared" si="89"/>
        <v xml:space="preserve"> Excellent</v>
      </c>
      <c r="U637" s="2"/>
    </row>
    <row r="638" spans="1:21" x14ac:dyDescent="0.3">
      <c r="A638">
        <v>637</v>
      </c>
      <c r="B638" t="s">
        <v>1008</v>
      </c>
      <c r="C638" t="str">
        <f t="shared" si="81"/>
        <v>EMP_637</v>
      </c>
      <c r="D638" t="s">
        <v>11</v>
      </c>
      <c r="E638" t="str">
        <f t="shared" si="82"/>
        <v>EMP_637Marketing</v>
      </c>
      <c r="F638" t="s">
        <v>24</v>
      </c>
      <c r="G638" t="s">
        <v>25</v>
      </c>
      <c r="H638">
        <v>40529</v>
      </c>
      <c r="I638">
        <v>5587</v>
      </c>
      <c r="J638">
        <v>0</v>
      </c>
      <c r="K638">
        <v>0</v>
      </c>
      <c r="L638" s="4" t="s">
        <v>421</v>
      </c>
      <c r="M638" s="4" t="str">
        <f t="shared" si="83"/>
        <v>11/15/2019</v>
      </c>
      <c r="N638" s="1">
        <f t="shared" ca="1" si="84"/>
        <v>46064</v>
      </c>
      <c r="O638" s="6" t="e">
        <f t="shared" ca="1" si="85"/>
        <v>#VALUE!</v>
      </c>
      <c r="P638">
        <v>2</v>
      </c>
      <c r="Q638">
        <f t="shared" si="86"/>
        <v>46116</v>
      </c>
      <c r="R638" s="2">
        <f t="shared" si="87"/>
        <v>23058</v>
      </c>
      <c r="S638" s="2" t="str">
        <f t="shared" si="88"/>
        <v xml:space="preserve"> Not Achieved</v>
      </c>
      <c r="T638" s="2" t="str">
        <f t="shared" si="89"/>
        <v>Good</v>
      </c>
      <c r="U638" s="2"/>
    </row>
    <row r="639" spans="1:21" x14ac:dyDescent="0.3">
      <c r="A639">
        <v>638</v>
      </c>
      <c r="B639" t="s">
        <v>1009</v>
      </c>
      <c r="C639" t="str">
        <f t="shared" si="81"/>
        <v>EMP_638</v>
      </c>
      <c r="D639" t="s">
        <v>11</v>
      </c>
      <c r="E639" t="str">
        <f t="shared" si="82"/>
        <v>EMP_638Finance</v>
      </c>
      <c r="F639" t="s">
        <v>18</v>
      </c>
      <c r="G639" t="s">
        <v>25</v>
      </c>
      <c r="H639">
        <v>55207</v>
      </c>
      <c r="I639">
        <v>10446</v>
      </c>
      <c r="J639">
        <v>0</v>
      </c>
      <c r="K639">
        <v>0</v>
      </c>
      <c r="L639" s="4" t="s">
        <v>1010</v>
      </c>
      <c r="M639" s="4" t="str">
        <f t="shared" si="83"/>
        <v>11/18/2022</v>
      </c>
      <c r="N639" s="1">
        <f t="shared" ca="1" si="84"/>
        <v>46064</v>
      </c>
      <c r="O639" s="6" t="e">
        <f t="shared" ca="1" si="85"/>
        <v>#VALUE!</v>
      </c>
      <c r="P639">
        <v>1</v>
      </c>
      <c r="Q639">
        <f t="shared" si="86"/>
        <v>65653</v>
      </c>
      <c r="R639" s="2">
        <f t="shared" si="87"/>
        <v>32826.5</v>
      </c>
      <c r="S639" s="2" t="str">
        <f t="shared" si="88"/>
        <v xml:space="preserve"> Not Achieved</v>
      </c>
      <c r="T639" s="2" t="str">
        <f t="shared" si="89"/>
        <v xml:space="preserve"> Excellent</v>
      </c>
      <c r="U639" s="2"/>
    </row>
    <row r="640" spans="1:21" x14ac:dyDescent="0.3">
      <c r="A640">
        <v>639</v>
      </c>
      <c r="B640" t="s">
        <v>1011</v>
      </c>
      <c r="C640" t="str">
        <f t="shared" si="81"/>
        <v>EMP_639</v>
      </c>
      <c r="D640" t="s">
        <v>11</v>
      </c>
      <c r="E640" t="str">
        <f t="shared" si="82"/>
        <v>EMP_639IT</v>
      </c>
      <c r="F640" t="s">
        <v>21</v>
      </c>
      <c r="G640" t="s">
        <v>22</v>
      </c>
      <c r="H640">
        <v>36617</v>
      </c>
      <c r="I640">
        <v>3098</v>
      </c>
      <c r="J640">
        <v>0</v>
      </c>
      <c r="K640">
        <v>0</v>
      </c>
      <c r="L640" s="4">
        <v>43924</v>
      </c>
      <c r="M640" s="4" t="str">
        <f t="shared" si="83"/>
        <v>2020</v>
      </c>
      <c r="N640" s="1">
        <f t="shared" ca="1" si="84"/>
        <v>46064</v>
      </c>
      <c r="O640" s="6">
        <f t="shared" ca="1" si="85"/>
        <v>5</v>
      </c>
      <c r="P640">
        <v>1</v>
      </c>
      <c r="Q640">
        <f t="shared" si="86"/>
        <v>39715</v>
      </c>
      <c r="R640" s="2">
        <f t="shared" si="87"/>
        <v>19857.5</v>
      </c>
      <c r="S640" s="2" t="str">
        <f t="shared" si="88"/>
        <v xml:space="preserve"> Not Achieved</v>
      </c>
      <c r="T640" s="2" t="str">
        <f t="shared" si="89"/>
        <v>Average</v>
      </c>
      <c r="U640" s="2"/>
    </row>
    <row r="641" spans="1:21" x14ac:dyDescent="0.3">
      <c r="A641">
        <v>640</v>
      </c>
      <c r="B641" t="s">
        <v>1012</v>
      </c>
      <c r="C641" t="str">
        <f t="shared" si="81"/>
        <v>EMP_640</v>
      </c>
      <c r="D641" t="s">
        <v>11</v>
      </c>
      <c r="E641" t="str">
        <f t="shared" si="82"/>
        <v>EMP_640IT</v>
      </c>
      <c r="F641" t="s">
        <v>21</v>
      </c>
      <c r="G641" t="s">
        <v>13</v>
      </c>
      <c r="H641">
        <v>27014</v>
      </c>
      <c r="I641">
        <v>6776</v>
      </c>
      <c r="J641">
        <v>0</v>
      </c>
      <c r="K641">
        <v>0</v>
      </c>
      <c r="L641" s="4" t="s">
        <v>1013</v>
      </c>
      <c r="M641" s="4" t="str">
        <f t="shared" si="83"/>
        <v>3/28/2020</v>
      </c>
      <c r="N641" s="1">
        <f t="shared" ca="1" si="84"/>
        <v>46064</v>
      </c>
      <c r="O641" s="6" t="e">
        <f t="shared" ca="1" si="85"/>
        <v>#VALUE!</v>
      </c>
      <c r="P641">
        <v>5</v>
      </c>
      <c r="Q641">
        <f t="shared" si="86"/>
        <v>33790</v>
      </c>
      <c r="R641" s="2">
        <f t="shared" si="87"/>
        <v>16895</v>
      </c>
      <c r="S641" s="2" t="str">
        <f t="shared" si="88"/>
        <v xml:space="preserve"> Not Achieved</v>
      </c>
      <c r="T641" s="2" t="str">
        <f t="shared" si="89"/>
        <v>poor</v>
      </c>
      <c r="U641" s="2"/>
    </row>
    <row r="642" spans="1:21" x14ac:dyDescent="0.3">
      <c r="A642">
        <v>641</v>
      </c>
      <c r="B642" t="s">
        <v>1014</v>
      </c>
      <c r="C642" t="str">
        <f t="shared" si="81"/>
        <v>EMP_641</v>
      </c>
      <c r="D642" t="s">
        <v>15</v>
      </c>
      <c r="E642" t="str">
        <f t="shared" si="82"/>
        <v>EMP_641Sales</v>
      </c>
      <c r="F642" t="s">
        <v>7</v>
      </c>
      <c r="G642" t="s">
        <v>13</v>
      </c>
      <c r="H642">
        <v>34527</v>
      </c>
      <c r="I642">
        <v>4532</v>
      </c>
      <c r="J642">
        <v>147048</v>
      </c>
      <c r="K642">
        <v>177773</v>
      </c>
      <c r="L642" s="4" t="s">
        <v>33</v>
      </c>
      <c r="M642" s="4" t="str">
        <f t="shared" si="83"/>
        <v>2/20/2019</v>
      </c>
      <c r="N642" s="1">
        <f t="shared" ca="1" si="84"/>
        <v>46064</v>
      </c>
      <c r="O642" s="6" t="e">
        <f t="shared" ca="1" si="85"/>
        <v>#VALUE!</v>
      </c>
      <c r="P642">
        <v>1</v>
      </c>
      <c r="Q642">
        <f t="shared" si="86"/>
        <v>39059</v>
      </c>
      <c r="R642" s="2">
        <f t="shared" si="87"/>
        <v>19529.5</v>
      </c>
      <c r="S642" s="2" t="str">
        <f t="shared" si="88"/>
        <v xml:space="preserve"> Not Achieved</v>
      </c>
      <c r="T642" s="2" t="str">
        <f t="shared" si="89"/>
        <v>Average</v>
      </c>
      <c r="U642" s="2"/>
    </row>
    <row r="643" spans="1:21" x14ac:dyDescent="0.3">
      <c r="A643">
        <v>642</v>
      </c>
      <c r="B643" t="s">
        <v>1015</v>
      </c>
      <c r="C643" t="str">
        <f t="shared" ref="C643:C706" si="90">UPPER(B643)</f>
        <v>EMP_642</v>
      </c>
      <c r="D643" t="s">
        <v>15</v>
      </c>
      <c r="E643" t="str">
        <f t="shared" ref="E643:E706" si="91">_xlfn.CONCAT(C643,F643)</f>
        <v>EMP_642Sales</v>
      </c>
      <c r="F643" t="s">
        <v>7</v>
      </c>
      <c r="G643" t="s">
        <v>13</v>
      </c>
      <c r="H643">
        <v>20548</v>
      </c>
      <c r="I643">
        <v>4800</v>
      </c>
      <c r="J643">
        <v>64313</v>
      </c>
      <c r="K643">
        <v>185059</v>
      </c>
      <c r="L643" s="4">
        <v>45268</v>
      </c>
      <c r="M643" s="4" t="str">
        <f t="shared" ref="M643:M706" si="92">TEXT(L643,"yyyy")</f>
        <v>2023</v>
      </c>
      <c r="N643" s="1">
        <f t="shared" ref="N643:N706" ca="1" si="93">TODAY()</f>
        <v>46064</v>
      </c>
      <c r="O643" s="6">
        <f t="shared" ref="O643:O706" ca="1" si="94">DATEDIF(L643, TODAY(), "y")</f>
        <v>2</v>
      </c>
      <c r="P643">
        <v>1</v>
      </c>
      <c r="Q643">
        <f t="shared" ref="Q643:Q706" si="95">SUM(H643,I643)</f>
        <v>25348</v>
      </c>
      <c r="R643" s="2">
        <f t="shared" ref="R643:R706" si="96">AVERAGE(H643,I643)</f>
        <v>12674</v>
      </c>
      <c r="S643" s="2" t="str">
        <f t="shared" ref="S643:S706" si="97">IF(J643&gt;K643,"Achieved"," Not Achieved")</f>
        <v xml:space="preserve"> Not Achieved</v>
      </c>
      <c r="T643" s="2" t="str">
        <f t="shared" ref="T643:T706" si="98">_xlfn.IFS(H643&gt;=50000," Excellent",H643&gt;=40000,"Good",H643&gt;=30000,"Average",H643&lt;30000,"poor")</f>
        <v>poor</v>
      </c>
      <c r="U643" s="2"/>
    </row>
    <row r="644" spans="1:21" x14ac:dyDescent="0.3">
      <c r="A644">
        <v>643</v>
      </c>
      <c r="B644" t="s">
        <v>1016</v>
      </c>
      <c r="C644" t="str">
        <f t="shared" si="90"/>
        <v>EMP_643</v>
      </c>
      <c r="D644" t="s">
        <v>15</v>
      </c>
      <c r="E644" t="str">
        <f t="shared" si="91"/>
        <v>EMP_643IT</v>
      </c>
      <c r="F644" t="s">
        <v>21</v>
      </c>
      <c r="G644" t="s">
        <v>16</v>
      </c>
      <c r="H644">
        <v>52748</v>
      </c>
      <c r="I644">
        <v>9993</v>
      </c>
      <c r="J644">
        <v>0</v>
      </c>
      <c r="K644">
        <v>0</v>
      </c>
      <c r="L644" s="4" t="s">
        <v>1017</v>
      </c>
      <c r="M644" s="4" t="str">
        <f t="shared" si="92"/>
        <v>11/17/2023</v>
      </c>
      <c r="N644" s="1">
        <f t="shared" ca="1" si="93"/>
        <v>46064</v>
      </c>
      <c r="O644" s="6" t="e">
        <f t="shared" ca="1" si="94"/>
        <v>#VALUE!</v>
      </c>
      <c r="P644">
        <v>5</v>
      </c>
      <c r="Q644">
        <f t="shared" si="95"/>
        <v>62741</v>
      </c>
      <c r="R644" s="2">
        <f t="shared" si="96"/>
        <v>31370.5</v>
      </c>
      <c r="S644" s="2" t="str">
        <f t="shared" si="97"/>
        <v xml:space="preserve"> Not Achieved</v>
      </c>
      <c r="T644" s="2" t="str">
        <f t="shared" si="98"/>
        <v xml:space="preserve"> Excellent</v>
      </c>
      <c r="U644" s="2"/>
    </row>
    <row r="645" spans="1:21" x14ac:dyDescent="0.3">
      <c r="A645">
        <v>644</v>
      </c>
      <c r="B645" t="s">
        <v>1018</v>
      </c>
      <c r="C645" t="str">
        <f t="shared" si="90"/>
        <v>EMP_644</v>
      </c>
      <c r="D645" t="s">
        <v>15</v>
      </c>
      <c r="E645" t="str">
        <f t="shared" si="91"/>
        <v>EMP_644Sales</v>
      </c>
      <c r="F645" t="s">
        <v>7</v>
      </c>
      <c r="G645" t="s">
        <v>16</v>
      </c>
      <c r="H645">
        <v>30519</v>
      </c>
      <c r="I645">
        <v>10073</v>
      </c>
      <c r="J645">
        <v>125156</v>
      </c>
      <c r="K645">
        <v>155240</v>
      </c>
      <c r="L645" s="4" t="s">
        <v>1019</v>
      </c>
      <c r="M645" s="4" t="str">
        <f t="shared" si="92"/>
        <v>4/20/2024</v>
      </c>
      <c r="N645" s="1">
        <f t="shared" ca="1" si="93"/>
        <v>46064</v>
      </c>
      <c r="O645" s="6" t="e">
        <f t="shared" ca="1" si="94"/>
        <v>#VALUE!</v>
      </c>
      <c r="P645">
        <v>2</v>
      </c>
      <c r="Q645">
        <f t="shared" si="95"/>
        <v>40592</v>
      </c>
      <c r="R645" s="2">
        <f t="shared" si="96"/>
        <v>20296</v>
      </c>
      <c r="S645" s="2" t="str">
        <f t="shared" si="97"/>
        <v xml:space="preserve"> Not Achieved</v>
      </c>
      <c r="T645" s="2" t="str">
        <f t="shared" si="98"/>
        <v>Average</v>
      </c>
      <c r="U645" s="2"/>
    </row>
    <row r="646" spans="1:21" x14ac:dyDescent="0.3">
      <c r="A646">
        <v>645</v>
      </c>
      <c r="B646" t="s">
        <v>1020</v>
      </c>
      <c r="C646" t="str">
        <f t="shared" si="90"/>
        <v>EMP_645</v>
      </c>
      <c r="D646" t="s">
        <v>11</v>
      </c>
      <c r="E646" t="str">
        <f t="shared" si="91"/>
        <v>EMP_645HR</v>
      </c>
      <c r="F646" t="s">
        <v>12</v>
      </c>
      <c r="G646" t="s">
        <v>22</v>
      </c>
      <c r="H646">
        <v>32597</v>
      </c>
      <c r="I646">
        <v>8587</v>
      </c>
      <c r="J646">
        <v>0</v>
      </c>
      <c r="K646">
        <v>0</v>
      </c>
      <c r="L646" s="4" t="s">
        <v>96</v>
      </c>
      <c r="M646" s="4" t="str">
        <f t="shared" si="92"/>
        <v>8/19/2024</v>
      </c>
      <c r="N646" s="1">
        <f t="shared" ca="1" si="93"/>
        <v>46064</v>
      </c>
      <c r="O646" s="6" t="e">
        <f t="shared" ca="1" si="94"/>
        <v>#VALUE!</v>
      </c>
      <c r="P646">
        <v>3</v>
      </c>
      <c r="Q646">
        <f t="shared" si="95"/>
        <v>41184</v>
      </c>
      <c r="R646" s="2">
        <f t="shared" si="96"/>
        <v>20592</v>
      </c>
      <c r="S646" s="2" t="str">
        <f t="shared" si="97"/>
        <v xml:space="preserve"> Not Achieved</v>
      </c>
      <c r="T646" s="2" t="str">
        <f t="shared" si="98"/>
        <v>Average</v>
      </c>
      <c r="U646" s="2"/>
    </row>
    <row r="647" spans="1:21" x14ac:dyDescent="0.3">
      <c r="A647">
        <v>646</v>
      </c>
      <c r="B647" t="s">
        <v>1021</v>
      </c>
      <c r="C647" t="str">
        <f t="shared" si="90"/>
        <v>EMP_646</v>
      </c>
      <c r="D647" t="s">
        <v>15</v>
      </c>
      <c r="E647" t="str">
        <f t="shared" si="91"/>
        <v>EMP_646HR</v>
      </c>
      <c r="F647" t="s">
        <v>12</v>
      </c>
      <c r="G647" t="s">
        <v>22</v>
      </c>
      <c r="H647">
        <v>67553</v>
      </c>
      <c r="I647">
        <v>7105</v>
      </c>
      <c r="J647">
        <v>0</v>
      </c>
      <c r="K647">
        <v>0</v>
      </c>
      <c r="L647" s="4">
        <v>44533</v>
      </c>
      <c r="M647" s="4" t="str">
        <f t="shared" si="92"/>
        <v>2021</v>
      </c>
      <c r="N647" s="1">
        <f t="shared" ca="1" si="93"/>
        <v>46064</v>
      </c>
      <c r="O647" s="6">
        <f t="shared" ca="1" si="94"/>
        <v>4</v>
      </c>
      <c r="P647">
        <v>2</v>
      </c>
      <c r="Q647">
        <f t="shared" si="95"/>
        <v>74658</v>
      </c>
      <c r="R647" s="2">
        <f t="shared" si="96"/>
        <v>37329</v>
      </c>
      <c r="S647" s="2" t="str">
        <f t="shared" si="97"/>
        <v xml:space="preserve"> Not Achieved</v>
      </c>
      <c r="T647" s="2" t="str">
        <f t="shared" si="98"/>
        <v xml:space="preserve"> Excellent</v>
      </c>
      <c r="U647" s="2"/>
    </row>
    <row r="648" spans="1:21" x14ac:dyDescent="0.3">
      <c r="A648">
        <v>647</v>
      </c>
      <c r="B648" t="s">
        <v>1022</v>
      </c>
      <c r="C648" t="str">
        <f t="shared" si="90"/>
        <v>EMP_647</v>
      </c>
      <c r="D648" t="s">
        <v>11</v>
      </c>
      <c r="E648" t="str">
        <f t="shared" si="91"/>
        <v>EMP_647Sales</v>
      </c>
      <c r="F648" t="s">
        <v>7</v>
      </c>
      <c r="G648" t="s">
        <v>25</v>
      </c>
      <c r="H648">
        <v>34758</v>
      </c>
      <c r="I648">
        <v>3558</v>
      </c>
      <c r="J648">
        <v>76168</v>
      </c>
      <c r="K648">
        <v>200566</v>
      </c>
      <c r="L648" s="4" t="s">
        <v>1023</v>
      </c>
      <c r="M648" s="4" t="str">
        <f t="shared" si="92"/>
        <v>6/29/2023</v>
      </c>
      <c r="N648" s="1">
        <f t="shared" ca="1" si="93"/>
        <v>46064</v>
      </c>
      <c r="O648" s="6" t="e">
        <f t="shared" ca="1" si="94"/>
        <v>#VALUE!</v>
      </c>
      <c r="P648">
        <v>4</v>
      </c>
      <c r="Q648">
        <f t="shared" si="95"/>
        <v>38316</v>
      </c>
      <c r="R648" s="2">
        <f t="shared" si="96"/>
        <v>19158</v>
      </c>
      <c r="S648" s="2" t="str">
        <f t="shared" si="97"/>
        <v xml:space="preserve"> Not Achieved</v>
      </c>
      <c r="T648" s="2" t="str">
        <f t="shared" si="98"/>
        <v>Average</v>
      </c>
      <c r="U648" s="2"/>
    </row>
    <row r="649" spans="1:21" x14ac:dyDescent="0.3">
      <c r="A649">
        <v>648</v>
      </c>
      <c r="B649" t="s">
        <v>1024</v>
      </c>
      <c r="C649" t="str">
        <f t="shared" si="90"/>
        <v>EMP_648</v>
      </c>
      <c r="D649" t="s">
        <v>11</v>
      </c>
      <c r="E649" t="str">
        <f t="shared" si="91"/>
        <v>EMP_648Marketing</v>
      </c>
      <c r="F649" t="s">
        <v>24</v>
      </c>
      <c r="G649" t="s">
        <v>22</v>
      </c>
      <c r="H649">
        <v>26268</v>
      </c>
      <c r="I649">
        <v>6251</v>
      </c>
      <c r="J649">
        <v>0</v>
      </c>
      <c r="K649">
        <v>0</v>
      </c>
      <c r="L649" s="4" t="s">
        <v>1025</v>
      </c>
      <c r="M649" s="4" t="str">
        <f t="shared" si="92"/>
        <v>6/25/2018</v>
      </c>
      <c r="N649" s="1">
        <f t="shared" ca="1" si="93"/>
        <v>46064</v>
      </c>
      <c r="O649" s="6" t="e">
        <f t="shared" ca="1" si="94"/>
        <v>#VALUE!</v>
      </c>
      <c r="P649">
        <v>2</v>
      </c>
      <c r="Q649">
        <f t="shared" si="95"/>
        <v>32519</v>
      </c>
      <c r="R649" s="2">
        <f t="shared" si="96"/>
        <v>16259.5</v>
      </c>
      <c r="S649" s="2" t="str">
        <f t="shared" si="97"/>
        <v xml:space="preserve"> Not Achieved</v>
      </c>
      <c r="T649" s="2" t="str">
        <f t="shared" si="98"/>
        <v>poor</v>
      </c>
      <c r="U649" s="2"/>
    </row>
    <row r="650" spans="1:21" x14ac:dyDescent="0.3">
      <c r="A650">
        <v>649</v>
      </c>
      <c r="B650" t="s">
        <v>1026</v>
      </c>
      <c r="C650" t="str">
        <f t="shared" si="90"/>
        <v>EMP_649</v>
      </c>
      <c r="D650" t="s">
        <v>15</v>
      </c>
      <c r="E650" t="str">
        <f t="shared" si="91"/>
        <v>EMP_649Finance</v>
      </c>
      <c r="F650" t="s">
        <v>18</v>
      </c>
      <c r="G650" t="s">
        <v>13</v>
      </c>
      <c r="H650">
        <v>64643</v>
      </c>
      <c r="I650">
        <v>13993</v>
      </c>
      <c r="J650">
        <v>0</v>
      </c>
      <c r="K650">
        <v>0</v>
      </c>
      <c r="L650" s="4">
        <v>44536</v>
      </c>
      <c r="M650" s="4" t="str">
        <f t="shared" si="92"/>
        <v>2021</v>
      </c>
      <c r="N650" s="1">
        <f t="shared" ca="1" si="93"/>
        <v>46064</v>
      </c>
      <c r="O650" s="6">
        <f t="shared" ca="1" si="94"/>
        <v>4</v>
      </c>
      <c r="P650">
        <v>3</v>
      </c>
      <c r="Q650">
        <f t="shared" si="95"/>
        <v>78636</v>
      </c>
      <c r="R650" s="2">
        <f t="shared" si="96"/>
        <v>39318</v>
      </c>
      <c r="S650" s="2" t="str">
        <f t="shared" si="97"/>
        <v xml:space="preserve"> Not Achieved</v>
      </c>
      <c r="T650" s="2" t="str">
        <f t="shared" si="98"/>
        <v xml:space="preserve"> Excellent</v>
      </c>
      <c r="U650" s="2"/>
    </row>
    <row r="651" spans="1:21" x14ac:dyDescent="0.3">
      <c r="A651">
        <v>650</v>
      </c>
      <c r="B651" t="s">
        <v>1027</v>
      </c>
      <c r="C651" t="str">
        <f t="shared" si="90"/>
        <v>EMP_650</v>
      </c>
      <c r="D651" t="s">
        <v>15</v>
      </c>
      <c r="E651" t="str">
        <f t="shared" si="91"/>
        <v>EMP_650Sales</v>
      </c>
      <c r="F651" t="s">
        <v>7</v>
      </c>
      <c r="G651" t="s">
        <v>25</v>
      </c>
      <c r="H651">
        <v>42485</v>
      </c>
      <c r="I651">
        <v>9300</v>
      </c>
      <c r="J651">
        <v>219887</v>
      </c>
      <c r="K651">
        <v>201787</v>
      </c>
      <c r="L651" s="4" t="s">
        <v>1028</v>
      </c>
      <c r="M651" s="4" t="str">
        <f t="shared" si="92"/>
        <v>1/25/2018</v>
      </c>
      <c r="N651" s="1">
        <f t="shared" ca="1" si="93"/>
        <v>46064</v>
      </c>
      <c r="O651" s="6" t="e">
        <f t="shared" ca="1" si="94"/>
        <v>#VALUE!</v>
      </c>
      <c r="P651">
        <v>2</v>
      </c>
      <c r="Q651">
        <f t="shared" si="95"/>
        <v>51785</v>
      </c>
      <c r="R651" s="2">
        <f t="shared" si="96"/>
        <v>25892.5</v>
      </c>
      <c r="S651" s="2" t="str">
        <f t="shared" si="97"/>
        <v>Achieved</v>
      </c>
      <c r="T651" s="2" t="str">
        <f t="shared" si="98"/>
        <v>Good</v>
      </c>
      <c r="U651" s="2"/>
    </row>
    <row r="652" spans="1:21" x14ac:dyDescent="0.3">
      <c r="A652">
        <v>651</v>
      </c>
      <c r="B652" t="s">
        <v>1029</v>
      </c>
      <c r="C652" t="str">
        <f t="shared" si="90"/>
        <v>EMP_651</v>
      </c>
      <c r="D652" t="s">
        <v>15</v>
      </c>
      <c r="E652" t="str">
        <f t="shared" si="91"/>
        <v>EMP_651HR</v>
      </c>
      <c r="F652" t="s">
        <v>12</v>
      </c>
      <c r="G652" t="s">
        <v>13</v>
      </c>
      <c r="H652">
        <v>27886</v>
      </c>
      <c r="I652">
        <v>8674</v>
      </c>
      <c r="J652">
        <v>0</v>
      </c>
      <c r="K652">
        <v>0</v>
      </c>
      <c r="L652" s="4" t="s">
        <v>1030</v>
      </c>
      <c r="M652" s="4" t="str">
        <f t="shared" si="92"/>
        <v>1/22/2018</v>
      </c>
      <c r="N652" s="1">
        <f t="shared" ca="1" si="93"/>
        <v>46064</v>
      </c>
      <c r="O652" s="6" t="e">
        <f t="shared" ca="1" si="94"/>
        <v>#VALUE!</v>
      </c>
      <c r="P652">
        <v>1</v>
      </c>
      <c r="Q652">
        <f t="shared" si="95"/>
        <v>36560</v>
      </c>
      <c r="R652" s="2">
        <f t="shared" si="96"/>
        <v>18280</v>
      </c>
      <c r="S652" s="2" t="str">
        <f t="shared" si="97"/>
        <v xml:space="preserve"> Not Achieved</v>
      </c>
      <c r="T652" s="2" t="str">
        <f t="shared" si="98"/>
        <v>poor</v>
      </c>
      <c r="U652" s="2"/>
    </row>
    <row r="653" spans="1:21" x14ac:dyDescent="0.3">
      <c r="A653">
        <v>652</v>
      </c>
      <c r="B653" t="s">
        <v>1031</v>
      </c>
      <c r="C653" t="str">
        <f t="shared" si="90"/>
        <v>EMP_652</v>
      </c>
      <c r="D653" t="s">
        <v>15</v>
      </c>
      <c r="E653" t="str">
        <f t="shared" si="91"/>
        <v>EMP_652Finance</v>
      </c>
      <c r="F653" t="s">
        <v>18</v>
      </c>
      <c r="G653" t="s">
        <v>22</v>
      </c>
      <c r="H653">
        <v>56302</v>
      </c>
      <c r="I653">
        <v>13372</v>
      </c>
      <c r="J653">
        <v>0</v>
      </c>
      <c r="K653">
        <v>0</v>
      </c>
      <c r="L653" s="4" t="s">
        <v>1032</v>
      </c>
      <c r="M653" s="4" t="str">
        <f t="shared" si="92"/>
        <v>8/27/2019</v>
      </c>
      <c r="N653" s="1">
        <f t="shared" ca="1" si="93"/>
        <v>46064</v>
      </c>
      <c r="O653" s="6" t="e">
        <f t="shared" ca="1" si="94"/>
        <v>#VALUE!</v>
      </c>
      <c r="P653">
        <v>4</v>
      </c>
      <c r="Q653">
        <f t="shared" si="95"/>
        <v>69674</v>
      </c>
      <c r="R653" s="2">
        <f t="shared" si="96"/>
        <v>34837</v>
      </c>
      <c r="S653" s="2" t="str">
        <f t="shared" si="97"/>
        <v xml:space="preserve"> Not Achieved</v>
      </c>
      <c r="T653" s="2" t="str">
        <f t="shared" si="98"/>
        <v xml:space="preserve"> Excellent</v>
      </c>
      <c r="U653" s="2"/>
    </row>
    <row r="654" spans="1:21" x14ac:dyDescent="0.3">
      <c r="A654">
        <v>653</v>
      </c>
      <c r="B654" t="s">
        <v>1033</v>
      </c>
      <c r="C654" t="str">
        <f t="shared" si="90"/>
        <v>EMP_653</v>
      </c>
      <c r="D654" t="s">
        <v>11</v>
      </c>
      <c r="E654" t="str">
        <f t="shared" si="91"/>
        <v>EMP_653Finance</v>
      </c>
      <c r="F654" t="s">
        <v>18</v>
      </c>
      <c r="G654" t="s">
        <v>13</v>
      </c>
      <c r="H654">
        <v>55888</v>
      </c>
      <c r="I654">
        <v>9547</v>
      </c>
      <c r="J654">
        <v>0</v>
      </c>
      <c r="K654">
        <v>0</v>
      </c>
      <c r="L654" s="4" t="s">
        <v>1034</v>
      </c>
      <c r="M654" s="4" t="str">
        <f t="shared" si="92"/>
        <v>8/18/2024</v>
      </c>
      <c r="N654" s="1">
        <f t="shared" ca="1" si="93"/>
        <v>46064</v>
      </c>
      <c r="O654" s="6" t="e">
        <f t="shared" ca="1" si="94"/>
        <v>#VALUE!</v>
      </c>
      <c r="P654">
        <v>5</v>
      </c>
      <c r="Q654">
        <f t="shared" si="95"/>
        <v>65435</v>
      </c>
      <c r="R654" s="2">
        <f t="shared" si="96"/>
        <v>32717.5</v>
      </c>
      <c r="S654" s="2" t="str">
        <f t="shared" si="97"/>
        <v xml:space="preserve"> Not Achieved</v>
      </c>
      <c r="T654" s="2" t="str">
        <f t="shared" si="98"/>
        <v xml:space="preserve"> Excellent</v>
      </c>
      <c r="U654" s="2"/>
    </row>
    <row r="655" spans="1:21" x14ac:dyDescent="0.3">
      <c r="A655">
        <v>654</v>
      </c>
      <c r="B655" t="s">
        <v>1035</v>
      </c>
      <c r="C655" t="str">
        <f t="shared" si="90"/>
        <v>EMP_654</v>
      </c>
      <c r="D655" t="s">
        <v>11</v>
      </c>
      <c r="E655" t="str">
        <f t="shared" si="91"/>
        <v>EMP_654IT</v>
      </c>
      <c r="F655" t="s">
        <v>21</v>
      </c>
      <c r="G655" t="s">
        <v>22</v>
      </c>
      <c r="H655">
        <v>23577</v>
      </c>
      <c r="I655">
        <v>11592</v>
      </c>
      <c r="J655">
        <v>0</v>
      </c>
      <c r="K655">
        <v>0</v>
      </c>
      <c r="L655" s="4" t="s">
        <v>495</v>
      </c>
      <c r="M655" s="4" t="str">
        <f t="shared" si="92"/>
        <v>5/26/2019</v>
      </c>
      <c r="N655" s="1">
        <f t="shared" ca="1" si="93"/>
        <v>46064</v>
      </c>
      <c r="O655" s="6" t="e">
        <f t="shared" ca="1" si="94"/>
        <v>#VALUE!</v>
      </c>
      <c r="P655">
        <v>2</v>
      </c>
      <c r="Q655">
        <f t="shared" si="95"/>
        <v>35169</v>
      </c>
      <c r="R655" s="2">
        <f t="shared" si="96"/>
        <v>17584.5</v>
      </c>
      <c r="S655" s="2" t="str">
        <f t="shared" si="97"/>
        <v xml:space="preserve"> Not Achieved</v>
      </c>
      <c r="T655" s="2" t="str">
        <f t="shared" si="98"/>
        <v>poor</v>
      </c>
      <c r="U655" s="2"/>
    </row>
    <row r="656" spans="1:21" x14ac:dyDescent="0.3">
      <c r="A656">
        <v>655</v>
      </c>
      <c r="B656" t="s">
        <v>1036</v>
      </c>
      <c r="C656" t="str">
        <f t="shared" si="90"/>
        <v>EMP_655</v>
      </c>
      <c r="D656" t="s">
        <v>15</v>
      </c>
      <c r="E656" t="str">
        <f t="shared" si="91"/>
        <v>EMP_655IT</v>
      </c>
      <c r="F656" t="s">
        <v>21</v>
      </c>
      <c r="G656" t="s">
        <v>19</v>
      </c>
      <c r="H656">
        <v>31989</v>
      </c>
      <c r="I656">
        <v>8094</v>
      </c>
      <c r="J656">
        <v>0</v>
      </c>
      <c r="K656">
        <v>0</v>
      </c>
      <c r="L656" s="4" t="s">
        <v>938</v>
      </c>
      <c r="M656" s="4" t="str">
        <f t="shared" si="92"/>
        <v>2/27/2024</v>
      </c>
      <c r="N656" s="1">
        <f t="shared" ca="1" si="93"/>
        <v>46064</v>
      </c>
      <c r="O656" s="6" t="e">
        <f t="shared" ca="1" si="94"/>
        <v>#VALUE!</v>
      </c>
      <c r="P656">
        <v>2</v>
      </c>
      <c r="Q656">
        <f t="shared" si="95"/>
        <v>40083</v>
      </c>
      <c r="R656" s="2">
        <f t="shared" si="96"/>
        <v>20041.5</v>
      </c>
      <c r="S656" s="2" t="str">
        <f t="shared" si="97"/>
        <v xml:space="preserve"> Not Achieved</v>
      </c>
      <c r="T656" s="2" t="str">
        <f t="shared" si="98"/>
        <v>Average</v>
      </c>
      <c r="U656" s="2"/>
    </row>
    <row r="657" spans="1:21" x14ac:dyDescent="0.3">
      <c r="A657">
        <v>656</v>
      </c>
      <c r="B657" t="s">
        <v>1037</v>
      </c>
      <c r="C657" t="str">
        <f t="shared" si="90"/>
        <v>EMP_656</v>
      </c>
      <c r="D657" t="s">
        <v>11</v>
      </c>
      <c r="E657" t="str">
        <f t="shared" si="91"/>
        <v>EMP_656HR</v>
      </c>
      <c r="F657" t="s">
        <v>12</v>
      </c>
      <c r="G657" t="s">
        <v>13</v>
      </c>
      <c r="H657">
        <v>37440</v>
      </c>
      <c r="I657">
        <v>4004</v>
      </c>
      <c r="J657">
        <v>0</v>
      </c>
      <c r="K657">
        <v>0</v>
      </c>
      <c r="L657" s="4" t="s">
        <v>274</v>
      </c>
      <c r="M657" s="4" t="str">
        <f t="shared" si="92"/>
        <v>8/31/2023</v>
      </c>
      <c r="N657" s="1">
        <f t="shared" ca="1" si="93"/>
        <v>46064</v>
      </c>
      <c r="O657" s="6" t="e">
        <f t="shared" ca="1" si="94"/>
        <v>#VALUE!</v>
      </c>
      <c r="P657">
        <v>1</v>
      </c>
      <c r="Q657">
        <f t="shared" si="95"/>
        <v>41444</v>
      </c>
      <c r="R657" s="2">
        <f t="shared" si="96"/>
        <v>20722</v>
      </c>
      <c r="S657" s="2" t="str">
        <f t="shared" si="97"/>
        <v xml:space="preserve"> Not Achieved</v>
      </c>
      <c r="T657" s="2" t="str">
        <f t="shared" si="98"/>
        <v>Average</v>
      </c>
      <c r="U657" s="2"/>
    </row>
    <row r="658" spans="1:21" x14ac:dyDescent="0.3">
      <c r="A658">
        <v>657</v>
      </c>
      <c r="B658" t="s">
        <v>1038</v>
      </c>
      <c r="C658" t="str">
        <f t="shared" si="90"/>
        <v>EMP_657</v>
      </c>
      <c r="D658" t="s">
        <v>11</v>
      </c>
      <c r="E658" t="str">
        <f t="shared" si="91"/>
        <v>EMP_657Sales</v>
      </c>
      <c r="F658" t="s">
        <v>7</v>
      </c>
      <c r="G658" t="s">
        <v>13</v>
      </c>
      <c r="H658">
        <v>63304</v>
      </c>
      <c r="I658">
        <v>4802</v>
      </c>
      <c r="J658">
        <v>193151</v>
      </c>
      <c r="K658">
        <v>222647</v>
      </c>
      <c r="L658" s="4">
        <v>44108</v>
      </c>
      <c r="M658" s="4" t="str">
        <f t="shared" si="92"/>
        <v>2020</v>
      </c>
      <c r="N658" s="1">
        <f t="shared" ca="1" si="93"/>
        <v>46064</v>
      </c>
      <c r="O658" s="6">
        <f t="shared" ca="1" si="94"/>
        <v>5</v>
      </c>
      <c r="P658">
        <v>4</v>
      </c>
      <c r="Q658">
        <f t="shared" si="95"/>
        <v>68106</v>
      </c>
      <c r="R658" s="2">
        <f t="shared" si="96"/>
        <v>34053</v>
      </c>
      <c r="S658" s="2" t="str">
        <f t="shared" si="97"/>
        <v xml:space="preserve"> Not Achieved</v>
      </c>
      <c r="T658" s="2" t="str">
        <f t="shared" si="98"/>
        <v xml:space="preserve"> Excellent</v>
      </c>
      <c r="U658" s="2"/>
    </row>
    <row r="659" spans="1:21" x14ac:dyDescent="0.3">
      <c r="A659">
        <v>658</v>
      </c>
      <c r="B659" t="s">
        <v>1039</v>
      </c>
      <c r="C659" t="str">
        <f t="shared" si="90"/>
        <v>EMP_658</v>
      </c>
      <c r="D659" t="s">
        <v>15</v>
      </c>
      <c r="E659" t="str">
        <f t="shared" si="91"/>
        <v>EMP_658IT</v>
      </c>
      <c r="F659" t="s">
        <v>21</v>
      </c>
      <c r="G659" t="s">
        <v>19</v>
      </c>
      <c r="H659">
        <v>32516</v>
      </c>
      <c r="I659">
        <v>8196</v>
      </c>
      <c r="J659">
        <v>0</v>
      </c>
      <c r="K659">
        <v>0</v>
      </c>
      <c r="L659" s="4">
        <v>43805</v>
      </c>
      <c r="M659" s="4" t="str">
        <f t="shared" si="92"/>
        <v>2019</v>
      </c>
      <c r="N659" s="1">
        <f t="shared" ca="1" si="93"/>
        <v>46064</v>
      </c>
      <c r="O659" s="6">
        <f t="shared" ca="1" si="94"/>
        <v>6</v>
      </c>
      <c r="P659">
        <v>1</v>
      </c>
      <c r="Q659">
        <f t="shared" si="95"/>
        <v>40712</v>
      </c>
      <c r="R659" s="2">
        <f t="shared" si="96"/>
        <v>20356</v>
      </c>
      <c r="S659" s="2" t="str">
        <f t="shared" si="97"/>
        <v xml:space="preserve"> Not Achieved</v>
      </c>
      <c r="T659" s="2" t="str">
        <f t="shared" si="98"/>
        <v>Average</v>
      </c>
      <c r="U659" s="2"/>
    </row>
    <row r="660" spans="1:21" x14ac:dyDescent="0.3">
      <c r="A660">
        <v>659</v>
      </c>
      <c r="B660" t="s">
        <v>1040</v>
      </c>
      <c r="C660" t="str">
        <f t="shared" si="90"/>
        <v>EMP_659</v>
      </c>
      <c r="D660" t="s">
        <v>11</v>
      </c>
      <c r="E660" t="str">
        <f t="shared" si="91"/>
        <v>EMP_659Marketing</v>
      </c>
      <c r="F660" t="s">
        <v>24</v>
      </c>
      <c r="G660" t="s">
        <v>22</v>
      </c>
      <c r="H660">
        <v>61391</v>
      </c>
      <c r="I660">
        <v>10096</v>
      </c>
      <c r="J660">
        <v>0</v>
      </c>
      <c r="K660">
        <v>0</v>
      </c>
      <c r="L660" s="4">
        <v>44897</v>
      </c>
      <c r="M660" s="4" t="str">
        <f t="shared" si="92"/>
        <v>2022</v>
      </c>
      <c r="N660" s="1">
        <f t="shared" ca="1" si="93"/>
        <v>46064</v>
      </c>
      <c r="O660" s="6">
        <f t="shared" ca="1" si="94"/>
        <v>3</v>
      </c>
      <c r="P660">
        <v>3</v>
      </c>
      <c r="Q660">
        <f t="shared" si="95"/>
        <v>71487</v>
      </c>
      <c r="R660" s="2">
        <f t="shared" si="96"/>
        <v>35743.5</v>
      </c>
      <c r="S660" s="2" t="str">
        <f t="shared" si="97"/>
        <v xml:space="preserve"> Not Achieved</v>
      </c>
      <c r="T660" s="2" t="str">
        <f t="shared" si="98"/>
        <v xml:space="preserve"> Excellent</v>
      </c>
      <c r="U660" s="2"/>
    </row>
    <row r="661" spans="1:21" x14ac:dyDescent="0.3">
      <c r="A661">
        <v>660</v>
      </c>
      <c r="B661" t="s">
        <v>1041</v>
      </c>
      <c r="C661" t="str">
        <f t="shared" si="90"/>
        <v>EMP_660</v>
      </c>
      <c r="D661" t="s">
        <v>11</v>
      </c>
      <c r="E661" t="str">
        <f t="shared" si="91"/>
        <v>EMP_660IT</v>
      </c>
      <c r="F661" t="s">
        <v>21</v>
      </c>
      <c r="G661" t="s">
        <v>19</v>
      </c>
      <c r="H661">
        <v>70016</v>
      </c>
      <c r="I661">
        <v>13198</v>
      </c>
      <c r="J661">
        <v>0</v>
      </c>
      <c r="K661">
        <v>0</v>
      </c>
      <c r="L661" s="4">
        <v>43807</v>
      </c>
      <c r="M661" s="4" t="str">
        <f t="shared" si="92"/>
        <v>2019</v>
      </c>
      <c r="N661" s="1">
        <f t="shared" ca="1" si="93"/>
        <v>46064</v>
      </c>
      <c r="O661" s="6">
        <f t="shared" ca="1" si="94"/>
        <v>6</v>
      </c>
      <c r="P661">
        <v>3</v>
      </c>
      <c r="Q661">
        <f t="shared" si="95"/>
        <v>83214</v>
      </c>
      <c r="R661" s="2">
        <f t="shared" si="96"/>
        <v>41607</v>
      </c>
      <c r="S661" s="2" t="str">
        <f t="shared" si="97"/>
        <v xml:space="preserve"> Not Achieved</v>
      </c>
      <c r="T661" s="2" t="str">
        <f t="shared" si="98"/>
        <v xml:space="preserve"> Excellent</v>
      </c>
      <c r="U661" s="2"/>
    </row>
    <row r="662" spans="1:21" x14ac:dyDescent="0.3">
      <c r="A662">
        <v>661</v>
      </c>
      <c r="B662" t="s">
        <v>1042</v>
      </c>
      <c r="C662" t="str">
        <f t="shared" si="90"/>
        <v>EMP_661</v>
      </c>
      <c r="D662" t="s">
        <v>15</v>
      </c>
      <c r="E662" t="str">
        <f t="shared" si="91"/>
        <v>EMP_661Finance</v>
      </c>
      <c r="F662" t="s">
        <v>18</v>
      </c>
      <c r="G662" t="s">
        <v>22</v>
      </c>
      <c r="H662">
        <v>25496</v>
      </c>
      <c r="I662">
        <v>9353</v>
      </c>
      <c r="J662">
        <v>0</v>
      </c>
      <c r="K662">
        <v>0</v>
      </c>
      <c r="L662" s="4" t="s">
        <v>1043</v>
      </c>
      <c r="M662" s="4" t="str">
        <f t="shared" si="92"/>
        <v>3/15/2021</v>
      </c>
      <c r="N662" s="1">
        <f t="shared" ca="1" si="93"/>
        <v>46064</v>
      </c>
      <c r="O662" s="6" t="e">
        <f t="shared" ca="1" si="94"/>
        <v>#VALUE!</v>
      </c>
      <c r="P662">
        <v>4</v>
      </c>
      <c r="Q662">
        <f t="shared" si="95"/>
        <v>34849</v>
      </c>
      <c r="R662" s="2">
        <f t="shared" si="96"/>
        <v>17424.5</v>
      </c>
      <c r="S662" s="2" t="str">
        <f t="shared" si="97"/>
        <v xml:space="preserve"> Not Achieved</v>
      </c>
      <c r="T662" s="2" t="str">
        <f t="shared" si="98"/>
        <v>poor</v>
      </c>
      <c r="U662" s="2"/>
    </row>
    <row r="663" spans="1:21" x14ac:dyDescent="0.3">
      <c r="A663">
        <v>662</v>
      </c>
      <c r="B663" t="s">
        <v>1044</v>
      </c>
      <c r="C663" t="str">
        <f t="shared" si="90"/>
        <v>EMP_662</v>
      </c>
      <c r="D663" t="s">
        <v>11</v>
      </c>
      <c r="E663" t="str">
        <f t="shared" si="91"/>
        <v>EMP_662Finance</v>
      </c>
      <c r="F663" t="s">
        <v>18</v>
      </c>
      <c r="G663" t="s">
        <v>19</v>
      </c>
      <c r="H663">
        <v>46480</v>
      </c>
      <c r="I663">
        <v>2109</v>
      </c>
      <c r="J663">
        <v>0</v>
      </c>
      <c r="K663">
        <v>0</v>
      </c>
      <c r="L663" s="4" t="s">
        <v>1045</v>
      </c>
      <c r="M663" s="4" t="str">
        <f t="shared" si="92"/>
        <v>12/17/2024</v>
      </c>
      <c r="N663" s="1">
        <f t="shared" ca="1" si="93"/>
        <v>46064</v>
      </c>
      <c r="O663" s="6" t="e">
        <f t="shared" ca="1" si="94"/>
        <v>#VALUE!</v>
      </c>
      <c r="P663">
        <v>5</v>
      </c>
      <c r="Q663">
        <f t="shared" si="95"/>
        <v>48589</v>
      </c>
      <c r="R663" s="2">
        <f t="shared" si="96"/>
        <v>24294.5</v>
      </c>
      <c r="S663" s="2" t="str">
        <f t="shared" si="97"/>
        <v xml:space="preserve"> Not Achieved</v>
      </c>
      <c r="T663" s="2" t="str">
        <f t="shared" si="98"/>
        <v>Good</v>
      </c>
      <c r="U663" s="2"/>
    </row>
    <row r="664" spans="1:21" x14ac:dyDescent="0.3">
      <c r="A664">
        <v>663</v>
      </c>
      <c r="B664" t="s">
        <v>1046</v>
      </c>
      <c r="C664" t="str">
        <f t="shared" si="90"/>
        <v>EMP_663</v>
      </c>
      <c r="D664" t="s">
        <v>11</v>
      </c>
      <c r="E664" t="str">
        <f t="shared" si="91"/>
        <v>EMP_663IT</v>
      </c>
      <c r="F664" t="s">
        <v>21</v>
      </c>
      <c r="G664" t="s">
        <v>25</v>
      </c>
      <c r="H664">
        <v>72918</v>
      </c>
      <c r="I664">
        <v>11954</v>
      </c>
      <c r="J664">
        <v>0</v>
      </c>
      <c r="K664">
        <v>0</v>
      </c>
      <c r="L664" s="4" t="s">
        <v>186</v>
      </c>
      <c r="M664" s="4" t="str">
        <f t="shared" si="92"/>
        <v>9/19/2018</v>
      </c>
      <c r="N664" s="1">
        <f t="shared" ca="1" si="93"/>
        <v>46064</v>
      </c>
      <c r="O664" s="6" t="e">
        <f t="shared" ca="1" si="94"/>
        <v>#VALUE!</v>
      </c>
      <c r="P664">
        <v>2</v>
      </c>
      <c r="Q664">
        <f t="shared" si="95"/>
        <v>84872</v>
      </c>
      <c r="R664" s="2">
        <f t="shared" si="96"/>
        <v>42436</v>
      </c>
      <c r="S664" s="2" t="str">
        <f t="shared" si="97"/>
        <v xml:space="preserve"> Not Achieved</v>
      </c>
      <c r="T664" s="2" t="str">
        <f t="shared" si="98"/>
        <v xml:space="preserve"> Excellent</v>
      </c>
      <c r="U664" s="2"/>
    </row>
    <row r="665" spans="1:21" x14ac:dyDescent="0.3">
      <c r="A665">
        <v>664</v>
      </c>
      <c r="B665" t="s">
        <v>1047</v>
      </c>
      <c r="C665" t="str">
        <f t="shared" si="90"/>
        <v>EMP_664</v>
      </c>
      <c r="D665" t="s">
        <v>11</v>
      </c>
      <c r="E665" t="str">
        <f t="shared" si="91"/>
        <v>EMP_664Sales</v>
      </c>
      <c r="F665" t="s">
        <v>7</v>
      </c>
      <c r="G665" t="s">
        <v>25</v>
      </c>
      <c r="H665">
        <v>55461</v>
      </c>
      <c r="I665">
        <v>12173</v>
      </c>
      <c r="J665">
        <v>232029</v>
      </c>
      <c r="K665">
        <v>106533</v>
      </c>
      <c r="L665" s="4" t="s">
        <v>1048</v>
      </c>
      <c r="M665" s="4" t="str">
        <f t="shared" si="92"/>
        <v>2/25/2019</v>
      </c>
      <c r="N665" s="1">
        <f t="shared" ca="1" si="93"/>
        <v>46064</v>
      </c>
      <c r="O665" s="6" t="e">
        <f t="shared" ca="1" si="94"/>
        <v>#VALUE!</v>
      </c>
      <c r="P665">
        <v>1</v>
      </c>
      <c r="Q665">
        <f t="shared" si="95"/>
        <v>67634</v>
      </c>
      <c r="R665" s="2">
        <f t="shared" si="96"/>
        <v>33817</v>
      </c>
      <c r="S665" s="2" t="str">
        <f t="shared" si="97"/>
        <v>Achieved</v>
      </c>
      <c r="T665" s="2" t="str">
        <f t="shared" si="98"/>
        <v xml:space="preserve"> Excellent</v>
      </c>
      <c r="U665" s="2"/>
    </row>
    <row r="666" spans="1:21" x14ac:dyDescent="0.3">
      <c r="A666">
        <v>665</v>
      </c>
      <c r="B666" t="s">
        <v>1049</v>
      </c>
      <c r="C666" t="str">
        <f t="shared" si="90"/>
        <v>EMP_665</v>
      </c>
      <c r="D666" t="s">
        <v>11</v>
      </c>
      <c r="E666" t="str">
        <f t="shared" si="91"/>
        <v>EMP_665IT</v>
      </c>
      <c r="F666" t="s">
        <v>21</v>
      </c>
      <c r="G666" t="s">
        <v>25</v>
      </c>
      <c r="H666">
        <v>63138</v>
      </c>
      <c r="I666">
        <v>2393</v>
      </c>
      <c r="J666">
        <v>0</v>
      </c>
      <c r="K666">
        <v>0</v>
      </c>
      <c r="L666" s="4" t="s">
        <v>118</v>
      </c>
      <c r="M666" s="4" t="str">
        <f t="shared" si="92"/>
        <v>5/29/2019</v>
      </c>
      <c r="N666" s="1">
        <f t="shared" ca="1" si="93"/>
        <v>46064</v>
      </c>
      <c r="O666" s="6" t="e">
        <f t="shared" ca="1" si="94"/>
        <v>#VALUE!</v>
      </c>
      <c r="P666">
        <v>3</v>
      </c>
      <c r="Q666">
        <f t="shared" si="95"/>
        <v>65531</v>
      </c>
      <c r="R666" s="2">
        <f t="shared" si="96"/>
        <v>32765.5</v>
      </c>
      <c r="S666" s="2" t="str">
        <f t="shared" si="97"/>
        <v xml:space="preserve"> Not Achieved</v>
      </c>
      <c r="T666" s="2" t="str">
        <f t="shared" si="98"/>
        <v xml:space="preserve"> Excellent</v>
      </c>
      <c r="U666" s="2"/>
    </row>
    <row r="667" spans="1:21" x14ac:dyDescent="0.3">
      <c r="A667">
        <v>666</v>
      </c>
      <c r="B667" t="s">
        <v>1050</v>
      </c>
      <c r="C667" t="str">
        <f t="shared" si="90"/>
        <v>EMP_666</v>
      </c>
      <c r="D667" t="s">
        <v>15</v>
      </c>
      <c r="E667" t="str">
        <f t="shared" si="91"/>
        <v>EMP_666HR</v>
      </c>
      <c r="F667" t="s">
        <v>12</v>
      </c>
      <c r="G667" t="s">
        <v>19</v>
      </c>
      <c r="H667">
        <v>53551</v>
      </c>
      <c r="I667">
        <v>12888</v>
      </c>
      <c r="J667">
        <v>0</v>
      </c>
      <c r="K667">
        <v>0</v>
      </c>
      <c r="L667" s="4">
        <v>43469</v>
      </c>
      <c r="M667" s="4" t="str">
        <f t="shared" si="92"/>
        <v>2019</v>
      </c>
      <c r="N667" s="1">
        <f t="shared" ca="1" si="93"/>
        <v>46064</v>
      </c>
      <c r="O667" s="6">
        <f t="shared" ca="1" si="94"/>
        <v>7</v>
      </c>
      <c r="P667">
        <v>4</v>
      </c>
      <c r="Q667">
        <f t="shared" si="95"/>
        <v>66439</v>
      </c>
      <c r="R667" s="2">
        <f t="shared" si="96"/>
        <v>33219.5</v>
      </c>
      <c r="S667" s="2" t="str">
        <f t="shared" si="97"/>
        <v xml:space="preserve"> Not Achieved</v>
      </c>
      <c r="T667" s="2" t="str">
        <f t="shared" si="98"/>
        <v xml:space="preserve"> Excellent</v>
      </c>
      <c r="U667" s="2"/>
    </row>
    <row r="668" spans="1:21" x14ac:dyDescent="0.3">
      <c r="A668">
        <v>667</v>
      </c>
      <c r="B668" t="s">
        <v>1051</v>
      </c>
      <c r="C668" t="str">
        <f t="shared" si="90"/>
        <v>EMP_667</v>
      </c>
      <c r="D668" t="s">
        <v>11</v>
      </c>
      <c r="E668" t="str">
        <f t="shared" si="91"/>
        <v>EMP_667Finance</v>
      </c>
      <c r="F668" t="s">
        <v>18</v>
      </c>
      <c r="G668" t="s">
        <v>13</v>
      </c>
      <c r="H668">
        <v>47100</v>
      </c>
      <c r="I668">
        <v>4475</v>
      </c>
      <c r="J668">
        <v>0</v>
      </c>
      <c r="K668">
        <v>0</v>
      </c>
      <c r="L668" s="4" t="s">
        <v>1052</v>
      </c>
      <c r="M668" s="4" t="str">
        <f t="shared" si="92"/>
        <v>7/25/2023</v>
      </c>
      <c r="N668" s="1">
        <f t="shared" ca="1" si="93"/>
        <v>46064</v>
      </c>
      <c r="O668" s="6" t="e">
        <f t="shared" ca="1" si="94"/>
        <v>#VALUE!</v>
      </c>
      <c r="P668">
        <v>4</v>
      </c>
      <c r="Q668">
        <f t="shared" si="95"/>
        <v>51575</v>
      </c>
      <c r="R668" s="2">
        <f t="shared" si="96"/>
        <v>25787.5</v>
      </c>
      <c r="S668" s="2" t="str">
        <f t="shared" si="97"/>
        <v xml:space="preserve"> Not Achieved</v>
      </c>
      <c r="T668" s="2" t="str">
        <f t="shared" si="98"/>
        <v>Good</v>
      </c>
      <c r="U668" s="2"/>
    </row>
    <row r="669" spans="1:21" x14ac:dyDescent="0.3">
      <c r="A669">
        <v>668</v>
      </c>
      <c r="B669" t="s">
        <v>1053</v>
      </c>
      <c r="C669" t="str">
        <f t="shared" si="90"/>
        <v>EMP_668</v>
      </c>
      <c r="D669" t="s">
        <v>11</v>
      </c>
      <c r="E669" t="str">
        <f t="shared" si="91"/>
        <v>EMP_668Finance</v>
      </c>
      <c r="F669" t="s">
        <v>18</v>
      </c>
      <c r="G669" t="s">
        <v>19</v>
      </c>
      <c r="H669">
        <v>26265</v>
      </c>
      <c r="I669">
        <v>7739</v>
      </c>
      <c r="J669">
        <v>0</v>
      </c>
      <c r="K669">
        <v>0</v>
      </c>
      <c r="L669" s="4" t="s">
        <v>1054</v>
      </c>
      <c r="M669" s="4" t="str">
        <f t="shared" si="92"/>
        <v>11/30/2019</v>
      </c>
      <c r="N669" s="1">
        <f t="shared" ca="1" si="93"/>
        <v>46064</v>
      </c>
      <c r="O669" s="6" t="e">
        <f t="shared" ca="1" si="94"/>
        <v>#VALUE!</v>
      </c>
      <c r="P669">
        <v>1</v>
      </c>
      <c r="Q669">
        <f t="shared" si="95"/>
        <v>34004</v>
      </c>
      <c r="R669" s="2">
        <f t="shared" si="96"/>
        <v>17002</v>
      </c>
      <c r="S669" s="2" t="str">
        <f t="shared" si="97"/>
        <v xml:space="preserve"> Not Achieved</v>
      </c>
      <c r="T669" s="2" t="str">
        <f t="shared" si="98"/>
        <v>poor</v>
      </c>
      <c r="U669" s="2"/>
    </row>
    <row r="670" spans="1:21" x14ac:dyDescent="0.3">
      <c r="A670">
        <v>669</v>
      </c>
      <c r="B670" t="s">
        <v>1055</v>
      </c>
      <c r="C670" t="str">
        <f t="shared" si="90"/>
        <v>EMP_669</v>
      </c>
      <c r="D670" t="s">
        <v>15</v>
      </c>
      <c r="E670" t="str">
        <f t="shared" si="91"/>
        <v>EMP_669Marketing</v>
      </c>
      <c r="F670" t="s">
        <v>24</v>
      </c>
      <c r="G670" t="s">
        <v>16</v>
      </c>
      <c r="H670">
        <v>75137</v>
      </c>
      <c r="I670">
        <v>3706</v>
      </c>
      <c r="J670">
        <v>0</v>
      </c>
      <c r="K670">
        <v>0</v>
      </c>
      <c r="L670" s="4" t="s">
        <v>1056</v>
      </c>
      <c r="M670" s="4" t="str">
        <f t="shared" si="92"/>
        <v>9/13/2024</v>
      </c>
      <c r="N670" s="1">
        <f t="shared" ca="1" si="93"/>
        <v>46064</v>
      </c>
      <c r="O670" s="6" t="e">
        <f t="shared" ca="1" si="94"/>
        <v>#VALUE!</v>
      </c>
      <c r="P670">
        <v>5</v>
      </c>
      <c r="Q670">
        <f t="shared" si="95"/>
        <v>78843</v>
      </c>
      <c r="R670" s="2">
        <f t="shared" si="96"/>
        <v>39421.5</v>
      </c>
      <c r="S670" s="2" t="str">
        <f t="shared" si="97"/>
        <v xml:space="preserve"> Not Achieved</v>
      </c>
      <c r="T670" s="2" t="str">
        <f t="shared" si="98"/>
        <v xml:space="preserve"> Excellent</v>
      </c>
      <c r="U670" s="2"/>
    </row>
    <row r="671" spans="1:21" x14ac:dyDescent="0.3">
      <c r="A671">
        <v>670</v>
      </c>
      <c r="B671" t="s">
        <v>1057</v>
      </c>
      <c r="C671" t="str">
        <f t="shared" si="90"/>
        <v>EMP_670</v>
      </c>
      <c r="D671" t="s">
        <v>11</v>
      </c>
      <c r="E671" t="str">
        <f t="shared" si="91"/>
        <v>EMP_670HR</v>
      </c>
      <c r="F671" t="s">
        <v>12</v>
      </c>
      <c r="G671" t="s">
        <v>22</v>
      </c>
      <c r="H671">
        <v>21905</v>
      </c>
      <c r="I671">
        <v>3747</v>
      </c>
      <c r="J671">
        <v>0</v>
      </c>
      <c r="K671">
        <v>0</v>
      </c>
      <c r="L671" s="4" t="s">
        <v>1058</v>
      </c>
      <c r="M671" s="4" t="str">
        <f t="shared" si="92"/>
        <v>12/18/2021</v>
      </c>
      <c r="N671" s="1">
        <f t="shared" ca="1" si="93"/>
        <v>46064</v>
      </c>
      <c r="O671" s="6" t="e">
        <f t="shared" ca="1" si="94"/>
        <v>#VALUE!</v>
      </c>
      <c r="P671">
        <v>4</v>
      </c>
      <c r="Q671">
        <f t="shared" si="95"/>
        <v>25652</v>
      </c>
      <c r="R671" s="2">
        <f t="shared" si="96"/>
        <v>12826</v>
      </c>
      <c r="S671" s="2" t="str">
        <f t="shared" si="97"/>
        <v xml:space="preserve"> Not Achieved</v>
      </c>
      <c r="T671" s="2" t="str">
        <f t="shared" si="98"/>
        <v>poor</v>
      </c>
      <c r="U671" s="2"/>
    </row>
    <row r="672" spans="1:21" x14ac:dyDescent="0.3">
      <c r="A672">
        <v>671</v>
      </c>
      <c r="B672" t="s">
        <v>1059</v>
      </c>
      <c r="C672" t="str">
        <f t="shared" si="90"/>
        <v>EMP_671</v>
      </c>
      <c r="D672" t="s">
        <v>11</v>
      </c>
      <c r="E672" t="str">
        <f t="shared" si="91"/>
        <v>EMP_671IT</v>
      </c>
      <c r="F672" t="s">
        <v>21</v>
      </c>
      <c r="G672" t="s">
        <v>16</v>
      </c>
      <c r="H672">
        <v>21603</v>
      </c>
      <c r="I672">
        <v>8709</v>
      </c>
      <c r="J672">
        <v>0</v>
      </c>
      <c r="K672">
        <v>0</v>
      </c>
      <c r="L672" s="4" t="s">
        <v>1060</v>
      </c>
      <c r="M672" s="4" t="str">
        <f t="shared" si="92"/>
        <v>6/21/2020</v>
      </c>
      <c r="N672" s="1">
        <f t="shared" ca="1" si="93"/>
        <v>46064</v>
      </c>
      <c r="O672" s="6" t="e">
        <f t="shared" ca="1" si="94"/>
        <v>#VALUE!</v>
      </c>
      <c r="P672">
        <v>5</v>
      </c>
      <c r="Q672">
        <f t="shared" si="95"/>
        <v>30312</v>
      </c>
      <c r="R672" s="2">
        <f t="shared" si="96"/>
        <v>15156</v>
      </c>
      <c r="S672" s="2" t="str">
        <f t="shared" si="97"/>
        <v xml:space="preserve"> Not Achieved</v>
      </c>
      <c r="T672" s="2" t="str">
        <f t="shared" si="98"/>
        <v>poor</v>
      </c>
      <c r="U672" s="2"/>
    </row>
    <row r="673" spans="1:21" x14ac:dyDescent="0.3">
      <c r="A673">
        <v>672</v>
      </c>
      <c r="B673" t="s">
        <v>1061</v>
      </c>
      <c r="C673" t="str">
        <f t="shared" si="90"/>
        <v>EMP_672</v>
      </c>
      <c r="D673" t="s">
        <v>15</v>
      </c>
      <c r="E673" t="str">
        <f t="shared" si="91"/>
        <v>EMP_672IT</v>
      </c>
      <c r="F673" t="s">
        <v>21</v>
      </c>
      <c r="G673" t="s">
        <v>16</v>
      </c>
      <c r="H673">
        <v>49881</v>
      </c>
      <c r="I673">
        <v>5837</v>
      </c>
      <c r="J673">
        <v>0</v>
      </c>
      <c r="K673">
        <v>0</v>
      </c>
      <c r="L673" s="4" t="s">
        <v>1062</v>
      </c>
      <c r="M673" s="4" t="str">
        <f t="shared" si="92"/>
        <v>5/15/2024</v>
      </c>
      <c r="N673" s="1">
        <f t="shared" ca="1" si="93"/>
        <v>46064</v>
      </c>
      <c r="O673" s="6" t="e">
        <f t="shared" ca="1" si="94"/>
        <v>#VALUE!</v>
      </c>
      <c r="P673">
        <v>4</v>
      </c>
      <c r="Q673">
        <f t="shared" si="95"/>
        <v>55718</v>
      </c>
      <c r="R673" s="2">
        <f t="shared" si="96"/>
        <v>27859</v>
      </c>
      <c r="S673" s="2" t="str">
        <f t="shared" si="97"/>
        <v xml:space="preserve"> Not Achieved</v>
      </c>
      <c r="T673" s="2" t="str">
        <f t="shared" si="98"/>
        <v>Good</v>
      </c>
      <c r="U673" s="2"/>
    </row>
    <row r="674" spans="1:21" x14ac:dyDescent="0.3">
      <c r="A674">
        <v>673</v>
      </c>
      <c r="B674" t="s">
        <v>1063</v>
      </c>
      <c r="C674" t="str">
        <f t="shared" si="90"/>
        <v>EMP_673</v>
      </c>
      <c r="D674" t="s">
        <v>15</v>
      </c>
      <c r="E674" t="str">
        <f t="shared" si="91"/>
        <v>EMP_673Finance</v>
      </c>
      <c r="F674" t="s">
        <v>18</v>
      </c>
      <c r="G674" t="s">
        <v>16</v>
      </c>
      <c r="H674">
        <v>63053</v>
      </c>
      <c r="I674">
        <v>8519</v>
      </c>
      <c r="J674">
        <v>0</v>
      </c>
      <c r="K674">
        <v>0</v>
      </c>
      <c r="L674" s="4" t="s">
        <v>1064</v>
      </c>
      <c r="M674" s="4" t="str">
        <f t="shared" si="92"/>
        <v>10/29/2018</v>
      </c>
      <c r="N674" s="1">
        <f t="shared" ca="1" si="93"/>
        <v>46064</v>
      </c>
      <c r="O674" s="6" t="e">
        <f t="shared" ca="1" si="94"/>
        <v>#VALUE!</v>
      </c>
      <c r="P674">
        <v>2</v>
      </c>
      <c r="Q674">
        <f t="shared" si="95"/>
        <v>71572</v>
      </c>
      <c r="R674" s="2">
        <f t="shared" si="96"/>
        <v>35786</v>
      </c>
      <c r="S674" s="2" t="str">
        <f t="shared" si="97"/>
        <v xml:space="preserve"> Not Achieved</v>
      </c>
      <c r="T674" s="2" t="str">
        <f t="shared" si="98"/>
        <v xml:space="preserve"> Excellent</v>
      </c>
      <c r="U674" s="2"/>
    </row>
    <row r="675" spans="1:21" x14ac:dyDescent="0.3">
      <c r="A675">
        <v>674</v>
      </c>
      <c r="B675" t="s">
        <v>1065</v>
      </c>
      <c r="C675" t="str">
        <f t="shared" si="90"/>
        <v>EMP_674</v>
      </c>
      <c r="D675" t="s">
        <v>15</v>
      </c>
      <c r="E675" t="str">
        <f t="shared" si="91"/>
        <v>EMP_674Sales</v>
      </c>
      <c r="F675" t="s">
        <v>7</v>
      </c>
      <c r="G675" t="s">
        <v>16</v>
      </c>
      <c r="H675">
        <v>26217</v>
      </c>
      <c r="I675">
        <v>9051</v>
      </c>
      <c r="J675">
        <v>82851</v>
      </c>
      <c r="K675">
        <v>245636</v>
      </c>
      <c r="L675" s="4" t="s">
        <v>1066</v>
      </c>
      <c r="M675" s="4" t="str">
        <f t="shared" si="92"/>
        <v>8/18/2021</v>
      </c>
      <c r="N675" s="1">
        <f t="shared" ca="1" si="93"/>
        <v>46064</v>
      </c>
      <c r="O675" s="6" t="e">
        <f t="shared" ca="1" si="94"/>
        <v>#VALUE!</v>
      </c>
      <c r="P675">
        <v>5</v>
      </c>
      <c r="Q675">
        <f t="shared" si="95"/>
        <v>35268</v>
      </c>
      <c r="R675" s="2">
        <f t="shared" si="96"/>
        <v>17634</v>
      </c>
      <c r="S675" s="2" t="str">
        <f t="shared" si="97"/>
        <v xml:space="preserve"> Not Achieved</v>
      </c>
      <c r="T675" s="2" t="str">
        <f t="shared" si="98"/>
        <v>poor</v>
      </c>
      <c r="U675" s="2"/>
    </row>
    <row r="676" spans="1:21" x14ac:dyDescent="0.3">
      <c r="A676">
        <v>675</v>
      </c>
      <c r="B676" t="s">
        <v>1067</v>
      </c>
      <c r="C676" t="str">
        <f t="shared" si="90"/>
        <v>EMP_675</v>
      </c>
      <c r="D676" t="s">
        <v>15</v>
      </c>
      <c r="E676" t="str">
        <f t="shared" si="91"/>
        <v>EMP_675IT</v>
      </c>
      <c r="F676" t="s">
        <v>21</v>
      </c>
      <c r="G676" t="s">
        <v>13</v>
      </c>
      <c r="H676">
        <v>75411</v>
      </c>
      <c r="I676">
        <v>5868</v>
      </c>
      <c r="J676">
        <v>0</v>
      </c>
      <c r="K676">
        <v>0</v>
      </c>
      <c r="L676" s="4" t="s">
        <v>294</v>
      </c>
      <c r="M676" s="4" t="str">
        <f t="shared" si="92"/>
        <v>3/19/2022</v>
      </c>
      <c r="N676" s="1">
        <f t="shared" ca="1" si="93"/>
        <v>46064</v>
      </c>
      <c r="O676" s="6" t="e">
        <f t="shared" ca="1" si="94"/>
        <v>#VALUE!</v>
      </c>
      <c r="P676">
        <v>3</v>
      </c>
      <c r="Q676">
        <f t="shared" si="95"/>
        <v>81279</v>
      </c>
      <c r="R676" s="2">
        <f t="shared" si="96"/>
        <v>40639.5</v>
      </c>
      <c r="S676" s="2" t="str">
        <f t="shared" si="97"/>
        <v xml:space="preserve"> Not Achieved</v>
      </c>
      <c r="T676" s="2" t="str">
        <f t="shared" si="98"/>
        <v xml:space="preserve"> Excellent</v>
      </c>
      <c r="U676" s="2"/>
    </row>
    <row r="677" spans="1:21" x14ac:dyDescent="0.3">
      <c r="A677">
        <v>676</v>
      </c>
      <c r="B677" t="s">
        <v>1068</v>
      </c>
      <c r="C677" t="str">
        <f t="shared" si="90"/>
        <v>EMP_676</v>
      </c>
      <c r="D677" t="s">
        <v>15</v>
      </c>
      <c r="E677" t="str">
        <f t="shared" si="91"/>
        <v>EMP_676IT</v>
      </c>
      <c r="F677" t="s">
        <v>21</v>
      </c>
      <c r="G677" t="s">
        <v>13</v>
      </c>
      <c r="H677">
        <v>20943</v>
      </c>
      <c r="I677">
        <v>12300</v>
      </c>
      <c r="J677">
        <v>0</v>
      </c>
      <c r="K677">
        <v>0</v>
      </c>
      <c r="L677" s="4" t="s">
        <v>1069</v>
      </c>
      <c r="M677" s="4" t="str">
        <f t="shared" si="92"/>
        <v>5/21/2018</v>
      </c>
      <c r="N677" s="1">
        <f t="shared" ca="1" si="93"/>
        <v>46064</v>
      </c>
      <c r="O677" s="6" t="e">
        <f t="shared" ca="1" si="94"/>
        <v>#VALUE!</v>
      </c>
      <c r="P677">
        <v>4</v>
      </c>
      <c r="Q677">
        <f t="shared" si="95"/>
        <v>33243</v>
      </c>
      <c r="R677" s="2">
        <f t="shared" si="96"/>
        <v>16621.5</v>
      </c>
      <c r="S677" s="2" t="str">
        <f t="shared" si="97"/>
        <v xml:space="preserve"> Not Achieved</v>
      </c>
      <c r="T677" s="2" t="str">
        <f t="shared" si="98"/>
        <v>poor</v>
      </c>
      <c r="U677" s="2"/>
    </row>
    <row r="678" spans="1:21" x14ac:dyDescent="0.3">
      <c r="A678">
        <v>677</v>
      </c>
      <c r="B678" t="s">
        <v>1070</v>
      </c>
      <c r="C678" t="str">
        <f t="shared" si="90"/>
        <v>EMP_677</v>
      </c>
      <c r="D678" t="s">
        <v>15</v>
      </c>
      <c r="E678" t="str">
        <f t="shared" si="91"/>
        <v>EMP_677IT</v>
      </c>
      <c r="F678" t="s">
        <v>21</v>
      </c>
      <c r="G678" t="s">
        <v>16</v>
      </c>
      <c r="H678">
        <v>35725</v>
      </c>
      <c r="I678">
        <v>2205</v>
      </c>
      <c r="J678">
        <v>0</v>
      </c>
      <c r="K678">
        <v>0</v>
      </c>
      <c r="L678" s="4">
        <v>44598</v>
      </c>
      <c r="M678" s="4" t="str">
        <f t="shared" si="92"/>
        <v>2022</v>
      </c>
      <c r="N678" s="1">
        <f t="shared" ca="1" si="93"/>
        <v>46064</v>
      </c>
      <c r="O678" s="6">
        <f t="shared" ca="1" si="94"/>
        <v>4</v>
      </c>
      <c r="P678">
        <v>2</v>
      </c>
      <c r="Q678">
        <f t="shared" si="95"/>
        <v>37930</v>
      </c>
      <c r="R678" s="2">
        <f t="shared" si="96"/>
        <v>18965</v>
      </c>
      <c r="S678" s="2" t="str">
        <f t="shared" si="97"/>
        <v xml:space="preserve"> Not Achieved</v>
      </c>
      <c r="T678" s="2" t="str">
        <f t="shared" si="98"/>
        <v>Average</v>
      </c>
      <c r="U678" s="2"/>
    </row>
    <row r="679" spans="1:21" x14ac:dyDescent="0.3">
      <c r="A679">
        <v>678</v>
      </c>
      <c r="B679" t="s">
        <v>1071</v>
      </c>
      <c r="C679" t="str">
        <f t="shared" si="90"/>
        <v>EMP_678</v>
      </c>
      <c r="D679" t="s">
        <v>15</v>
      </c>
      <c r="E679" t="str">
        <f t="shared" si="91"/>
        <v>EMP_678Sales</v>
      </c>
      <c r="F679" t="s">
        <v>7</v>
      </c>
      <c r="G679" t="s">
        <v>22</v>
      </c>
      <c r="H679">
        <v>31396</v>
      </c>
      <c r="I679">
        <v>9883</v>
      </c>
      <c r="J679">
        <v>110994</v>
      </c>
      <c r="K679">
        <v>192028</v>
      </c>
      <c r="L679" s="4">
        <v>44632</v>
      </c>
      <c r="M679" s="4" t="str">
        <f t="shared" si="92"/>
        <v>2022</v>
      </c>
      <c r="N679" s="1">
        <f t="shared" ca="1" si="93"/>
        <v>46064</v>
      </c>
      <c r="O679" s="6">
        <f t="shared" ca="1" si="94"/>
        <v>3</v>
      </c>
      <c r="P679">
        <v>5</v>
      </c>
      <c r="Q679">
        <f t="shared" si="95"/>
        <v>41279</v>
      </c>
      <c r="R679" s="2">
        <f t="shared" si="96"/>
        <v>20639.5</v>
      </c>
      <c r="S679" s="2" t="str">
        <f t="shared" si="97"/>
        <v xml:space="preserve"> Not Achieved</v>
      </c>
      <c r="T679" s="2" t="str">
        <f t="shared" si="98"/>
        <v>Average</v>
      </c>
      <c r="U679" s="2"/>
    </row>
    <row r="680" spans="1:21" x14ac:dyDescent="0.3">
      <c r="A680">
        <v>679</v>
      </c>
      <c r="B680" t="s">
        <v>1072</v>
      </c>
      <c r="C680" t="str">
        <f t="shared" si="90"/>
        <v>EMP_679</v>
      </c>
      <c r="D680" t="s">
        <v>11</v>
      </c>
      <c r="E680" t="str">
        <f t="shared" si="91"/>
        <v>EMP_679HR</v>
      </c>
      <c r="F680" t="s">
        <v>12</v>
      </c>
      <c r="G680" t="s">
        <v>16</v>
      </c>
      <c r="H680">
        <v>31898</v>
      </c>
      <c r="I680">
        <v>9651</v>
      </c>
      <c r="J680">
        <v>0</v>
      </c>
      <c r="K680">
        <v>0</v>
      </c>
      <c r="L680" s="4">
        <v>44115</v>
      </c>
      <c r="M680" s="4" t="str">
        <f t="shared" si="92"/>
        <v>2020</v>
      </c>
      <c r="N680" s="1">
        <f t="shared" ca="1" si="93"/>
        <v>46064</v>
      </c>
      <c r="O680" s="6">
        <f t="shared" ca="1" si="94"/>
        <v>5</v>
      </c>
      <c r="P680">
        <v>5</v>
      </c>
      <c r="Q680">
        <f t="shared" si="95"/>
        <v>41549</v>
      </c>
      <c r="R680" s="2">
        <f t="shared" si="96"/>
        <v>20774.5</v>
      </c>
      <c r="S680" s="2" t="str">
        <f t="shared" si="97"/>
        <v xml:space="preserve"> Not Achieved</v>
      </c>
      <c r="T680" s="2" t="str">
        <f t="shared" si="98"/>
        <v>Average</v>
      </c>
      <c r="U680" s="2"/>
    </row>
    <row r="681" spans="1:21" x14ac:dyDescent="0.3">
      <c r="A681">
        <v>680</v>
      </c>
      <c r="B681" t="s">
        <v>1073</v>
      </c>
      <c r="C681" t="str">
        <f t="shared" si="90"/>
        <v>EMP_680</v>
      </c>
      <c r="D681" t="s">
        <v>11</v>
      </c>
      <c r="E681" t="str">
        <f t="shared" si="91"/>
        <v>EMP_680HR</v>
      </c>
      <c r="F681" t="s">
        <v>12</v>
      </c>
      <c r="G681" t="s">
        <v>25</v>
      </c>
      <c r="H681">
        <v>26008</v>
      </c>
      <c r="I681">
        <v>8171</v>
      </c>
      <c r="J681">
        <v>0</v>
      </c>
      <c r="K681">
        <v>0</v>
      </c>
      <c r="L681" s="4" t="s">
        <v>1074</v>
      </c>
      <c r="M681" s="4" t="str">
        <f t="shared" si="92"/>
        <v>9/22/2022</v>
      </c>
      <c r="N681" s="1">
        <f t="shared" ca="1" si="93"/>
        <v>46064</v>
      </c>
      <c r="O681" s="6" t="e">
        <f t="shared" ca="1" si="94"/>
        <v>#VALUE!</v>
      </c>
      <c r="P681">
        <v>2</v>
      </c>
      <c r="Q681">
        <f t="shared" si="95"/>
        <v>34179</v>
      </c>
      <c r="R681" s="2">
        <f t="shared" si="96"/>
        <v>17089.5</v>
      </c>
      <c r="S681" s="2" t="str">
        <f t="shared" si="97"/>
        <v xml:space="preserve"> Not Achieved</v>
      </c>
      <c r="T681" s="2" t="str">
        <f t="shared" si="98"/>
        <v>poor</v>
      </c>
      <c r="U681" s="2"/>
    </row>
    <row r="682" spans="1:21" x14ac:dyDescent="0.3">
      <c r="A682">
        <v>681</v>
      </c>
      <c r="B682" t="s">
        <v>1075</v>
      </c>
      <c r="C682" t="str">
        <f t="shared" si="90"/>
        <v>EMP_681</v>
      </c>
      <c r="D682" t="s">
        <v>11</v>
      </c>
      <c r="E682" t="str">
        <f t="shared" si="91"/>
        <v>EMP_681Sales</v>
      </c>
      <c r="F682" t="s">
        <v>7</v>
      </c>
      <c r="G682" t="s">
        <v>13</v>
      </c>
      <c r="H682">
        <v>59566</v>
      </c>
      <c r="I682">
        <v>11966</v>
      </c>
      <c r="J682">
        <v>83180</v>
      </c>
      <c r="K682">
        <v>246805</v>
      </c>
      <c r="L682" s="4">
        <v>44532</v>
      </c>
      <c r="M682" s="4" t="str">
        <f t="shared" si="92"/>
        <v>2021</v>
      </c>
      <c r="N682" s="1">
        <f t="shared" ca="1" si="93"/>
        <v>46064</v>
      </c>
      <c r="O682" s="6">
        <f t="shared" ca="1" si="94"/>
        <v>4</v>
      </c>
      <c r="P682">
        <v>5</v>
      </c>
      <c r="Q682">
        <f t="shared" si="95"/>
        <v>71532</v>
      </c>
      <c r="R682" s="2">
        <f t="shared" si="96"/>
        <v>35766</v>
      </c>
      <c r="S682" s="2" t="str">
        <f t="shared" si="97"/>
        <v xml:space="preserve"> Not Achieved</v>
      </c>
      <c r="T682" s="2" t="str">
        <f t="shared" si="98"/>
        <v xml:space="preserve"> Excellent</v>
      </c>
      <c r="U682" s="2"/>
    </row>
    <row r="683" spans="1:21" x14ac:dyDescent="0.3">
      <c r="A683">
        <v>682</v>
      </c>
      <c r="B683" t="s">
        <v>1076</v>
      </c>
      <c r="C683" t="str">
        <f t="shared" si="90"/>
        <v>EMP_682</v>
      </c>
      <c r="D683" t="s">
        <v>15</v>
      </c>
      <c r="E683" t="str">
        <f t="shared" si="91"/>
        <v>EMP_682Finance</v>
      </c>
      <c r="F683" t="s">
        <v>18</v>
      </c>
      <c r="G683" t="s">
        <v>13</v>
      </c>
      <c r="H683">
        <v>64192</v>
      </c>
      <c r="I683">
        <v>13201</v>
      </c>
      <c r="J683">
        <v>0</v>
      </c>
      <c r="K683">
        <v>0</v>
      </c>
      <c r="L683" s="4">
        <v>43410</v>
      </c>
      <c r="M683" s="4" t="str">
        <f t="shared" si="92"/>
        <v>2018</v>
      </c>
      <c r="N683" s="1">
        <f t="shared" ca="1" si="93"/>
        <v>46064</v>
      </c>
      <c r="O683" s="6">
        <f t="shared" ca="1" si="94"/>
        <v>7</v>
      </c>
      <c r="P683">
        <v>4</v>
      </c>
      <c r="Q683">
        <f t="shared" si="95"/>
        <v>77393</v>
      </c>
      <c r="R683" s="2">
        <f t="shared" si="96"/>
        <v>38696.5</v>
      </c>
      <c r="S683" s="2" t="str">
        <f t="shared" si="97"/>
        <v xml:space="preserve"> Not Achieved</v>
      </c>
      <c r="T683" s="2" t="str">
        <f t="shared" si="98"/>
        <v xml:space="preserve"> Excellent</v>
      </c>
      <c r="U683" s="2"/>
    </row>
    <row r="684" spans="1:21" x14ac:dyDescent="0.3">
      <c r="A684">
        <v>683</v>
      </c>
      <c r="B684" t="s">
        <v>1077</v>
      </c>
      <c r="C684" t="str">
        <f t="shared" si="90"/>
        <v>EMP_683</v>
      </c>
      <c r="D684" t="s">
        <v>15</v>
      </c>
      <c r="E684" t="str">
        <f t="shared" si="91"/>
        <v>EMP_683Sales</v>
      </c>
      <c r="F684" t="s">
        <v>7</v>
      </c>
      <c r="G684" t="s">
        <v>19</v>
      </c>
      <c r="H684">
        <v>31948</v>
      </c>
      <c r="I684">
        <v>4105</v>
      </c>
      <c r="J684">
        <v>172339</v>
      </c>
      <c r="K684">
        <v>106900</v>
      </c>
      <c r="L684" s="4">
        <v>44109</v>
      </c>
      <c r="M684" s="4" t="str">
        <f t="shared" si="92"/>
        <v>2020</v>
      </c>
      <c r="N684" s="1">
        <f t="shared" ca="1" si="93"/>
        <v>46064</v>
      </c>
      <c r="O684" s="6">
        <f t="shared" ca="1" si="94"/>
        <v>5</v>
      </c>
      <c r="P684">
        <v>5</v>
      </c>
      <c r="Q684">
        <f t="shared" si="95"/>
        <v>36053</v>
      </c>
      <c r="R684" s="2">
        <f t="shared" si="96"/>
        <v>18026.5</v>
      </c>
      <c r="S684" s="2" t="str">
        <f t="shared" si="97"/>
        <v>Achieved</v>
      </c>
      <c r="T684" s="2" t="str">
        <f t="shared" si="98"/>
        <v>Average</v>
      </c>
      <c r="U684" s="2"/>
    </row>
    <row r="685" spans="1:21" x14ac:dyDescent="0.3">
      <c r="A685">
        <v>684</v>
      </c>
      <c r="B685" t="s">
        <v>1078</v>
      </c>
      <c r="C685" t="str">
        <f t="shared" si="90"/>
        <v>EMP_684</v>
      </c>
      <c r="D685" t="s">
        <v>15</v>
      </c>
      <c r="E685" t="str">
        <f t="shared" si="91"/>
        <v>EMP_684Finance</v>
      </c>
      <c r="F685" t="s">
        <v>18</v>
      </c>
      <c r="G685" t="s">
        <v>25</v>
      </c>
      <c r="H685">
        <v>41002</v>
      </c>
      <c r="I685">
        <v>13925</v>
      </c>
      <c r="J685">
        <v>0</v>
      </c>
      <c r="K685">
        <v>0</v>
      </c>
      <c r="L685" s="4" t="s">
        <v>1079</v>
      </c>
      <c r="M685" s="4" t="str">
        <f t="shared" si="92"/>
        <v>3/16/2021</v>
      </c>
      <c r="N685" s="1">
        <f t="shared" ca="1" si="93"/>
        <v>46064</v>
      </c>
      <c r="O685" s="6" t="e">
        <f t="shared" ca="1" si="94"/>
        <v>#VALUE!</v>
      </c>
      <c r="P685">
        <v>4</v>
      </c>
      <c r="Q685">
        <f t="shared" si="95"/>
        <v>54927</v>
      </c>
      <c r="R685" s="2">
        <f t="shared" si="96"/>
        <v>27463.5</v>
      </c>
      <c r="S685" s="2" t="str">
        <f t="shared" si="97"/>
        <v xml:space="preserve"> Not Achieved</v>
      </c>
      <c r="T685" s="2" t="str">
        <f t="shared" si="98"/>
        <v>Good</v>
      </c>
      <c r="U685" s="2"/>
    </row>
    <row r="686" spans="1:21" x14ac:dyDescent="0.3">
      <c r="A686">
        <v>685</v>
      </c>
      <c r="B686" t="s">
        <v>1080</v>
      </c>
      <c r="C686" t="str">
        <f t="shared" si="90"/>
        <v>EMP_685</v>
      </c>
      <c r="D686" t="s">
        <v>11</v>
      </c>
      <c r="E686" t="str">
        <f t="shared" si="91"/>
        <v>EMP_685Marketing</v>
      </c>
      <c r="F686" t="s">
        <v>24</v>
      </c>
      <c r="G686" t="s">
        <v>13</v>
      </c>
      <c r="H686">
        <v>33053</v>
      </c>
      <c r="I686">
        <v>11186</v>
      </c>
      <c r="J686">
        <v>0</v>
      </c>
      <c r="K686">
        <v>0</v>
      </c>
      <c r="L686" s="4">
        <v>44969</v>
      </c>
      <c r="M686" s="4" t="str">
        <f t="shared" si="92"/>
        <v>2023</v>
      </c>
      <c r="N686" s="1">
        <f t="shared" ca="1" si="93"/>
        <v>46064</v>
      </c>
      <c r="O686" s="6">
        <f t="shared" ca="1" si="94"/>
        <v>2</v>
      </c>
      <c r="P686">
        <v>3</v>
      </c>
      <c r="Q686">
        <f t="shared" si="95"/>
        <v>44239</v>
      </c>
      <c r="R686" s="2">
        <f t="shared" si="96"/>
        <v>22119.5</v>
      </c>
      <c r="S686" s="2" t="str">
        <f t="shared" si="97"/>
        <v xml:space="preserve"> Not Achieved</v>
      </c>
      <c r="T686" s="2" t="str">
        <f t="shared" si="98"/>
        <v>Average</v>
      </c>
      <c r="U686" s="2"/>
    </row>
    <row r="687" spans="1:21" x14ac:dyDescent="0.3">
      <c r="A687">
        <v>686</v>
      </c>
      <c r="B687" t="s">
        <v>1081</v>
      </c>
      <c r="C687" t="str">
        <f t="shared" si="90"/>
        <v>EMP_686</v>
      </c>
      <c r="D687" t="s">
        <v>15</v>
      </c>
      <c r="E687" t="str">
        <f t="shared" si="91"/>
        <v>EMP_686Sales</v>
      </c>
      <c r="F687" t="s">
        <v>7</v>
      </c>
      <c r="G687" t="s">
        <v>25</v>
      </c>
      <c r="H687">
        <v>43371</v>
      </c>
      <c r="I687">
        <v>8038</v>
      </c>
      <c r="J687">
        <v>243889</v>
      </c>
      <c r="K687">
        <v>149033</v>
      </c>
      <c r="L687" s="4" t="s">
        <v>1082</v>
      </c>
      <c r="M687" s="4" t="str">
        <f t="shared" si="92"/>
        <v>4/18/2024</v>
      </c>
      <c r="N687" s="1">
        <f t="shared" ca="1" si="93"/>
        <v>46064</v>
      </c>
      <c r="O687" s="6" t="e">
        <f t="shared" ca="1" si="94"/>
        <v>#VALUE!</v>
      </c>
      <c r="P687">
        <v>3</v>
      </c>
      <c r="Q687">
        <f t="shared" si="95"/>
        <v>51409</v>
      </c>
      <c r="R687" s="2">
        <f t="shared" si="96"/>
        <v>25704.5</v>
      </c>
      <c r="S687" s="2" t="str">
        <f t="shared" si="97"/>
        <v>Achieved</v>
      </c>
      <c r="T687" s="2" t="str">
        <f t="shared" si="98"/>
        <v>Good</v>
      </c>
      <c r="U687" s="2"/>
    </row>
    <row r="688" spans="1:21" x14ac:dyDescent="0.3">
      <c r="A688">
        <v>687</v>
      </c>
      <c r="B688" t="s">
        <v>1083</v>
      </c>
      <c r="C688" t="str">
        <f t="shared" si="90"/>
        <v>EMP_687</v>
      </c>
      <c r="D688" t="s">
        <v>15</v>
      </c>
      <c r="E688" t="str">
        <f t="shared" si="91"/>
        <v>EMP_687Finance</v>
      </c>
      <c r="F688" t="s">
        <v>18</v>
      </c>
      <c r="G688" t="s">
        <v>16</v>
      </c>
      <c r="H688">
        <v>23034</v>
      </c>
      <c r="I688">
        <v>11376</v>
      </c>
      <c r="J688">
        <v>0</v>
      </c>
      <c r="K688">
        <v>0</v>
      </c>
      <c r="L688" s="4">
        <v>44778</v>
      </c>
      <c r="M688" s="4" t="str">
        <f t="shared" si="92"/>
        <v>2022</v>
      </c>
      <c r="N688" s="1">
        <f t="shared" ca="1" si="93"/>
        <v>46064</v>
      </c>
      <c r="O688" s="6">
        <f t="shared" ca="1" si="94"/>
        <v>3</v>
      </c>
      <c r="P688">
        <v>4</v>
      </c>
      <c r="Q688">
        <f t="shared" si="95"/>
        <v>34410</v>
      </c>
      <c r="R688" s="2">
        <f t="shared" si="96"/>
        <v>17205</v>
      </c>
      <c r="S688" s="2" t="str">
        <f t="shared" si="97"/>
        <v xml:space="preserve"> Not Achieved</v>
      </c>
      <c r="T688" s="2" t="str">
        <f t="shared" si="98"/>
        <v>poor</v>
      </c>
      <c r="U688" s="2"/>
    </row>
    <row r="689" spans="1:21" x14ac:dyDescent="0.3">
      <c r="A689">
        <v>688</v>
      </c>
      <c r="B689" t="s">
        <v>1084</v>
      </c>
      <c r="C689" t="str">
        <f t="shared" si="90"/>
        <v>EMP_688</v>
      </c>
      <c r="D689" t="s">
        <v>11</v>
      </c>
      <c r="E689" t="str">
        <f t="shared" si="91"/>
        <v>EMP_688Finance</v>
      </c>
      <c r="F689" t="s">
        <v>18</v>
      </c>
      <c r="G689" t="s">
        <v>25</v>
      </c>
      <c r="H689">
        <v>35192</v>
      </c>
      <c r="I689">
        <v>6992</v>
      </c>
      <c r="J689">
        <v>0</v>
      </c>
      <c r="K689">
        <v>0</v>
      </c>
      <c r="L689" s="4">
        <v>44749</v>
      </c>
      <c r="M689" s="4" t="str">
        <f t="shared" si="92"/>
        <v>2022</v>
      </c>
      <c r="N689" s="1">
        <f t="shared" ca="1" si="93"/>
        <v>46064</v>
      </c>
      <c r="O689" s="6">
        <f t="shared" ca="1" si="94"/>
        <v>3</v>
      </c>
      <c r="P689">
        <v>1</v>
      </c>
      <c r="Q689">
        <f t="shared" si="95"/>
        <v>42184</v>
      </c>
      <c r="R689" s="2">
        <f t="shared" si="96"/>
        <v>21092</v>
      </c>
      <c r="S689" s="2" t="str">
        <f t="shared" si="97"/>
        <v xml:space="preserve"> Not Achieved</v>
      </c>
      <c r="T689" s="2" t="str">
        <f t="shared" si="98"/>
        <v>Average</v>
      </c>
      <c r="U689" s="2"/>
    </row>
    <row r="690" spans="1:21" x14ac:dyDescent="0.3">
      <c r="A690">
        <v>689</v>
      </c>
      <c r="B690" t="s">
        <v>1085</v>
      </c>
      <c r="C690" t="str">
        <f t="shared" si="90"/>
        <v>EMP_689</v>
      </c>
      <c r="D690" t="s">
        <v>15</v>
      </c>
      <c r="E690" t="str">
        <f t="shared" si="91"/>
        <v>EMP_689HR</v>
      </c>
      <c r="F690" t="s">
        <v>12</v>
      </c>
      <c r="G690" t="s">
        <v>22</v>
      </c>
      <c r="H690">
        <v>38319</v>
      </c>
      <c r="I690">
        <v>10559</v>
      </c>
      <c r="J690">
        <v>0</v>
      </c>
      <c r="K690">
        <v>0</v>
      </c>
      <c r="L690" s="4">
        <v>45544</v>
      </c>
      <c r="M690" s="4" t="str">
        <f t="shared" si="92"/>
        <v>2024</v>
      </c>
      <c r="N690" s="1">
        <f t="shared" ca="1" si="93"/>
        <v>46064</v>
      </c>
      <c r="O690" s="6">
        <f t="shared" ca="1" si="94"/>
        <v>1</v>
      </c>
      <c r="P690">
        <v>4</v>
      </c>
      <c r="Q690">
        <f t="shared" si="95"/>
        <v>48878</v>
      </c>
      <c r="R690" s="2">
        <f t="shared" si="96"/>
        <v>24439</v>
      </c>
      <c r="S690" s="2" t="str">
        <f t="shared" si="97"/>
        <v xml:space="preserve"> Not Achieved</v>
      </c>
      <c r="T690" s="2" t="str">
        <f t="shared" si="98"/>
        <v>Average</v>
      </c>
      <c r="U690" s="2"/>
    </row>
    <row r="691" spans="1:21" x14ac:dyDescent="0.3">
      <c r="A691">
        <v>690</v>
      </c>
      <c r="B691" t="s">
        <v>1086</v>
      </c>
      <c r="C691" t="str">
        <f t="shared" si="90"/>
        <v>EMP_690</v>
      </c>
      <c r="D691" t="s">
        <v>15</v>
      </c>
      <c r="E691" t="str">
        <f t="shared" si="91"/>
        <v>EMP_690IT</v>
      </c>
      <c r="F691" t="s">
        <v>21</v>
      </c>
      <c r="G691" t="s">
        <v>13</v>
      </c>
      <c r="H691">
        <v>42522</v>
      </c>
      <c r="I691">
        <v>14697</v>
      </c>
      <c r="J691">
        <v>0</v>
      </c>
      <c r="K691">
        <v>0</v>
      </c>
      <c r="L691" s="4" t="s">
        <v>1087</v>
      </c>
      <c r="M691" s="4" t="str">
        <f t="shared" si="92"/>
        <v>1/27/2021</v>
      </c>
      <c r="N691" s="1">
        <f t="shared" ca="1" si="93"/>
        <v>46064</v>
      </c>
      <c r="O691" s="6" t="e">
        <f t="shared" ca="1" si="94"/>
        <v>#VALUE!</v>
      </c>
      <c r="P691">
        <v>4</v>
      </c>
      <c r="Q691">
        <f t="shared" si="95"/>
        <v>57219</v>
      </c>
      <c r="R691" s="2">
        <f t="shared" si="96"/>
        <v>28609.5</v>
      </c>
      <c r="S691" s="2" t="str">
        <f t="shared" si="97"/>
        <v xml:space="preserve"> Not Achieved</v>
      </c>
      <c r="T691" s="2" t="str">
        <f t="shared" si="98"/>
        <v>Good</v>
      </c>
      <c r="U691" s="2"/>
    </row>
    <row r="692" spans="1:21" x14ac:dyDescent="0.3">
      <c r="A692">
        <v>691</v>
      </c>
      <c r="B692" t="s">
        <v>1088</v>
      </c>
      <c r="C692" t="str">
        <f t="shared" si="90"/>
        <v>EMP_691</v>
      </c>
      <c r="D692" t="s">
        <v>15</v>
      </c>
      <c r="E692" t="str">
        <f t="shared" si="91"/>
        <v>EMP_691Marketing</v>
      </c>
      <c r="F692" t="s">
        <v>24</v>
      </c>
      <c r="G692" t="s">
        <v>25</v>
      </c>
      <c r="H692">
        <v>55814</v>
      </c>
      <c r="I692">
        <v>8431</v>
      </c>
      <c r="J692">
        <v>0</v>
      </c>
      <c r="K692">
        <v>0</v>
      </c>
      <c r="L692" s="4">
        <v>44599</v>
      </c>
      <c r="M692" s="4" t="str">
        <f t="shared" si="92"/>
        <v>2022</v>
      </c>
      <c r="N692" s="1">
        <f t="shared" ca="1" si="93"/>
        <v>46064</v>
      </c>
      <c r="O692" s="6">
        <f t="shared" ca="1" si="94"/>
        <v>4</v>
      </c>
      <c r="P692">
        <v>3</v>
      </c>
      <c r="Q692">
        <f t="shared" si="95"/>
        <v>64245</v>
      </c>
      <c r="R692" s="2">
        <f t="shared" si="96"/>
        <v>32122.5</v>
      </c>
      <c r="S692" s="2" t="str">
        <f t="shared" si="97"/>
        <v xml:space="preserve"> Not Achieved</v>
      </c>
      <c r="T692" s="2" t="str">
        <f t="shared" si="98"/>
        <v xml:space="preserve"> Excellent</v>
      </c>
      <c r="U692" s="2"/>
    </row>
    <row r="693" spans="1:21" x14ac:dyDescent="0.3">
      <c r="A693">
        <v>692</v>
      </c>
      <c r="B693" t="s">
        <v>1089</v>
      </c>
      <c r="C693" t="str">
        <f t="shared" si="90"/>
        <v>EMP_692</v>
      </c>
      <c r="D693" t="s">
        <v>15</v>
      </c>
      <c r="E693" t="str">
        <f t="shared" si="91"/>
        <v>EMP_692IT</v>
      </c>
      <c r="F693" t="s">
        <v>21</v>
      </c>
      <c r="G693" t="s">
        <v>22</v>
      </c>
      <c r="H693">
        <v>40048</v>
      </c>
      <c r="I693">
        <v>14160</v>
      </c>
      <c r="J693">
        <v>0</v>
      </c>
      <c r="K693">
        <v>0</v>
      </c>
      <c r="L693" s="4">
        <v>44806</v>
      </c>
      <c r="M693" s="4" t="str">
        <f t="shared" si="92"/>
        <v>2022</v>
      </c>
      <c r="N693" s="1">
        <f t="shared" ca="1" si="93"/>
        <v>46064</v>
      </c>
      <c r="O693" s="6">
        <f t="shared" ca="1" si="94"/>
        <v>3</v>
      </c>
      <c r="P693">
        <v>2</v>
      </c>
      <c r="Q693">
        <f t="shared" si="95"/>
        <v>54208</v>
      </c>
      <c r="R693" s="2">
        <f t="shared" si="96"/>
        <v>27104</v>
      </c>
      <c r="S693" s="2" t="str">
        <f t="shared" si="97"/>
        <v xml:space="preserve"> Not Achieved</v>
      </c>
      <c r="T693" s="2" t="str">
        <f t="shared" si="98"/>
        <v>Good</v>
      </c>
      <c r="U693" s="2"/>
    </row>
    <row r="694" spans="1:21" x14ac:dyDescent="0.3">
      <c r="A694">
        <v>693</v>
      </c>
      <c r="B694" t="s">
        <v>1090</v>
      </c>
      <c r="C694" t="str">
        <f t="shared" si="90"/>
        <v>EMP_693</v>
      </c>
      <c r="D694" t="s">
        <v>11</v>
      </c>
      <c r="E694" t="str">
        <f t="shared" si="91"/>
        <v>EMP_693Finance</v>
      </c>
      <c r="F694" t="s">
        <v>18</v>
      </c>
      <c r="G694" t="s">
        <v>25</v>
      </c>
      <c r="H694">
        <v>69554</v>
      </c>
      <c r="I694">
        <v>6057</v>
      </c>
      <c r="J694">
        <v>0</v>
      </c>
      <c r="K694">
        <v>0</v>
      </c>
      <c r="L694" s="4" t="s">
        <v>1091</v>
      </c>
      <c r="M694" s="4" t="str">
        <f t="shared" si="92"/>
        <v>10/25/2023</v>
      </c>
      <c r="N694" s="1">
        <f t="shared" ca="1" si="93"/>
        <v>46064</v>
      </c>
      <c r="O694" s="6" t="e">
        <f t="shared" ca="1" si="94"/>
        <v>#VALUE!</v>
      </c>
      <c r="P694">
        <v>2</v>
      </c>
      <c r="Q694">
        <f t="shared" si="95"/>
        <v>75611</v>
      </c>
      <c r="R694" s="2">
        <f t="shared" si="96"/>
        <v>37805.5</v>
      </c>
      <c r="S694" s="2" t="str">
        <f t="shared" si="97"/>
        <v xml:space="preserve"> Not Achieved</v>
      </c>
      <c r="T694" s="2" t="str">
        <f t="shared" si="98"/>
        <v xml:space="preserve"> Excellent</v>
      </c>
      <c r="U694" s="2"/>
    </row>
    <row r="695" spans="1:21" x14ac:dyDescent="0.3">
      <c r="A695">
        <v>694</v>
      </c>
      <c r="B695" t="s">
        <v>1092</v>
      </c>
      <c r="C695" t="str">
        <f t="shared" si="90"/>
        <v>EMP_694</v>
      </c>
      <c r="D695" t="s">
        <v>15</v>
      </c>
      <c r="E695" t="str">
        <f t="shared" si="91"/>
        <v>EMP_694Finance</v>
      </c>
      <c r="F695" t="s">
        <v>18</v>
      </c>
      <c r="G695" t="s">
        <v>25</v>
      </c>
      <c r="H695">
        <v>52505</v>
      </c>
      <c r="I695">
        <v>6273</v>
      </c>
      <c r="J695">
        <v>0</v>
      </c>
      <c r="K695">
        <v>0</v>
      </c>
      <c r="L695" s="4" t="s">
        <v>1093</v>
      </c>
      <c r="M695" s="4" t="str">
        <f t="shared" si="92"/>
        <v>11/15/2018</v>
      </c>
      <c r="N695" s="1">
        <f t="shared" ca="1" si="93"/>
        <v>46064</v>
      </c>
      <c r="O695" s="6" t="e">
        <f t="shared" ca="1" si="94"/>
        <v>#VALUE!</v>
      </c>
      <c r="P695">
        <v>2</v>
      </c>
      <c r="Q695">
        <f t="shared" si="95"/>
        <v>58778</v>
      </c>
      <c r="R695" s="2">
        <f t="shared" si="96"/>
        <v>29389</v>
      </c>
      <c r="S695" s="2" t="str">
        <f t="shared" si="97"/>
        <v xml:space="preserve"> Not Achieved</v>
      </c>
      <c r="T695" s="2" t="str">
        <f t="shared" si="98"/>
        <v xml:space="preserve"> Excellent</v>
      </c>
      <c r="U695" s="2"/>
    </row>
    <row r="696" spans="1:21" x14ac:dyDescent="0.3">
      <c r="A696">
        <v>695</v>
      </c>
      <c r="B696" t="s">
        <v>1094</v>
      </c>
      <c r="C696" t="str">
        <f t="shared" si="90"/>
        <v>EMP_695</v>
      </c>
      <c r="D696" t="s">
        <v>15</v>
      </c>
      <c r="E696" t="str">
        <f t="shared" si="91"/>
        <v>EMP_695Marketing</v>
      </c>
      <c r="F696" t="s">
        <v>24</v>
      </c>
      <c r="G696" t="s">
        <v>19</v>
      </c>
      <c r="H696">
        <v>69931</v>
      </c>
      <c r="I696">
        <v>6487</v>
      </c>
      <c r="J696">
        <v>0</v>
      </c>
      <c r="K696">
        <v>0</v>
      </c>
      <c r="L696" s="4">
        <v>45384</v>
      </c>
      <c r="M696" s="4" t="str">
        <f t="shared" si="92"/>
        <v>2024</v>
      </c>
      <c r="N696" s="1">
        <f t="shared" ca="1" si="93"/>
        <v>46064</v>
      </c>
      <c r="O696" s="6">
        <f t="shared" ca="1" si="94"/>
        <v>1</v>
      </c>
      <c r="P696">
        <v>2</v>
      </c>
      <c r="Q696">
        <f t="shared" si="95"/>
        <v>76418</v>
      </c>
      <c r="R696" s="2">
        <f t="shared" si="96"/>
        <v>38209</v>
      </c>
      <c r="S696" s="2" t="str">
        <f t="shared" si="97"/>
        <v xml:space="preserve"> Not Achieved</v>
      </c>
      <c r="T696" s="2" t="str">
        <f t="shared" si="98"/>
        <v xml:space="preserve"> Excellent</v>
      </c>
      <c r="U696" s="2"/>
    </row>
    <row r="697" spans="1:21" x14ac:dyDescent="0.3">
      <c r="A697">
        <v>696</v>
      </c>
      <c r="B697" t="s">
        <v>1095</v>
      </c>
      <c r="C697" t="str">
        <f t="shared" si="90"/>
        <v>EMP_696</v>
      </c>
      <c r="D697" t="s">
        <v>15</v>
      </c>
      <c r="E697" t="str">
        <f t="shared" si="91"/>
        <v>EMP_696Sales</v>
      </c>
      <c r="F697" t="s">
        <v>7</v>
      </c>
      <c r="G697" t="s">
        <v>13</v>
      </c>
      <c r="H697">
        <v>24031</v>
      </c>
      <c r="I697">
        <v>4259</v>
      </c>
      <c r="J697">
        <v>51098</v>
      </c>
      <c r="K697">
        <v>110187</v>
      </c>
      <c r="L697" s="4">
        <v>44017</v>
      </c>
      <c r="M697" s="4" t="str">
        <f t="shared" si="92"/>
        <v>2020</v>
      </c>
      <c r="N697" s="1">
        <f t="shared" ca="1" si="93"/>
        <v>46064</v>
      </c>
      <c r="O697" s="6">
        <f t="shared" ca="1" si="94"/>
        <v>5</v>
      </c>
      <c r="P697">
        <v>3</v>
      </c>
      <c r="Q697">
        <f t="shared" si="95"/>
        <v>28290</v>
      </c>
      <c r="R697" s="2">
        <f t="shared" si="96"/>
        <v>14145</v>
      </c>
      <c r="S697" s="2" t="str">
        <f t="shared" si="97"/>
        <v xml:space="preserve"> Not Achieved</v>
      </c>
      <c r="T697" s="2" t="str">
        <f t="shared" si="98"/>
        <v>poor</v>
      </c>
      <c r="U697" s="2"/>
    </row>
    <row r="698" spans="1:21" x14ac:dyDescent="0.3">
      <c r="A698">
        <v>697</v>
      </c>
      <c r="B698" t="s">
        <v>1096</v>
      </c>
      <c r="C698" t="str">
        <f t="shared" si="90"/>
        <v>EMP_697</v>
      </c>
      <c r="D698" t="s">
        <v>15</v>
      </c>
      <c r="E698" t="str">
        <f t="shared" si="91"/>
        <v>EMP_697Marketing</v>
      </c>
      <c r="F698" t="s">
        <v>24</v>
      </c>
      <c r="G698" t="s">
        <v>22</v>
      </c>
      <c r="H698">
        <v>26207</v>
      </c>
      <c r="I698">
        <v>3088</v>
      </c>
      <c r="J698">
        <v>0</v>
      </c>
      <c r="K698">
        <v>0</v>
      </c>
      <c r="L698" s="4" t="s">
        <v>899</v>
      </c>
      <c r="M698" s="4" t="str">
        <f t="shared" si="92"/>
        <v>11/14/2019</v>
      </c>
      <c r="N698" s="1">
        <f t="shared" ca="1" si="93"/>
        <v>46064</v>
      </c>
      <c r="O698" s="6" t="e">
        <f t="shared" ca="1" si="94"/>
        <v>#VALUE!</v>
      </c>
      <c r="P698">
        <v>5</v>
      </c>
      <c r="Q698">
        <f t="shared" si="95"/>
        <v>29295</v>
      </c>
      <c r="R698" s="2">
        <f t="shared" si="96"/>
        <v>14647.5</v>
      </c>
      <c r="S698" s="2" t="str">
        <f t="shared" si="97"/>
        <v xml:space="preserve"> Not Achieved</v>
      </c>
      <c r="T698" s="2" t="str">
        <f t="shared" si="98"/>
        <v>poor</v>
      </c>
      <c r="U698" s="2"/>
    </row>
    <row r="699" spans="1:21" x14ac:dyDescent="0.3">
      <c r="A699">
        <v>698</v>
      </c>
      <c r="B699" t="s">
        <v>1097</v>
      </c>
      <c r="C699" t="str">
        <f t="shared" si="90"/>
        <v>EMP_698</v>
      </c>
      <c r="D699" t="s">
        <v>11</v>
      </c>
      <c r="E699" t="str">
        <f t="shared" si="91"/>
        <v>EMP_698Sales</v>
      </c>
      <c r="F699" t="s">
        <v>7</v>
      </c>
      <c r="G699" t="s">
        <v>25</v>
      </c>
      <c r="H699">
        <v>74266</v>
      </c>
      <c r="I699">
        <v>9553</v>
      </c>
      <c r="J699">
        <v>232747</v>
      </c>
      <c r="K699">
        <v>156044</v>
      </c>
      <c r="L699" s="4">
        <v>43315</v>
      </c>
      <c r="M699" s="4" t="str">
        <f t="shared" si="92"/>
        <v>2018</v>
      </c>
      <c r="N699" s="1">
        <f t="shared" ca="1" si="93"/>
        <v>46064</v>
      </c>
      <c r="O699" s="6">
        <f t="shared" ca="1" si="94"/>
        <v>7</v>
      </c>
      <c r="P699">
        <v>5</v>
      </c>
      <c r="Q699">
        <f t="shared" si="95"/>
        <v>83819</v>
      </c>
      <c r="R699" s="2">
        <f t="shared" si="96"/>
        <v>41909.5</v>
      </c>
      <c r="S699" s="2" t="str">
        <f t="shared" si="97"/>
        <v>Achieved</v>
      </c>
      <c r="T699" s="2" t="str">
        <f t="shared" si="98"/>
        <v xml:space="preserve"> Excellent</v>
      </c>
      <c r="U699" s="2"/>
    </row>
    <row r="700" spans="1:21" x14ac:dyDescent="0.3">
      <c r="A700">
        <v>699</v>
      </c>
      <c r="B700" t="s">
        <v>1098</v>
      </c>
      <c r="C700" t="str">
        <f t="shared" si="90"/>
        <v>EMP_699</v>
      </c>
      <c r="D700" t="s">
        <v>11</v>
      </c>
      <c r="E700" t="str">
        <f t="shared" si="91"/>
        <v>EMP_699HR</v>
      </c>
      <c r="F700" t="s">
        <v>12</v>
      </c>
      <c r="G700" t="s">
        <v>22</v>
      </c>
      <c r="H700">
        <v>56891</v>
      </c>
      <c r="I700">
        <v>2201</v>
      </c>
      <c r="J700">
        <v>0</v>
      </c>
      <c r="K700">
        <v>0</v>
      </c>
      <c r="L700" s="4">
        <v>43287</v>
      </c>
      <c r="M700" s="4" t="str">
        <f t="shared" si="92"/>
        <v>2018</v>
      </c>
      <c r="N700" s="1">
        <f t="shared" ca="1" si="93"/>
        <v>46064</v>
      </c>
      <c r="O700" s="6">
        <f t="shared" ca="1" si="94"/>
        <v>7</v>
      </c>
      <c r="P700">
        <v>3</v>
      </c>
      <c r="Q700">
        <f t="shared" si="95"/>
        <v>59092</v>
      </c>
      <c r="R700" s="2">
        <f t="shared" si="96"/>
        <v>29546</v>
      </c>
      <c r="S700" s="2" t="str">
        <f t="shared" si="97"/>
        <v xml:space="preserve"> Not Achieved</v>
      </c>
      <c r="T700" s="2" t="str">
        <f t="shared" si="98"/>
        <v xml:space="preserve"> Excellent</v>
      </c>
      <c r="U700" s="2"/>
    </row>
    <row r="701" spans="1:21" x14ac:dyDescent="0.3">
      <c r="A701">
        <v>700</v>
      </c>
      <c r="B701" t="s">
        <v>1099</v>
      </c>
      <c r="C701" t="str">
        <f t="shared" si="90"/>
        <v>EMP_700</v>
      </c>
      <c r="D701" t="s">
        <v>11</v>
      </c>
      <c r="E701" t="str">
        <f t="shared" si="91"/>
        <v>EMP_700Sales</v>
      </c>
      <c r="F701" t="s">
        <v>7</v>
      </c>
      <c r="G701" t="s">
        <v>25</v>
      </c>
      <c r="H701">
        <v>36244</v>
      </c>
      <c r="I701">
        <v>11074</v>
      </c>
      <c r="J701">
        <v>287130</v>
      </c>
      <c r="K701">
        <v>122302</v>
      </c>
      <c r="L701" s="4">
        <v>45149</v>
      </c>
      <c r="M701" s="4" t="str">
        <f t="shared" si="92"/>
        <v>2023</v>
      </c>
      <c r="N701" s="1">
        <f t="shared" ca="1" si="93"/>
        <v>46064</v>
      </c>
      <c r="O701" s="6">
        <f t="shared" ca="1" si="94"/>
        <v>2</v>
      </c>
      <c r="P701">
        <v>2</v>
      </c>
      <c r="Q701">
        <f t="shared" si="95"/>
        <v>47318</v>
      </c>
      <c r="R701" s="2">
        <f t="shared" si="96"/>
        <v>23659</v>
      </c>
      <c r="S701" s="2" t="str">
        <f t="shared" si="97"/>
        <v>Achieved</v>
      </c>
      <c r="T701" s="2" t="str">
        <f t="shared" si="98"/>
        <v>Average</v>
      </c>
      <c r="U701" s="2"/>
    </row>
    <row r="702" spans="1:21" x14ac:dyDescent="0.3">
      <c r="A702">
        <v>701</v>
      </c>
      <c r="B702" t="s">
        <v>1100</v>
      </c>
      <c r="C702" t="str">
        <f t="shared" si="90"/>
        <v>EMP_701</v>
      </c>
      <c r="D702" t="s">
        <v>11</v>
      </c>
      <c r="E702" t="str">
        <f t="shared" si="91"/>
        <v>EMP_701IT</v>
      </c>
      <c r="F702" t="s">
        <v>21</v>
      </c>
      <c r="G702" t="s">
        <v>19</v>
      </c>
      <c r="H702">
        <v>24760</v>
      </c>
      <c r="I702">
        <v>11745</v>
      </c>
      <c r="J702">
        <v>0</v>
      </c>
      <c r="K702">
        <v>0</v>
      </c>
      <c r="L702" s="4" t="s">
        <v>347</v>
      </c>
      <c r="M702" s="4" t="str">
        <f t="shared" si="92"/>
        <v>8/21/2024</v>
      </c>
      <c r="N702" s="1">
        <f t="shared" ca="1" si="93"/>
        <v>46064</v>
      </c>
      <c r="O702" s="6" t="e">
        <f t="shared" ca="1" si="94"/>
        <v>#VALUE!</v>
      </c>
      <c r="P702">
        <v>1</v>
      </c>
      <c r="Q702">
        <f t="shared" si="95"/>
        <v>36505</v>
      </c>
      <c r="R702" s="2">
        <f t="shared" si="96"/>
        <v>18252.5</v>
      </c>
      <c r="S702" s="2" t="str">
        <f t="shared" si="97"/>
        <v xml:space="preserve"> Not Achieved</v>
      </c>
      <c r="T702" s="2" t="str">
        <f t="shared" si="98"/>
        <v>poor</v>
      </c>
      <c r="U702" s="2"/>
    </row>
    <row r="703" spans="1:21" x14ac:dyDescent="0.3">
      <c r="A703">
        <v>702</v>
      </c>
      <c r="B703" t="s">
        <v>1101</v>
      </c>
      <c r="C703" t="str">
        <f t="shared" si="90"/>
        <v>EMP_702</v>
      </c>
      <c r="D703" t="s">
        <v>15</v>
      </c>
      <c r="E703" t="str">
        <f t="shared" si="91"/>
        <v>EMP_702HR</v>
      </c>
      <c r="F703" t="s">
        <v>12</v>
      </c>
      <c r="G703" t="s">
        <v>19</v>
      </c>
      <c r="H703">
        <v>77170</v>
      </c>
      <c r="I703">
        <v>2362</v>
      </c>
      <c r="J703">
        <v>0</v>
      </c>
      <c r="K703">
        <v>0</v>
      </c>
      <c r="L703" s="4" t="s">
        <v>808</v>
      </c>
      <c r="M703" s="4" t="str">
        <f t="shared" si="92"/>
        <v>1/17/2019</v>
      </c>
      <c r="N703" s="1">
        <f t="shared" ca="1" si="93"/>
        <v>46064</v>
      </c>
      <c r="O703" s="6" t="e">
        <f t="shared" ca="1" si="94"/>
        <v>#VALUE!</v>
      </c>
      <c r="P703">
        <v>2</v>
      </c>
      <c r="Q703">
        <f t="shared" si="95"/>
        <v>79532</v>
      </c>
      <c r="R703" s="2">
        <f t="shared" si="96"/>
        <v>39766</v>
      </c>
      <c r="S703" s="2" t="str">
        <f t="shared" si="97"/>
        <v xml:space="preserve"> Not Achieved</v>
      </c>
      <c r="T703" s="2" t="str">
        <f t="shared" si="98"/>
        <v xml:space="preserve"> Excellent</v>
      </c>
      <c r="U703" s="2"/>
    </row>
    <row r="704" spans="1:21" x14ac:dyDescent="0.3">
      <c r="A704">
        <v>703</v>
      </c>
      <c r="B704" t="s">
        <v>1102</v>
      </c>
      <c r="C704" t="str">
        <f t="shared" si="90"/>
        <v>EMP_703</v>
      </c>
      <c r="D704" t="s">
        <v>15</v>
      </c>
      <c r="E704" t="str">
        <f t="shared" si="91"/>
        <v>EMP_703Sales</v>
      </c>
      <c r="F704" t="s">
        <v>7</v>
      </c>
      <c r="G704" t="s">
        <v>19</v>
      </c>
      <c r="H704">
        <v>49042</v>
      </c>
      <c r="I704">
        <v>13429</v>
      </c>
      <c r="J704">
        <v>154013</v>
      </c>
      <c r="K704">
        <v>170970</v>
      </c>
      <c r="L704" s="4" t="s">
        <v>624</v>
      </c>
      <c r="M704" s="4" t="str">
        <f t="shared" si="92"/>
        <v>1/21/2024</v>
      </c>
      <c r="N704" s="1">
        <f t="shared" ca="1" si="93"/>
        <v>46064</v>
      </c>
      <c r="O704" s="6" t="e">
        <f t="shared" ca="1" si="94"/>
        <v>#VALUE!</v>
      </c>
      <c r="P704">
        <v>5</v>
      </c>
      <c r="Q704">
        <f t="shared" si="95"/>
        <v>62471</v>
      </c>
      <c r="R704" s="2">
        <f t="shared" si="96"/>
        <v>31235.5</v>
      </c>
      <c r="S704" s="2" t="str">
        <f t="shared" si="97"/>
        <v xml:space="preserve"> Not Achieved</v>
      </c>
      <c r="T704" s="2" t="str">
        <f t="shared" si="98"/>
        <v>Good</v>
      </c>
      <c r="U704" s="2"/>
    </row>
    <row r="705" spans="1:21" x14ac:dyDescent="0.3">
      <c r="A705">
        <v>704</v>
      </c>
      <c r="B705" t="s">
        <v>1103</v>
      </c>
      <c r="C705" t="str">
        <f t="shared" si="90"/>
        <v>EMP_704</v>
      </c>
      <c r="D705" t="s">
        <v>11</v>
      </c>
      <c r="E705" t="str">
        <f t="shared" si="91"/>
        <v>EMP_704IT</v>
      </c>
      <c r="F705" t="s">
        <v>21</v>
      </c>
      <c r="G705" t="s">
        <v>19</v>
      </c>
      <c r="H705">
        <v>42365</v>
      </c>
      <c r="I705">
        <v>11064</v>
      </c>
      <c r="J705">
        <v>0</v>
      </c>
      <c r="K705">
        <v>0</v>
      </c>
      <c r="L705" s="4" t="s">
        <v>1030</v>
      </c>
      <c r="M705" s="4" t="str">
        <f t="shared" si="92"/>
        <v>1/22/2018</v>
      </c>
      <c r="N705" s="1">
        <f t="shared" ca="1" si="93"/>
        <v>46064</v>
      </c>
      <c r="O705" s="6" t="e">
        <f t="shared" ca="1" si="94"/>
        <v>#VALUE!</v>
      </c>
      <c r="P705">
        <v>2</v>
      </c>
      <c r="Q705">
        <f t="shared" si="95"/>
        <v>53429</v>
      </c>
      <c r="R705" s="2">
        <f t="shared" si="96"/>
        <v>26714.5</v>
      </c>
      <c r="S705" s="2" t="str">
        <f t="shared" si="97"/>
        <v xml:space="preserve"> Not Achieved</v>
      </c>
      <c r="T705" s="2" t="str">
        <f t="shared" si="98"/>
        <v>Good</v>
      </c>
      <c r="U705" s="2"/>
    </row>
    <row r="706" spans="1:21" x14ac:dyDescent="0.3">
      <c r="A706">
        <v>705</v>
      </c>
      <c r="B706" t="s">
        <v>1104</v>
      </c>
      <c r="C706" t="str">
        <f t="shared" si="90"/>
        <v>EMP_705</v>
      </c>
      <c r="D706" t="s">
        <v>15</v>
      </c>
      <c r="E706" t="str">
        <f t="shared" si="91"/>
        <v>EMP_705Marketing</v>
      </c>
      <c r="F706" t="s">
        <v>24</v>
      </c>
      <c r="G706" t="s">
        <v>25</v>
      </c>
      <c r="H706">
        <v>37621</v>
      </c>
      <c r="I706">
        <v>11639</v>
      </c>
      <c r="J706">
        <v>0</v>
      </c>
      <c r="K706">
        <v>0</v>
      </c>
      <c r="L706" s="4" t="s">
        <v>1105</v>
      </c>
      <c r="M706" s="4" t="str">
        <f t="shared" si="92"/>
        <v>2/22/2021</v>
      </c>
      <c r="N706" s="1">
        <f t="shared" ca="1" si="93"/>
        <v>46064</v>
      </c>
      <c r="O706" s="6" t="e">
        <f t="shared" ca="1" si="94"/>
        <v>#VALUE!</v>
      </c>
      <c r="P706">
        <v>5</v>
      </c>
      <c r="Q706">
        <f t="shared" si="95"/>
        <v>49260</v>
      </c>
      <c r="R706" s="2">
        <f t="shared" si="96"/>
        <v>24630</v>
      </c>
      <c r="S706" s="2" t="str">
        <f t="shared" si="97"/>
        <v xml:space="preserve"> Not Achieved</v>
      </c>
      <c r="T706" s="2" t="str">
        <f t="shared" si="98"/>
        <v>Average</v>
      </c>
      <c r="U706" s="2"/>
    </row>
    <row r="707" spans="1:21" x14ac:dyDescent="0.3">
      <c r="A707">
        <v>706</v>
      </c>
      <c r="B707" t="s">
        <v>1106</v>
      </c>
      <c r="C707" t="str">
        <f t="shared" ref="C707:C770" si="99">UPPER(B707)</f>
        <v>EMP_706</v>
      </c>
      <c r="D707" t="s">
        <v>15</v>
      </c>
      <c r="E707" t="str">
        <f t="shared" ref="E707:E770" si="100">_xlfn.CONCAT(C707,F707)</f>
        <v>EMP_706IT</v>
      </c>
      <c r="F707" t="s">
        <v>21</v>
      </c>
      <c r="G707" t="s">
        <v>25</v>
      </c>
      <c r="H707">
        <v>72459</v>
      </c>
      <c r="I707">
        <v>11474</v>
      </c>
      <c r="J707">
        <v>0</v>
      </c>
      <c r="K707">
        <v>0</v>
      </c>
      <c r="L707" s="4">
        <v>44594</v>
      </c>
      <c r="M707" s="4" t="str">
        <f t="shared" ref="M707:M770" si="101">TEXT(L707,"yyyy")</f>
        <v>2022</v>
      </c>
      <c r="N707" s="1">
        <f t="shared" ref="N707:N770" ca="1" si="102">TODAY()</f>
        <v>46064</v>
      </c>
      <c r="O707" s="6">
        <f t="shared" ref="O707:O770" ca="1" si="103">DATEDIF(L707, TODAY(), "y")</f>
        <v>4</v>
      </c>
      <c r="P707">
        <v>1</v>
      </c>
      <c r="Q707">
        <f t="shared" ref="Q707:Q770" si="104">SUM(H707,I707)</f>
        <v>83933</v>
      </c>
      <c r="R707" s="2">
        <f t="shared" ref="R707:R770" si="105">AVERAGE(H707,I707)</f>
        <v>41966.5</v>
      </c>
      <c r="S707" s="2" t="str">
        <f t="shared" ref="S707:S770" si="106">IF(J707&gt;K707,"Achieved"," Not Achieved")</f>
        <v xml:space="preserve"> Not Achieved</v>
      </c>
      <c r="T707" s="2" t="str">
        <f t="shared" ref="T707:T770" si="107">_xlfn.IFS(H707&gt;=50000," Excellent",H707&gt;=40000,"Good",H707&gt;=30000,"Average",H707&lt;30000,"poor")</f>
        <v xml:space="preserve"> Excellent</v>
      </c>
      <c r="U707" s="2"/>
    </row>
    <row r="708" spans="1:21" x14ac:dyDescent="0.3">
      <c r="A708">
        <v>707</v>
      </c>
      <c r="B708" t="s">
        <v>1107</v>
      </c>
      <c r="C708" t="str">
        <f t="shared" si="99"/>
        <v>EMP_707</v>
      </c>
      <c r="D708" t="s">
        <v>11</v>
      </c>
      <c r="E708" t="str">
        <f t="shared" si="100"/>
        <v>EMP_707IT</v>
      </c>
      <c r="F708" t="s">
        <v>21</v>
      </c>
      <c r="G708" t="s">
        <v>25</v>
      </c>
      <c r="H708">
        <v>76213</v>
      </c>
      <c r="I708">
        <v>10368</v>
      </c>
      <c r="J708">
        <v>0</v>
      </c>
      <c r="K708">
        <v>0</v>
      </c>
      <c r="L708" s="4" t="s">
        <v>1108</v>
      </c>
      <c r="M708" s="4" t="str">
        <f t="shared" si="101"/>
        <v>12/31/2020</v>
      </c>
      <c r="N708" s="1">
        <f t="shared" ca="1" si="102"/>
        <v>46064</v>
      </c>
      <c r="O708" s="6" t="e">
        <f t="shared" ca="1" si="103"/>
        <v>#VALUE!</v>
      </c>
      <c r="P708">
        <v>1</v>
      </c>
      <c r="Q708">
        <f t="shared" si="104"/>
        <v>86581</v>
      </c>
      <c r="R708" s="2">
        <f t="shared" si="105"/>
        <v>43290.5</v>
      </c>
      <c r="S708" s="2" t="str">
        <f t="shared" si="106"/>
        <v xml:space="preserve"> Not Achieved</v>
      </c>
      <c r="T708" s="2" t="str">
        <f t="shared" si="107"/>
        <v xml:space="preserve"> Excellent</v>
      </c>
      <c r="U708" s="2"/>
    </row>
    <row r="709" spans="1:21" x14ac:dyDescent="0.3">
      <c r="A709">
        <v>708</v>
      </c>
      <c r="B709" t="s">
        <v>1109</v>
      </c>
      <c r="C709" t="str">
        <f t="shared" si="99"/>
        <v>EMP_708</v>
      </c>
      <c r="D709" t="s">
        <v>11</v>
      </c>
      <c r="E709" t="str">
        <f t="shared" si="100"/>
        <v>EMP_708HR</v>
      </c>
      <c r="F709" t="s">
        <v>12</v>
      </c>
      <c r="G709" t="s">
        <v>25</v>
      </c>
      <c r="H709">
        <v>36090</v>
      </c>
      <c r="I709">
        <v>11600</v>
      </c>
      <c r="J709">
        <v>0</v>
      </c>
      <c r="K709">
        <v>0</v>
      </c>
      <c r="L709" s="4">
        <v>43111</v>
      </c>
      <c r="M709" s="4" t="str">
        <f t="shared" si="101"/>
        <v>2018</v>
      </c>
      <c r="N709" s="1">
        <f t="shared" ca="1" si="102"/>
        <v>46064</v>
      </c>
      <c r="O709" s="6">
        <f t="shared" ca="1" si="103"/>
        <v>8</v>
      </c>
      <c r="P709">
        <v>4</v>
      </c>
      <c r="Q709">
        <f t="shared" si="104"/>
        <v>47690</v>
      </c>
      <c r="R709" s="2">
        <f t="shared" si="105"/>
        <v>23845</v>
      </c>
      <c r="S709" s="2" t="str">
        <f t="shared" si="106"/>
        <v xml:space="preserve"> Not Achieved</v>
      </c>
      <c r="T709" s="2" t="str">
        <f t="shared" si="107"/>
        <v>Average</v>
      </c>
      <c r="U709" s="2"/>
    </row>
    <row r="710" spans="1:21" x14ac:dyDescent="0.3">
      <c r="A710">
        <v>709</v>
      </c>
      <c r="B710" t="s">
        <v>1110</v>
      </c>
      <c r="C710" t="str">
        <f t="shared" si="99"/>
        <v>EMP_709</v>
      </c>
      <c r="D710" t="s">
        <v>15</v>
      </c>
      <c r="E710" t="str">
        <f t="shared" si="100"/>
        <v>EMP_709HR</v>
      </c>
      <c r="F710" t="s">
        <v>12</v>
      </c>
      <c r="G710" t="s">
        <v>13</v>
      </c>
      <c r="H710">
        <v>38876</v>
      </c>
      <c r="I710">
        <v>5069</v>
      </c>
      <c r="J710">
        <v>0</v>
      </c>
      <c r="K710">
        <v>0</v>
      </c>
      <c r="L710" s="4">
        <v>44935</v>
      </c>
      <c r="M710" s="4" t="str">
        <f t="shared" si="101"/>
        <v>2023</v>
      </c>
      <c r="N710" s="1">
        <f t="shared" ca="1" si="102"/>
        <v>46064</v>
      </c>
      <c r="O710" s="6">
        <f t="shared" ca="1" si="103"/>
        <v>3</v>
      </c>
      <c r="P710">
        <v>3</v>
      </c>
      <c r="Q710">
        <f t="shared" si="104"/>
        <v>43945</v>
      </c>
      <c r="R710" s="2">
        <f t="shared" si="105"/>
        <v>21972.5</v>
      </c>
      <c r="S710" s="2" t="str">
        <f t="shared" si="106"/>
        <v xml:space="preserve"> Not Achieved</v>
      </c>
      <c r="T710" s="2" t="str">
        <f t="shared" si="107"/>
        <v>Average</v>
      </c>
      <c r="U710" s="2"/>
    </row>
    <row r="711" spans="1:21" x14ac:dyDescent="0.3">
      <c r="A711">
        <v>710</v>
      </c>
      <c r="B711" t="s">
        <v>1111</v>
      </c>
      <c r="C711" t="str">
        <f t="shared" si="99"/>
        <v>EMP_710</v>
      </c>
      <c r="D711" t="s">
        <v>15</v>
      </c>
      <c r="E711" t="str">
        <f t="shared" si="100"/>
        <v>EMP_710Sales</v>
      </c>
      <c r="F711" t="s">
        <v>7</v>
      </c>
      <c r="G711" t="s">
        <v>19</v>
      </c>
      <c r="H711">
        <v>38108</v>
      </c>
      <c r="I711">
        <v>12512</v>
      </c>
      <c r="J711">
        <v>145499</v>
      </c>
      <c r="K711">
        <v>176192</v>
      </c>
      <c r="L711" s="4" t="s">
        <v>421</v>
      </c>
      <c r="M711" s="4" t="str">
        <f t="shared" si="101"/>
        <v>11/15/2019</v>
      </c>
      <c r="N711" s="1">
        <f t="shared" ca="1" si="102"/>
        <v>46064</v>
      </c>
      <c r="O711" s="6" t="e">
        <f t="shared" ca="1" si="103"/>
        <v>#VALUE!</v>
      </c>
      <c r="P711">
        <v>1</v>
      </c>
      <c r="Q711">
        <f t="shared" si="104"/>
        <v>50620</v>
      </c>
      <c r="R711" s="2">
        <f t="shared" si="105"/>
        <v>25310</v>
      </c>
      <c r="S711" s="2" t="str">
        <f t="shared" si="106"/>
        <v xml:space="preserve"> Not Achieved</v>
      </c>
      <c r="T711" s="2" t="str">
        <f t="shared" si="107"/>
        <v>Average</v>
      </c>
      <c r="U711" s="2"/>
    </row>
    <row r="712" spans="1:21" x14ac:dyDescent="0.3">
      <c r="A712">
        <v>711</v>
      </c>
      <c r="B712" t="s">
        <v>1112</v>
      </c>
      <c r="C712" t="str">
        <f t="shared" si="99"/>
        <v>EMP_711</v>
      </c>
      <c r="D712" t="s">
        <v>15</v>
      </c>
      <c r="E712" t="str">
        <f t="shared" si="100"/>
        <v>EMP_711Sales</v>
      </c>
      <c r="F712" t="s">
        <v>7</v>
      </c>
      <c r="G712" t="s">
        <v>19</v>
      </c>
      <c r="H712">
        <v>75824</v>
      </c>
      <c r="I712">
        <v>4895</v>
      </c>
      <c r="J712">
        <v>146497</v>
      </c>
      <c r="K712">
        <v>224228</v>
      </c>
      <c r="L712" s="4">
        <v>43895</v>
      </c>
      <c r="M712" s="4" t="str">
        <f t="shared" si="101"/>
        <v>2020</v>
      </c>
      <c r="N712" s="1">
        <f t="shared" ca="1" si="102"/>
        <v>46064</v>
      </c>
      <c r="O712" s="6">
        <f t="shared" ca="1" si="103"/>
        <v>5</v>
      </c>
      <c r="P712">
        <v>3</v>
      </c>
      <c r="Q712">
        <f t="shared" si="104"/>
        <v>80719</v>
      </c>
      <c r="R712" s="2">
        <f t="shared" si="105"/>
        <v>40359.5</v>
      </c>
      <c r="S712" s="2" t="str">
        <f t="shared" si="106"/>
        <v xml:space="preserve"> Not Achieved</v>
      </c>
      <c r="T712" s="2" t="str">
        <f t="shared" si="107"/>
        <v xml:space="preserve"> Excellent</v>
      </c>
      <c r="U712" s="2"/>
    </row>
    <row r="713" spans="1:21" x14ac:dyDescent="0.3">
      <c r="A713">
        <v>712</v>
      </c>
      <c r="B713" t="s">
        <v>1113</v>
      </c>
      <c r="C713" t="str">
        <f t="shared" si="99"/>
        <v>EMP_712</v>
      </c>
      <c r="D713" t="s">
        <v>11</v>
      </c>
      <c r="E713" t="str">
        <f t="shared" si="100"/>
        <v>EMP_712Finance</v>
      </c>
      <c r="F713" t="s">
        <v>18</v>
      </c>
      <c r="G713" t="s">
        <v>22</v>
      </c>
      <c r="H713">
        <v>31940</v>
      </c>
      <c r="I713">
        <v>14022</v>
      </c>
      <c r="J713">
        <v>0</v>
      </c>
      <c r="K713">
        <v>0</v>
      </c>
      <c r="L713" s="4">
        <v>45083</v>
      </c>
      <c r="M713" s="4" t="str">
        <f t="shared" si="101"/>
        <v>2023</v>
      </c>
      <c r="N713" s="1">
        <f t="shared" ca="1" si="102"/>
        <v>46064</v>
      </c>
      <c r="O713" s="6">
        <f t="shared" ca="1" si="103"/>
        <v>2</v>
      </c>
      <c r="P713">
        <v>5</v>
      </c>
      <c r="Q713">
        <f t="shared" si="104"/>
        <v>45962</v>
      </c>
      <c r="R713" s="2">
        <f t="shared" si="105"/>
        <v>22981</v>
      </c>
      <c r="S713" s="2" t="str">
        <f t="shared" si="106"/>
        <v xml:space="preserve"> Not Achieved</v>
      </c>
      <c r="T713" s="2" t="str">
        <f t="shared" si="107"/>
        <v>Average</v>
      </c>
      <c r="U713" s="2"/>
    </row>
    <row r="714" spans="1:21" x14ac:dyDescent="0.3">
      <c r="A714">
        <v>713</v>
      </c>
      <c r="B714" t="s">
        <v>1114</v>
      </c>
      <c r="C714" t="str">
        <f t="shared" si="99"/>
        <v>EMP_713</v>
      </c>
      <c r="D714" t="s">
        <v>11</v>
      </c>
      <c r="E714" t="str">
        <f t="shared" si="100"/>
        <v>EMP_713Finance</v>
      </c>
      <c r="F714" t="s">
        <v>18</v>
      </c>
      <c r="G714" t="s">
        <v>13</v>
      </c>
      <c r="H714">
        <v>67560</v>
      </c>
      <c r="I714">
        <v>2023</v>
      </c>
      <c r="J714">
        <v>0</v>
      </c>
      <c r="K714">
        <v>0</v>
      </c>
      <c r="L714" s="4" t="s">
        <v>1115</v>
      </c>
      <c r="M714" s="4" t="str">
        <f t="shared" si="101"/>
        <v>12/22/2022</v>
      </c>
      <c r="N714" s="1">
        <f t="shared" ca="1" si="102"/>
        <v>46064</v>
      </c>
      <c r="O714" s="6" t="e">
        <f t="shared" ca="1" si="103"/>
        <v>#VALUE!</v>
      </c>
      <c r="P714">
        <v>4</v>
      </c>
      <c r="Q714">
        <f t="shared" si="104"/>
        <v>69583</v>
      </c>
      <c r="R714" s="2">
        <f t="shared" si="105"/>
        <v>34791.5</v>
      </c>
      <c r="S714" s="2" t="str">
        <f t="shared" si="106"/>
        <v xml:space="preserve"> Not Achieved</v>
      </c>
      <c r="T714" s="2" t="str">
        <f t="shared" si="107"/>
        <v xml:space="preserve"> Excellent</v>
      </c>
      <c r="U714" s="2"/>
    </row>
    <row r="715" spans="1:21" x14ac:dyDescent="0.3">
      <c r="A715">
        <v>714</v>
      </c>
      <c r="B715" t="s">
        <v>1116</v>
      </c>
      <c r="C715" t="str">
        <f t="shared" si="99"/>
        <v>EMP_714</v>
      </c>
      <c r="D715" t="s">
        <v>15</v>
      </c>
      <c r="E715" t="str">
        <f t="shared" si="100"/>
        <v>EMP_714Sales</v>
      </c>
      <c r="F715" t="s">
        <v>7</v>
      </c>
      <c r="G715" t="s">
        <v>25</v>
      </c>
      <c r="H715">
        <v>74676</v>
      </c>
      <c r="I715">
        <v>6941</v>
      </c>
      <c r="J715">
        <v>63906</v>
      </c>
      <c r="K715">
        <v>200839</v>
      </c>
      <c r="L715" s="4" t="s">
        <v>1117</v>
      </c>
      <c r="M715" s="4" t="str">
        <f t="shared" si="101"/>
        <v>1/27/2024</v>
      </c>
      <c r="N715" s="1">
        <f t="shared" ca="1" si="102"/>
        <v>46064</v>
      </c>
      <c r="O715" s="6" t="e">
        <f t="shared" ca="1" si="103"/>
        <v>#VALUE!</v>
      </c>
      <c r="P715">
        <v>3</v>
      </c>
      <c r="Q715">
        <f t="shared" si="104"/>
        <v>81617</v>
      </c>
      <c r="R715" s="2">
        <f t="shared" si="105"/>
        <v>40808.5</v>
      </c>
      <c r="S715" s="2" t="str">
        <f t="shared" si="106"/>
        <v xml:space="preserve"> Not Achieved</v>
      </c>
      <c r="T715" s="2" t="str">
        <f t="shared" si="107"/>
        <v xml:space="preserve"> Excellent</v>
      </c>
      <c r="U715" s="2"/>
    </row>
    <row r="716" spans="1:21" x14ac:dyDescent="0.3">
      <c r="A716">
        <v>715</v>
      </c>
      <c r="B716" t="s">
        <v>1118</v>
      </c>
      <c r="C716" t="str">
        <f t="shared" si="99"/>
        <v>EMP_715</v>
      </c>
      <c r="D716" t="s">
        <v>11</v>
      </c>
      <c r="E716" t="str">
        <f t="shared" si="100"/>
        <v>EMP_715HR</v>
      </c>
      <c r="F716" t="s">
        <v>12</v>
      </c>
      <c r="G716" t="s">
        <v>16</v>
      </c>
      <c r="H716">
        <v>38344</v>
      </c>
      <c r="I716">
        <v>4779</v>
      </c>
      <c r="J716">
        <v>0</v>
      </c>
      <c r="K716">
        <v>0</v>
      </c>
      <c r="L716" s="4">
        <v>44900</v>
      </c>
      <c r="M716" s="4" t="str">
        <f t="shared" si="101"/>
        <v>2022</v>
      </c>
      <c r="N716" s="1">
        <f t="shared" ca="1" si="102"/>
        <v>46064</v>
      </c>
      <c r="O716" s="6">
        <f t="shared" ca="1" si="103"/>
        <v>3</v>
      </c>
      <c r="P716">
        <v>3</v>
      </c>
      <c r="Q716">
        <f t="shared" si="104"/>
        <v>43123</v>
      </c>
      <c r="R716" s="2">
        <f t="shared" si="105"/>
        <v>21561.5</v>
      </c>
      <c r="S716" s="2" t="str">
        <f t="shared" si="106"/>
        <v xml:space="preserve"> Not Achieved</v>
      </c>
      <c r="T716" s="2" t="str">
        <f t="shared" si="107"/>
        <v>Average</v>
      </c>
      <c r="U716" s="2"/>
    </row>
    <row r="717" spans="1:21" x14ac:dyDescent="0.3">
      <c r="A717">
        <v>716</v>
      </c>
      <c r="B717" t="s">
        <v>1119</v>
      </c>
      <c r="C717" t="str">
        <f t="shared" si="99"/>
        <v>EMP_716</v>
      </c>
      <c r="D717" t="s">
        <v>15</v>
      </c>
      <c r="E717" t="str">
        <f t="shared" si="100"/>
        <v>EMP_716Finance</v>
      </c>
      <c r="F717" t="s">
        <v>18</v>
      </c>
      <c r="G717" t="s">
        <v>19</v>
      </c>
      <c r="H717">
        <v>21802</v>
      </c>
      <c r="I717">
        <v>11255</v>
      </c>
      <c r="J717">
        <v>0</v>
      </c>
      <c r="K717">
        <v>0</v>
      </c>
      <c r="L717" s="4" t="s">
        <v>1060</v>
      </c>
      <c r="M717" s="4" t="str">
        <f t="shared" si="101"/>
        <v>6/21/2020</v>
      </c>
      <c r="N717" s="1">
        <f t="shared" ca="1" si="102"/>
        <v>46064</v>
      </c>
      <c r="O717" s="6" t="e">
        <f t="shared" ca="1" si="103"/>
        <v>#VALUE!</v>
      </c>
      <c r="P717">
        <v>2</v>
      </c>
      <c r="Q717">
        <f t="shared" si="104"/>
        <v>33057</v>
      </c>
      <c r="R717" s="2">
        <f t="shared" si="105"/>
        <v>16528.5</v>
      </c>
      <c r="S717" s="2" t="str">
        <f t="shared" si="106"/>
        <v xml:space="preserve"> Not Achieved</v>
      </c>
      <c r="T717" s="2" t="str">
        <f t="shared" si="107"/>
        <v>poor</v>
      </c>
      <c r="U717" s="2"/>
    </row>
    <row r="718" spans="1:21" x14ac:dyDescent="0.3">
      <c r="A718">
        <v>717</v>
      </c>
      <c r="B718" t="s">
        <v>1120</v>
      </c>
      <c r="C718" t="str">
        <f t="shared" si="99"/>
        <v>EMP_717</v>
      </c>
      <c r="D718" t="s">
        <v>11</v>
      </c>
      <c r="E718" t="str">
        <f t="shared" si="100"/>
        <v>EMP_717Sales</v>
      </c>
      <c r="F718" t="s">
        <v>7</v>
      </c>
      <c r="G718" t="s">
        <v>13</v>
      </c>
      <c r="H718">
        <v>27572</v>
      </c>
      <c r="I718">
        <v>2104</v>
      </c>
      <c r="J718">
        <v>59017</v>
      </c>
      <c r="K718">
        <v>136903</v>
      </c>
      <c r="L718" s="4">
        <v>45269</v>
      </c>
      <c r="M718" s="4" t="str">
        <f t="shared" si="101"/>
        <v>2023</v>
      </c>
      <c r="N718" s="1">
        <f t="shared" ca="1" si="102"/>
        <v>46064</v>
      </c>
      <c r="O718" s="6">
        <f t="shared" ca="1" si="103"/>
        <v>2</v>
      </c>
      <c r="P718">
        <v>5</v>
      </c>
      <c r="Q718">
        <f t="shared" si="104"/>
        <v>29676</v>
      </c>
      <c r="R718" s="2">
        <f t="shared" si="105"/>
        <v>14838</v>
      </c>
      <c r="S718" s="2" t="str">
        <f t="shared" si="106"/>
        <v xml:space="preserve"> Not Achieved</v>
      </c>
      <c r="T718" s="2" t="str">
        <f t="shared" si="107"/>
        <v>poor</v>
      </c>
      <c r="U718" s="2"/>
    </row>
    <row r="719" spans="1:21" x14ac:dyDescent="0.3">
      <c r="A719">
        <v>718</v>
      </c>
      <c r="B719" t="s">
        <v>1121</v>
      </c>
      <c r="C719" t="str">
        <f t="shared" si="99"/>
        <v>EMP_718</v>
      </c>
      <c r="D719" t="s">
        <v>11</v>
      </c>
      <c r="E719" t="str">
        <f t="shared" si="100"/>
        <v>EMP_718Marketing</v>
      </c>
      <c r="F719" t="s">
        <v>24</v>
      </c>
      <c r="G719" t="s">
        <v>25</v>
      </c>
      <c r="H719">
        <v>73507</v>
      </c>
      <c r="I719">
        <v>2332</v>
      </c>
      <c r="J719">
        <v>0</v>
      </c>
      <c r="K719">
        <v>0</v>
      </c>
      <c r="L719" s="4">
        <v>45413</v>
      </c>
      <c r="M719" s="4" t="str">
        <f t="shared" si="101"/>
        <v>2024</v>
      </c>
      <c r="N719" s="1">
        <f t="shared" ca="1" si="102"/>
        <v>46064</v>
      </c>
      <c r="O719" s="6">
        <f t="shared" ca="1" si="103"/>
        <v>1</v>
      </c>
      <c r="P719">
        <v>1</v>
      </c>
      <c r="Q719">
        <f t="shared" si="104"/>
        <v>75839</v>
      </c>
      <c r="R719" s="2">
        <f t="shared" si="105"/>
        <v>37919.5</v>
      </c>
      <c r="S719" s="2" t="str">
        <f t="shared" si="106"/>
        <v xml:space="preserve"> Not Achieved</v>
      </c>
      <c r="T719" s="2" t="str">
        <f t="shared" si="107"/>
        <v xml:space="preserve"> Excellent</v>
      </c>
      <c r="U719" s="2"/>
    </row>
    <row r="720" spans="1:21" x14ac:dyDescent="0.3">
      <c r="A720">
        <v>719</v>
      </c>
      <c r="B720" t="s">
        <v>1122</v>
      </c>
      <c r="C720" t="str">
        <f t="shared" si="99"/>
        <v>EMP_719</v>
      </c>
      <c r="D720" t="s">
        <v>15</v>
      </c>
      <c r="E720" t="str">
        <f t="shared" si="100"/>
        <v>EMP_719IT</v>
      </c>
      <c r="F720" t="s">
        <v>21</v>
      </c>
      <c r="G720" t="s">
        <v>22</v>
      </c>
      <c r="H720">
        <v>59015</v>
      </c>
      <c r="I720">
        <v>7359</v>
      </c>
      <c r="J720">
        <v>0</v>
      </c>
      <c r="K720">
        <v>0</v>
      </c>
      <c r="L720" s="4" t="s">
        <v>1123</v>
      </c>
      <c r="M720" s="4" t="str">
        <f t="shared" si="101"/>
        <v>12/19/2021</v>
      </c>
      <c r="N720" s="1">
        <f t="shared" ca="1" si="102"/>
        <v>46064</v>
      </c>
      <c r="O720" s="6" t="e">
        <f t="shared" ca="1" si="103"/>
        <v>#VALUE!</v>
      </c>
      <c r="P720">
        <v>4</v>
      </c>
      <c r="Q720">
        <f t="shared" si="104"/>
        <v>66374</v>
      </c>
      <c r="R720" s="2">
        <f t="shared" si="105"/>
        <v>33187</v>
      </c>
      <c r="S720" s="2" t="str">
        <f t="shared" si="106"/>
        <v xml:space="preserve"> Not Achieved</v>
      </c>
      <c r="T720" s="2" t="str">
        <f t="shared" si="107"/>
        <v xml:space="preserve"> Excellent</v>
      </c>
      <c r="U720" s="2"/>
    </row>
    <row r="721" spans="1:21" x14ac:dyDescent="0.3">
      <c r="A721">
        <v>720</v>
      </c>
      <c r="B721" t="s">
        <v>1124</v>
      </c>
      <c r="C721" t="str">
        <f t="shared" si="99"/>
        <v>EMP_720</v>
      </c>
      <c r="D721" t="s">
        <v>15</v>
      </c>
      <c r="E721" t="str">
        <f t="shared" si="100"/>
        <v>EMP_720IT</v>
      </c>
      <c r="F721" t="s">
        <v>21</v>
      </c>
      <c r="G721" t="s">
        <v>13</v>
      </c>
      <c r="H721">
        <v>23418</v>
      </c>
      <c r="I721">
        <v>13549</v>
      </c>
      <c r="J721">
        <v>0</v>
      </c>
      <c r="K721">
        <v>0</v>
      </c>
      <c r="L721" s="4">
        <v>44778</v>
      </c>
      <c r="M721" s="4" t="str">
        <f t="shared" si="101"/>
        <v>2022</v>
      </c>
      <c r="N721" s="1">
        <f t="shared" ca="1" si="102"/>
        <v>46064</v>
      </c>
      <c r="O721" s="6">
        <f t="shared" ca="1" si="103"/>
        <v>3</v>
      </c>
      <c r="P721">
        <v>1</v>
      </c>
      <c r="Q721">
        <f t="shared" si="104"/>
        <v>36967</v>
      </c>
      <c r="R721" s="2">
        <f t="shared" si="105"/>
        <v>18483.5</v>
      </c>
      <c r="S721" s="2" t="str">
        <f t="shared" si="106"/>
        <v xml:space="preserve"> Not Achieved</v>
      </c>
      <c r="T721" s="2" t="str">
        <f t="shared" si="107"/>
        <v>poor</v>
      </c>
      <c r="U721" s="2"/>
    </row>
    <row r="722" spans="1:21" x14ac:dyDescent="0.3">
      <c r="A722">
        <v>721</v>
      </c>
      <c r="B722" t="s">
        <v>1125</v>
      </c>
      <c r="C722" t="str">
        <f t="shared" si="99"/>
        <v>EMP_721</v>
      </c>
      <c r="D722" t="s">
        <v>11</v>
      </c>
      <c r="E722" t="str">
        <f t="shared" si="100"/>
        <v>EMP_721IT</v>
      </c>
      <c r="F722" t="s">
        <v>21</v>
      </c>
      <c r="G722" t="s">
        <v>22</v>
      </c>
      <c r="H722">
        <v>62972</v>
      </c>
      <c r="I722">
        <v>13237</v>
      </c>
      <c r="J722">
        <v>0</v>
      </c>
      <c r="K722">
        <v>0</v>
      </c>
      <c r="L722" s="4">
        <v>43132</v>
      </c>
      <c r="M722" s="4" t="str">
        <f t="shared" si="101"/>
        <v>2018</v>
      </c>
      <c r="N722" s="1">
        <f t="shared" ca="1" si="102"/>
        <v>46064</v>
      </c>
      <c r="O722" s="6">
        <f t="shared" ca="1" si="103"/>
        <v>8</v>
      </c>
      <c r="P722">
        <v>3</v>
      </c>
      <c r="Q722">
        <f t="shared" si="104"/>
        <v>76209</v>
      </c>
      <c r="R722" s="2">
        <f t="shared" si="105"/>
        <v>38104.5</v>
      </c>
      <c r="S722" s="2" t="str">
        <f t="shared" si="106"/>
        <v xml:space="preserve"> Not Achieved</v>
      </c>
      <c r="T722" s="2" t="str">
        <f t="shared" si="107"/>
        <v xml:space="preserve"> Excellent</v>
      </c>
      <c r="U722" s="2"/>
    </row>
    <row r="723" spans="1:21" x14ac:dyDescent="0.3">
      <c r="A723">
        <v>722</v>
      </c>
      <c r="B723" t="s">
        <v>1126</v>
      </c>
      <c r="C723" t="str">
        <f t="shared" si="99"/>
        <v>EMP_722</v>
      </c>
      <c r="D723" t="s">
        <v>15</v>
      </c>
      <c r="E723" t="str">
        <f t="shared" si="100"/>
        <v>EMP_722Sales</v>
      </c>
      <c r="F723" t="s">
        <v>7</v>
      </c>
      <c r="G723" t="s">
        <v>25</v>
      </c>
      <c r="H723">
        <v>55468</v>
      </c>
      <c r="I723">
        <v>5149</v>
      </c>
      <c r="J723">
        <v>203350</v>
      </c>
      <c r="K723">
        <v>244896</v>
      </c>
      <c r="L723" s="4" t="s">
        <v>1127</v>
      </c>
      <c r="M723" s="4" t="str">
        <f t="shared" si="101"/>
        <v>5/19/2024</v>
      </c>
      <c r="N723" s="1">
        <f t="shared" ca="1" si="102"/>
        <v>46064</v>
      </c>
      <c r="O723" s="6" t="e">
        <f t="shared" ca="1" si="103"/>
        <v>#VALUE!</v>
      </c>
      <c r="P723">
        <v>1</v>
      </c>
      <c r="Q723">
        <f t="shared" si="104"/>
        <v>60617</v>
      </c>
      <c r="R723" s="2">
        <f t="shared" si="105"/>
        <v>30308.5</v>
      </c>
      <c r="S723" s="2" t="str">
        <f t="shared" si="106"/>
        <v xml:space="preserve"> Not Achieved</v>
      </c>
      <c r="T723" s="2" t="str">
        <f t="shared" si="107"/>
        <v xml:space="preserve"> Excellent</v>
      </c>
      <c r="U723" s="2"/>
    </row>
    <row r="724" spans="1:21" x14ac:dyDescent="0.3">
      <c r="A724">
        <v>723</v>
      </c>
      <c r="B724" t="s">
        <v>1128</v>
      </c>
      <c r="C724" t="str">
        <f t="shared" si="99"/>
        <v>EMP_723</v>
      </c>
      <c r="D724" t="s">
        <v>15</v>
      </c>
      <c r="E724" t="str">
        <f t="shared" si="100"/>
        <v>EMP_723IT</v>
      </c>
      <c r="F724" t="s">
        <v>21</v>
      </c>
      <c r="G724" t="s">
        <v>16</v>
      </c>
      <c r="H724">
        <v>54618</v>
      </c>
      <c r="I724">
        <v>12447</v>
      </c>
      <c r="J724">
        <v>0</v>
      </c>
      <c r="K724">
        <v>0</v>
      </c>
      <c r="L724" s="4" t="s">
        <v>48</v>
      </c>
      <c r="M724" s="4" t="str">
        <f t="shared" si="101"/>
        <v>4/17/2020</v>
      </c>
      <c r="N724" s="1">
        <f t="shared" ca="1" si="102"/>
        <v>46064</v>
      </c>
      <c r="O724" s="6" t="e">
        <f t="shared" ca="1" si="103"/>
        <v>#VALUE!</v>
      </c>
      <c r="P724">
        <v>5</v>
      </c>
      <c r="Q724">
        <f t="shared" si="104"/>
        <v>67065</v>
      </c>
      <c r="R724" s="2">
        <f t="shared" si="105"/>
        <v>33532.5</v>
      </c>
      <c r="S724" s="2" t="str">
        <f t="shared" si="106"/>
        <v xml:space="preserve"> Not Achieved</v>
      </c>
      <c r="T724" s="2" t="str">
        <f t="shared" si="107"/>
        <v xml:space="preserve"> Excellent</v>
      </c>
      <c r="U724" s="2"/>
    </row>
    <row r="725" spans="1:21" x14ac:dyDescent="0.3">
      <c r="A725">
        <v>724</v>
      </c>
      <c r="B725" t="s">
        <v>1129</v>
      </c>
      <c r="C725" t="str">
        <f t="shared" si="99"/>
        <v>EMP_724</v>
      </c>
      <c r="D725" t="s">
        <v>11</v>
      </c>
      <c r="E725" t="str">
        <f t="shared" si="100"/>
        <v>EMP_724HR</v>
      </c>
      <c r="F725" t="s">
        <v>12</v>
      </c>
      <c r="G725" t="s">
        <v>25</v>
      </c>
      <c r="H725">
        <v>76857</v>
      </c>
      <c r="I725">
        <v>11957</v>
      </c>
      <c r="J725">
        <v>0</v>
      </c>
      <c r="K725">
        <v>0</v>
      </c>
      <c r="L725" s="4" t="s">
        <v>1130</v>
      </c>
      <c r="M725" s="4" t="str">
        <f t="shared" si="101"/>
        <v>6/22/2018</v>
      </c>
      <c r="N725" s="1">
        <f t="shared" ca="1" si="102"/>
        <v>46064</v>
      </c>
      <c r="O725" s="6" t="e">
        <f t="shared" ca="1" si="103"/>
        <v>#VALUE!</v>
      </c>
      <c r="P725">
        <v>3</v>
      </c>
      <c r="Q725">
        <f t="shared" si="104"/>
        <v>88814</v>
      </c>
      <c r="R725" s="2">
        <f t="shared" si="105"/>
        <v>44407</v>
      </c>
      <c r="S725" s="2" t="str">
        <f t="shared" si="106"/>
        <v xml:space="preserve"> Not Achieved</v>
      </c>
      <c r="T725" s="2" t="str">
        <f t="shared" si="107"/>
        <v xml:space="preserve"> Excellent</v>
      </c>
      <c r="U725" s="2"/>
    </row>
    <row r="726" spans="1:21" x14ac:dyDescent="0.3">
      <c r="A726">
        <v>725</v>
      </c>
      <c r="B726" t="s">
        <v>1131</v>
      </c>
      <c r="C726" t="str">
        <f t="shared" si="99"/>
        <v>EMP_725</v>
      </c>
      <c r="D726" t="s">
        <v>15</v>
      </c>
      <c r="E726" t="str">
        <f t="shared" si="100"/>
        <v>EMP_725Sales</v>
      </c>
      <c r="F726" t="s">
        <v>7</v>
      </c>
      <c r="G726" t="s">
        <v>25</v>
      </c>
      <c r="H726">
        <v>58153</v>
      </c>
      <c r="I726">
        <v>4493</v>
      </c>
      <c r="J726">
        <v>93254</v>
      </c>
      <c r="K726">
        <v>94247</v>
      </c>
      <c r="L726" s="4" t="s">
        <v>754</v>
      </c>
      <c r="M726" s="4" t="str">
        <f t="shared" si="101"/>
        <v>7/14/2021</v>
      </c>
      <c r="N726" s="1">
        <f t="shared" ca="1" si="102"/>
        <v>46064</v>
      </c>
      <c r="O726" s="6" t="e">
        <f t="shared" ca="1" si="103"/>
        <v>#VALUE!</v>
      </c>
      <c r="P726">
        <v>1</v>
      </c>
      <c r="Q726">
        <f t="shared" si="104"/>
        <v>62646</v>
      </c>
      <c r="R726" s="2">
        <f t="shared" si="105"/>
        <v>31323</v>
      </c>
      <c r="S726" s="2" t="str">
        <f t="shared" si="106"/>
        <v xml:space="preserve"> Not Achieved</v>
      </c>
      <c r="T726" s="2" t="str">
        <f t="shared" si="107"/>
        <v xml:space="preserve"> Excellent</v>
      </c>
      <c r="U726" s="2"/>
    </row>
    <row r="727" spans="1:21" x14ac:dyDescent="0.3">
      <c r="A727">
        <v>726</v>
      </c>
      <c r="B727" t="s">
        <v>1132</v>
      </c>
      <c r="C727" t="str">
        <f t="shared" si="99"/>
        <v>EMP_726</v>
      </c>
      <c r="D727" t="s">
        <v>11</v>
      </c>
      <c r="E727" t="str">
        <f t="shared" si="100"/>
        <v>EMP_726Finance</v>
      </c>
      <c r="F727" t="s">
        <v>18</v>
      </c>
      <c r="G727" t="s">
        <v>25</v>
      </c>
      <c r="H727">
        <v>29023</v>
      </c>
      <c r="I727">
        <v>14665</v>
      </c>
      <c r="J727">
        <v>0</v>
      </c>
      <c r="K727">
        <v>0</v>
      </c>
      <c r="L727" s="4" t="s">
        <v>982</v>
      </c>
      <c r="M727" s="4" t="str">
        <f t="shared" si="101"/>
        <v>11/28/2021</v>
      </c>
      <c r="N727" s="1">
        <f t="shared" ca="1" si="102"/>
        <v>46064</v>
      </c>
      <c r="O727" s="6" t="e">
        <f t="shared" ca="1" si="103"/>
        <v>#VALUE!</v>
      </c>
      <c r="P727">
        <v>2</v>
      </c>
      <c r="Q727">
        <f t="shared" si="104"/>
        <v>43688</v>
      </c>
      <c r="R727" s="2">
        <f t="shared" si="105"/>
        <v>21844</v>
      </c>
      <c r="S727" s="2" t="str">
        <f t="shared" si="106"/>
        <v xml:space="preserve"> Not Achieved</v>
      </c>
      <c r="T727" s="2" t="str">
        <f t="shared" si="107"/>
        <v>poor</v>
      </c>
      <c r="U727" s="2"/>
    </row>
    <row r="728" spans="1:21" x14ac:dyDescent="0.3">
      <c r="A728">
        <v>727</v>
      </c>
      <c r="B728" t="s">
        <v>1133</v>
      </c>
      <c r="C728" t="str">
        <f t="shared" si="99"/>
        <v>EMP_727</v>
      </c>
      <c r="D728" t="s">
        <v>11</v>
      </c>
      <c r="E728" t="str">
        <f t="shared" si="100"/>
        <v>EMP_727Sales</v>
      </c>
      <c r="F728" t="s">
        <v>7</v>
      </c>
      <c r="G728" t="s">
        <v>25</v>
      </c>
      <c r="H728">
        <v>25705</v>
      </c>
      <c r="I728">
        <v>9024</v>
      </c>
      <c r="J728">
        <v>93346</v>
      </c>
      <c r="K728">
        <v>185828</v>
      </c>
      <c r="L728" s="4">
        <v>45056</v>
      </c>
      <c r="M728" s="4" t="str">
        <f t="shared" si="101"/>
        <v>2023</v>
      </c>
      <c r="N728" s="1">
        <f t="shared" ca="1" si="102"/>
        <v>46064</v>
      </c>
      <c r="O728" s="6">
        <f t="shared" ca="1" si="103"/>
        <v>2</v>
      </c>
      <c r="P728">
        <v>4</v>
      </c>
      <c r="Q728">
        <f t="shared" si="104"/>
        <v>34729</v>
      </c>
      <c r="R728" s="2">
        <f t="shared" si="105"/>
        <v>17364.5</v>
      </c>
      <c r="S728" s="2" t="str">
        <f t="shared" si="106"/>
        <v xml:space="preserve"> Not Achieved</v>
      </c>
      <c r="T728" s="2" t="str">
        <f t="shared" si="107"/>
        <v>poor</v>
      </c>
      <c r="U728" s="2"/>
    </row>
    <row r="729" spans="1:21" x14ac:dyDescent="0.3">
      <c r="A729">
        <v>728</v>
      </c>
      <c r="B729" t="s">
        <v>1134</v>
      </c>
      <c r="C729" t="str">
        <f t="shared" si="99"/>
        <v>EMP_728</v>
      </c>
      <c r="D729" t="s">
        <v>15</v>
      </c>
      <c r="E729" t="str">
        <f t="shared" si="100"/>
        <v>EMP_728Finance</v>
      </c>
      <c r="F729" t="s">
        <v>18</v>
      </c>
      <c r="G729" t="s">
        <v>13</v>
      </c>
      <c r="H729">
        <v>45944</v>
      </c>
      <c r="I729">
        <v>5561</v>
      </c>
      <c r="J729">
        <v>0</v>
      </c>
      <c r="K729">
        <v>0</v>
      </c>
      <c r="L729" s="4">
        <v>43253</v>
      </c>
      <c r="M729" s="4" t="str">
        <f t="shared" si="101"/>
        <v>2018</v>
      </c>
      <c r="N729" s="1">
        <f t="shared" ca="1" si="102"/>
        <v>46064</v>
      </c>
      <c r="O729" s="6">
        <f t="shared" ca="1" si="103"/>
        <v>7</v>
      </c>
      <c r="P729">
        <v>1</v>
      </c>
      <c r="Q729">
        <f t="shared" si="104"/>
        <v>51505</v>
      </c>
      <c r="R729" s="2">
        <f t="shared" si="105"/>
        <v>25752.5</v>
      </c>
      <c r="S729" s="2" t="str">
        <f t="shared" si="106"/>
        <v xml:space="preserve"> Not Achieved</v>
      </c>
      <c r="T729" s="2" t="str">
        <f t="shared" si="107"/>
        <v>Good</v>
      </c>
      <c r="U729" s="2"/>
    </row>
    <row r="730" spans="1:21" x14ac:dyDescent="0.3">
      <c r="A730">
        <v>729</v>
      </c>
      <c r="B730" t="s">
        <v>1135</v>
      </c>
      <c r="C730" t="str">
        <f t="shared" si="99"/>
        <v>EMP_729</v>
      </c>
      <c r="D730" t="s">
        <v>15</v>
      </c>
      <c r="E730" t="str">
        <f t="shared" si="100"/>
        <v>EMP_729IT</v>
      </c>
      <c r="F730" t="s">
        <v>21</v>
      </c>
      <c r="G730" t="s">
        <v>16</v>
      </c>
      <c r="H730">
        <v>34858</v>
      </c>
      <c r="I730">
        <v>11490</v>
      </c>
      <c r="J730">
        <v>0</v>
      </c>
      <c r="K730">
        <v>0</v>
      </c>
      <c r="L730" s="4">
        <v>44717</v>
      </c>
      <c r="M730" s="4" t="str">
        <f t="shared" si="101"/>
        <v>2022</v>
      </c>
      <c r="N730" s="1">
        <f t="shared" ca="1" si="102"/>
        <v>46064</v>
      </c>
      <c r="O730" s="6">
        <f t="shared" ca="1" si="103"/>
        <v>3</v>
      </c>
      <c r="P730">
        <v>2</v>
      </c>
      <c r="Q730">
        <f t="shared" si="104"/>
        <v>46348</v>
      </c>
      <c r="R730" s="2">
        <f t="shared" si="105"/>
        <v>23174</v>
      </c>
      <c r="S730" s="2" t="str">
        <f t="shared" si="106"/>
        <v xml:space="preserve"> Not Achieved</v>
      </c>
      <c r="T730" s="2" t="str">
        <f t="shared" si="107"/>
        <v>Average</v>
      </c>
      <c r="U730" s="2"/>
    </row>
    <row r="731" spans="1:21" x14ac:dyDescent="0.3">
      <c r="A731">
        <v>730</v>
      </c>
      <c r="B731" t="s">
        <v>1136</v>
      </c>
      <c r="C731" t="str">
        <f t="shared" si="99"/>
        <v>EMP_730</v>
      </c>
      <c r="D731" t="s">
        <v>15</v>
      </c>
      <c r="E731" t="str">
        <f t="shared" si="100"/>
        <v>EMP_730HR</v>
      </c>
      <c r="F731" t="s">
        <v>12</v>
      </c>
      <c r="G731" t="s">
        <v>19</v>
      </c>
      <c r="H731">
        <v>74331</v>
      </c>
      <c r="I731">
        <v>11620</v>
      </c>
      <c r="J731">
        <v>0</v>
      </c>
      <c r="K731">
        <v>0</v>
      </c>
      <c r="L731" s="4" t="s">
        <v>572</v>
      </c>
      <c r="M731" s="4" t="str">
        <f t="shared" si="101"/>
        <v>8/19/2020</v>
      </c>
      <c r="N731" s="1">
        <f t="shared" ca="1" si="102"/>
        <v>46064</v>
      </c>
      <c r="O731" s="6" t="e">
        <f t="shared" ca="1" si="103"/>
        <v>#VALUE!</v>
      </c>
      <c r="P731">
        <v>2</v>
      </c>
      <c r="Q731">
        <f t="shared" si="104"/>
        <v>85951</v>
      </c>
      <c r="R731" s="2">
        <f t="shared" si="105"/>
        <v>42975.5</v>
      </c>
      <c r="S731" s="2" t="str">
        <f t="shared" si="106"/>
        <v xml:space="preserve"> Not Achieved</v>
      </c>
      <c r="T731" s="2" t="str">
        <f t="shared" si="107"/>
        <v xml:space="preserve"> Excellent</v>
      </c>
      <c r="U731" s="2"/>
    </row>
    <row r="732" spans="1:21" x14ac:dyDescent="0.3">
      <c r="A732">
        <v>731</v>
      </c>
      <c r="B732" t="s">
        <v>1137</v>
      </c>
      <c r="C732" t="str">
        <f t="shared" si="99"/>
        <v>EMP_731</v>
      </c>
      <c r="D732" t="s">
        <v>15</v>
      </c>
      <c r="E732" t="str">
        <f t="shared" si="100"/>
        <v>EMP_731HR</v>
      </c>
      <c r="F732" t="s">
        <v>12</v>
      </c>
      <c r="G732" t="s">
        <v>25</v>
      </c>
      <c r="H732">
        <v>27720</v>
      </c>
      <c r="I732">
        <v>7326</v>
      </c>
      <c r="J732">
        <v>0</v>
      </c>
      <c r="K732">
        <v>0</v>
      </c>
      <c r="L732" s="4">
        <v>44292</v>
      </c>
      <c r="M732" s="4" t="str">
        <f t="shared" si="101"/>
        <v>2021</v>
      </c>
      <c r="N732" s="1">
        <f t="shared" ca="1" si="102"/>
        <v>46064</v>
      </c>
      <c r="O732" s="6">
        <f t="shared" ca="1" si="103"/>
        <v>4</v>
      </c>
      <c r="P732">
        <v>2</v>
      </c>
      <c r="Q732">
        <f t="shared" si="104"/>
        <v>35046</v>
      </c>
      <c r="R732" s="2">
        <f t="shared" si="105"/>
        <v>17523</v>
      </c>
      <c r="S732" s="2" t="str">
        <f t="shared" si="106"/>
        <v xml:space="preserve"> Not Achieved</v>
      </c>
      <c r="T732" s="2" t="str">
        <f t="shared" si="107"/>
        <v>poor</v>
      </c>
      <c r="U732" s="2"/>
    </row>
    <row r="733" spans="1:21" x14ac:dyDescent="0.3">
      <c r="A733">
        <v>732</v>
      </c>
      <c r="B733" t="s">
        <v>1138</v>
      </c>
      <c r="C733" t="str">
        <f t="shared" si="99"/>
        <v>EMP_732</v>
      </c>
      <c r="D733" t="s">
        <v>15</v>
      </c>
      <c r="E733" t="str">
        <f t="shared" si="100"/>
        <v>EMP_732IT</v>
      </c>
      <c r="F733" t="s">
        <v>21</v>
      </c>
      <c r="G733" t="s">
        <v>19</v>
      </c>
      <c r="H733">
        <v>75521</v>
      </c>
      <c r="I733">
        <v>2474</v>
      </c>
      <c r="J733">
        <v>0</v>
      </c>
      <c r="K733">
        <v>0</v>
      </c>
      <c r="L733" s="4" t="s">
        <v>1139</v>
      </c>
      <c r="M733" s="4" t="str">
        <f t="shared" si="101"/>
        <v>2/28/2019</v>
      </c>
      <c r="N733" s="1">
        <f t="shared" ca="1" si="102"/>
        <v>46064</v>
      </c>
      <c r="O733" s="6" t="e">
        <f t="shared" ca="1" si="103"/>
        <v>#VALUE!</v>
      </c>
      <c r="P733">
        <v>5</v>
      </c>
      <c r="Q733">
        <f t="shared" si="104"/>
        <v>77995</v>
      </c>
      <c r="R733" s="2">
        <f t="shared" si="105"/>
        <v>38997.5</v>
      </c>
      <c r="S733" s="2" t="str">
        <f t="shared" si="106"/>
        <v xml:space="preserve"> Not Achieved</v>
      </c>
      <c r="T733" s="2" t="str">
        <f t="shared" si="107"/>
        <v xml:space="preserve"> Excellent</v>
      </c>
      <c r="U733" s="2"/>
    </row>
    <row r="734" spans="1:21" x14ac:dyDescent="0.3">
      <c r="A734">
        <v>733</v>
      </c>
      <c r="B734" t="s">
        <v>1140</v>
      </c>
      <c r="C734" t="str">
        <f t="shared" si="99"/>
        <v>EMP_733</v>
      </c>
      <c r="D734" t="s">
        <v>11</v>
      </c>
      <c r="E734" t="str">
        <f t="shared" si="100"/>
        <v>EMP_733Sales</v>
      </c>
      <c r="F734" t="s">
        <v>7</v>
      </c>
      <c r="G734" t="s">
        <v>19</v>
      </c>
      <c r="H734">
        <v>26611</v>
      </c>
      <c r="I734">
        <v>3506</v>
      </c>
      <c r="J734">
        <v>260692</v>
      </c>
      <c r="K734">
        <v>183025</v>
      </c>
      <c r="L734" s="4" t="s">
        <v>1141</v>
      </c>
      <c r="M734" s="4" t="str">
        <f t="shared" si="101"/>
        <v>8/22/2023</v>
      </c>
      <c r="N734" s="1">
        <f t="shared" ca="1" si="102"/>
        <v>46064</v>
      </c>
      <c r="O734" s="6" t="e">
        <f t="shared" ca="1" si="103"/>
        <v>#VALUE!</v>
      </c>
      <c r="P734">
        <v>1</v>
      </c>
      <c r="Q734">
        <f t="shared" si="104"/>
        <v>30117</v>
      </c>
      <c r="R734" s="2">
        <f t="shared" si="105"/>
        <v>15058.5</v>
      </c>
      <c r="S734" s="2" t="str">
        <f t="shared" si="106"/>
        <v>Achieved</v>
      </c>
      <c r="T734" s="2" t="str">
        <f t="shared" si="107"/>
        <v>poor</v>
      </c>
      <c r="U734" s="2"/>
    </row>
    <row r="735" spans="1:21" x14ac:dyDescent="0.3">
      <c r="A735">
        <v>734</v>
      </c>
      <c r="B735" t="s">
        <v>1142</v>
      </c>
      <c r="C735" t="str">
        <f t="shared" si="99"/>
        <v>EMP_734</v>
      </c>
      <c r="D735" t="s">
        <v>11</v>
      </c>
      <c r="E735" t="str">
        <f t="shared" si="100"/>
        <v>EMP_734Marketing</v>
      </c>
      <c r="F735" t="s">
        <v>24</v>
      </c>
      <c r="G735" t="s">
        <v>25</v>
      </c>
      <c r="H735">
        <v>31350</v>
      </c>
      <c r="I735">
        <v>2888</v>
      </c>
      <c r="J735">
        <v>0</v>
      </c>
      <c r="K735">
        <v>0</v>
      </c>
      <c r="L735" s="4">
        <v>44625</v>
      </c>
      <c r="M735" s="4" t="str">
        <f t="shared" si="101"/>
        <v>2022</v>
      </c>
      <c r="N735" s="1">
        <f t="shared" ca="1" si="102"/>
        <v>46064</v>
      </c>
      <c r="O735" s="6">
        <f t="shared" ca="1" si="103"/>
        <v>3</v>
      </c>
      <c r="P735">
        <v>3</v>
      </c>
      <c r="Q735">
        <f t="shared" si="104"/>
        <v>34238</v>
      </c>
      <c r="R735" s="2">
        <f t="shared" si="105"/>
        <v>17119</v>
      </c>
      <c r="S735" s="2" t="str">
        <f t="shared" si="106"/>
        <v xml:space="preserve"> Not Achieved</v>
      </c>
      <c r="T735" s="2" t="str">
        <f t="shared" si="107"/>
        <v>Average</v>
      </c>
      <c r="U735" s="2"/>
    </row>
    <row r="736" spans="1:21" x14ac:dyDescent="0.3">
      <c r="A736">
        <v>735</v>
      </c>
      <c r="B736" t="s">
        <v>1143</v>
      </c>
      <c r="C736" t="str">
        <f t="shared" si="99"/>
        <v>EMP_735</v>
      </c>
      <c r="D736" t="s">
        <v>11</v>
      </c>
      <c r="E736" t="str">
        <f t="shared" si="100"/>
        <v>EMP_735Finance</v>
      </c>
      <c r="F736" t="s">
        <v>18</v>
      </c>
      <c r="G736" t="s">
        <v>16</v>
      </c>
      <c r="H736">
        <v>23043</v>
      </c>
      <c r="I736">
        <v>8939</v>
      </c>
      <c r="J736">
        <v>0</v>
      </c>
      <c r="K736">
        <v>0</v>
      </c>
      <c r="L736" s="4">
        <v>43626</v>
      </c>
      <c r="M736" s="4" t="str">
        <f t="shared" si="101"/>
        <v>2019</v>
      </c>
      <c r="N736" s="1">
        <f t="shared" ca="1" si="102"/>
        <v>46064</v>
      </c>
      <c r="O736" s="6">
        <f t="shared" ca="1" si="103"/>
        <v>6</v>
      </c>
      <c r="P736">
        <v>1</v>
      </c>
      <c r="Q736">
        <f t="shared" si="104"/>
        <v>31982</v>
      </c>
      <c r="R736" s="2">
        <f t="shared" si="105"/>
        <v>15991</v>
      </c>
      <c r="S736" s="2" t="str">
        <f t="shared" si="106"/>
        <v xml:space="preserve"> Not Achieved</v>
      </c>
      <c r="T736" s="2" t="str">
        <f t="shared" si="107"/>
        <v>poor</v>
      </c>
      <c r="U736" s="2"/>
    </row>
    <row r="737" spans="1:21" x14ac:dyDescent="0.3">
      <c r="A737">
        <v>736</v>
      </c>
      <c r="B737" t="s">
        <v>1144</v>
      </c>
      <c r="C737" t="str">
        <f t="shared" si="99"/>
        <v>EMP_736</v>
      </c>
      <c r="D737" t="s">
        <v>15</v>
      </c>
      <c r="E737" t="str">
        <f t="shared" si="100"/>
        <v>EMP_736Sales</v>
      </c>
      <c r="F737" t="s">
        <v>7</v>
      </c>
      <c r="G737" t="s">
        <v>16</v>
      </c>
      <c r="H737">
        <v>76062</v>
      </c>
      <c r="I737">
        <v>14461</v>
      </c>
      <c r="J737">
        <v>261496</v>
      </c>
      <c r="K737">
        <v>151918</v>
      </c>
      <c r="L737" s="4">
        <v>45237</v>
      </c>
      <c r="M737" s="4" t="str">
        <f t="shared" si="101"/>
        <v>2023</v>
      </c>
      <c r="N737" s="1">
        <f t="shared" ca="1" si="102"/>
        <v>46064</v>
      </c>
      <c r="O737" s="6">
        <f t="shared" ca="1" si="103"/>
        <v>2</v>
      </c>
      <c r="P737">
        <v>3</v>
      </c>
      <c r="Q737">
        <f t="shared" si="104"/>
        <v>90523</v>
      </c>
      <c r="R737" s="2">
        <f t="shared" si="105"/>
        <v>45261.5</v>
      </c>
      <c r="S737" s="2" t="str">
        <f t="shared" si="106"/>
        <v>Achieved</v>
      </c>
      <c r="T737" s="2" t="str">
        <f t="shared" si="107"/>
        <v xml:space="preserve"> Excellent</v>
      </c>
      <c r="U737" s="2"/>
    </row>
    <row r="738" spans="1:21" x14ac:dyDescent="0.3">
      <c r="A738">
        <v>737</v>
      </c>
      <c r="B738" t="s">
        <v>1145</v>
      </c>
      <c r="C738" t="str">
        <f t="shared" si="99"/>
        <v>EMP_737</v>
      </c>
      <c r="D738" t="s">
        <v>15</v>
      </c>
      <c r="E738" t="str">
        <f t="shared" si="100"/>
        <v>EMP_737IT</v>
      </c>
      <c r="F738" t="s">
        <v>21</v>
      </c>
      <c r="G738" t="s">
        <v>19</v>
      </c>
      <c r="H738">
        <v>26926</v>
      </c>
      <c r="I738">
        <v>11397</v>
      </c>
      <c r="J738">
        <v>0</v>
      </c>
      <c r="K738">
        <v>0</v>
      </c>
      <c r="L738" s="4" t="s">
        <v>1146</v>
      </c>
      <c r="M738" s="4" t="str">
        <f t="shared" si="101"/>
        <v>3/24/2023</v>
      </c>
      <c r="N738" s="1">
        <f t="shared" ca="1" si="102"/>
        <v>46064</v>
      </c>
      <c r="O738" s="6" t="e">
        <f t="shared" ca="1" si="103"/>
        <v>#VALUE!</v>
      </c>
      <c r="P738">
        <v>4</v>
      </c>
      <c r="Q738">
        <f t="shared" si="104"/>
        <v>38323</v>
      </c>
      <c r="R738" s="2">
        <f t="shared" si="105"/>
        <v>19161.5</v>
      </c>
      <c r="S738" s="2" t="str">
        <f t="shared" si="106"/>
        <v xml:space="preserve"> Not Achieved</v>
      </c>
      <c r="T738" s="2" t="str">
        <f t="shared" si="107"/>
        <v>poor</v>
      </c>
      <c r="U738" s="2"/>
    </row>
    <row r="739" spans="1:21" x14ac:dyDescent="0.3">
      <c r="A739">
        <v>738</v>
      </c>
      <c r="B739" t="s">
        <v>1147</v>
      </c>
      <c r="C739" t="str">
        <f t="shared" si="99"/>
        <v>EMP_738</v>
      </c>
      <c r="D739" t="s">
        <v>11</v>
      </c>
      <c r="E739" t="str">
        <f t="shared" si="100"/>
        <v>EMP_738IT</v>
      </c>
      <c r="F739" t="s">
        <v>21</v>
      </c>
      <c r="G739" t="s">
        <v>25</v>
      </c>
      <c r="H739">
        <v>77449</v>
      </c>
      <c r="I739">
        <v>9003</v>
      </c>
      <c r="J739">
        <v>0</v>
      </c>
      <c r="K739">
        <v>0</v>
      </c>
      <c r="L739" s="4" t="s">
        <v>1148</v>
      </c>
      <c r="M739" s="4" t="str">
        <f t="shared" si="101"/>
        <v>2/22/2018</v>
      </c>
      <c r="N739" s="1">
        <f t="shared" ca="1" si="102"/>
        <v>46064</v>
      </c>
      <c r="O739" s="6" t="e">
        <f t="shared" ca="1" si="103"/>
        <v>#VALUE!</v>
      </c>
      <c r="P739">
        <v>5</v>
      </c>
      <c r="Q739">
        <f t="shared" si="104"/>
        <v>86452</v>
      </c>
      <c r="R739" s="2">
        <f t="shared" si="105"/>
        <v>43226</v>
      </c>
      <c r="S739" s="2" t="str">
        <f t="shared" si="106"/>
        <v xml:space="preserve"> Not Achieved</v>
      </c>
      <c r="T739" s="2" t="str">
        <f t="shared" si="107"/>
        <v xml:space="preserve"> Excellent</v>
      </c>
      <c r="U739" s="2"/>
    </row>
    <row r="740" spans="1:21" x14ac:dyDescent="0.3">
      <c r="A740">
        <v>739</v>
      </c>
      <c r="B740" t="s">
        <v>1149</v>
      </c>
      <c r="C740" t="str">
        <f t="shared" si="99"/>
        <v>EMP_739</v>
      </c>
      <c r="D740" t="s">
        <v>15</v>
      </c>
      <c r="E740" t="str">
        <f t="shared" si="100"/>
        <v>EMP_739HR</v>
      </c>
      <c r="F740" t="s">
        <v>12</v>
      </c>
      <c r="G740" t="s">
        <v>13</v>
      </c>
      <c r="H740">
        <v>34899</v>
      </c>
      <c r="I740">
        <v>2989</v>
      </c>
      <c r="J740">
        <v>0</v>
      </c>
      <c r="K740">
        <v>0</v>
      </c>
      <c r="L740" s="4">
        <v>43683</v>
      </c>
      <c r="M740" s="4" t="str">
        <f t="shared" si="101"/>
        <v>2019</v>
      </c>
      <c r="N740" s="1">
        <f t="shared" ca="1" si="102"/>
        <v>46064</v>
      </c>
      <c r="O740" s="6">
        <f t="shared" ca="1" si="103"/>
        <v>6</v>
      </c>
      <c r="P740">
        <v>1</v>
      </c>
      <c r="Q740">
        <f t="shared" si="104"/>
        <v>37888</v>
      </c>
      <c r="R740" s="2">
        <f t="shared" si="105"/>
        <v>18944</v>
      </c>
      <c r="S740" s="2" t="str">
        <f t="shared" si="106"/>
        <v xml:space="preserve"> Not Achieved</v>
      </c>
      <c r="T740" s="2" t="str">
        <f t="shared" si="107"/>
        <v>Average</v>
      </c>
      <c r="U740" s="2"/>
    </row>
    <row r="741" spans="1:21" x14ac:dyDescent="0.3">
      <c r="A741">
        <v>740</v>
      </c>
      <c r="B741" t="s">
        <v>1150</v>
      </c>
      <c r="C741" t="str">
        <f t="shared" si="99"/>
        <v>EMP_740</v>
      </c>
      <c r="D741" t="s">
        <v>11</v>
      </c>
      <c r="E741" t="str">
        <f t="shared" si="100"/>
        <v>EMP_740Marketing</v>
      </c>
      <c r="F741" t="s">
        <v>24</v>
      </c>
      <c r="G741" t="s">
        <v>19</v>
      </c>
      <c r="H741">
        <v>33071</v>
      </c>
      <c r="I741">
        <v>2896</v>
      </c>
      <c r="J741">
        <v>0</v>
      </c>
      <c r="K741">
        <v>0</v>
      </c>
      <c r="L741" s="4" t="s">
        <v>1151</v>
      </c>
      <c r="M741" s="4" t="str">
        <f t="shared" si="101"/>
        <v>10/26/2022</v>
      </c>
      <c r="N741" s="1">
        <f t="shared" ca="1" si="102"/>
        <v>46064</v>
      </c>
      <c r="O741" s="6" t="e">
        <f t="shared" ca="1" si="103"/>
        <v>#VALUE!</v>
      </c>
      <c r="P741">
        <v>5</v>
      </c>
      <c r="Q741">
        <f t="shared" si="104"/>
        <v>35967</v>
      </c>
      <c r="R741" s="2">
        <f t="shared" si="105"/>
        <v>17983.5</v>
      </c>
      <c r="S741" s="2" t="str">
        <f t="shared" si="106"/>
        <v xml:space="preserve"> Not Achieved</v>
      </c>
      <c r="T741" s="2" t="str">
        <f t="shared" si="107"/>
        <v>Average</v>
      </c>
      <c r="U741" s="2"/>
    </row>
    <row r="742" spans="1:21" x14ac:dyDescent="0.3">
      <c r="A742">
        <v>741</v>
      </c>
      <c r="B742" t="s">
        <v>1152</v>
      </c>
      <c r="C742" t="str">
        <f t="shared" si="99"/>
        <v>EMP_741</v>
      </c>
      <c r="D742" t="s">
        <v>15</v>
      </c>
      <c r="E742" t="str">
        <f t="shared" si="100"/>
        <v>EMP_741HR</v>
      </c>
      <c r="F742" t="s">
        <v>12</v>
      </c>
      <c r="G742" t="s">
        <v>22</v>
      </c>
      <c r="H742">
        <v>46405</v>
      </c>
      <c r="I742">
        <v>6030</v>
      </c>
      <c r="J742">
        <v>0</v>
      </c>
      <c r="K742">
        <v>0</v>
      </c>
      <c r="L742" s="4" t="s">
        <v>1153</v>
      </c>
      <c r="M742" s="4" t="str">
        <f t="shared" si="101"/>
        <v>5/26/2024</v>
      </c>
      <c r="N742" s="1">
        <f t="shared" ca="1" si="102"/>
        <v>46064</v>
      </c>
      <c r="O742" s="6" t="e">
        <f t="shared" ca="1" si="103"/>
        <v>#VALUE!</v>
      </c>
      <c r="P742">
        <v>1</v>
      </c>
      <c r="Q742">
        <f t="shared" si="104"/>
        <v>52435</v>
      </c>
      <c r="R742" s="2">
        <f t="shared" si="105"/>
        <v>26217.5</v>
      </c>
      <c r="S742" s="2" t="str">
        <f t="shared" si="106"/>
        <v xml:space="preserve"> Not Achieved</v>
      </c>
      <c r="T742" s="2" t="str">
        <f t="shared" si="107"/>
        <v>Good</v>
      </c>
      <c r="U742" s="2"/>
    </row>
    <row r="743" spans="1:21" x14ac:dyDescent="0.3">
      <c r="A743">
        <v>742</v>
      </c>
      <c r="B743" t="s">
        <v>1154</v>
      </c>
      <c r="C743" t="str">
        <f t="shared" si="99"/>
        <v>EMP_742</v>
      </c>
      <c r="D743" t="s">
        <v>15</v>
      </c>
      <c r="E743" t="str">
        <f t="shared" si="100"/>
        <v>EMP_742IT</v>
      </c>
      <c r="F743" t="s">
        <v>21</v>
      </c>
      <c r="G743" t="s">
        <v>13</v>
      </c>
      <c r="H743">
        <v>54981</v>
      </c>
      <c r="I743">
        <v>4726</v>
      </c>
      <c r="J743">
        <v>0</v>
      </c>
      <c r="K743">
        <v>0</v>
      </c>
      <c r="L743" s="4" t="s">
        <v>1155</v>
      </c>
      <c r="M743" s="4" t="str">
        <f t="shared" si="101"/>
        <v>5/22/2024</v>
      </c>
      <c r="N743" s="1">
        <f t="shared" ca="1" si="102"/>
        <v>46064</v>
      </c>
      <c r="O743" s="6" t="e">
        <f t="shared" ca="1" si="103"/>
        <v>#VALUE!</v>
      </c>
      <c r="P743">
        <v>5</v>
      </c>
      <c r="Q743">
        <f t="shared" si="104"/>
        <v>59707</v>
      </c>
      <c r="R743" s="2">
        <f t="shared" si="105"/>
        <v>29853.5</v>
      </c>
      <c r="S743" s="2" t="str">
        <f t="shared" si="106"/>
        <v xml:space="preserve"> Not Achieved</v>
      </c>
      <c r="T743" s="2" t="str">
        <f t="shared" si="107"/>
        <v xml:space="preserve"> Excellent</v>
      </c>
      <c r="U743" s="2"/>
    </row>
    <row r="744" spans="1:21" x14ac:dyDescent="0.3">
      <c r="A744">
        <v>743</v>
      </c>
      <c r="B744" t="s">
        <v>1156</v>
      </c>
      <c r="C744" t="str">
        <f t="shared" si="99"/>
        <v>EMP_743</v>
      </c>
      <c r="D744" t="s">
        <v>11</v>
      </c>
      <c r="E744" t="str">
        <f t="shared" si="100"/>
        <v>EMP_743Sales</v>
      </c>
      <c r="F744" t="s">
        <v>7</v>
      </c>
      <c r="G744" t="s">
        <v>19</v>
      </c>
      <c r="H744">
        <v>51428</v>
      </c>
      <c r="I744">
        <v>10137</v>
      </c>
      <c r="J744">
        <v>246366</v>
      </c>
      <c r="K744">
        <v>134434</v>
      </c>
      <c r="L744" s="4">
        <v>44481</v>
      </c>
      <c r="M744" s="4" t="str">
        <f t="shared" si="101"/>
        <v>2021</v>
      </c>
      <c r="N744" s="1">
        <f t="shared" ca="1" si="102"/>
        <v>46064</v>
      </c>
      <c r="O744" s="6">
        <f t="shared" ca="1" si="103"/>
        <v>4</v>
      </c>
      <c r="P744">
        <v>3</v>
      </c>
      <c r="Q744">
        <f t="shared" si="104"/>
        <v>61565</v>
      </c>
      <c r="R744" s="2">
        <f t="shared" si="105"/>
        <v>30782.5</v>
      </c>
      <c r="S744" s="2" t="str">
        <f t="shared" si="106"/>
        <v>Achieved</v>
      </c>
      <c r="T744" s="2" t="str">
        <f t="shared" si="107"/>
        <v xml:space="preserve"> Excellent</v>
      </c>
      <c r="U744" s="2"/>
    </row>
    <row r="745" spans="1:21" x14ac:dyDescent="0.3">
      <c r="A745">
        <v>744</v>
      </c>
      <c r="B745" t="s">
        <v>1157</v>
      </c>
      <c r="C745" t="str">
        <f t="shared" si="99"/>
        <v>EMP_744</v>
      </c>
      <c r="D745" t="s">
        <v>11</v>
      </c>
      <c r="E745" t="str">
        <f t="shared" si="100"/>
        <v>EMP_744Sales</v>
      </c>
      <c r="F745" t="s">
        <v>7</v>
      </c>
      <c r="G745" t="s">
        <v>16</v>
      </c>
      <c r="H745">
        <v>42951</v>
      </c>
      <c r="I745">
        <v>2274</v>
      </c>
      <c r="J745">
        <v>241436</v>
      </c>
      <c r="K745">
        <v>163477</v>
      </c>
      <c r="L745" s="4">
        <v>44626</v>
      </c>
      <c r="M745" s="4" t="str">
        <f t="shared" si="101"/>
        <v>2022</v>
      </c>
      <c r="N745" s="1">
        <f t="shared" ca="1" si="102"/>
        <v>46064</v>
      </c>
      <c r="O745" s="6">
        <f t="shared" ca="1" si="103"/>
        <v>3</v>
      </c>
      <c r="P745">
        <v>4</v>
      </c>
      <c r="Q745">
        <f t="shared" si="104"/>
        <v>45225</v>
      </c>
      <c r="R745" s="2">
        <f t="shared" si="105"/>
        <v>22612.5</v>
      </c>
      <c r="S745" s="2" t="str">
        <f t="shared" si="106"/>
        <v>Achieved</v>
      </c>
      <c r="T745" s="2" t="str">
        <f t="shared" si="107"/>
        <v>Good</v>
      </c>
      <c r="U745" s="2"/>
    </row>
    <row r="746" spans="1:21" x14ac:dyDescent="0.3">
      <c r="A746">
        <v>745</v>
      </c>
      <c r="B746" t="s">
        <v>1158</v>
      </c>
      <c r="C746" t="str">
        <f t="shared" si="99"/>
        <v>EMP_745</v>
      </c>
      <c r="D746" t="s">
        <v>15</v>
      </c>
      <c r="E746" t="str">
        <f t="shared" si="100"/>
        <v>EMP_745IT</v>
      </c>
      <c r="F746" t="s">
        <v>21</v>
      </c>
      <c r="G746" t="s">
        <v>22</v>
      </c>
      <c r="H746">
        <v>20261</v>
      </c>
      <c r="I746">
        <v>13821</v>
      </c>
      <c r="J746">
        <v>0</v>
      </c>
      <c r="K746">
        <v>0</v>
      </c>
      <c r="L746" s="4" t="s">
        <v>325</v>
      </c>
      <c r="M746" s="4" t="str">
        <f t="shared" si="101"/>
        <v>10/28/2019</v>
      </c>
      <c r="N746" s="1">
        <f t="shared" ca="1" si="102"/>
        <v>46064</v>
      </c>
      <c r="O746" s="6" t="e">
        <f t="shared" ca="1" si="103"/>
        <v>#VALUE!</v>
      </c>
      <c r="P746">
        <v>3</v>
      </c>
      <c r="Q746">
        <f t="shared" si="104"/>
        <v>34082</v>
      </c>
      <c r="R746" s="2">
        <f t="shared" si="105"/>
        <v>17041</v>
      </c>
      <c r="S746" s="2" t="str">
        <f t="shared" si="106"/>
        <v xml:space="preserve"> Not Achieved</v>
      </c>
      <c r="T746" s="2" t="str">
        <f t="shared" si="107"/>
        <v>poor</v>
      </c>
      <c r="U746" s="2"/>
    </row>
    <row r="747" spans="1:21" x14ac:dyDescent="0.3">
      <c r="A747">
        <v>746</v>
      </c>
      <c r="B747" t="s">
        <v>1159</v>
      </c>
      <c r="C747" t="str">
        <f t="shared" si="99"/>
        <v>EMP_746</v>
      </c>
      <c r="D747" t="s">
        <v>15</v>
      </c>
      <c r="E747" t="str">
        <f t="shared" si="100"/>
        <v>EMP_746Finance</v>
      </c>
      <c r="F747" t="s">
        <v>18</v>
      </c>
      <c r="G747" t="s">
        <v>13</v>
      </c>
      <c r="H747">
        <v>68459</v>
      </c>
      <c r="I747">
        <v>5414</v>
      </c>
      <c r="J747">
        <v>0</v>
      </c>
      <c r="K747">
        <v>0</v>
      </c>
      <c r="L747" s="4" t="s">
        <v>980</v>
      </c>
      <c r="M747" s="4" t="str">
        <f t="shared" si="101"/>
        <v>10/27/2019</v>
      </c>
      <c r="N747" s="1">
        <f t="shared" ca="1" si="102"/>
        <v>46064</v>
      </c>
      <c r="O747" s="6" t="e">
        <f t="shared" ca="1" si="103"/>
        <v>#VALUE!</v>
      </c>
      <c r="P747">
        <v>1</v>
      </c>
      <c r="Q747">
        <f t="shared" si="104"/>
        <v>73873</v>
      </c>
      <c r="R747" s="2">
        <f t="shared" si="105"/>
        <v>36936.5</v>
      </c>
      <c r="S747" s="2" t="str">
        <f t="shared" si="106"/>
        <v xml:space="preserve"> Not Achieved</v>
      </c>
      <c r="T747" s="2" t="str">
        <f t="shared" si="107"/>
        <v xml:space="preserve"> Excellent</v>
      </c>
      <c r="U747" s="2"/>
    </row>
    <row r="748" spans="1:21" x14ac:dyDescent="0.3">
      <c r="A748">
        <v>747</v>
      </c>
      <c r="B748" t="s">
        <v>1160</v>
      </c>
      <c r="C748" t="str">
        <f t="shared" si="99"/>
        <v>EMP_747</v>
      </c>
      <c r="D748" t="s">
        <v>15</v>
      </c>
      <c r="E748" t="str">
        <f t="shared" si="100"/>
        <v>EMP_747Finance</v>
      </c>
      <c r="F748" t="s">
        <v>18</v>
      </c>
      <c r="G748" t="s">
        <v>22</v>
      </c>
      <c r="H748">
        <v>39759</v>
      </c>
      <c r="I748">
        <v>5836</v>
      </c>
      <c r="J748">
        <v>0</v>
      </c>
      <c r="K748">
        <v>0</v>
      </c>
      <c r="L748" s="4" t="s">
        <v>785</v>
      </c>
      <c r="M748" s="4" t="str">
        <f t="shared" si="101"/>
        <v>11/26/2022</v>
      </c>
      <c r="N748" s="1">
        <f t="shared" ca="1" si="102"/>
        <v>46064</v>
      </c>
      <c r="O748" s="6" t="e">
        <f t="shared" ca="1" si="103"/>
        <v>#VALUE!</v>
      </c>
      <c r="P748">
        <v>2</v>
      </c>
      <c r="Q748">
        <f t="shared" si="104"/>
        <v>45595</v>
      </c>
      <c r="R748" s="2">
        <f t="shared" si="105"/>
        <v>22797.5</v>
      </c>
      <c r="S748" s="2" t="str">
        <f t="shared" si="106"/>
        <v xml:space="preserve"> Not Achieved</v>
      </c>
      <c r="T748" s="2" t="str">
        <f t="shared" si="107"/>
        <v>Average</v>
      </c>
      <c r="U748" s="2"/>
    </row>
    <row r="749" spans="1:21" x14ac:dyDescent="0.3">
      <c r="A749">
        <v>748</v>
      </c>
      <c r="B749" t="s">
        <v>1161</v>
      </c>
      <c r="C749" t="str">
        <f t="shared" si="99"/>
        <v>EMP_748</v>
      </c>
      <c r="D749" t="s">
        <v>11</v>
      </c>
      <c r="E749" t="str">
        <f t="shared" si="100"/>
        <v>EMP_748IT</v>
      </c>
      <c r="F749" t="s">
        <v>21</v>
      </c>
      <c r="G749" t="s">
        <v>16</v>
      </c>
      <c r="H749">
        <v>53538</v>
      </c>
      <c r="I749">
        <v>14133</v>
      </c>
      <c r="J749">
        <v>0</v>
      </c>
      <c r="K749">
        <v>0</v>
      </c>
      <c r="L749" s="4">
        <v>45576</v>
      </c>
      <c r="M749" s="4" t="str">
        <f t="shared" si="101"/>
        <v>2024</v>
      </c>
      <c r="N749" s="1">
        <f t="shared" ca="1" si="102"/>
        <v>46064</v>
      </c>
      <c r="O749" s="6">
        <f t="shared" ca="1" si="103"/>
        <v>1</v>
      </c>
      <c r="P749">
        <v>2</v>
      </c>
      <c r="Q749">
        <f t="shared" si="104"/>
        <v>67671</v>
      </c>
      <c r="R749" s="2">
        <f t="shared" si="105"/>
        <v>33835.5</v>
      </c>
      <c r="S749" s="2" t="str">
        <f t="shared" si="106"/>
        <v xml:space="preserve"> Not Achieved</v>
      </c>
      <c r="T749" s="2" t="str">
        <f t="shared" si="107"/>
        <v xml:space="preserve"> Excellent</v>
      </c>
      <c r="U749" s="2"/>
    </row>
    <row r="750" spans="1:21" x14ac:dyDescent="0.3">
      <c r="A750">
        <v>749</v>
      </c>
      <c r="B750" t="s">
        <v>1162</v>
      </c>
      <c r="C750" t="str">
        <f t="shared" si="99"/>
        <v>EMP_749</v>
      </c>
      <c r="D750" t="s">
        <v>11</v>
      </c>
      <c r="E750" t="str">
        <f t="shared" si="100"/>
        <v>EMP_749Finance</v>
      </c>
      <c r="F750" t="s">
        <v>18</v>
      </c>
      <c r="G750" t="s">
        <v>22</v>
      </c>
      <c r="H750">
        <v>47094</v>
      </c>
      <c r="I750">
        <v>8812</v>
      </c>
      <c r="J750">
        <v>0</v>
      </c>
      <c r="K750">
        <v>0</v>
      </c>
      <c r="L750" s="4" t="s">
        <v>1163</v>
      </c>
      <c r="M750" s="4" t="str">
        <f t="shared" si="101"/>
        <v>1/13/2024</v>
      </c>
      <c r="N750" s="1">
        <f t="shared" ca="1" si="102"/>
        <v>46064</v>
      </c>
      <c r="O750" s="6" t="e">
        <f t="shared" ca="1" si="103"/>
        <v>#VALUE!</v>
      </c>
      <c r="P750">
        <v>1</v>
      </c>
      <c r="Q750">
        <f t="shared" si="104"/>
        <v>55906</v>
      </c>
      <c r="R750" s="2">
        <f t="shared" si="105"/>
        <v>27953</v>
      </c>
      <c r="S750" s="2" t="str">
        <f t="shared" si="106"/>
        <v xml:space="preserve"> Not Achieved</v>
      </c>
      <c r="T750" s="2" t="str">
        <f t="shared" si="107"/>
        <v>Good</v>
      </c>
      <c r="U750" s="2"/>
    </row>
    <row r="751" spans="1:21" x14ac:dyDescent="0.3">
      <c r="A751">
        <v>750</v>
      </c>
      <c r="B751" t="s">
        <v>1164</v>
      </c>
      <c r="C751" t="str">
        <f t="shared" si="99"/>
        <v>EMP_750</v>
      </c>
      <c r="D751" t="s">
        <v>11</v>
      </c>
      <c r="E751" t="str">
        <f t="shared" si="100"/>
        <v>EMP_750Sales</v>
      </c>
      <c r="F751" t="s">
        <v>7</v>
      </c>
      <c r="G751" t="s">
        <v>25</v>
      </c>
      <c r="H751">
        <v>37701</v>
      </c>
      <c r="I751">
        <v>9729</v>
      </c>
      <c r="J751">
        <v>74255</v>
      </c>
      <c r="K751">
        <v>116002</v>
      </c>
      <c r="L751" s="4">
        <v>44348</v>
      </c>
      <c r="M751" s="4" t="str">
        <f t="shared" si="101"/>
        <v>2021</v>
      </c>
      <c r="N751" s="1">
        <f t="shared" ca="1" si="102"/>
        <v>46064</v>
      </c>
      <c r="O751" s="6">
        <f t="shared" ca="1" si="103"/>
        <v>4</v>
      </c>
      <c r="P751">
        <v>2</v>
      </c>
      <c r="Q751">
        <f t="shared" si="104"/>
        <v>47430</v>
      </c>
      <c r="R751" s="2">
        <f t="shared" si="105"/>
        <v>23715</v>
      </c>
      <c r="S751" s="2" t="str">
        <f t="shared" si="106"/>
        <v xml:space="preserve"> Not Achieved</v>
      </c>
      <c r="T751" s="2" t="str">
        <f t="shared" si="107"/>
        <v>Average</v>
      </c>
      <c r="U751" s="2"/>
    </row>
    <row r="752" spans="1:21" x14ac:dyDescent="0.3">
      <c r="A752">
        <v>751</v>
      </c>
      <c r="B752" t="s">
        <v>1165</v>
      </c>
      <c r="C752" t="str">
        <f t="shared" si="99"/>
        <v>EMP_751</v>
      </c>
      <c r="D752" t="s">
        <v>11</v>
      </c>
      <c r="E752" t="str">
        <f t="shared" si="100"/>
        <v>EMP_751Marketing</v>
      </c>
      <c r="F752" t="s">
        <v>24</v>
      </c>
      <c r="G752" t="s">
        <v>13</v>
      </c>
      <c r="H752">
        <v>75909</v>
      </c>
      <c r="I752">
        <v>6932</v>
      </c>
      <c r="J752">
        <v>0</v>
      </c>
      <c r="K752">
        <v>0</v>
      </c>
      <c r="L752" s="4" t="s">
        <v>914</v>
      </c>
      <c r="M752" s="4" t="str">
        <f t="shared" si="101"/>
        <v>10/13/2022</v>
      </c>
      <c r="N752" s="1">
        <f t="shared" ca="1" si="102"/>
        <v>46064</v>
      </c>
      <c r="O752" s="6" t="e">
        <f t="shared" ca="1" si="103"/>
        <v>#VALUE!</v>
      </c>
      <c r="P752">
        <v>1</v>
      </c>
      <c r="Q752">
        <f t="shared" si="104"/>
        <v>82841</v>
      </c>
      <c r="R752" s="2">
        <f t="shared" si="105"/>
        <v>41420.5</v>
      </c>
      <c r="S752" s="2" t="str">
        <f t="shared" si="106"/>
        <v xml:space="preserve"> Not Achieved</v>
      </c>
      <c r="T752" s="2" t="str">
        <f t="shared" si="107"/>
        <v xml:space="preserve"> Excellent</v>
      </c>
      <c r="U752" s="2"/>
    </row>
    <row r="753" spans="1:21" x14ac:dyDescent="0.3">
      <c r="A753">
        <v>752</v>
      </c>
      <c r="B753" t="s">
        <v>1166</v>
      </c>
      <c r="C753" t="str">
        <f t="shared" si="99"/>
        <v>EMP_752</v>
      </c>
      <c r="D753" t="s">
        <v>15</v>
      </c>
      <c r="E753" t="str">
        <f t="shared" si="100"/>
        <v>EMP_752Finance</v>
      </c>
      <c r="F753" t="s">
        <v>18</v>
      </c>
      <c r="G753" t="s">
        <v>16</v>
      </c>
      <c r="H753">
        <v>65802</v>
      </c>
      <c r="I753">
        <v>8403</v>
      </c>
      <c r="J753">
        <v>0</v>
      </c>
      <c r="K753">
        <v>0</v>
      </c>
      <c r="L753" s="4" t="s">
        <v>108</v>
      </c>
      <c r="M753" s="4" t="str">
        <f t="shared" si="101"/>
        <v>6/19/2022</v>
      </c>
      <c r="N753" s="1">
        <f t="shared" ca="1" si="102"/>
        <v>46064</v>
      </c>
      <c r="O753" s="6" t="e">
        <f t="shared" ca="1" si="103"/>
        <v>#VALUE!</v>
      </c>
      <c r="P753">
        <v>4</v>
      </c>
      <c r="Q753">
        <f t="shared" si="104"/>
        <v>74205</v>
      </c>
      <c r="R753" s="2">
        <f t="shared" si="105"/>
        <v>37102.5</v>
      </c>
      <c r="S753" s="2" t="str">
        <f t="shared" si="106"/>
        <v xml:space="preserve"> Not Achieved</v>
      </c>
      <c r="T753" s="2" t="str">
        <f t="shared" si="107"/>
        <v xml:space="preserve"> Excellent</v>
      </c>
      <c r="U753" s="2"/>
    </row>
    <row r="754" spans="1:21" x14ac:dyDescent="0.3">
      <c r="A754">
        <v>753</v>
      </c>
      <c r="B754" t="s">
        <v>1167</v>
      </c>
      <c r="C754" t="str">
        <f t="shared" si="99"/>
        <v>EMP_753</v>
      </c>
      <c r="D754" t="s">
        <v>11</v>
      </c>
      <c r="E754" t="str">
        <f t="shared" si="100"/>
        <v>EMP_753Marketing</v>
      </c>
      <c r="F754" t="s">
        <v>24</v>
      </c>
      <c r="G754" t="s">
        <v>22</v>
      </c>
      <c r="H754">
        <v>58626</v>
      </c>
      <c r="I754">
        <v>13810</v>
      </c>
      <c r="J754">
        <v>0</v>
      </c>
      <c r="K754">
        <v>0</v>
      </c>
      <c r="L754" s="4" t="s">
        <v>1168</v>
      </c>
      <c r="M754" s="4" t="str">
        <f t="shared" si="101"/>
        <v>7/17/2019</v>
      </c>
      <c r="N754" s="1">
        <f t="shared" ca="1" si="102"/>
        <v>46064</v>
      </c>
      <c r="O754" s="6" t="e">
        <f t="shared" ca="1" si="103"/>
        <v>#VALUE!</v>
      </c>
      <c r="P754">
        <v>1</v>
      </c>
      <c r="Q754">
        <f t="shared" si="104"/>
        <v>72436</v>
      </c>
      <c r="R754" s="2">
        <f t="shared" si="105"/>
        <v>36218</v>
      </c>
      <c r="S754" s="2" t="str">
        <f t="shared" si="106"/>
        <v xml:space="preserve"> Not Achieved</v>
      </c>
      <c r="T754" s="2" t="str">
        <f t="shared" si="107"/>
        <v xml:space="preserve"> Excellent</v>
      </c>
      <c r="U754" s="2"/>
    </row>
    <row r="755" spans="1:21" x14ac:dyDescent="0.3">
      <c r="A755">
        <v>754</v>
      </c>
      <c r="B755" t="s">
        <v>1169</v>
      </c>
      <c r="C755" t="str">
        <f t="shared" si="99"/>
        <v>EMP_754</v>
      </c>
      <c r="D755" t="s">
        <v>11</v>
      </c>
      <c r="E755" t="str">
        <f t="shared" si="100"/>
        <v>EMP_754HR</v>
      </c>
      <c r="F755" t="s">
        <v>12</v>
      </c>
      <c r="G755" t="s">
        <v>16</v>
      </c>
      <c r="H755">
        <v>34585</v>
      </c>
      <c r="I755">
        <v>6227</v>
      </c>
      <c r="J755">
        <v>0</v>
      </c>
      <c r="K755">
        <v>0</v>
      </c>
      <c r="L755" s="4" t="s">
        <v>1170</v>
      </c>
      <c r="M755" s="4" t="str">
        <f t="shared" si="101"/>
        <v>10/20/2024</v>
      </c>
      <c r="N755" s="1">
        <f t="shared" ca="1" si="102"/>
        <v>46064</v>
      </c>
      <c r="O755" s="6" t="e">
        <f t="shared" ca="1" si="103"/>
        <v>#VALUE!</v>
      </c>
      <c r="P755">
        <v>2</v>
      </c>
      <c r="Q755">
        <f t="shared" si="104"/>
        <v>40812</v>
      </c>
      <c r="R755" s="2">
        <f t="shared" si="105"/>
        <v>20406</v>
      </c>
      <c r="S755" s="2" t="str">
        <f t="shared" si="106"/>
        <v xml:space="preserve"> Not Achieved</v>
      </c>
      <c r="T755" s="2" t="str">
        <f t="shared" si="107"/>
        <v>Average</v>
      </c>
      <c r="U755" s="2"/>
    </row>
    <row r="756" spans="1:21" x14ac:dyDescent="0.3">
      <c r="A756">
        <v>755</v>
      </c>
      <c r="B756" t="s">
        <v>1171</v>
      </c>
      <c r="C756" t="str">
        <f t="shared" si="99"/>
        <v>EMP_755</v>
      </c>
      <c r="D756" t="s">
        <v>15</v>
      </c>
      <c r="E756" t="str">
        <f t="shared" si="100"/>
        <v>EMP_755IT</v>
      </c>
      <c r="F756" t="s">
        <v>21</v>
      </c>
      <c r="G756" t="s">
        <v>25</v>
      </c>
      <c r="H756">
        <v>21851</v>
      </c>
      <c r="I756">
        <v>12232</v>
      </c>
      <c r="J756">
        <v>0</v>
      </c>
      <c r="K756">
        <v>0</v>
      </c>
      <c r="L756" s="4" t="s">
        <v>1130</v>
      </c>
      <c r="M756" s="4" t="str">
        <f t="shared" si="101"/>
        <v>6/22/2018</v>
      </c>
      <c r="N756" s="1">
        <f t="shared" ca="1" si="102"/>
        <v>46064</v>
      </c>
      <c r="O756" s="6" t="e">
        <f t="shared" ca="1" si="103"/>
        <v>#VALUE!</v>
      </c>
      <c r="P756">
        <v>2</v>
      </c>
      <c r="Q756">
        <f t="shared" si="104"/>
        <v>34083</v>
      </c>
      <c r="R756" s="2">
        <f t="shared" si="105"/>
        <v>17041.5</v>
      </c>
      <c r="S756" s="2" t="str">
        <f t="shared" si="106"/>
        <v xml:space="preserve"> Not Achieved</v>
      </c>
      <c r="T756" s="2" t="str">
        <f t="shared" si="107"/>
        <v>poor</v>
      </c>
      <c r="U756" s="2"/>
    </row>
    <row r="757" spans="1:21" x14ac:dyDescent="0.3">
      <c r="A757">
        <v>756</v>
      </c>
      <c r="B757" t="s">
        <v>1172</v>
      </c>
      <c r="C757" t="str">
        <f t="shared" si="99"/>
        <v>EMP_756</v>
      </c>
      <c r="D757" t="s">
        <v>15</v>
      </c>
      <c r="E757" t="str">
        <f t="shared" si="100"/>
        <v>EMP_756HR</v>
      </c>
      <c r="F757" t="s">
        <v>12</v>
      </c>
      <c r="G757" t="s">
        <v>25</v>
      </c>
      <c r="H757">
        <v>20108</v>
      </c>
      <c r="I757">
        <v>10657</v>
      </c>
      <c r="J757">
        <v>0</v>
      </c>
      <c r="K757">
        <v>0</v>
      </c>
      <c r="L757" s="4" t="s">
        <v>1173</v>
      </c>
      <c r="M757" s="4" t="str">
        <f t="shared" si="101"/>
        <v>9/20/2024</v>
      </c>
      <c r="N757" s="1">
        <f t="shared" ca="1" si="102"/>
        <v>46064</v>
      </c>
      <c r="O757" s="6" t="e">
        <f t="shared" ca="1" si="103"/>
        <v>#VALUE!</v>
      </c>
      <c r="P757">
        <v>2</v>
      </c>
      <c r="Q757">
        <f t="shared" si="104"/>
        <v>30765</v>
      </c>
      <c r="R757" s="2">
        <f t="shared" si="105"/>
        <v>15382.5</v>
      </c>
      <c r="S757" s="2" t="str">
        <f t="shared" si="106"/>
        <v xml:space="preserve"> Not Achieved</v>
      </c>
      <c r="T757" s="2" t="str">
        <f t="shared" si="107"/>
        <v>poor</v>
      </c>
      <c r="U757" s="2"/>
    </row>
    <row r="758" spans="1:21" x14ac:dyDescent="0.3">
      <c r="A758">
        <v>757</v>
      </c>
      <c r="B758" t="s">
        <v>1174</v>
      </c>
      <c r="C758" t="str">
        <f t="shared" si="99"/>
        <v>EMP_757</v>
      </c>
      <c r="D758" t="s">
        <v>15</v>
      </c>
      <c r="E758" t="str">
        <f t="shared" si="100"/>
        <v>EMP_757Finance</v>
      </c>
      <c r="F758" t="s">
        <v>18</v>
      </c>
      <c r="G758" t="s">
        <v>13</v>
      </c>
      <c r="H758">
        <v>26754</v>
      </c>
      <c r="I758">
        <v>4884</v>
      </c>
      <c r="J758">
        <v>0</v>
      </c>
      <c r="K758">
        <v>0</v>
      </c>
      <c r="L758" s="4" t="s">
        <v>1175</v>
      </c>
      <c r="M758" s="4" t="str">
        <f t="shared" si="101"/>
        <v>6/29/2024</v>
      </c>
      <c r="N758" s="1">
        <f t="shared" ca="1" si="102"/>
        <v>46064</v>
      </c>
      <c r="O758" s="6" t="e">
        <f t="shared" ca="1" si="103"/>
        <v>#VALUE!</v>
      </c>
      <c r="P758">
        <v>4</v>
      </c>
      <c r="Q758">
        <f t="shared" si="104"/>
        <v>31638</v>
      </c>
      <c r="R758" s="2">
        <f t="shared" si="105"/>
        <v>15819</v>
      </c>
      <c r="S758" s="2" t="str">
        <f t="shared" si="106"/>
        <v xml:space="preserve"> Not Achieved</v>
      </c>
      <c r="T758" s="2" t="str">
        <f t="shared" si="107"/>
        <v>poor</v>
      </c>
      <c r="U758" s="2"/>
    </row>
    <row r="759" spans="1:21" x14ac:dyDescent="0.3">
      <c r="A759">
        <v>758</v>
      </c>
      <c r="B759" t="s">
        <v>1176</v>
      </c>
      <c r="C759" t="str">
        <f t="shared" si="99"/>
        <v>EMP_758</v>
      </c>
      <c r="D759" t="s">
        <v>15</v>
      </c>
      <c r="E759" t="str">
        <f t="shared" si="100"/>
        <v>EMP_758IT</v>
      </c>
      <c r="F759" t="s">
        <v>21</v>
      </c>
      <c r="G759" t="s">
        <v>25</v>
      </c>
      <c r="H759">
        <v>58500</v>
      </c>
      <c r="I759">
        <v>12340</v>
      </c>
      <c r="J759">
        <v>0</v>
      </c>
      <c r="K759">
        <v>0</v>
      </c>
      <c r="L759" s="4">
        <v>44388</v>
      </c>
      <c r="M759" s="4" t="str">
        <f t="shared" si="101"/>
        <v>2021</v>
      </c>
      <c r="N759" s="1">
        <f t="shared" ca="1" si="102"/>
        <v>46064</v>
      </c>
      <c r="O759" s="6">
        <f t="shared" ca="1" si="103"/>
        <v>4</v>
      </c>
      <c r="P759">
        <v>3</v>
      </c>
      <c r="Q759">
        <f t="shared" si="104"/>
        <v>70840</v>
      </c>
      <c r="R759" s="2">
        <f t="shared" si="105"/>
        <v>35420</v>
      </c>
      <c r="S759" s="2" t="str">
        <f t="shared" si="106"/>
        <v xml:space="preserve"> Not Achieved</v>
      </c>
      <c r="T759" s="2" t="str">
        <f t="shared" si="107"/>
        <v xml:space="preserve"> Excellent</v>
      </c>
      <c r="U759" s="2"/>
    </row>
    <row r="760" spans="1:21" x14ac:dyDescent="0.3">
      <c r="A760">
        <v>759</v>
      </c>
      <c r="B760" t="s">
        <v>1177</v>
      </c>
      <c r="C760" t="str">
        <f t="shared" si="99"/>
        <v>EMP_759</v>
      </c>
      <c r="D760" t="s">
        <v>15</v>
      </c>
      <c r="E760" t="str">
        <f t="shared" si="100"/>
        <v>EMP_759Sales</v>
      </c>
      <c r="F760" t="s">
        <v>7</v>
      </c>
      <c r="G760" t="s">
        <v>25</v>
      </c>
      <c r="H760">
        <v>77618</v>
      </c>
      <c r="I760">
        <v>8073</v>
      </c>
      <c r="J760">
        <v>164914</v>
      </c>
      <c r="K760">
        <v>138027</v>
      </c>
      <c r="L760" s="4" t="s">
        <v>1178</v>
      </c>
      <c r="M760" s="4" t="str">
        <f t="shared" si="101"/>
        <v>5/28/2019</v>
      </c>
      <c r="N760" s="1">
        <f t="shared" ca="1" si="102"/>
        <v>46064</v>
      </c>
      <c r="O760" s="6" t="e">
        <f t="shared" ca="1" si="103"/>
        <v>#VALUE!</v>
      </c>
      <c r="P760">
        <v>3</v>
      </c>
      <c r="Q760">
        <f t="shared" si="104"/>
        <v>85691</v>
      </c>
      <c r="R760" s="2">
        <f t="shared" si="105"/>
        <v>42845.5</v>
      </c>
      <c r="S760" s="2" t="str">
        <f t="shared" si="106"/>
        <v>Achieved</v>
      </c>
      <c r="T760" s="2" t="str">
        <f t="shared" si="107"/>
        <v xml:space="preserve"> Excellent</v>
      </c>
      <c r="U760" s="2"/>
    </row>
    <row r="761" spans="1:21" x14ac:dyDescent="0.3">
      <c r="A761">
        <v>760</v>
      </c>
      <c r="B761" t="s">
        <v>1179</v>
      </c>
      <c r="C761" t="str">
        <f t="shared" si="99"/>
        <v>EMP_760</v>
      </c>
      <c r="D761" t="s">
        <v>15</v>
      </c>
      <c r="E761" t="str">
        <f t="shared" si="100"/>
        <v>EMP_760Sales</v>
      </c>
      <c r="F761" t="s">
        <v>7</v>
      </c>
      <c r="G761" t="s">
        <v>16</v>
      </c>
      <c r="H761">
        <v>61036</v>
      </c>
      <c r="I761">
        <v>11667</v>
      </c>
      <c r="J761">
        <v>218624</v>
      </c>
      <c r="K761">
        <v>244648</v>
      </c>
      <c r="L761" s="4" t="s">
        <v>1180</v>
      </c>
      <c r="M761" s="4" t="str">
        <f t="shared" si="101"/>
        <v>12/26/2018</v>
      </c>
      <c r="N761" s="1">
        <f t="shared" ca="1" si="102"/>
        <v>46064</v>
      </c>
      <c r="O761" s="6" t="e">
        <f t="shared" ca="1" si="103"/>
        <v>#VALUE!</v>
      </c>
      <c r="P761">
        <v>5</v>
      </c>
      <c r="Q761">
        <f t="shared" si="104"/>
        <v>72703</v>
      </c>
      <c r="R761" s="2">
        <f t="shared" si="105"/>
        <v>36351.5</v>
      </c>
      <c r="S761" s="2" t="str">
        <f t="shared" si="106"/>
        <v xml:space="preserve"> Not Achieved</v>
      </c>
      <c r="T761" s="2" t="str">
        <f t="shared" si="107"/>
        <v xml:space="preserve"> Excellent</v>
      </c>
      <c r="U761" s="2"/>
    </row>
    <row r="762" spans="1:21" x14ac:dyDescent="0.3">
      <c r="A762">
        <v>761</v>
      </c>
      <c r="B762" t="s">
        <v>1181</v>
      </c>
      <c r="C762" t="str">
        <f t="shared" si="99"/>
        <v>EMP_761</v>
      </c>
      <c r="D762" t="s">
        <v>15</v>
      </c>
      <c r="E762" t="str">
        <f t="shared" si="100"/>
        <v>EMP_761IT</v>
      </c>
      <c r="F762" t="s">
        <v>21</v>
      </c>
      <c r="G762" t="s">
        <v>16</v>
      </c>
      <c r="H762">
        <v>46230</v>
      </c>
      <c r="I762">
        <v>14592</v>
      </c>
      <c r="J762">
        <v>0</v>
      </c>
      <c r="K762">
        <v>0</v>
      </c>
      <c r="L762" s="4" t="s">
        <v>1182</v>
      </c>
      <c r="M762" s="4" t="str">
        <f t="shared" si="101"/>
        <v>1/15/2019</v>
      </c>
      <c r="N762" s="1">
        <f t="shared" ca="1" si="102"/>
        <v>46064</v>
      </c>
      <c r="O762" s="6" t="e">
        <f t="shared" ca="1" si="103"/>
        <v>#VALUE!</v>
      </c>
      <c r="P762">
        <v>2</v>
      </c>
      <c r="Q762">
        <f t="shared" si="104"/>
        <v>60822</v>
      </c>
      <c r="R762" s="2">
        <f t="shared" si="105"/>
        <v>30411</v>
      </c>
      <c r="S762" s="2" t="str">
        <f t="shared" si="106"/>
        <v xml:space="preserve"> Not Achieved</v>
      </c>
      <c r="T762" s="2" t="str">
        <f t="shared" si="107"/>
        <v>Good</v>
      </c>
      <c r="U762" s="2"/>
    </row>
    <row r="763" spans="1:21" x14ac:dyDescent="0.3">
      <c r="A763">
        <v>762</v>
      </c>
      <c r="B763" t="s">
        <v>1183</v>
      </c>
      <c r="C763" t="str">
        <f t="shared" si="99"/>
        <v>EMP_762</v>
      </c>
      <c r="D763" t="s">
        <v>15</v>
      </c>
      <c r="E763" t="str">
        <f t="shared" si="100"/>
        <v>EMP_762HR</v>
      </c>
      <c r="F763" t="s">
        <v>12</v>
      </c>
      <c r="G763" t="s">
        <v>22</v>
      </c>
      <c r="H763">
        <v>20134</v>
      </c>
      <c r="I763">
        <v>9814</v>
      </c>
      <c r="J763">
        <v>0</v>
      </c>
      <c r="K763">
        <v>0</v>
      </c>
      <c r="L763" s="4">
        <v>44077</v>
      </c>
      <c r="M763" s="4" t="str">
        <f t="shared" si="101"/>
        <v>2020</v>
      </c>
      <c r="N763" s="1">
        <f t="shared" ca="1" si="102"/>
        <v>46064</v>
      </c>
      <c r="O763" s="6">
        <f t="shared" ca="1" si="103"/>
        <v>5</v>
      </c>
      <c r="P763">
        <v>5</v>
      </c>
      <c r="Q763">
        <f t="shared" si="104"/>
        <v>29948</v>
      </c>
      <c r="R763" s="2">
        <f t="shared" si="105"/>
        <v>14974</v>
      </c>
      <c r="S763" s="2" t="str">
        <f t="shared" si="106"/>
        <v xml:space="preserve"> Not Achieved</v>
      </c>
      <c r="T763" s="2" t="str">
        <f t="shared" si="107"/>
        <v>poor</v>
      </c>
      <c r="U763" s="2"/>
    </row>
    <row r="764" spans="1:21" x14ac:dyDescent="0.3">
      <c r="A764">
        <v>763</v>
      </c>
      <c r="B764" t="s">
        <v>1184</v>
      </c>
      <c r="C764" t="str">
        <f t="shared" si="99"/>
        <v>EMP_763</v>
      </c>
      <c r="D764" t="s">
        <v>11</v>
      </c>
      <c r="E764" t="str">
        <f t="shared" si="100"/>
        <v>EMP_763IT</v>
      </c>
      <c r="F764" t="s">
        <v>21</v>
      </c>
      <c r="G764" t="s">
        <v>22</v>
      </c>
      <c r="H764">
        <v>56781</v>
      </c>
      <c r="I764">
        <v>6039</v>
      </c>
      <c r="J764">
        <v>0</v>
      </c>
      <c r="K764">
        <v>0</v>
      </c>
      <c r="L764" s="4" t="s">
        <v>770</v>
      </c>
      <c r="M764" s="4" t="str">
        <f t="shared" si="101"/>
        <v>1/23/2020</v>
      </c>
      <c r="N764" s="1">
        <f t="shared" ca="1" si="102"/>
        <v>46064</v>
      </c>
      <c r="O764" s="6" t="e">
        <f t="shared" ca="1" si="103"/>
        <v>#VALUE!</v>
      </c>
      <c r="P764">
        <v>4</v>
      </c>
      <c r="Q764">
        <f t="shared" si="104"/>
        <v>62820</v>
      </c>
      <c r="R764" s="2">
        <f t="shared" si="105"/>
        <v>31410</v>
      </c>
      <c r="S764" s="2" t="str">
        <f t="shared" si="106"/>
        <v xml:space="preserve"> Not Achieved</v>
      </c>
      <c r="T764" s="2" t="str">
        <f t="shared" si="107"/>
        <v xml:space="preserve"> Excellent</v>
      </c>
      <c r="U764" s="2"/>
    </row>
    <row r="765" spans="1:21" x14ac:dyDescent="0.3">
      <c r="A765">
        <v>764</v>
      </c>
      <c r="B765" t="s">
        <v>1185</v>
      </c>
      <c r="C765" t="str">
        <f t="shared" si="99"/>
        <v>EMP_764</v>
      </c>
      <c r="D765" t="s">
        <v>15</v>
      </c>
      <c r="E765" t="str">
        <f t="shared" si="100"/>
        <v>EMP_764Finance</v>
      </c>
      <c r="F765" t="s">
        <v>18</v>
      </c>
      <c r="G765" t="s">
        <v>13</v>
      </c>
      <c r="H765">
        <v>40343</v>
      </c>
      <c r="I765">
        <v>7789</v>
      </c>
      <c r="J765">
        <v>0</v>
      </c>
      <c r="K765">
        <v>0</v>
      </c>
      <c r="L765" s="4" t="s">
        <v>1186</v>
      </c>
      <c r="M765" s="4" t="str">
        <f t="shared" si="101"/>
        <v>10/24/2018</v>
      </c>
      <c r="N765" s="1">
        <f t="shared" ca="1" si="102"/>
        <v>46064</v>
      </c>
      <c r="O765" s="6" t="e">
        <f t="shared" ca="1" si="103"/>
        <v>#VALUE!</v>
      </c>
      <c r="P765">
        <v>1</v>
      </c>
      <c r="Q765">
        <f t="shared" si="104"/>
        <v>48132</v>
      </c>
      <c r="R765" s="2">
        <f t="shared" si="105"/>
        <v>24066</v>
      </c>
      <c r="S765" s="2" t="str">
        <f t="shared" si="106"/>
        <v xml:space="preserve"> Not Achieved</v>
      </c>
      <c r="T765" s="2" t="str">
        <f t="shared" si="107"/>
        <v>Good</v>
      </c>
      <c r="U765" s="2"/>
    </row>
    <row r="766" spans="1:21" x14ac:dyDescent="0.3">
      <c r="A766">
        <v>765</v>
      </c>
      <c r="B766" t="s">
        <v>1187</v>
      </c>
      <c r="C766" t="str">
        <f t="shared" si="99"/>
        <v>EMP_765</v>
      </c>
      <c r="D766" t="s">
        <v>11</v>
      </c>
      <c r="E766" t="str">
        <f t="shared" si="100"/>
        <v>EMP_765Marketing</v>
      </c>
      <c r="F766" t="s">
        <v>24</v>
      </c>
      <c r="G766" t="s">
        <v>19</v>
      </c>
      <c r="H766">
        <v>24798</v>
      </c>
      <c r="I766">
        <v>3354</v>
      </c>
      <c r="J766">
        <v>0</v>
      </c>
      <c r="K766">
        <v>0</v>
      </c>
      <c r="L766" s="4" t="s">
        <v>1188</v>
      </c>
      <c r="M766" s="4" t="str">
        <f t="shared" si="101"/>
        <v>11/14/2024</v>
      </c>
      <c r="N766" s="1">
        <f t="shared" ca="1" si="102"/>
        <v>46064</v>
      </c>
      <c r="O766" s="6" t="e">
        <f t="shared" ca="1" si="103"/>
        <v>#VALUE!</v>
      </c>
      <c r="P766">
        <v>2</v>
      </c>
      <c r="Q766">
        <f t="shared" si="104"/>
        <v>28152</v>
      </c>
      <c r="R766" s="2">
        <f t="shared" si="105"/>
        <v>14076</v>
      </c>
      <c r="S766" s="2" t="str">
        <f t="shared" si="106"/>
        <v xml:space="preserve"> Not Achieved</v>
      </c>
      <c r="T766" s="2" t="str">
        <f t="shared" si="107"/>
        <v>poor</v>
      </c>
      <c r="U766" s="2"/>
    </row>
    <row r="767" spans="1:21" x14ac:dyDescent="0.3">
      <c r="A767">
        <v>766</v>
      </c>
      <c r="B767" t="s">
        <v>1189</v>
      </c>
      <c r="C767" t="str">
        <f t="shared" si="99"/>
        <v>EMP_766</v>
      </c>
      <c r="D767" t="s">
        <v>11</v>
      </c>
      <c r="E767" t="str">
        <f t="shared" si="100"/>
        <v>EMP_766Finance</v>
      </c>
      <c r="F767" t="s">
        <v>18</v>
      </c>
      <c r="G767" t="s">
        <v>16</v>
      </c>
      <c r="H767">
        <v>42403</v>
      </c>
      <c r="I767">
        <v>5429</v>
      </c>
      <c r="J767">
        <v>0</v>
      </c>
      <c r="K767">
        <v>0</v>
      </c>
      <c r="L767" s="4" t="s">
        <v>1190</v>
      </c>
      <c r="M767" s="4" t="str">
        <f t="shared" si="101"/>
        <v>3/15/2019</v>
      </c>
      <c r="N767" s="1">
        <f t="shared" ca="1" si="102"/>
        <v>46064</v>
      </c>
      <c r="O767" s="6" t="e">
        <f t="shared" ca="1" si="103"/>
        <v>#VALUE!</v>
      </c>
      <c r="P767">
        <v>5</v>
      </c>
      <c r="Q767">
        <f t="shared" si="104"/>
        <v>47832</v>
      </c>
      <c r="R767" s="2">
        <f t="shared" si="105"/>
        <v>23916</v>
      </c>
      <c r="S767" s="2" t="str">
        <f t="shared" si="106"/>
        <v xml:space="preserve"> Not Achieved</v>
      </c>
      <c r="T767" s="2" t="str">
        <f t="shared" si="107"/>
        <v>Good</v>
      </c>
      <c r="U767" s="2"/>
    </row>
    <row r="768" spans="1:21" x14ac:dyDescent="0.3">
      <c r="A768">
        <v>767</v>
      </c>
      <c r="B768" t="s">
        <v>1191</v>
      </c>
      <c r="C768" t="str">
        <f t="shared" si="99"/>
        <v>EMP_767</v>
      </c>
      <c r="D768" t="s">
        <v>15</v>
      </c>
      <c r="E768" t="str">
        <f t="shared" si="100"/>
        <v>EMP_767HR</v>
      </c>
      <c r="F768" t="s">
        <v>12</v>
      </c>
      <c r="G768" t="s">
        <v>22</v>
      </c>
      <c r="H768">
        <v>53523</v>
      </c>
      <c r="I768">
        <v>11621</v>
      </c>
      <c r="J768">
        <v>0</v>
      </c>
      <c r="K768">
        <v>0</v>
      </c>
      <c r="L768" s="4">
        <v>43775</v>
      </c>
      <c r="M768" s="4" t="str">
        <f t="shared" si="101"/>
        <v>2019</v>
      </c>
      <c r="N768" s="1">
        <f t="shared" ca="1" si="102"/>
        <v>46064</v>
      </c>
      <c r="O768" s="6">
        <f t="shared" ca="1" si="103"/>
        <v>6</v>
      </c>
      <c r="P768">
        <v>1</v>
      </c>
      <c r="Q768">
        <f t="shared" si="104"/>
        <v>65144</v>
      </c>
      <c r="R768" s="2">
        <f t="shared" si="105"/>
        <v>32572</v>
      </c>
      <c r="S768" s="2" t="str">
        <f t="shared" si="106"/>
        <v xml:space="preserve"> Not Achieved</v>
      </c>
      <c r="T768" s="2" t="str">
        <f t="shared" si="107"/>
        <v xml:space="preserve"> Excellent</v>
      </c>
      <c r="U768" s="2"/>
    </row>
    <row r="769" spans="1:21" x14ac:dyDescent="0.3">
      <c r="A769">
        <v>768</v>
      </c>
      <c r="B769" t="s">
        <v>1192</v>
      </c>
      <c r="C769" t="str">
        <f t="shared" si="99"/>
        <v>EMP_768</v>
      </c>
      <c r="D769" t="s">
        <v>15</v>
      </c>
      <c r="E769" t="str">
        <f t="shared" si="100"/>
        <v>EMP_768IT</v>
      </c>
      <c r="F769" t="s">
        <v>21</v>
      </c>
      <c r="G769" t="s">
        <v>25</v>
      </c>
      <c r="H769">
        <v>64020</v>
      </c>
      <c r="I769">
        <v>10591</v>
      </c>
      <c r="J769">
        <v>0</v>
      </c>
      <c r="K769">
        <v>0</v>
      </c>
      <c r="L769" s="4" t="s">
        <v>1193</v>
      </c>
      <c r="M769" s="4" t="str">
        <f t="shared" si="101"/>
        <v>6/17/2023</v>
      </c>
      <c r="N769" s="1">
        <f t="shared" ca="1" si="102"/>
        <v>46064</v>
      </c>
      <c r="O769" s="6" t="e">
        <f t="shared" ca="1" si="103"/>
        <v>#VALUE!</v>
      </c>
      <c r="P769">
        <v>5</v>
      </c>
      <c r="Q769">
        <f t="shared" si="104"/>
        <v>74611</v>
      </c>
      <c r="R769" s="2">
        <f t="shared" si="105"/>
        <v>37305.5</v>
      </c>
      <c r="S769" s="2" t="str">
        <f t="shared" si="106"/>
        <v xml:space="preserve"> Not Achieved</v>
      </c>
      <c r="T769" s="2" t="str">
        <f t="shared" si="107"/>
        <v xml:space="preserve"> Excellent</v>
      </c>
      <c r="U769" s="2"/>
    </row>
    <row r="770" spans="1:21" x14ac:dyDescent="0.3">
      <c r="A770">
        <v>769</v>
      </c>
      <c r="B770" t="s">
        <v>1194</v>
      </c>
      <c r="C770" t="str">
        <f t="shared" si="99"/>
        <v>EMP_769</v>
      </c>
      <c r="D770" t="s">
        <v>15</v>
      </c>
      <c r="E770" t="str">
        <f t="shared" si="100"/>
        <v>EMP_769Marketing</v>
      </c>
      <c r="F770" t="s">
        <v>24</v>
      </c>
      <c r="G770" t="s">
        <v>22</v>
      </c>
      <c r="H770">
        <v>33423</v>
      </c>
      <c r="I770">
        <v>9547</v>
      </c>
      <c r="J770">
        <v>0</v>
      </c>
      <c r="K770">
        <v>0</v>
      </c>
      <c r="L770" s="4" t="s">
        <v>1195</v>
      </c>
      <c r="M770" s="4" t="str">
        <f t="shared" si="101"/>
        <v>7/27/2024</v>
      </c>
      <c r="N770" s="1">
        <f t="shared" ca="1" si="102"/>
        <v>46064</v>
      </c>
      <c r="O770" s="6" t="e">
        <f t="shared" ca="1" si="103"/>
        <v>#VALUE!</v>
      </c>
      <c r="P770">
        <v>2</v>
      </c>
      <c r="Q770">
        <f t="shared" si="104"/>
        <v>42970</v>
      </c>
      <c r="R770" s="2">
        <f t="shared" si="105"/>
        <v>21485</v>
      </c>
      <c r="S770" s="2" t="str">
        <f t="shared" si="106"/>
        <v xml:space="preserve"> Not Achieved</v>
      </c>
      <c r="T770" s="2" t="str">
        <f t="shared" si="107"/>
        <v>Average</v>
      </c>
      <c r="U770" s="2"/>
    </row>
    <row r="771" spans="1:21" x14ac:dyDescent="0.3">
      <c r="A771">
        <v>770</v>
      </c>
      <c r="B771" t="s">
        <v>1196</v>
      </c>
      <c r="C771" t="str">
        <f t="shared" ref="C771:C834" si="108">UPPER(B771)</f>
        <v>EMP_770</v>
      </c>
      <c r="D771" t="s">
        <v>11</v>
      </c>
      <c r="E771" t="str">
        <f t="shared" ref="E771:E834" si="109">_xlfn.CONCAT(C771,F771)</f>
        <v>EMP_770HR</v>
      </c>
      <c r="F771" t="s">
        <v>12</v>
      </c>
      <c r="G771" t="s">
        <v>22</v>
      </c>
      <c r="H771">
        <v>67098</v>
      </c>
      <c r="I771">
        <v>3886</v>
      </c>
      <c r="J771">
        <v>0</v>
      </c>
      <c r="K771">
        <v>0</v>
      </c>
      <c r="L771" s="4">
        <v>44965</v>
      </c>
      <c r="M771" s="4" t="str">
        <f t="shared" ref="M771:M834" si="110">TEXT(L771,"yyyy")</f>
        <v>2023</v>
      </c>
      <c r="N771" s="1">
        <f t="shared" ref="N771:N834" ca="1" si="111">TODAY()</f>
        <v>46064</v>
      </c>
      <c r="O771" s="6">
        <f t="shared" ref="O771:O834" ca="1" si="112">DATEDIF(L771, TODAY(), "y")</f>
        <v>3</v>
      </c>
      <c r="P771">
        <v>4</v>
      </c>
      <c r="Q771">
        <f t="shared" ref="Q771:Q834" si="113">SUM(H771,I771)</f>
        <v>70984</v>
      </c>
      <c r="R771" s="2">
        <f t="shared" ref="R771:R834" si="114">AVERAGE(H771,I771)</f>
        <v>35492</v>
      </c>
      <c r="S771" s="2" t="str">
        <f t="shared" ref="S771:S834" si="115">IF(J771&gt;K771,"Achieved"," Not Achieved")</f>
        <v xml:space="preserve"> Not Achieved</v>
      </c>
      <c r="T771" s="2" t="str">
        <f t="shared" ref="T771:T834" si="116">_xlfn.IFS(H771&gt;=50000," Excellent",H771&gt;=40000,"Good",H771&gt;=30000,"Average",H771&lt;30000,"poor")</f>
        <v xml:space="preserve"> Excellent</v>
      </c>
      <c r="U771" s="2"/>
    </row>
    <row r="772" spans="1:21" x14ac:dyDescent="0.3">
      <c r="A772">
        <v>771</v>
      </c>
      <c r="B772" t="s">
        <v>1197</v>
      </c>
      <c r="C772" t="str">
        <f t="shared" si="108"/>
        <v>EMP_771</v>
      </c>
      <c r="D772" t="s">
        <v>11</v>
      </c>
      <c r="E772" t="str">
        <f t="shared" si="109"/>
        <v>EMP_771Marketing</v>
      </c>
      <c r="F772" t="s">
        <v>24</v>
      </c>
      <c r="G772" t="s">
        <v>25</v>
      </c>
      <c r="H772">
        <v>32699</v>
      </c>
      <c r="I772">
        <v>12476</v>
      </c>
      <c r="J772">
        <v>0</v>
      </c>
      <c r="K772">
        <v>0</v>
      </c>
      <c r="L772" s="4">
        <v>44440</v>
      </c>
      <c r="M772" s="4" t="str">
        <f t="shared" si="110"/>
        <v>2021</v>
      </c>
      <c r="N772" s="1">
        <f t="shared" ca="1" si="111"/>
        <v>46064</v>
      </c>
      <c r="O772" s="6">
        <f t="shared" ca="1" si="112"/>
        <v>4</v>
      </c>
      <c r="P772">
        <v>1</v>
      </c>
      <c r="Q772">
        <f t="shared" si="113"/>
        <v>45175</v>
      </c>
      <c r="R772" s="2">
        <f t="shared" si="114"/>
        <v>22587.5</v>
      </c>
      <c r="S772" s="2" t="str">
        <f t="shared" si="115"/>
        <v xml:space="preserve"> Not Achieved</v>
      </c>
      <c r="T772" s="2" t="str">
        <f t="shared" si="116"/>
        <v>Average</v>
      </c>
      <c r="U772" s="2"/>
    </row>
    <row r="773" spans="1:21" x14ac:dyDescent="0.3">
      <c r="A773">
        <v>772</v>
      </c>
      <c r="B773" t="s">
        <v>1198</v>
      </c>
      <c r="C773" t="str">
        <f t="shared" si="108"/>
        <v>EMP_772</v>
      </c>
      <c r="D773" t="s">
        <v>11</v>
      </c>
      <c r="E773" t="str">
        <f t="shared" si="109"/>
        <v>EMP_772Marketing</v>
      </c>
      <c r="F773" t="s">
        <v>24</v>
      </c>
      <c r="G773" t="s">
        <v>22</v>
      </c>
      <c r="H773">
        <v>26468</v>
      </c>
      <c r="I773">
        <v>8560</v>
      </c>
      <c r="J773">
        <v>0</v>
      </c>
      <c r="K773">
        <v>0</v>
      </c>
      <c r="L773" s="4">
        <v>45388</v>
      </c>
      <c r="M773" s="4" t="str">
        <f t="shared" si="110"/>
        <v>2024</v>
      </c>
      <c r="N773" s="1">
        <f t="shared" ca="1" si="111"/>
        <v>46064</v>
      </c>
      <c r="O773" s="6">
        <f t="shared" ca="1" si="112"/>
        <v>1</v>
      </c>
      <c r="P773">
        <v>3</v>
      </c>
      <c r="Q773">
        <f t="shared" si="113"/>
        <v>35028</v>
      </c>
      <c r="R773" s="2">
        <f t="shared" si="114"/>
        <v>17514</v>
      </c>
      <c r="S773" s="2" t="str">
        <f t="shared" si="115"/>
        <v xml:space="preserve"> Not Achieved</v>
      </c>
      <c r="T773" s="2" t="str">
        <f t="shared" si="116"/>
        <v>poor</v>
      </c>
      <c r="U773" s="2"/>
    </row>
    <row r="774" spans="1:21" x14ac:dyDescent="0.3">
      <c r="A774">
        <v>773</v>
      </c>
      <c r="B774" t="s">
        <v>1199</v>
      </c>
      <c r="C774" t="str">
        <f t="shared" si="108"/>
        <v>EMP_773</v>
      </c>
      <c r="D774" t="s">
        <v>11</v>
      </c>
      <c r="E774" t="str">
        <f t="shared" si="109"/>
        <v>EMP_773HR</v>
      </c>
      <c r="F774" t="s">
        <v>12</v>
      </c>
      <c r="G774" t="s">
        <v>16</v>
      </c>
      <c r="H774">
        <v>44682</v>
      </c>
      <c r="I774">
        <v>8417</v>
      </c>
      <c r="J774">
        <v>0</v>
      </c>
      <c r="K774">
        <v>0</v>
      </c>
      <c r="L774" s="4">
        <v>44054</v>
      </c>
      <c r="M774" s="4" t="str">
        <f t="shared" si="110"/>
        <v>2020</v>
      </c>
      <c r="N774" s="1">
        <f t="shared" ca="1" si="111"/>
        <v>46064</v>
      </c>
      <c r="O774" s="6">
        <f t="shared" ca="1" si="112"/>
        <v>5</v>
      </c>
      <c r="P774">
        <v>3</v>
      </c>
      <c r="Q774">
        <f t="shared" si="113"/>
        <v>53099</v>
      </c>
      <c r="R774" s="2">
        <f t="shared" si="114"/>
        <v>26549.5</v>
      </c>
      <c r="S774" s="2" t="str">
        <f t="shared" si="115"/>
        <v xml:space="preserve"> Not Achieved</v>
      </c>
      <c r="T774" s="2" t="str">
        <f t="shared" si="116"/>
        <v>Good</v>
      </c>
      <c r="U774" s="2"/>
    </row>
    <row r="775" spans="1:21" x14ac:dyDescent="0.3">
      <c r="A775">
        <v>774</v>
      </c>
      <c r="B775" t="s">
        <v>1200</v>
      </c>
      <c r="C775" t="str">
        <f t="shared" si="108"/>
        <v>EMP_774</v>
      </c>
      <c r="D775" t="s">
        <v>15</v>
      </c>
      <c r="E775" t="str">
        <f t="shared" si="109"/>
        <v>EMP_774Sales</v>
      </c>
      <c r="F775" t="s">
        <v>7</v>
      </c>
      <c r="G775" t="s">
        <v>25</v>
      </c>
      <c r="H775">
        <v>41722</v>
      </c>
      <c r="I775">
        <v>4965</v>
      </c>
      <c r="J775">
        <v>217138</v>
      </c>
      <c r="K775">
        <v>85975</v>
      </c>
      <c r="L775" s="4" t="s">
        <v>742</v>
      </c>
      <c r="M775" s="4" t="str">
        <f t="shared" si="110"/>
        <v>4/28/2018</v>
      </c>
      <c r="N775" s="1">
        <f t="shared" ca="1" si="111"/>
        <v>46064</v>
      </c>
      <c r="O775" s="6" t="e">
        <f t="shared" ca="1" si="112"/>
        <v>#VALUE!</v>
      </c>
      <c r="P775">
        <v>4</v>
      </c>
      <c r="Q775">
        <f t="shared" si="113"/>
        <v>46687</v>
      </c>
      <c r="R775" s="2">
        <f t="shared" si="114"/>
        <v>23343.5</v>
      </c>
      <c r="S775" s="2" t="str">
        <f t="shared" si="115"/>
        <v>Achieved</v>
      </c>
      <c r="T775" s="2" t="str">
        <f t="shared" si="116"/>
        <v>Good</v>
      </c>
      <c r="U775" s="2"/>
    </row>
    <row r="776" spans="1:21" x14ac:dyDescent="0.3">
      <c r="A776">
        <v>775</v>
      </c>
      <c r="B776" t="s">
        <v>1201</v>
      </c>
      <c r="C776" t="str">
        <f t="shared" si="108"/>
        <v>EMP_775</v>
      </c>
      <c r="D776" t="s">
        <v>11</v>
      </c>
      <c r="E776" t="str">
        <f t="shared" si="109"/>
        <v>EMP_775IT</v>
      </c>
      <c r="F776" t="s">
        <v>21</v>
      </c>
      <c r="G776" t="s">
        <v>19</v>
      </c>
      <c r="H776">
        <v>32201</v>
      </c>
      <c r="I776">
        <v>10884</v>
      </c>
      <c r="J776">
        <v>0</v>
      </c>
      <c r="K776">
        <v>0</v>
      </c>
      <c r="L776" s="4">
        <v>43892</v>
      </c>
      <c r="M776" s="4" t="str">
        <f t="shared" si="110"/>
        <v>2020</v>
      </c>
      <c r="N776" s="1">
        <f t="shared" ca="1" si="111"/>
        <v>46064</v>
      </c>
      <c r="O776" s="6">
        <f t="shared" ca="1" si="112"/>
        <v>5</v>
      </c>
      <c r="P776">
        <v>1</v>
      </c>
      <c r="Q776">
        <f t="shared" si="113"/>
        <v>43085</v>
      </c>
      <c r="R776" s="2">
        <f t="shared" si="114"/>
        <v>21542.5</v>
      </c>
      <c r="S776" s="2" t="str">
        <f t="shared" si="115"/>
        <v xml:space="preserve"> Not Achieved</v>
      </c>
      <c r="T776" s="2" t="str">
        <f t="shared" si="116"/>
        <v>Average</v>
      </c>
      <c r="U776" s="2"/>
    </row>
    <row r="777" spans="1:21" x14ac:dyDescent="0.3">
      <c r="A777">
        <v>776</v>
      </c>
      <c r="B777" t="s">
        <v>1202</v>
      </c>
      <c r="C777" t="str">
        <f t="shared" si="108"/>
        <v>EMP_776</v>
      </c>
      <c r="D777" t="s">
        <v>11</v>
      </c>
      <c r="E777" t="str">
        <f t="shared" si="109"/>
        <v>EMP_776Sales</v>
      </c>
      <c r="F777" t="s">
        <v>7</v>
      </c>
      <c r="G777" t="s">
        <v>22</v>
      </c>
      <c r="H777">
        <v>38058</v>
      </c>
      <c r="I777">
        <v>7933</v>
      </c>
      <c r="J777">
        <v>88208</v>
      </c>
      <c r="K777">
        <v>233493</v>
      </c>
      <c r="L777" s="4">
        <v>45150</v>
      </c>
      <c r="M777" s="4" t="str">
        <f t="shared" si="110"/>
        <v>2023</v>
      </c>
      <c r="N777" s="1">
        <f t="shared" ca="1" si="111"/>
        <v>46064</v>
      </c>
      <c r="O777" s="6">
        <f t="shared" ca="1" si="112"/>
        <v>2</v>
      </c>
      <c r="P777">
        <v>1</v>
      </c>
      <c r="Q777">
        <f t="shared" si="113"/>
        <v>45991</v>
      </c>
      <c r="R777" s="2">
        <f t="shared" si="114"/>
        <v>22995.5</v>
      </c>
      <c r="S777" s="2" t="str">
        <f t="shared" si="115"/>
        <v xml:space="preserve"> Not Achieved</v>
      </c>
      <c r="T777" s="2" t="str">
        <f t="shared" si="116"/>
        <v>Average</v>
      </c>
      <c r="U777" s="2"/>
    </row>
    <row r="778" spans="1:21" x14ac:dyDescent="0.3">
      <c r="A778">
        <v>777</v>
      </c>
      <c r="B778" t="s">
        <v>1203</v>
      </c>
      <c r="C778" t="str">
        <f t="shared" si="108"/>
        <v>EMP_777</v>
      </c>
      <c r="D778" t="s">
        <v>15</v>
      </c>
      <c r="E778" t="str">
        <f t="shared" si="109"/>
        <v>EMP_777Sales</v>
      </c>
      <c r="F778" t="s">
        <v>7</v>
      </c>
      <c r="G778" t="s">
        <v>25</v>
      </c>
      <c r="H778">
        <v>23407</v>
      </c>
      <c r="I778">
        <v>14264</v>
      </c>
      <c r="J778">
        <v>53085</v>
      </c>
      <c r="K778">
        <v>84671</v>
      </c>
      <c r="L778" s="4" t="s">
        <v>1204</v>
      </c>
      <c r="M778" s="4" t="str">
        <f t="shared" si="110"/>
        <v>7/29/2019</v>
      </c>
      <c r="N778" s="1">
        <f t="shared" ca="1" si="111"/>
        <v>46064</v>
      </c>
      <c r="O778" s="6" t="e">
        <f t="shared" ca="1" si="112"/>
        <v>#VALUE!</v>
      </c>
      <c r="P778">
        <v>1</v>
      </c>
      <c r="Q778">
        <f t="shared" si="113"/>
        <v>37671</v>
      </c>
      <c r="R778" s="2">
        <f t="shared" si="114"/>
        <v>18835.5</v>
      </c>
      <c r="S778" s="2" t="str">
        <f t="shared" si="115"/>
        <v xml:space="preserve"> Not Achieved</v>
      </c>
      <c r="T778" s="2" t="str">
        <f t="shared" si="116"/>
        <v>poor</v>
      </c>
      <c r="U778" s="2"/>
    </row>
    <row r="779" spans="1:21" x14ac:dyDescent="0.3">
      <c r="A779">
        <v>778</v>
      </c>
      <c r="B779" t="s">
        <v>1205</v>
      </c>
      <c r="C779" t="str">
        <f t="shared" si="108"/>
        <v>EMP_778</v>
      </c>
      <c r="D779" t="s">
        <v>11</v>
      </c>
      <c r="E779" t="str">
        <f t="shared" si="109"/>
        <v>EMP_778HR</v>
      </c>
      <c r="F779" t="s">
        <v>12</v>
      </c>
      <c r="G779" t="s">
        <v>13</v>
      </c>
      <c r="H779">
        <v>70946</v>
      </c>
      <c r="I779">
        <v>7224</v>
      </c>
      <c r="J779">
        <v>0</v>
      </c>
      <c r="K779">
        <v>0</v>
      </c>
      <c r="L779" s="4">
        <v>45052</v>
      </c>
      <c r="M779" s="4" t="str">
        <f t="shared" si="110"/>
        <v>2023</v>
      </c>
      <c r="N779" s="1">
        <f t="shared" ca="1" si="111"/>
        <v>46064</v>
      </c>
      <c r="O779" s="6">
        <f t="shared" ca="1" si="112"/>
        <v>2</v>
      </c>
      <c r="P779">
        <v>2</v>
      </c>
      <c r="Q779">
        <f t="shared" si="113"/>
        <v>78170</v>
      </c>
      <c r="R779" s="2">
        <f t="shared" si="114"/>
        <v>39085</v>
      </c>
      <c r="S779" s="2" t="str">
        <f t="shared" si="115"/>
        <v xml:space="preserve"> Not Achieved</v>
      </c>
      <c r="T779" s="2" t="str">
        <f t="shared" si="116"/>
        <v xml:space="preserve"> Excellent</v>
      </c>
      <c r="U779" s="2"/>
    </row>
    <row r="780" spans="1:21" x14ac:dyDescent="0.3">
      <c r="A780">
        <v>779</v>
      </c>
      <c r="B780" t="s">
        <v>1206</v>
      </c>
      <c r="C780" t="str">
        <f t="shared" si="108"/>
        <v>EMP_779</v>
      </c>
      <c r="D780" t="s">
        <v>15</v>
      </c>
      <c r="E780" t="str">
        <f t="shared" si="109"/>
        <v>EMP_779IT</v>
      </c>
      <c r="F780" t="s">
        <v>21</v>
      </c>
      <c r="G780" t="s">
        <v>16</v>
      </c>
      <c r="H780">
        <v>58028</v>
      </c>
      <c r="I780">
        <v>3772</v>
      </c>
      <c r="J780">
        <v>0</v>
      </c>
      <c r="K780">
        <v>0</v>
      </c>
      <c r="L780" s="4">
        <v>44263</v>
      </c>
      <c r="M780" s="4" t="str">
        <f t="shared" si="110"/>
        <v>2021</v>
      </c>
      <c r="N780" s="1">
        <f t="shared" ca="1" si="111"/>
        <v>46064</v>
      </c>
      <c r="O780" s="6">
        <f t="shared" ca="1" si="112"/>
        <v>4</v>
      </c>
      <c r="P780">
        <v>4</v>
      </c>
      <c r="Q780">
        <f t="shared" si="113"/>
        <v>61800</v>
      </c>
      <c r="R780" s="2">
        <f t="shared" si="114"/>
        <v>30900</v>
      </c>
      <c r="S780" s="2" t="str">
        <f t="shared" si="115"/>
        <v xml:space="preserve"> Not Achieved</v>
      </c>
      <c r="T780" s="2" t="str">
        <f t="shared" si="116"/>
        <v xml:space="preserve"> Excellent</v>
      </c>
      <c r="U780" s="2"/>
    </row>
    <row r="781" spans="1:21" x14ac:dyDescent="0.3">
      <c r="A781">
        <v>780</v>
      </c>
      <c r="B781" t="s">
        <v>1207</v>
      </c>
      <c r="C781" t="str">
        <f t="shared" si="108"/>
        <v>EMP_780</v>
      </c>
      <c r="D781" t="s">
        <v>11</v>
      </c>
      <c r="E781" t="str">
        <f t="shared" si="109"/>
        <v>EMP_780Finance</v>
      </c>
      <c r="F781" t="s">
        <v>18</v>
      </c>
      <c r="G781" t="s">
        <v>19</v>
      </c>
      <c r="H781">
        <v>50078</v>
      </c>
      <c r="I781">
        <v>14742</v>
      </c>
      <c r="J781">
        <v>0</v>
      </c>
      <c r="K781">
        <v>0</v>
      </c>
      <c r="L781" s="4">
        <v>44378</v>
      </c>
      <c r="M781" s="4" t="str">
        <f t="shared" si="110"/>
        <v>2021</v>
      </c>
      <c r="N781" s="1">
        <f t="shared" ca="1" si="111"/>
        <v>46064</v>
      </c>
      <c r="O781" s="6">
        <f t="shared" ca="1" si="112"/>
        <v>4</v>
      </c>
      <c r="P781">
        <v>1</v>
      </c>
      <c r="Q781">
        <f t="shared" si="113"/>
        <v>64820</v>
      </c>
      <c r="R781" s="2">
        <f t="shared" si="114"/>
        <v>32410</v>
      </c>
      <c r="S781" s="2" t="str">
        <f t="shared" si="115"/>
        <v xml:space="preserve"> Not Achieved</v>
      </c>
      <c r="T781" s="2" t="str">
        <f t="shared" si="116"/>
        <v xml:space="preserve"> Excellent</v>
      </c>
      <c r="U781" s="2"/>
    </row>
    <row r="782" spans="1:21" x14ac:dyDescent="0.3">
      <c r="A782">
        <v>781</v>
      </c>
      <c r="B782" t="s">
        <v>1208</v>
      </c>
      <c r="C782" t="str">
        <f t="shared" si="108"/>
        <v>EMP_781</v>
      </c>
      <c r="D782" t="s">
        <v>11</v>
      </c>
      <c r="E782" t="str">
        <f t="shared" si="109"/>
        <v>EMP_781IT</v>
      </c>
      <c r="F782" t="s">
        <v>21</v>
      </c>
      <c r="G782" t="s">
        <v>22</v>
      </c>
      <c r="H782">
        <v>70671</v>
      </c>
      <c r="I782">
        <v>7343</v>
      </c>
      <c r="J782">
        <v>0</v>
      </c>
      <c r="K782">
        <v>0</v>
      </c>
      <c r="L782" s="4" t="s">
        <v>1209</v>
      </c>
      <c r="M782" s="4" t="str">
        <f t="shared" si="110"/>
        <v>8/20/2023</v>
      </c>
      <c r="N782" s="1">
        <f t="shared" ca="1" si="111"/>
        <v>46064</v>
      </c>
      <c r="O782" s="6" t="e">
        <f t="shared" ca="1" si="112"/>
        <v>#VALUE!</v>
      </c>
      <c r="P782">
        <v>5</v>
      </c>
      <c r="Q782">
        <f t="shared" si="113"/>
        <v>78014</v>
      </c>
      <c r="R782" s="2">
        <f t="shared" si="114"/>
        <v>39007</v>
      </c>
      <c r="S782" s="2" t="str">
        <f t="shared" si="115"/>
        <v xml:space="preserve"> Not Achieved</v>
      </c>
      <c r="T782" s="2" t="str">
        <f t="shared" si="116"/>
        <v xml:space="preserve"> Excellent</v>
      </c>
      <c r="U782" s="2"/>
    </row>
    <row r="783" spans="1:21" x14ac:dyDescent="0.3">
      <c r="A783">
        <v>782</v>
      </c>
      <c r="B783" t="s">
        <v>1210</v>
      </c>
      <c r="C783" t="str">
        <f t="shared" si="108"/>
        <v>EMP_782</v>
      </c>
      <c r="D783" t="s">
        <v>11</v>
      </c>
      <c r="E783" t="str">
        <f t="shared" si="109"/>
        <v>EMP_782IT</v>
      </c>
      <c r="F783" t="s">
        <v>21</v>
      </c>
      <c r="G783" t="s">
        <v>19</v>
      </c>
      <c r="H783">
        <v>73606</v>
      </c>
      <c r="I783">
        <v>10807</v>
      </c>
      <c r="J783">
        <v>0</v>
      </c>
      <c r="K783">
        <v>0</v>
      </c>
      <c r="L783" s="4" t="s">
        <v>1211</v>
      </c>
      <c r="M783" s="4" t="str">
        <f t="shared" si="110"/>
        <v>12/14/2023</v>
      </c>
      <c r="N783" s="1">
        <f t="shared" ca="1" si="111"/>
        <v>46064</v>
      </c>
      <c r="O783" s="6" t="e">
        <f t="shared" ca="1" si="112"/>
        <v>#VALUE!</v>
      </c>
      <c r="P783">
        <v>1</v>
      </c>
      <c r="Q783">
        <f t="shared" si="113"/>
        <v>84413</v>
      </c>
      <c r="R783" s="2">
        <f t="shared" si="114"/>
        <v>42206.5</v>
      </c>
      <c r="S783" s="2" t="str">
        <f t="shared" si="115"/>
        <v xml:space="preserve"> Not Achieved</v>
      </c>
      <c r="T783" s="2" t="str">
        <f t="shared" si="116"/>
        <v xml:space="preserve"> Excellent</v>
      </c>
      <c r="U783" s="2"/>
    </row>
    <row r="784" spans="1:21" x14ac:dyDescent="0.3">
      <c r="A784">
        <v>783</v>
      </c>
      <c r="B784" t="s">
        <v>1212</v>
      </c>
      <c r="C784" t="str">
        <f t="shared" si="108"/>
        <v>EMP_783</v>
      </c>
      <c r="D784" t="s">
        <v>11</v>
      </c>
      <c r="E784" t="str">
        <f t="shared" si="109"/>
        <v>EMP_783Sales</v>
      </c>
      <c r="F784" t="s">
        <v>7</v>
      </c>
      <c r="G784" t="s">
        <v>25</v>
      </c>
      <c r="H784">
        <v>36984</v>
      </c>
      <c r="I784">
        <v>2252</v>
      </c>
      <c r="J784">
        <v>195998</v>
      </c>
      <c r="K784">
        <v>142366</v>
      </c>
      <c r="L784" s="4" t="s">
        <v>1213</v>
      </c>
      <c r="M784" s="4" t="str">
        <f t="shared" si="110"/>
        <v>11/13/2020</v>
      </c>
      <c r="N784" s="1">
        <f t="shared" ca="1" si="111"/>
        <v>46064</v>
      </c>
      <c r="O784" s="6" t="e">
        <f t="shared" ca="1" si="112"/>
        <v>#VALUE!</v>
      </c>
      <c r="P784">
        <v>1</v>
      </c>
      <c r="Q784">
        <f t="shared" si="113"/>
        <v>39236</v>
      </c>
      <c r="R784" s="2">
        <f t="shared" si="114"/>
        <v>19618</v>
      </c>
      <c r="S784" s="2" t="str">
        <f t="shared" si="115"/>
        <v>Achieved</v>
      </c>
      <c r="T784" s="2" t="str">
        <f t="shared" si="116"/>
        <v>Average</v>
      </c>
      <c r="U784" s="2"/>
    </row>
    <row r="785" spans="1:21" x14ac:dyDescent="0.3">
      <c r="A785">
        <v>784</v>
      </c>
      <c r="B785" t="s">
        <v>1214</v>
      </c>
      <c r="C785" t="str">
        <f t="shared" si="108"/>
        <v>EMP_784</v>
      </c>
      <c r="D785" t="s">
        <v>15</v>
      </c>
      <c r="E785" t="str">
        <f t="shared" si="109"/>
        <v>EMP_784HR</v>
      </c>
      <c r="F785" t="s">
        <v>12</v>
      </c>
      <c r="G785" t="s">
        <v>22</v>
      </c>
      <c r="H785">
        <v>29680</v>
      </c>
      <c r="I785">
        <v>11460</v>
      </c>
      <c r="J785">
        <v>0</v>
      </c>
      <c r="K785">
        <v>0</v>
      </c>
      <c r="L785" s="4" t="s">
        <v>1215</v>
      </c>
      <c r="M785" s="4" t="str">
        <f t="shared" si="110"/>
        <v>4/14/2018</v>
      </c>
      <c r="N785" s="1">
        <f t="shared" ca="1" si="111"/>
        <v>46064</v>
      </c>
      <c r="O785" s="6" t="e">
        <f t="shared" ca="1" si="112"/>
        <v>#VALUE!</v>
      </c>
      <c r="P785">
        <v>4</v>
      </c>
      <c r="Q785">
        <f t="shared" si="113"/>
        <v>41140</v>
      </c>
      <c r="R785" s="2">
        <f t="shared" si="114"/>
        <v>20570</v>
      </c>
      <c r="S785" s="2" t="str">
        <f t="shared" si="115"/>
        <v xml:space="preserve"> Not Achieved</v>
      </c>
      <c r="T785" s="2" t="str">
        <f t="shared" si="116"/>
        <v>poor</v>
      </c>
      <c r="U785" s="2"/>
    </row>
    <row r="786" spans="1:21" x14ac:dyDescent="0.3">
      <c r="A786">
        <v>785</v>
      </c>
      <c r="B786" t="s">
        <v>1216</v>
      </c>
      <c r="C786" t="str">
        <f t="shared" si="108"/>
        <v>EMP_785</v>
      </c>
      <c r="D786" t="s">
        <v>11</v>
      </c>
      <c r="E786" t="str">
        <f t="shared" si="109"/>
        <v>EMP_785HR</v>
      </c>
      <c r="F786" t="s">
        <v>12</v>
      </c>
      <c r="G786" t="s">
        <v>19</v>
      </c>
      <c r="H786">
        <v>54001</v>
      </c>
      <c r="I786">
        <v>8938</v>
      </c>
      <c r="J786">
        <v>0</v>
      </c>
      <c r="K786">
        <v>0</v>
      </c>
      <c r="L786" s="4" t="s">
        <v>274</v>
      </c>
      <c r="M786" s="4" t="str">
        <f t="shared" si="110"/>
        <v>8/31/2023</v>
      </c>
      <c r="N786" s="1">
        <f t="shared" ca="1" si="111"/>
        <v>46064</v>
      </c>
      <c r="O786" s="6" t="e">
        <f t="shared" ca="1" si="112"/>
        <v>#VALUE!</v>
      </c>
      <c r="P786">
        <v>1</v>
      </c>
      <c r="Q786">
        <f t="shared" si="113"/>
        <v>62939</v>
      </c>
      <c r="R786" s="2">
        <f t="shared" si="114"/>
        <v>31469.5</v>
      </c>
      <c r="S786" s="2" t="str">
        <f t="shared" si="115"/>
        <v xml:space="preserve"> Not Achieved</v>
      </c>
      <c r="T786" s="2" t="str">
        <f t="shared" si="116"/>
        <v xml:space="preserve"> Excellent</v>
      </c>
      <c r="U786" s="2"/>
    </row>
    <row r="787" spans="1:21" x14ac:dyDescent="0.3">
      <c r="A787">
        <v>786</v>
      </c>
      <c r="B787" t="s">
        <v>1217</v>
      </c>
      <c r="C787" t="str">
        <f t="shared" si="108"/>
        <v>EMP_786</v>
      </c>
      <c r="D787" t="s">
        <v>15</v>
      </c>
      <c r="E787" t="str">
        <f t="shared" si="109"/>
        <v>EMP_786Finance</v>
      </c>
      <c r="F787" t="s">
        <v>18</v>
      </c>
      <c r="G787" t="s">
        <v>19</v>
      </c>
      <c r="H787">
        <v>72375</v>
      </c>
      <c r="I787">
        <v>13107</v>
      </c>
      <c r="J787">
        <v>0</v>
      </c>
      <c r="K787">
        <v>0</v>
      </c>
      <c r="L787" s="4">
        <v>45508</v>
      </c>
      <c r="M787" s="4" t="str">
        <f t="shared" si="110"/>
        <v>2024</v>
      </c>
      <c r="N787" s="1">
        <f t="shared" ca="1" si="111"/>
        <v>46064</v>
      </c>
      <c r="O787" s="6">
        <f t="shared" ca="1" si="112"/>
        <v>1</v>
      </c>
      <c r="P787">
        <v>3</v>
      </c>
      <c r="Q787">
        <f t="shared" si="113"/>
        <v>85482</v>
      </c>
      <c r="R787" s="2">
        <f t="shared" si="114"/>
        <v>42741</v>
      </c>
      <c r="S787" s="2" t="str">
        <f t="shared" si="115"/>
        <v xml:space="preserve"> Not Achieved</v>
      </c>
      <c r="T787" s="2" t="str">
        <f t="shared" si="116"/>
        <v xml:space="preserve"> Excellent</v>
      </c>
      <c r="U787" s="2"/>
    </row>
    <row r="788" spans="1:21" x14ac:dyDescent="0.3">
      <c r="A788">
        <v>787</v>
      </c>
      <c r="B788" t="s">
        <v>1218</v>
      </c>
      <c r="C788" t="str">
        <f t="shared" si="108"/>
        <v>EMP_787</v>
      </c>
      <c r="D788" t="s">
        <v>11</v>
      </c>
      <c r="E788" t="str">
        <f t="shared" si="109"/>
        <v>EMP_787HR</v>
      </c>
      <c r="F788" t="s">
        <v>12</v>
      </c>
      <c r="G788" t="s">
        <v>25</v>
      </c>
      <c r="H788">
        <v>40951</v>
      </c>
      <c r="I788">
        <v>9729</v>
      </c>
      <c r="J788">
        <v>0</v>
      </c>
      <c r="K788">
        <v>0</v>
      </c>
      <c r="L788" s="4" t="s">
        <v>1219</v>
      </c>
      <c r="M788" s="4" t="str">
        <f t="shared" si="110"/>
        <v>2/23/2024</v>
      </c>
      <c r="N788" s="1">
        <f t="shared" ca="1" si="111"/>
        <v>46064</v>
      </c>
      <c r="O788" s="6" t="e">
        <f t="shared" ca="1" si="112"/>
        <v>#VALUE!</v>
      </c>
      <c r="P788">
        <v>4</v>
      </c>
      <c r="Q788">
        <f t="shared" si="113"/>
        <v>50680</v>
      </c>
      <c r="R788" s="2">
        <f t="shared" si="114"/>
        <v>25340</v>
      </c>
      <c r="S788" s="2" t="str">
        <f t="shared" si="115"/>
        <v xml:space="preserve"> Not Achieved</v>
      </c>
      <c r="T788" s="2" t="str">
        <f t="shared" si="116"/>
        <v>Good</v>
      </c>
      <c r="U788" s="2"/>
    </row>
    <row r="789" spans="1:21" x14ac:dyDescent="0.3">
      <c r="A789">
        <v>788</v>
      </c>
      <c r="B789" t="s">
        <v>1220</v>
      </c>
      <c r="C789" t="str">
        <f t="shared" si="108"/>
        <v>EMP_788</v>
      </c>
      <c r="D789" t="s">
        <v>15</v>
      </c>
      <c r="E789" t="str">
        <f t="shared" si="109"/>
        <v>EMP_788HR</v>
      </c>
      <c r="F789" t="s">
        <v>12</v>
      </c>
      <c r="G789" t="s">
        <v>25</v>
      </c>
      <c r="H789">
        <v>23085</v>
      </c>
      <c r="I789">
        <v>11131</v>
      </c>
      <c r="J789">
        <v>0</v>
      </c>
      <c r="K789">
        <v>0</v>
      </c>
      <c r="L789" s="4" t="s">
        <v>1221</v>
      </c>
      <c r="M789" s="4" t="str">
        <f t="shared" si="110"/>
        <v>1/24/2020</v>
      </c>
      <c r="N789" s="1">
        <f t="shared" ca="1" si="111"/>
        <v>46064</v>
      </c>
      <c r="O789" s="6" t="e">
        <f t="shared" ca="1" si="112"/>
        <v>#VALUE!</v>
      </c>
      <c r="P789">
        <v>5</v>
      </c>
      <c r="Q789">
        <f t="shared" si="113"/>
        <v>34216</v>
      </c>
      <c r="R789" s="2">
        <f t="shared" si="114"/>
        <v>17108</v>
      </c>
      <c r="S789" s="2" t="str">
        <f t="shared" si="115"/>
        <v xml:space="preserve"> Not Achieved</v>
      </c>
      <c r="T789" s="2" t="str">
        <f t="shared" si="116"/>
        <v>poor</v>
      </c>
      <c r="U789" s="2"/>
    </row>
    <row r="790" spans="1:21" x14ac:dyDescent="0.3">
      <c r="A790">
        <v>789</v>
      </c>
      <c r="B790" t="s">
        <v>1222</v>
      </c>
      <c r="C790" t="str">
        <f t="shared" si="108"/>
        <v>EMP_789</v>
      </c>
      <c r="D790" t="s">
        <v>15</v>
      </c>
      <c r="E790" t="str">
        <f t="shared" si="109"/>
        <v>EMP_789IT</v>
      </c>
      <c r="F790" t="s">
        <v>21</v>
      </c>
      <c r="G790" t="s">
        <v>16</v>
      </c>
      <c r="H790">
        <v>53965</v>
      </c>
      <c r="I790">
        <v>12562</v>
      </c>
      <c r="J790">
        <v>0</v>
      </c>
      <c r="K790">
        <v>0</v>
      </c>
      <c r="L790" s="4">
        <v>44205</v>
      </c>
      <c r="M790" s="4" t="str">
        <f t="shared" si="110"/>
        <v>2021</v>
      </c>
      <c r="N790" s="1">
        <f t="shared" ca="1" si="111"/>
        <v>46064</v>
      </c>
      <c r="O790" s="6">
        <f t="shared" ca="1" si="112"/>
        <v>5</v>
      </c>
      <c r="P790">
        <v>2</v>
      </c>
      <c r="Q790">
        <f t="shared" si="113"/>
        <v>66527</v>
      </c>
      <c r="R790" s="2">
        <f t="shared" si="114"/>
        <v>33263.5</v>
      </c>
      <c r="S790" s="2" t="str">
        <f t="shared" si="115"/>
        <v xml:space="preserve"> Not Achieved</v>
      </c>
      <c r="T790" s="2" t="str">
        <f t="shared" si="116"/>
        <v xml:space="preserve"> Excellent</v>
      </c>
      <c r="U790" s="2"/>
    </row>
    <row r="791" spans="1:21" x14ac:dyDescent="0.3">
      <c r="A791">
        <v>790</v>
      </c>
      <c r="B791" t="s">
        <v>1223</v>
      </c>
      <c r="C791" t="str">
        <f t="shared" si="108"/>
        <v>EMP_790</v>
      </c>
      <c r="D791" t="s">
        <v>15</v>
      </c>
      <c r="E791" t="str">
        <f t="shared" si="109"/>
        <v>EMP_790Marketing</v>
      </c>
      <c r="F791" t="s">
        <v>24</v>
      </c>
      <c r="G791" t="s">
        <v>25</v>
      </c>
      <c r="H791">
        <v>39933</v>
      </c>
      <c r="I791">
        <v>6951</v>
      </c>
      <c r="J791">
        <v>0</v>
      </c>
      <c r="K791">
        <v>0</v>
      </c>
      <c r="L791" s="4">
        <v>45383</v>
      </c>
      <c r="M791" s="4" t="str">
        <f t="shared" si="110"/>
        <v>2024</v>
      </c>
      <c r="N791" s="1">
        <f t="shared" ca="1" si="111"/>
        <v>46064</v>
      </c>
      <c r="O791" s="6">
        <f t="shared" ca="1" si="112"/>
        <v>1</v>
      </c>
      <c r="P791">
        <v>3</v>
      </c>
      <c r="Q791">
        <f t="shared" si="113"/>
        <v>46884</v>
      </c>
      <c r="R791" s="2">
        <f t="shared" si="114"/>
        <v>23442</v>
      </c>
      <c r="S791" s="2" t="str">
        <f t="shared" si="115"/>
        <v xml:space="preserve"> Not Achieved</v>
      </c>
      <c r="T791" s="2" t="str">
        <f t="shared" si="116"/>
        <v>Average</v>
      </c>
      <c r="U791" s="2"/>
    </row>
    <row r="792" spans="1:21" x14ac:dyDescent="0.3">
      <c r="A792">
        <v>791</v>
      </c>
      <c r="B792" t="s">
        <v>1224</v>
      </c>
      <c r="C792" t="str">
        <f t="shared" si="108"/>
        <v>EMP_791</v>
      </c>
      <c r="D792" t="s">
        <v>11</v>
      </c>
      <c r="E792" t="str">
        <f t="shared" si="109"/>
        <v>EMP_791IT</v>
      </c>
      <c r="F792" t="s">
        <v>21</v>
      </c>
      <c r="G792" t="s">
        <v>25</v>
      </c>
      <c r="H792">
        <v>48378</v>
      </c>
      <c r="I792">
        <v>2021</v>
      </c>
      <c r="J792">
        <v>0</v>
      </c>
      <c r="K792">
        <v>0</v>
      </c>
      <c r="L792" s="4" t="s">
        <v>1225</v>
      </c>
      <c r="M792" s="4" t="str">
        <f t="shared" si="110"/>
        <v>12/27/2023</v>
      </c>
      <c r="N792" s="1">
        <f t="shared" ca="1" si="111"/>
        <v>46064</v>
      </c>
      <c r="O792" s="6" t="e">
        <f t="shared" ca="1" si="112"/>
        <v>#VALUE!</v>
      </c>
      <c r="P792">
        <v>3</v>
      </c>
      <c r="Q792">
        <f t="shared" si="113"/>
        <v>50399</v>
      </c>
      <c r="R792" s="2">
        <f t="shared" si="114"/>
        <v>25199.5</v>
      </c>
      <c r="S792" s="2" t="str">
        <f t="shared" si="115"/>
        <v xml:space="preserve"> Not Achieved</v>
      </c>
      <c r="T792" s="2" t="str">
        <f t="shared" si="116"/>
        <v>Good</v>
      </c>
      <c r="U792" s="2"/>
    </row>
    <row r="793" spans="1:21" x14ac:dyDescent="0.3">
      <c r="A793">
        <v>792</v>
      </c>
      <c r="B793" t="s">
        <v>1226</v>
      </c>
      <c r="C793" t="str">
        <f t="shared" si="108"/>
        <v>EMP_792</v>
      </c>
      <c r="D793" t="s">
        <v>11</v>
      </c>
      <c r="E793" t="str">
        <f t="shared" si="109"/>
        <v>EMP_792Marketing</v>
      </c>
      <c r="F793" t="s">
        <v>24</v>
      </c>
      <c r="G793" t="s">
        <v>25</v>
      </c>
      <c r="H793">
        <v>53952</v>
      </c>
      <c r="I793">
        <v>14344</v>
      </c>
      <c r="J793">
        <v>0</v>
      </c>
      <c r="K793">
        <v>0</v>
      </c>
      <c r="L793" s="4">
        <v>45383</v>
      </c>
      <c r="M793" s="4" t="str">
        <f t="shared" si="110"/>
        <v>2024</v>
      </c>
      <c r="N793" s="1">
        <f t="shared" ca="1" si="111"/>
        <v>46064</v>
      </c>
      <c r="O793" s="6">
        <f t="shared" ca="1" si="112"/>
        <v>1</v>
      </c>
      <c r="P793">
        <v>4</v>
      </c>
      <c r="Q793">
        <f t="shared" si="113"/>
        <v>68296</v>
      </c>
      <c r="R793" s="2">
        <f t="shared" si="114"/>
        <v>34148</v>
      </c>
      <c r="S793" s="2" t="str">
        <f t="shared" si="115"/>
        <v xml:space="preserve"> Not Achieved</v>
      </c>
      <c r="T793" s="2" t="str">
        <f t="shared" si="116"/>
        <v xml:space="preserve"> Excellent</v>
      </c>
      <c r="U793" s="2"/>
    </row>
    <row r="794" spans="1:21" x14ac:dyDescent="0.3">
      <c r="A794">
        <v>793</v>
      </c>
      <c r="B794" t="s">
        <v>1227</v>
      </c>
      <c r="C794" t="str">
        <f t="shared" si="108"/>
        <v>EMP_793</v>
      </c>
      <c r="D794" t="s">
        <v>15</v>
      </c>
      <c r="E794" t="str">
        <f t="shared" si="109"/>
        <v>EMP_793IT</v>
      </c>
      <c r="F794" t="s">
        <v>21</v>
      </c>
      <c r="G794" t="s">
        <v>22</v>
      </c>
      <c r="H794">
        <v>20348</v>
      </c>
      <c r="I794">
        <v>11588</v>
      </c>
      <c r="J794">
        <v>0</v>
      </c>
      <c r="K794">
        <v>0</v>
      </c>
      <c r="L794" s="4" t="s">
        <v>176</v>
      </c>
      <c r="M794" s="4" t="str">
        <f t="shared" si="110"/>
        <v>4/27/2021</v>
      </c>
      <c r="N794" s="1">
        <f t="shared" ca="1" si="111"/>
        <v>46064</v>
      </c>
      <c r="O794" s="6" t="e">
        <f t="shared" ca="1" si="112"/>
        <v>#VALUE!</v>
      </c>
      <c r="P794">
        <v>2</v>
      </c>
      <c r="Q794">
        <f t="shared" si="113"/>
        <v>31936</v>
      </c>
      <c r="R794" s="2">
        <f t="shared" si="114"/>
        <v>15968</v>
      </c>
      <c r="S794" s="2" t="str">
        <f t="shared" si="115"/>
        <v xml:space="preserve"> Not Achieved</v>
      </c>
      <c r="T794" s="2" t="str">
        <f t="shared" si="116"/>
        <v>poor</v>
      </c>
      <c r="U794" s="2"/>
    </row>
    <row r="795" spans="1:21" x14ac:dyDescent="0.3">
      <c r="A795">
        <v>794</v>
      </c>
      <c r="B795" t="s">
        <v>1228</v>
      </c>
      <c r="C795" t="str">
        <f t="shared" si="108"/>
        <v>EMP_794</v>
      </c>
      <c r="D795" t="s">
        <v>15</v>
      </c>
      <c r="E795" t="str">
        <f t="shared" si="109"/>
        <v>EMP_794Marketing</v>
      </c>
      <c r="F795" t="s">
        <v>24</v>
      </c>
      <c r="G795" t="s">
        <v>16</v>
      </c>
      <c r="H795">
        <v>67415</v>
      </c>
      <c r="I795">
        <v>14660</v>
      </c>
      <c r="J795">
        <v>0</v>
      </c>
      <c r="K795">
        <v>0</v>
      </c>
      <c r="L795" s="4" t="s">
        <v>1229</v>
      </c>
      <c r="M795" s="4" t="str">
        <f t="shared" si="110"/>
        <v>8/13/2020</v>
      </c>
      <c r="N795" s="1">
        <f t="shared" ca="1" si="111"/>
        <v>46064</v>
      </c>
      <c r="O795" s="6" t="e">
        <f t="shared" ca="1" si="112"/>
        <v>#VALUE!</v>
      </c>
      <c r="P795">
        <v>2</v>
      </c>
      <c r="Q795">
        <f t="shared" si="113"/>
        <v>82075</v>
      </c>
      <c r="R795" s="2">
        <f t="shared" si="114"/>
        <v>41037.5</v>
      </c>
      <c r="S795" s="2" t="str">
        <f t="shared" si="115"/>
        <v xml:space="preserve"> Not Achieved</v>
      </c>
      <c r="T795" s="2" t="str">
        <f t="shared" si="116"/>
        <v xml:space="preserve"> Excellent</v>
      </c>
      <c r="U795" s="2"/>
    </row>
    <row r="796" spans="1:21" x14ac:dyDescent="0.3">
      <c r="A796">
        <v>795</v>
      </c>
      <c r="B796" t="s">
        <v>1230</v>
      </c>
      <c r="C796" t="str">
        <f t="shared" si="108"/>
        <v>EMP_795</v>
      </c>
      <c r="D796" t="s">
        <v>15</v>
      </c>
      <c r="E796" t="str">
        <f t="shared" si="109"/>
        <v>EMP_795IT</v>
      </c>
      <c r="F796" t="s">
        <v>21</v>
      </c>
      <c r="G796" t="s">
        <v>16</v>
      </c>
      <c r="H796">
        <v>71070</v>
      </c>
      <c r="I796">
        <v>14038</v>
      </c>
      <c r="J796">
        <v>0</v>
      </c>
      <c r="K796">
        <v>0</v>
      </c>
      <c r="L796" s="4">
        <v>45599</v>
      </c>
      <c r="M796" s="4" t="str">
        <f t="shared" si="110"/>
        <v>2024</v>
      </c>
      <c r="N796" s="1">
        <f t="shared" ca="1" si="111"/>
        <v>46064</v>
      </c>
      <c r="O796" s="6">
        <f t="shared" ca="1" si="112"/>
        <v>1</v>
      </c>
      <c r="P796">
        <v>1</v>
      </c>
      <c r="Q796">
        <f t="shared" si="113"/>
        <v>85108</v>
      </c>
      <c r="R796" s="2">
        <f t="shared" si="114"/>
        <v>42554</v>
      </c>
      <c r="S796" s="2" t="str">
        <f t="shared" si="115"/>
        <v xml:space="preserve"> Not Achieved</v>
      </c>
      <c r="T796" s="2" t="str">
        <f t="shared" si="116"/>
        <v xml:space="preserve"> Excellent</v>
      </c>
      <c r="U796" s="2"/>
    </row>
    <row r="797" spans="1:21" x14ac:dyDescent="0.3">
      <c r="A797">
        <v>796</v>
      </c>
      <c r="B797" t="s">
        <v>1231</v>
      </c>
      <c r="C797" t="str">
        <f t="shared" si="108"/>
        <v>EMP_796</v>
      </c>
      <c r="D797" t="s">
        <v>11</v>
      </c>
      <c r="E797" t="str">
        <f t="shared" si="109"/>
        <v>EMP_796HR</v>
      </c>
      <c r="F797" t="s">
        <v>12</v>
      </c>
      <c r="G797" t="s">
        <v>25</v>
      </c>
      <c r="H797">
        <v>54063</v>
      </c>
      <c r="I797">
        <v>3305</v>
      </c>
      <c r="J797">
        <v>0</v>
      </c>
      <c r="K797">
        <v>0</v>
      </c>
      <c r="L797" s="4" t="s">
        <v>1232</v>
      </c>
      <c r="M797" s="4" t="str">
        <f t="shared" si="110"/>
        <v>8/26/2020</v>
      </c>
      <c r="N797" s="1">
        <f t="shared" ca="1" si="111"/>
        <v>46064</v>
      </c>
      <c r="O797" s="6" t="e">
        <f t="shared" ca="1" si="112"/>
        <v>#VALUE!</v>
      </c>
      <c r="P797">
        <v>1</v>
      </c>
      <c r="Q797">
        <f t="shared" si="113"/>
        <v>57368</v>
      </c>
      <c r="R797" s="2">
        <f t="shared" si="114"/>
        <v>28684</v>
      </c>
      <c r="S797" s="2" t="str">
        <f t="shared" si="115"/>
        <v xml:space="preserve"> Not Achieved</v>
      </c>
      <c r="T797" s="2" t="str">
        <f t="shared" si="116"/>
        <v xml:space="preserve"> Excellent</v>
      </c>
      <c r="U797" s="2"/>
    </row>
    <row r="798" spans="1:21" x14ac:dyDescent="0.3">
      <c r="A798">
        <v>797</v>
      </c>
      <c r="B798" t="s">
        <v>1233</v>
      </c>
      <c r="C798" t="str">
        <f t="shared" si="108"/>
        <v>EMP_797</v>
      </c>
      <c r="D798" t="s">
        <v>15</v>
      </c>
      <c r="E798" t="str">
        <f t="shared" si="109"/>
        <v>EMP_797Sales</v>
      </c>
      <c r="F798" t="s">
        <v>7</v>
      </c>
      <c r="G798" t="s">
        <v>16</v>
      </c>
      <c r="H798">
        <v>49892</v>
      </c>
      <c r="I798">
        <v>14447</v>
      </c>
      <c r="J798">
        <v>64669</v>
      </c>
      <c r="K798">
        <v>174020</v>
      </c>
      <c r="L798" s="4" t="s">
        <v>100</v>
      </c>
      <c r="M798" s="4" t="str">
        <f t="shared" si="110"/>
        <v>6/29/2019</v>
      </c>
      <c r="N798" s="1">
        <f t="shared" ca="1" si="111"/>
        <v>46064</v>
      </c>
      <c r="O798" s="6" t="e">
        <f t="shared" ca="1" si="112"/>
        <v>#VALUE!</v>
      </c>
      <c r="P798">
        <v>4</v>
      </c>
      <c r="Q798">
        <f t="shared" si="113"/>
        <v>64339</v>
      </c>
      <c r="R798" s="2">
        <f t="shared" si="114"/>
        <v>32169.5</v>
      </c>
      <c r="S798" s="2" t="str">
        <f t="shared" si="115"/>
        <v xml:space="preserve"> Not Achieved</v>
      </c>
      <c r="T798" s="2" t="str">
        <f t="shared" si="116"/>
        <v>Good</v>
      </c>
      <c r="U798" s="2"/>
    </row>
    <row r="799" spans="1:21" x14ac:dyDescent="0.3">
      <c r="A799">
        <v>798</v>
      </c>
      <c r="B799" t="s">
        <v>1234</v>
      </c>
      <c r="C799" t="str">
        <f t="shared" si="108"/>
        <v>EMP_798</v>
      </c>
      <c r="D799" t="s">
        <v>15</v>
      </c>
      <c r="E799" t="str">
        <f t="shared" si="109"/>
        <v>EMP_798Marketing</v>
      </c>
      <c r="F799" t="s">
        <v>24</v>
      </c>
      <c r="G799" t="s">
        <v>25</v>
      </c>
      <c r="H799">
        <v>38110</v>
      </c>
      <c r="I799">
        <v>3511</v>
      </c>
      <c r="J799">
        <v>0</v>
      </c>
      <c r="K799">
        <v>0</v>
      </c>
      <c r="L799" s="4">
        <v>44327</v>
      </c>
      <c r="M799" s="4" t="str">
        <f t="shared" si="110"/>
        <v>2021</v>
      </c>
      <c r="N799" s="1">
        <f t="shared" ca="1" si="111"/>
        <v>46064</v>
      </c>
      <c r="O799" s="6">
        <f t="shared" ca="1" si="112"/>
        <v>4</v>
      </c>
      <c r="P799">
        <v>4</v>
      </c>
      <c r="Q799">
        <f t="shared" si="113"/>
        <v>41621</v>
      </c>
      <c r="R799" s="2">
        <f t="shared" si="114"/>
        <v>20810.5</v>
      </c>
      <c r="S799" s="2" t="str">
        <f t="shared" si="115"/>
        <v xml:space="preserve"> Not Achieved</v>
      </c>
      <c r="T799" s="2" t="str">
        <f t="shared" si="116"/>
        <v>Average</v>
      </c>
      <c r="U799" s="2"/>
    </row>
    <row r="800" spans="1:21" x14ac:dyDescent="0.3">
      <c r="A800">
        <v>799</v>
      </c>
      <c r="B800" t="s">
        <v>1235</v>
      </c>
      <c r="C800" t="str">
        <f t="shared" si="108"/>
        <v>EMP_799</v>
      </c>
      <c r="D800" t="s">
        <v>11</v>
      </c>
      <c r="E800" t="str">
        <f t="shared" si="109"/>
        <v>EMP_799IT</v>
      </c>
      <c r="F800" t="s">
        <v>21</v>
      </c>
      <c r="G800" t="s">
        <v>25</v>
      </c>
      <c r="H800">
        <v>69902</v>
      </c>
      <c r="I800">
        <v>11742</v>
      </c>
      <c r="J800">
        <v>0</v>
      </c>
      <c r="K800">
        <v>0</v>
      </c>
      <c r="L800" s="4" t="s">
        <v>473</v>
      </c>
      <c r="M800" s="4" t="str">
        <f t="shared" si="110"/>
        <v>12/20/2018</v>
      </c>
      <c r="N800" s="1">
        <f t="shared" ca="1" si="111"/>
        <v>46064</v>
      </c>
      <c r="O800" s="6" t="e">
        <f t="shared" ca="1" si="112"/>
        <v>#VALUE!</v>
      </c>
      <c r="P800">
        <v>4</v>
      </c>
      <c r="Q800">
        <f t="shared" si="113"/>
        <v>81644</v>
      </c>
      <c r="R800" s="2">
        <f t="shared" si="114"/>
        <v>40822</v>
      </c>
      <c r="S800" s="2" t="str">
        <f t="shared" si="115"/>
        <v xml:space="preserve"> Not Achieved</v>
      </c>
      <c r="T800" s="2" t="str">
        <f t="shared" si="116"/>
        <v xml:space="preserve"> Excellent</v>
      </c>
      <c r="U800" s="2"/>
    </row>
    <row r="801" spans="1:21" x14ac:dyDescent="0.3">
      <c r="A801">
        <v>800</v>
      </c>
      <c r="B801" t="s">
        <v>1236</v>
      </c>
      <c r="C801" t="str">
        <f t="shared" si="108"/>
        <v>EMP_800</v>
      </c>
      <c r="D801" t="s">
        <v>11</v>
      </c>
      <c r="E801" t="str">
        <f t="shared" si="109"/>
        <v>EMP_800Marketing</v>
      </c>
      <c r="F801" t="s">
        <v>24</v>
      </c>
      <c r="G801" t="s">
        <v>13</v>
      </c>
      <c r="H801">
        <v>49395</v>
      </c>
      <c r="I801">
        <v>12246</v>
      </c>
      <c r="J801">
        <v>0</v>
      </c>
      <c r="K801">
        <v>0</v>
      </c>
      <c r="L801" s="4">
        <v>44199</v>
      </c>
      <c r="M801" s="4" t="str">
        <f t="shared" si="110"/>
        <v>2021</v>
      </c>
      <c r="N801" s="1">
        <f t="shared" ca="1" si="111"/>
        <v>46064</v>
      </c>
      <c r="O801" s="6">
        <f t="shared" ca="1" si="112"/>
        <v>5</v>
      </c>
      <c r="P801">
        <v>4</v>
      </c>
      <c r="Q801">
        <f t="shared" si="113"/>
        <v>61641</v>
      </c>
      <c r="R801" s="2">
        <f t="shared" si="114"/>
        <v>30820.5</v>
      </c>
      <c r="S801" s="2" t="str">
        <f t="shared" si="115"/>
        <v xml:space="preserve"> Not Achieved</v>
      </c>
      <c r="T801" s="2" t="str">
        <f t="shared" si="116"/>
        <v>Good</v>
      </c>
      <c r="U801" s="2"/>
    </row>
    <row r="802" spans="1:21" x14ac:dyDescent="0.3">
      <c r="A802">
        <v>801</v>
      </c>
      <c r="B802" t="s">
        <v>1237</v>
      </c>
      <c r="C802" t="str">
        <f t="shared" si="108"/>
        <v>EMP_801</v>
      </c>
      <c r="D802" t="s">
        <v>15</v>
      </c>
      <c r="E802" t="str">
        <f t="shared" si="109"/>
        <v>EMP_801HR</v>
      </c>
      <c r="F802" t="s">
        <v>12</v>
      </c>
      <c r="G802" t="s">
        <v>16</v>
      </c>
      <c r="H802">
        <v>20337</v>
      </c>
      <c r="I802">
        <v>2002</v>
      </c>
      <c r="J802">
        <v>0</v>
      </c>
      <c r="K802">
        <v>0</v>
      </c>
      <c r="L802" s="4" t="s">
        <v>1238</v>
      </c>
      <c r="M802" s="4" t="str">
        <f t="shared" si="110"/>
        <v>5/29/2018</v>
      </c>
      <c r="N802" s="1">
        <f t="shared" ca="1" si="111"/>
        <v>46064</v>
      </c>
      <c r="O802" s="6" t="e">
        <f t="shared" ca="1" si="112"/>
        <v>#VALUE!</v>
      </c>
      <c r="P802">
        <v>3</v>
      </c>
      <c r="Q802">
        <f t="shared" si="113"/>
        <v>22339</v>
      </c>
      <c r="R802" s="2">
        <f t="shared" si="114"/>
        <v>11169.5</v>
      </c>
      <c r="S802" s="2" t="str">
        <f t="shared" si="115"/>
        <v xml:space="preserve"> Not Achieved</v>
      </c>
      <c r="T802" s="2" t="str">
        <f t="shared" si="116"/>
        <v>poor</v>
      </c>
      <c r="U802" s="2"/>
    </row>
    <row r="803" spans="1:21" x14ac:dyDescent="0.3">
      <c r="A803">
        <v>802</v>
      </c>
      <c r="B803" t="s">
        <v>1239</v>
      </c>
      <c r="C803" t="str">
        <f t="shared" si="108"/>
        <v>EMP_802</v>
      </c>
      <c r="D803" t="s">
        <v>11</v>
      </c>
      <c r="E803" t="str">
        <f t="shared" si="109"/>
        <v>EMP_802HR</v>
      </c>
      <c r="F803" t="s">
        <v>12</v>
      </c>
      <c r="G803" t="s">
        <v>22</v>
      </c>
      <c r="H803">
        <v>34023</v>
      </c>
      <c r="I803">
        <v>8149</v>
      </c>
      <c r="J803">
        <v>0</v>
      </c>
      <c r="K803">
        <v>0</v>
      </c>
      <c r="L803" s="4" t="s">
        <v>1064</v>
      </c>
      <c r="M803" s="4" t="str">
        <f t="shared" si="110"/>
        <v>10/29/2018</v>
      </c>
      <c r="N803" s="1">
        <f t="shared" ca="1" si="111"/>
        <v>46064</v>
      </c>
      <c r="O803" s="6" t="e">
        <f t="shared" ca="1" si="112"/>
        <v>#VALUE!</v>
      </c>
      <c r="P803">
        <v>3</v>
      </c>
      <c r="Q803">
        <f t="shared" si="113"/>
        <v>42172</v>
      </c>
      <c r="R803" s="2">
        <f t="shared" si="114"/>
        <v>21086</v>
      </c>
      <c r="S803" s="2" t="str">
        <f t="shared" si="115"/>
        <v xml:space="preserve"> Not Achieved</v>
      </c>
      <c r="T803" s="2" t="str">
        <f t="shared" si="116"/>
        <v>Average</v>
      </c>
      <c r="U803" s="2"/>
    </row>
    <row r="804" spans="1:21" x14ac:dyDescent="0.3">
      <c r="A804">
        <v>803</v>
      </c>
      <c r="B804" t="s">
        <v>1240</v>
      </c>
      <c r="C804" t="str">
        <f t="shared" si="108"/>
        <v>EMP_803</v>
      </c>
      <c r="D804" t="s">
        <v>15</v>
      </c>
      <c r="E804" t="str">
        <f t="shared" si="109"/>
        <v>EMP_803Finance</v>
      </c>
      <c r="F804" t="s">
        <v>18</v>
      </c>
      <c r="G804" t="s">
        <v>16</v>
      </c>
      <c r="H804">
        <v>35063</v>
      </c>
      <c r="I804">
        <v>4490</v>
      </c>
      <c r="J804">
        <v>0</v>
      </c>
      <c r="K804">
        <v>0</v>
      </c>
      <c r="L804" s="4">
        <v>45333</v>
      </c>
      <c r="M804" s="4" t="str">
        <f t="shared" si="110"/>
        <v>2024</v>
      </c>
      <c r="N804" s="1">
        <f t="shared" ca="1" si="111"/>
        <v>46064</v>
      </c>
      <c r="O804" s="6">
        <f t="shared" ca="1" si="112"/>
        <v>2</v>
      </c>
      <c r="P804">
        <v>4</v>
      </c>
      <c r="Q804">
        <f t="shared" si="113"/>
        <v>39553</v>
      </c>
      <c r="R804" s="2">
        <f t="shared" si="114"/>
        <v>19776.5</v>
      </c>
      <c r="S804" s="2" t="str">
        <f t="shared" si="115"/>
        <v xml:space="preserve"> Not Achieved</v>
      </c>
      <c r="T804" s="2" t="str">
        <f t="shared" si="116"/>
        <v>Average</v>
      </c>
      <c r="U804" s="2"/>
    </row>
    <row r="805" spans="1:21" x14ac:dyDescent="0.3">
      <c r="A805">
        <v>804</v>
      </c>
      <c r="B805" t="s">
        <v>1241</v>
      </c>
      <c r="C805" t="str">
        <f t="shared" si="108"/>
        <v>EMP_804</v>
      </c>
      <c r="D805" t="s">
        <v>15</v>
      </c>
      <c r="E805" t="str">
        <f t="shared" si="109"/>
        <v>EMP_804IT</v>
      </c>
      <c r="F805" t="s">
        <v>21</v>
      </c>
      <c r="G805" t="s">
        <v>22</v>
      </c>
      <c r="H805">
        <v>35860</v>
      </c>
      <c r="I805">
        <v>2245</v>
      </c>
      <c r="J805">
        <v>0</v>
      </c>
      <c r="K805">
        <v>0</v>
      </c>
      <c r="L805" s="4" t="s">
        <v>1242</v>
      </c>
      <c r="M805" s="4" t="str">
        <f t="shared" si="110"/>
        <v>10/24/2022</v>
      </c>
      <c r="N805" s="1">
        <f t="shared" ca="1" si="111"/>
        <v>46064</v>
      </c>
      <c r="O805" s="6" t="e">
        <f t="shared" ca="1" si="112"/>
        <v>#VALUE!</v>
      </c>
      <c r="P805">
        <v>5</v>
      </c>
      <c r="Q805">
        <f t="shared" si="113"/>
        <v>38105</v>
      </c>
      <c r="R805" s="2">
        <f t="shared" si="114"/>
        <v>19052.5</v>
      </c>
      <c r="S805" s="2" t="str">
        <f t="shared" si="115"/>
        <v xml:space="preserve"> Not Achieved</v>
      </c>
      <c r="T805" s="2" t="str">
        <f t="shared" si="116"/>
        <v>Average</v>
      </c>
      <c r="U805" s="2"/>
    </row>
    <row r="806" spans="1:21" x14ac:dyDescent="0.3">
      <c r="A806">
        <v>805</v>
      </c>
      <c r="B806" t="s">
        <v>1243</v>
      </c>
      <c r="C806" t="str">
        <f t="shared" si="108"/>
        <v>EMP_805</v>
      </c>
      <c r="D806" t="s">
        <v>15</v>
      </c>
      <c r="E806" t="str">
        <f t="shared" si="109"/>
        <v>EMP_805Sales</v>
      </c>
      <c r="F806" t="s">
        <v>7</v>
      </c>
      <c r="G806" t="s">
        <v>25</v>
      </c>
      <c r="H806">
        <v>31660</v>
      </c>
      <c r="I806">
        <v>14121</v>
      </c>
      <c r="J806">
        <v>162314</v>
      </c>
      <c r="K806">
        <v>221747</v>
      </c>
      <c r="L806" s="4" t="s">
        <v>1244</v>
      </c>
      <c r="M806" s="4" t="str">
        <f t="shared" si="110"/>
        <v>2/18/2018</v>
      </c>
      <c r="N806" s="1">
        <f t="shared" ca="1" si="111"/>
        <v>46064</v>
      </c>
      <c r="O806" s="6" t="e">
        <f t="shared" ca="1" si="112"/>
        <v>#VALUE!</v>
      </c>
      <c r="P806">
        <v>4</v>
      </c>
      <c r="Q806">
        <f t="shared" si="113"/>
        <v>45781</v>
      </c>
      <c r="R806" s="2">
        <f t="shared" si="114"/>
        <v>22890.5</v>
      </c>
      <c r="S806" s="2" t="str">
        <f t="shared" si="115"/>
        <v xml:space="preserve"> Not Achieved</v>
      </c>
      <c r="T806" s="2" t="str">
        <f t="shared" si="116"/>
        <v>Average</v>
      </c>
      <c r="U806" s="2"/>
    </row>
    <row r="807" spans="1:21" x14ac:dyDescent="0.3">
      <c r="A807">
        <v>806</v>
      </c>
      <c r="B807" t="s">
        <v>1245</v>
      </c>
      <c r="C807" t="str">
        <f t="shared" si="108"/>
        <v>EMP_806</v>
      </c>
      <c r="D807" t="s">
        <v>11</v>
      </c>
      <c r="E807" t="str">
        <f t="shared" si="109"/>
        <v>EMP_806Finance</v>
      </c>
      <c r="F807" t="s">
        <v>18</v>
      </c>
      <c r="G807" t="s">
        <v>22</v>
      </c>
      <c r="H807">
        <v>78832</v>
      </c>
      <c r="I807">
        <v>13527</v>
      </c>
      <c r="J807">
        <v>0</v>
      </c>
      <c r="K807">
        <v>0</v>
      </c>
      <c r="L807" s="4" t="s">
        <v>1246</v>
      </c>
      <c r="M807" s="4" t="str">
        <f t="shared" si="110"/>
        <v>4/15/2019</v>
      </c>
      <c r="N807" s="1">
        <f t="shared" ca="1" si="111"/>
        <v>46064</v>
      </c>
      <c r="O807" s="6" t="e">
        <f t="shared" ca="1" si="112"/>
        <v>#VALUE!</v>
      </c>
      <c r="P807">
        <v>3</v>
      </c>
      <c r="Q807">
        <f t="shared" si="113"/>
        <v>92359</v>
      </c>
      <c r="R807" s="2">
        <f t="shared" si="114"/>
        <v>46179.5</v>
      </c>
      <c r="S807" s="2" t="str">
        <f t="shared" si="115"/>
        <v xml:space="preserve"> Not Achieved</v>
      </c>
      <c r="T807" s="2" t="str">
        <f t="shared" si="116"/>
        <v xml:space="preserve"> Excellent</v>
      </c>
      <c r="U807" s="2"/>
    </row>
    <row r="808" spans="1:21" x14ac:dyDescent="0.3">
      <c r="A808">
        <v>807</v>
      </c>
      <c r="B808" t="s">
        <v>1247</v>
      </c>
      <c r="C808" t="str">
        <f t="shared" si="108"/>
        <v>EMP_807</v>
      </c>
      <c r="D808" t="s">
        <v>15</v>
      </c>
      <c r="E808" t="str">
        <f t="shared" si="109"/>
        <v>EMP_807Sales</v>
      </c>
      <c r="F808" t="s">
        <v>7</v>
      </c>
      <c r="G808" t="s">
        <v>16</v>
      </c>
      <c r="H808">
        <v>28308</v>
      </c>
      <c r="I808">
        <v>13907</v>
      </c>
      <c r="J808">
        <v>98744</v>
      </c>
      <c r="K808">
        <v>169826</v>
      </c>
      <c r="L808" s="4" t="s">
        <v>1248</v>
      </c>
      <c r="M808" s="4" t="str">
        <f t="shared" si="110"/>
        <v>12/27/2019</v>
      </c>
      <c r="N808" s="1">
        <f t="shared" ca="1" si="111"/>
        <v>46064</v>
      </c>
      <c r="O808" s="6" t="e">
        <f t="shared" ca="1" si="112"/>
        <v>#VALUE!</v>
      </c>
      <c r="P808">
        <v>3</v>
      </c>
      <c r="Q808">
        <f t="shared" si="113"/>
        <v>42215</v>
      </c>
      <c r="R808" s="2">
        <f t="shared" si="114"/>
        <v>21107.5</v>
      </c>
      <c r="S808" s="2" t="str">
        <f t="shared" si="115"/>
        <v xml:space="preserve"> Not Achieved</v>
      </c>
      <c r="T808" s="2" t="str">
        <f t="shared" si="116"/>
        <v>poor</v>
      </c>
      <c r="U808" s="2"/>
    </row>
    <row r="809" spans="1:21" x14ac:dyDescent="0.3">
      <c r="A809">
        <v>808</v>
      </c>
      <c r="B809" t="s">
        <v>1249</v>
      </c>
      <c r="C809" t="str">
        <f t="shared" si="108"/>
        <v>EMP_808</v>
      </c>
      <c r="D809" t="s">
        <v>15</v>
      </c>
      <c r="E809" t="str">
        <f t="shared" si="109"/>
        <v>EMP_808Marketing</v>
      </c>
      <c r="F809" t="s">
        <v>24</v>
      </c>
      <c r="G809" t="s">
        <v>16</v>
      </c>
      <c r="H809">
        <v>61024</v>
      </c>
      <c r="I809">
        <v>12666</v>
      </c>
      <c r="J809">
        <v>0</v>
      </c>
      <c r="K809">
        <v>0</v>
      </c>
      <c r="L809" s="4">
        <v>45264</v>
      </c>
      <c r="M809" s="4" t="str">
        <f t="shared" si="110"/>
        <v>2023</v>
      </c>
      <c r="N809" s="1">
        <f t="shared" ca="1" si="111"/>
        <v>46064</v>
      </c>
      <c r="O809" s="6">
        <f t="shared" ca="1" si="112"/>
        <v>2</v>
      </c>
      <c r="P809">
        <v>2</v>
      </c>
      <c r="Q809">
        <f t="shared" si="113"/>
        <v>73690</v>
      </c>
      <c r="R809" s="2">
        <f t="shared" si="114"/>
        <v>36845</v>
      </c>
      <c r="S809" s="2" t="str">
        <f t="shared" si="115"/>
        <v xml:space="preserve"> Not Achieved</v>
      </c>
      <c r="T809" s="2" t="str">
        <f t="shared" si="116"/>
        <v xml:space="preserve"> Excellent</v>
      </c>
      <c r="U809" s="2"/>
    </row>
    <row r="810" spans="1:21" x14ac:dyDescent="0.3">
      <c r="A810">
        <v>809</v>
      </c>
      <c r="B810" t="s">
        <v>1250</v>
      </c>
      <c r="C810" t="str">
        <f t="shared" si="108"/>
        <v>EMP_809</v>
      </c>
      <c r="D810" t="s">
        <v>15</v>
      </c>
      <c r="E810" t="str">
        <f t="shared" si="109"/>
        <v>EMP_809Finance</v>
      </c>
      <c r="F810" t="s">
        <v>18</v>
      </c>
      <c r="G810" t="s">
        <v>16</v>
      </c>
      <c r="H810">
        <v>45967</v>
      </c>
      <c r="I810">
        <v>3557</v>
      </c>
      <c r="J810">
        <v>0</v>
      </c>
      <c r="K810">
        <v>0</v>
      </c>
      <c r="L810" s="4">
        <v>44572</v>
      </c>
      <c r="M810" s="4" t="str">
        <f t="shared" si="110"/>
        <v>2022</v>
      </c>
      <c r="N810" s="1">
        <f t="shared" ca="1" si="111"/>
        <v>46064</v>
      </c>
      <c r="O810" s="6">
        <f t="shared" ca="1" si="112"/>
        <v>4</v>
      </c>
      <c r="P810">
        <v>1</v>
      </c>
      <c r="Q810">
        <f t="shared" si="113"/>
        <v>49524</v>
      </c>
      <c r="R810" s="2">
        <f t="shared" si="114"/>
        <v>24762</v>
      </c>
      <c r="S810" s="2" t="str">
        <f t="shared" si="115"/>
        <v xml:space="preserve"> Not Achieved</v>
      </c>
      <c r="T810" s="2" t="str">
        <f t="shared" si="116"/>
        <v>Good</v>
      </c>
      <c r="U810" s="2"/>
    </row>
    <row r="811" spans="1:21" x14ac:dyDescent="0.3">
      <c r="A811">
        <v>810</v>
      </c>
      <c r="B811" t="s">
        <v>1251</v>
      </c>
      <c r="C811" t="str">
        <f t="shared" si="108"/>
        <v>EMP_810</v>
      </c>
      <c r="D811" t="s">
        <v>15</v>
      </c>
      <c r="E811" t="str">
        <f t="shared" si="109"/>
        <v>EMP_810IT</v>
      </c>
      <c r="F811" t="s">
        <v>21</v>
      </c>
      <c r="G811" t="s">
        <v>16</v>
      </c>
      <c r="H811">
        <v>68994</v>
      </c>
      <c r="I811">
        <v>8696</v>
      </c>
      <c r="J811">
        <v>0</v>
      </c>
      <c r="K811">
        <v>0</v>
      </c>
      <c r="L811" s="4">
        <v>43595</v>
      </c>
      <c r="M811" s="4" t="str">
        <f t="shared" si="110"/>
        <v>2019</v>
      </c>
      <c r="N811" s="1">
        <f t="shared" ca="1" si="111"/>
        <v>46064</v>
      </c>
      <c r="O811" s="6">
        <f t="shared" ca="1" si="112"/>
        <v>6</v>
      </c>
      <c r="P811">
        <v>1</v>
      </c>
      <c r="Q811">
        <f t="shared" si="113"/>
        <v>77690</v>
      </c>
      <c r="R811" s="2">
        <f t="shared" si="114"/>
        <v>38845</v>
      </c>
      <c r="S811" s="2" t="str">
        <f t="shared" si="115"/>
        <v xml:space="preserve"> Not Achieved</v>
      </c>
      <c r="T811" s="2" t="str">
        <f t="shared" si="116"/>
        <v xml:space="preserve"> Excellent</v>
      </c>
      <c r="U811" s="2"/>
    </row>
    <row r="812" spans="1:21" x14ac:dyDescent="0.3">
      <c r="A812">
        <v>811</v>
      </c>
      <c r="B812" t="s">
        <v>1252</v>
      </c>
      <c r="C812" t="str">
        <f t="shared" si="108"/>
        <v>EMP_811</v>
      </c>
      <c r="D812" t="s">
        <v>11</v>
      </c>
      <c r="E812" t="str">
        <f t="shared" si="109"/>
        <v>EMP_811IT</v>
      </c>
      <c r="F812" t="s">
        <v>21</v>
      </c>
      <c r="G812" t="s">
        <v>13</v>
      </c>
      <c r="H812">
        <v>22859</v>
      </c>
      <c r="I812">
        <v>13848</v>
      </c>
      <c r="J812">
        <v>0</v>
      </c>
      <c r="K812">
        <v>0</v>
      </c>
      <c r="L812" s="4">
        <v>44541</v>
      </c>
      <c r="M812" s="4" t="str">
        <f t="shared" si="110"/>
        <v>2021</v>
      </c>
      <c r="N812" s="1">
        <f t="shared" ca="1" si="111"/>
        <v>46064</v>
      </c>
      <c r="O812" s="6">
        <f t="shared" ca="1" si="112"/>
        <v>4</v>
      </c>
      <c r="P812">
        <v>4</v>
      </c>
      <c r="Q812">
        <f t="shared" si="113"/>
        <v>36707</v>
      </c>
      <c r="R812" s="2">
        <f t="shared" si="114"/>
        <v>18353.5</v>
      </c>
      <c r="S812" s="2" t="str">
        <f t="shared" si="115"/>
        <v xml:space="preserve"> Not Achieved</v>
      </c>
      <c r="T812" s="2" t="str">
        <f t="shared" si="116"/>
        <v>poor</v>
      </c>
      <c r="U812" s="2"/>
    </row>
    <row r="813" spans="1:21" x14ac:dyDescent="0.3">
      <c r="A813">
        <v>812</v>
      </c>
      <c r="B813" t="s">
        <v>1253</v>
      </c>
      <c r="C813" t="str">
        <f t="shared" si="108"/>
        <v>EMP_812</v>
      </c>
      <c r="D813" t="s">
        <v>15</v>
      </c>
      <c r="E813" t="str">
        <f t="shared" si="109"/>
        <v>EMP_812IT</v>
      </c>
      <c r="F813" t="s">
        <v>21</v>
      </c>
      <c r="G813" t="s">
        <v>16</v>
      </c>
      <c r="H813">
        <v>45351</v>
      </c>
      <c r="I813">
        <v>5283</v>
      </c>
      <c r="J813">
        <v>0</v>
      </c>
      <c r="K813">
        <v>0</v>
      </c>
      <c r="L813" s="4" t="s">
        <v>777</v>
      </c>
      <c r="M813" s="4" t="str">
        <f t="shared" si="110"/>
        <v>1/13/2018</v>
      </c>
      <c r="N813" s="1">
        <f t="shared" ca="1" si="111"/>
        <v>46064</v>
      </c>
      <c r="O813" s="6" t="e">
        <f t="shared" ca="1" si="112"/>
        <v>#VALUE!</v>
      </c>
      <c r="P813">
        <v>2</v>
      </c>
      <c r="Q813">
        <f t="shared" si="113"/>
        <v>50634</v>
      </c>
      <c r="R813" s="2">
        <f t="shared" si="114"/>
        <v>25317</v>
      </c>
      <c r="S813" s="2" t="str">
        <f t="shared" si="115"/>
        <v xml:space="preserve"> Not Achieved</v>
      </c>
      <c r="T813" s="2" t="str">
        <f t="shared" si="116"/>
        <v>Good</v>
      </c>
      <c r="U813" s="2"/>
    </row>
    <row r="814" spans="1:21" x14ac:dyDescent="0.3">
      <c r="A814">
        <v>813</v>
      </c>
      <c r="B814" t="s">
        <v>1254</v>
      </c>
      <c r="C814" t="str">
        <f t="shared" si="108"/>
        <v>EMP_813</v>
      </c>
      <c r="D814" t="s">
        <v>15</v>
      </c>
      <c r="E814" t="str">
        <f t="shared" si="109"/>
        <v>EMP_813HR</v>
      </c>
      <c r="F814" t="s">
        <v>12</v>
      </c>
      <c r="G814" t="s">
        <v>13</v>
      </c>
      <c r="H814">
        <v>62143</v>
      </c>
      <c r="I814">
        <v>13964</v>
      </c>
      <c r="J814">
        <v>0</v>
      </c>
      <c r="K814">
        <v>0</v>
      </c>
      <c r="L814" s="4">
        <v>45019</v>
      </c>
      <c r="M814" s="4" t="str">
        <f t="shared" si="110"/>
        <v>2023</v>
      </c>
      <c r="N814" s="1">
        <f t="shared" ca="1" si="111"/>
        <v>46064</v>
      </c>
      <c r="O814" s="6">
        <f t="shared" ca="1" si="112"/>
        <v>2</v>
      </c>
      <c r="P814">
        <v>5</v>
      </c>
      <c r="Q814">
        <f t="shared" si="113"/>
        <v>76107</v>
      </c>
      <c r="R814" s="2">
        <f t="shared" si="114"/>
        <v>38053.5</v>
      </c>
      <c r="S814" s="2" t="str">
        <f t="shared" si="115"/>
        <v xml:space="preserve"> Not Achieved</v>
      </c>
      <c r="T814" s="2" t="str">
        <f t="shared" si="116"/>
        <v xml:space="preserve"> Excellent</v>
      </c>
      <c r="U814" s="2"/>
    </row>
    <row r="815" spans="1:21" x14ac:dyDescent="0.3">
      <c r="A815">
        <v>814</v>
      </c>
      <c r="B815" t="s">
        <v>1255</v>
      </c>
      <c r="C815" t="str">
        <f t="shared" si="108"/>
        <v>EMP_814</v>
      </c>
      <c r="D815" t="s">
        <v>11</v>
      </c>
      <c r="E815" t="str">
        <f t="shared" si="109"/>
        <v>EMP_814Sales</v>
      </c>
      <c r="F815" t="s">
        <v>7</v>
      </c>
      <c r="G815" t="s">
        <v>16</v>
      </c>
      <c r="H815">
        <v>38415</v>
      </c>
      <c r="I815">
        <v>11991</v>
      </c>
      <c r="J815">
        <v>84700</v>
      </c>
      <c r="K815">
        <v>170122</v>
      </c>
      <c r="L815" s="4" t="s">
        <v>1256</v>
      </c>
      <c r="M815" s="4" t="str">
        <f t="shared" si="110"/>
        <v>5/17/2024</v>
      </c>
      <c r="N815" s="1">
        <f t="shared" ca="1" si="111"/>
        <v>46064</v>
      </c>
      <c r="O815" s="6" t="e">
        <f t="shared" ca="1" si="112"/>
        <v>#VALUE!</v>
      </c>
      <c r="P815">
        <v>3</v>
      </c>
      <c r="Q815">
        <f t="shared" si="113"/>
        <v>50406</v>
      </c>
      <c r="R815" s="2">
        <f t="shared" si="114"/>
        <v>25203</v>
      </c>
      <c r="S815" s="2" t="str">
        <f t="shared" si="115"/>
        <v xml:space="preserve"> Not Achieved</v>
      </c>
      <c r="T815" s="2" t="str">
        <f t="shared" si="116"/>
        <v>Average</v>
      </c>
      <c r="U815" s="2"/>
    </row>
    <row r="816" spans="1:21" x14ac:dyDescent="0.3">
      <c r="A816">
        <v>815</v>
      </c>
      <c r="B816" t="s">
        <v>1257</v>
      </c>
      <c r="C816" t="str">
        <f t="shared" si="108"/>
        <v>EMP_815</v>
      </c>
      <c r="D816" t="s">
        <v>15</v>
      </c>
      <c r="E816" t="str">
        <f t="shared" si="109"/>
        <v>EMP_815Marketing</v>
      </c>
      <c r="F816" t="s">
        <v>24</v>
      </c>
      <c r="G816" t="s">
        <v>16</v>
      </c>
      <c r="H816">
        <v>40332</v>
      </c>
      <c r="I816">
        <v>7050</v>
      </c>
      <c r="J816">
        <v>0</v>
      </c>
      <c r="K816">
        <v>0</v>
      </c>
      <c r="L816" s="4" t="s">
        <v>823</v>
      </c>
      <c r="M816" s="4" t="str">
        <f t="shared" si="110"/>
        <v>1/25/2022</v>
      </c>
      <c r="N816" s="1">
        <f t="shared" ca="1" si="111"/>
        <v>46064</v>
      </c>
      <c r="O816" s="6" t="e">
        <f t="shared" ca="1" si="112"/>
        <v>#VALUE!</v>
      </c>
      <c r="P816">
        <v>4</v>
      </c>
      <c r="Q816">
        <f t="shared" si="113"/>
        <v>47382</v>
      </c>
      <c r="R816" s="2">
        <f t="shared" si="114"/>
        <v>23691</v>
      </c>
      <c r="S816" s="2" t="str">
        <f t="shared" si="115"/>
        <v xml:space="preserve"> Not Achieved</v>
      </c>
      <c r="T816" s="2" t="str">
        <f t="shared" si="116"/>
        <v>Good</v>
      </c>
      <c r="U816" s="2"/>
    </row>
    <row r="817" spans="1:21" x14ac:dyDescent="0.3">
      <c r="A817">
        <v>816</v>
      </c>
      <c r="B817" t="s">
        <v>1258</v>
      </c>
      <c r="C817" t="str">
        <f t="shared" si="108"/>
        <v>EMP_816</v>
      </c>
      <c r="D817" t="s">
        <v>11</v>
      </c>
      <c r="E817" t="str">
        <f t="shared" si="109"/>
        <v>EMP_816Marketing</v>
      </c>
      <c r="F817" t="s">
        <v>24</v>
      </c>
      <c r="G817" t="s">
        <v>13</v>
      </c>
      <c r="H817">
        <v>67738</v>
      </c>
      <c r="I817">
        <v>8337</v>
      </c>
      <c r="J817">
        <v>0</v>
      </c>
      <c r="K817">
        <v>0</v>
      </c>
      <c r="L817" s="4">
        <v>45050</v>
      </c>
      <c r="M817" s="4" t="str">
        <f t="shared" si="110"/>
        <v>2023</v>
      </c>
      <c r="N817" s="1">
        <f t="shared" ca="1" si="111"/>
        <v>46064</v>
      </c>
      <c r="O817" s="6">
        <f t="shared" ca="1" si="112"/>
        <v>2</v>
      </c>
      <c r="P817">
        <v>1</v>
      </c>
      <c r="Q817">
        <f t="shared" si="113"/>
        <v>76075</v>
      </c>
      <c r="R817" s="2">
        <f t="shared" si="114"/>
        <v>38037.5</v>
      </c>
      <c r="S817" s="2" t="str">
        <f t="shared" si="115"/>
        <v xml:space="preserve"> Not Achieved</v>
      </c>
      <c r="T817" s="2" t="str">
        <f t="shared" si="116"/>
        <v xml:space="preserve"> Excellent</v>
      </c>
      <c r="U817" s="2"/>
    </row>
    <row r="818" spans="1:21" x14ac:dyDescent="0.3">
      <c r="A818">
        <v>817</v>
      </c>
      <c r="B818" t="s">
        <v>1259</v>
      </c>
      <c r="C818" t="str">
        <f t="shared" si="108"/>
        <v>EMP_817</v>
      </c>
      <c r="D818" t="s">
        <v>15</v>
      </c>
      <c r="E818" t="str">
        <f t="shared" si="109"/>
        <v>EMP_817IT</v>
      </c>
      <c r="F818" t="s">
        <v>21</v>
      </c>
      <c r="G818" t="s">
        <v>13</v>
      </c>
      <c r="H818">
        <v>45981</v>
      </c>
      <c r="I818">
        <v>13388</v>
      </c>
      <c r="J818">
        <v>0</v>
      </c>
      <c r="K818">
        <v>0</v>
      </c>
      <c r="L818" s="4">
        <v>44715</v>
      </c>
      <c r="M818" s="4" t="str">
        <f t="shared" si="110"/>
        <v>2022</v>
      </c>
      <c r="N818" s="1">
        <f t="shared" ca="1" si="111"/>
        <v>46064</v>
      </c>
      <c r="O818" s="6">
        <f t="shared" ca="1" si="112"/>
        <v>3</v>
      </c>
      <c r="P818">
        <v>2</v>
      </c>
      <c r="Q818">
        <f t="shared" si="113"/>
        <v>59369</v>
      </c>
      <c r="R818" s="2">
        <f t="shared" si="114"/>
        <v>29684.5</v>
      </c>
      <c r="S818" s="2" t="str">
        <f t="shared" si="115"/>
        <v xml:space="preserve"> Not Achieved</v>
      </c>
      <c r="T818" s="2" t="str">
        <f t="shared" si="116"/>
        <v>Good</v>
      </c>
      <c r="U818" s="2"/>
    </row>
    <row r="819" spans="1:21" x14ac:dyDescent="0.3">
      <c r="A819">
        <v>818</v>
      </c>
      <c r="B819" t="s">
        <v>1260</v>
      </c>
      <c r="C819" t="str">
        <f t="shared" si="108"/>
        <v>EMP_818</v>
      </c>
      <c r="D819" t="s">
        <v>15</v>
      </c>
      <c r="E819" t="str">
        <f t="shared" si="109"/>
        <v>EMP_818HR</v>
      </c>
      <c r="F819" t="s">
        <v>12</v>
      </c>
      <c r="G819" t="s">
        <v>19</v>
      </c>
      <c r="H819">
        <v>31367</v>
      </c>
      <c r="I819">
        <v>8147</v>
      </c>
      <c r="J819">
        <v>0</v>
      </c>
      <c r="K819">
        <v>0</v>
      </c>
      <c r="L819" s="4" t="s">
        <v>1261</v>
      </c>
      <c r="M819" s="4" t="str">
        <f t="shared" si="110"/>
        <v>5/27/2024</v>
      </c>
      <c r="N819" s="1">
        <f t="shared" ca="1" si="111"/>
        <v>46064</v>
      </c>
      <c r="O819" s="6" t="e">
        <f t="shared" ca="1" si="112"/>
        <v>#VALUE!</v>
      </c>
      <c r="P819">
        <v>2</v>
      </c>
      <c r="Q819">
        <f t="shared" si="113"/>
        <v>39514</v>
      </c>
      <c r="R819" s="2">
        <f t="shared" si="114"/>
        <v>19757</v>
      </c>
      <c r="S819" s="2" t="str">
        <f t="shared" si="115"/>
        <v xml:space="preserve"> Not Achieved</v>
      </c>
      <c r="T819" s="2" t="str">
        <f t="shared" si="116"/>
        <v>Average</v>
      </c>
      <c r="U819" s="2"/>
    </row>
    <row r="820" spans="1:21" x14ac:dyDescent="0.3">
      <c r="A820">
        <v>819</v>
      </c>
      <c r="B820" t="s">
        <v>1262</v>
      </c>
      <c r="C820" t="str">
        <f t="shared" si="108"/>
        <v>EMP_819</v>
      </c>
      <c r="D820" t="s">
        <v>15</v>
      </c>
      <c r="E820" t="str">
        <f t="shared" si="109"/>
        <v>EMP_819IT</v>
      </c>
      <c r="F820" t="s">
        <v>21</v>
      </c>
      <c r="G820" t="s">
        <v>22</v>
      </c>
      <c r="H820">
        <v>22373</v>
      </c>
      <c r="I820">
        <v>2596</v>
      </c>
      <c r="J820">
        <v>0</v>
      </c>
      <c r="K820">
        <v>0</v>
      </c>
      <c r="L820" s="4">
        <v>43471</v>
      </c>
      <c r="M820" s="4" t="str">
        <f t="shared" si="110"/>
        <v>2019</v>
      </c>
      <c r="N820" s="1">
        <f t="shared" ca="1" si="111"/>
        <v>46064</v>
      </c>
      <c r="O820" s="6">
        <f t="shared" ca="1" si="112"/>
        <v>7</v>
      </c>
      <c r="P820">
        <v>3</v>
      </c>
      <c r="Q820">
        <f t="shared" si="113"/>
        <v>24969</v>
      </c>
      <c r="R820" s="2">
        <f t="shared" si="114"/>
        <v>12484.5</v>
      </c>
      <c r="S820" s="2" t="str">
        <f t="shared" si="115"/>
        <v xml:space="preserve"> Not Achieved</v>
      </c>
      <c r="T820" s="2" t="str">
        <f t="shared" si="116"/>
        <v>poor</v>
      </c>
      <c r="U820" s="2"/>
    </row>
    <row r="821" spans="1:21" x14ac:dyDescent="0.3">
      <c r="A821">
        <v>820</v>
      </c>
      <c r="B821" t="s">
        <v>1263</v>
      </c>
      <c r="C821" t="str">
        <f t="shared" si="108"/>
        <v>EMP_820</v>
      </c>
      <c r="D821" t="s">
        <v>11</v>
      </c>
      <c r="E821" t="str">
        <f t="shared" si="109"/>
        <v>EMP_820Sales</v>
      </c>
      <c r="F821" t="s">
        <v>7</v>
      </c>
      <c r="G821" t="s">
        <v>25</v>
      </c>
      <c r="H821">
        <v>72928</v>
      </c>
      <c r="I821">
        <v>5285</v>
      </c>
      <c r="J821">
        <v>178445</v>
      </c>
      <c r="K821">
        <v>116615</v>
      </c>
      <c r="L821" s="4" t="s">
        <v>1264</v>
      </c>
      <c r="M821" s="4" t="str">
        <f t="shared" si="110"/>
        <v>4/20/2021</v>
      </c>
      <c r="N821" s="1">
        <f t="shared" ca="1" si="111"/>
        <v>46064</v>
      </c>
      <c r="O821" s="6" t="e">
        <f t="shared" ca="1" si="112"/>
        <v>#VALUE!</v>
      </c>
      <c r="P821">
        <v>4</v>
      </c>
      <c r="Q821">
        <f t="shared" si="113"/>
        <v>78213</v>
      </c>
      <c r="R821" s="2">
        <f t="shared" si="114"/>
        <v>39106.5</v>
      </c>
      <c r="S821" s="2" t="str">
        <f t="shared" si="115"/>
        <v>Achieved</v>
      </c>
      <c r="T821" s="2" t="str">
        <f t="shared" si="116"/>
        <v xml:space="preserve"> Excellent</v>
      </c>
      <c r="U821" s="2"/>
    </row>
    <row r="822" spans="1:21" x14ac:dyDescent="0.3">
      <c r="A822">
        <v>821</v>
      </c>
      <c r="B822" t="s">
        <v>1265</v>
      </c>
      <c r="C822" t="str">
        <f t="shared" si="108"/>
        <v>EMP_821</v>
      </c>
      <c r="D822" t="s">
        <v>11</v>
      </c>
      <c r="E822" t="str">
        <f t="shared" si="109"/>
        <v>EMP_821Finance</v>
      </c>
      <c r="F822" t="s">
        <v>18</v>
      </c>
      <c r="G822" t="s">
        <v>19</v>
      </c>
      <c r="H822">
        <v>55210</v>
      </c>
      <c r="I822">
        <v>11364</v>
      </c>
      <c r="J822">
        <v>0</v>
      </c>
      <c r="K822">
        <v>0</v>
      </c>
      <c r="L822" s="4">
        <v>44997</v>
      </c>
      <c r="M822" s="4" t="str">
        <f t="shared" si="110"/>
        <v>2023</v>
      </c>
      <c r="N822" s="1">
        <f t="shared" ca="1" si="111"/>
        <v>46064</v>
      </c>
      <c r="O822" s="6">
        <f t="shared" ca="1" si="112"/>
        <v>2</v>
      </c>
      <c r="P822">
        <v>5</v>
      </c>
      <c r="Q822">
        <f t="shared" si="113"/>
        <v>66574</v>
      </c>
      <c r="R822" s="2">
        <f t="shared" si="114"/>
        <v>33287</v>
      </c>
      <c r="S822" s="2" t="str">
        <f t="shared" si="115"/>
        <v xml:space="preserve"> Not Achieved</v>
      </c>
      <c r="T822" s="2" t="str">
        <f t="shared" si="116"/>
        <v xml:space="preserve"> Excellent</v>
      </c>
      <c r="U822" s="2"/>
    </row>
    <row r="823" spans="1:21" x14ac:dyDescent="0.3">
      <c r="A823">
        <v>822</v>
      </c>
      <c r="B823" t="s">
        <v>1266</v>
      </c>
      <c r="C823" t="str">
        <f t="shared" si="108"/>
        <v>EMP_822</v>
      </c>
      <c r="D823" t="s">
        <v>15</v>
      </c>
      <c r="E823" t="str">
        <f t="shared" si="109"/>
        <v>EMP_822IT</v>
      </c>
      <c r="F823" t="s">
        <v>21</v>
      </c>
      <c r="G823" t="s">
        <v>13</v>
      </c>
      <c r="H823">
        <v>35506</v>
      </c>
      <c r="I823">
        <v>4621</v>
      </c>
      <c r="J823">
        <v>0</v>
      </c>
      <c r="K823">
        <v>0</v>
      </c>
      <c r="L823" s="4" t="s">
        <v>1267</v>
      </c>
      <c r="M823" s="4" t="str">
        <f t="shared" si="110"/>
        <v>12/30/2021</v>
      </c>
      <c r="N823" s="1">
        <f t="shared" ca="1" si="111"/>
        <v>46064</v>
      </c>
      <c r="O823" s="6" t="e">
        <f t="shared" ca="1" si="112"/>
        <v>#VALUE!</v>
      </c>
      <c r="P823">
        <v>3</v>
      </c>
      <c r="Q823">
        <f t="shared" si="113"/>
        <v>40127</v>
      </c>
      <c r="R823" s="2">
        <f t="shared" si="114"/>
        <v>20063.5</v>
      </c>
      <c r="S823" s="2" t="str">
        <f t="shared" si="115"/>
        <v xml:space="preserve"> Not Achieved</v>
      </c>
      <c r="T823" s="2" t="str">
        <f t="shared" si="116"/>
        <v>Average</v>
      </c>
      <c r="U823" s="2"/>
    </row>
    <row r="824" spans="1:21" x14ac:dyDescent="0.3">
      <c r="A824">
        <v>823</v>
      </c>
      <c r="B824" t="s">
        <v>1268</v>
      </c>
      <c r="C824" t="str">
        <f t="shared" si="108"/>
        <v>EMP_823</v>
      </c>
      <c r="D824" t="s">
        <v>15</v>
      </c>
      <c r="E824" t="str">
        <f t="shared" si="109"/>
        <v>EMP_823Marketing</v>
      </c>
      <c r="F824" t="s">
        <v>24</v>
      </c>
      <c r="G824" t="s">
        <v>13</v>
      </c>
      <c r="H824">
        <v>74500</v>
      </c>
      <c r="I824">
        <v>12860</v>
      </c>
      <c r="J824">
        <v>0</v>
      </c>
      <c r="K824">
        <v>0</v>
      </c>
      <c r="L824" s="4" t="s">
        <v>1269</v>
      </c>
      <c r="M824" s="4" t="str">
        <f t="shared" si="110"/>
        <v>7/24/2023</v>
      </c>
      <c r="N824" s="1">
        <f t="shared" ca="1" si="111"/>
        <v>46064</v>
      </c>
      <c r="O824" s="6" t="e">
        <f t="shared" ca="1" si="112"/>
        <v>#VALUE!</v>
      </c>
      <c r="P824">
        <v>3</v>
      </c>
      <c r="Q824">
        <f t="shared" si="113"/>
        <v>87360</v>
      </c>
      <c r="R824" s="2">
        <f t="shared" si="114"/>
        <v>43680</v>
      </c>
      <c r="S824" s="2" t="str">
        <f t="shared" si="115"/>
        <v xml:space="preserve"> Not Achieved</v>
      </c>
      <c r="T824" s="2" t="str">
        <f t="shared" si="116"/>
        <v xml:space="preserve"> Excellent</v>
      </c>
      <c r="U824" s="2"/>
    </row>
    <row r="825" spans="1:21" x14ac:dyDescent="0.3">
      <c r="A825">
        <v>824</v>
      </c>
      <c r="B825" t="s">
        <v>1270</v>
      </c>
      <c r="C825" t="str">
        <f t="shared" si="108"/>
        <v>EMP_824</v>
      </c>
      <c r="D825" t="s">
        <v>11</v>
      </c>
      <c r="E825" t="str">
        <f t="shared" si="109"/>
        <v>EMP_824Marketing</v>
      </c>
      <c r="F825" t="s">
        <v>24</v>
      </c>
      <c r="G825" t="s">
        <v>19</v>
      </c>
      <c r="H825">
        <v>49801</v>
      </c>
      <c r="I825">
        <v>5268</v>
      </c>
      <c r="J825">
        <v>0</v>
      </c>
      <c r="K825">
        <v>0</v>
      </c>
      <c r="L825" s="4" t="s">
        <v>1271</v>
      </c>
      <c r="M825" s="4" t="str">
        <f t="shared" si="110"/>
        <v>6/29/2022</v>
      </c>
      <c r="N825" s="1">
        <f t="shared" ca="1" si="111"/>
        <v>46064</v>
      </c>
      <c r="O825" s="6" t="e">
        <f t="shared" ca="1" si="112"/>
        <v>#VALUE!</v>
      </c>
      <c r="P825">
        <v>3</v>
      </c>
      <c r="Q825">
        <f t="shared" si="113"/>
        <v>55069</v>
      </c>
      <c r="R825" s="2">
        <f t="shared" si="114"/>
        <v>27534.5</v>
      </c>
      <c r="S825" s="2" t="str">
        <f t="shared" si="115"/>
        <v xml:space="preserve"> Not Achieved</v>
      </c>
      <c r="T825" s="2" t="str">
        <f t="shared" si="116"/>
        <v>Good</v>
      </c>
      <c r="U825" s="2"/>
    </row>
    <row r="826" spans="1:21" x14ac:dyDescent="0.3">
      <c r="A826">
        <v>825</v>
      </c>
      <c r="B826" t="s">
        <v>1272</v>
      </c>
      <c r="C826" t="str">
        <f t="shared" si="108"/>
        <v>EMP_825</v>
      </c>
      <c r="D826" t="s">
        <v>11</v>
      </c>
      <c r="E826" t="str">
        <f t="shared" si="109"/>
        <v>EMP_825Sales</v>
      </c>
      <c r="F826" t="s">
        <v>7</v>
      </c>
      <c r="G826" t="s">
        <v>25</v>
      </c>
      <c r="H826">
        <v>44657</v>
      </c>
      <c r="I826">
        <v>5737</v>
      </c>
      <c r="J826">
        <v>235005</v>
      </c>
      <c r="K826">
        <v>219767</v>
      </c>
      <c r="L826" s="4" t="s">
        <v>1273</v>
      </c>
      <c r="M826" s="4" t="str">
        <f t="shared" si="110"/>
        <v>4/27/2020</v>
      </c>
      <c r="N826" s="1">
        <f t="shared" ca="1" si="111"/>
        <v>46064</v>
      </c>
      <c r="O826" s="6" t="e">
        <f t="shared" ca="1" si="112"/>
        <v>#VALUE!</v>
      </c>
      <c r="P826">
        <v>2</v>
      </c>
      <c r="Q826">
        <f t="shared" si="113"/>
        <v>50394</v>
      </c>
      <c r="R826" s="2">
        <f t="shared" si="114"/>
        <v>25197</v>
      </c>
      <c r="S826" s="2" t="str">
        <f t="shared" si="115"/>
        <v>Achieved</v>
      </c>
      <c r="T826" s="2" t="str">
        <f t="shared" si="116"/>
        <v>Good</v>
      </c>
      <c r="U826" s="2"/>
    </row>
    <row r="827" spans="1:21" x14ac:dyDescent="0.3">
      <c r="A827">
        <v>826</v>
      </c>
      <c r="B827" t="s">
        <v>1274</v>
      </c>
      <c r="C827" t="str">
        <f t="shared" si="108"/>
        <v>EMP_826</v>
      </c>
      <c r="D827" t="s">
        <v>15</v>
      </c>
      <c r="E827" t="str">
        <f t="shared" si="109"/>
        <v>EMP_826HR</v>
      </c>
      <c r="F827" t="s">
        <v>12</v>
      </c>
      <c r="G827" t="s">
        <v>16</v>
      </c>
      <c r="H827">
        <v>52424</v>
      </c>
      <c r="I827">
        <v>9454</v>
      </c>
      <c r="J827">
        <v>0</v>
      </c>
      <c r="K827">
        <v>0</v>
      </c>
      <c r="L827" s="4" t="s">
        <v>1264</v>
      </c>
      <c r="M827" s="4" t="str">
        <f t="shared" si="110"/>
        <v>4/20/2021</v>
      </c>
      <c r="N827" s="1">
        <f t="shared" ca="1" si="111"/>
        <v>46064</v>
      </c>
      <c r="O827" s="6" t="e">
        <f t="shared" ca="1" si="112"/>
        <v>#VALUE!</v>
      </c>
      <c r="P827">
        <v>4</v>
      </c>
      <c r="Q827">
        <f t="shared" si="113"/>
        <v>61878</v>
      </c>
      <c r="R827" s="2">
        <f t="shared" si="114"/>
        <v>30939</v>
      </c>
      <c r="S827" s="2" t="str">
        <f t="shared" si="115"/>
        <v xml:space="preserve"> Not Achieved</v>
      </c>
      <c r="T827" s="2" t="str">
        <f t="shared" si="116"/>
        <v xml:space="preserve"> Excellent</v>
      </c>
      <c r="U827" s="2"/>
    </row>
    <row r="828" spans="1:21" x14ac:dyDescent="0.3">
      <c r="A828">
        <v>827</v>
      </c>
      <c r="B828" t="s">
        <v>1275</v>
      </c>
      <c r="C828" t="str">
        <f t="shared" si="108"/>
        <v>EMP_827</v>
      </c>
      <c r="D828" t="s">
        <v>11</v>
      </c>
      <c r="E828" t="str">
        <f t="shared" si="109"/>
        <v>EMP_827Finance</v>
      </c>
      <c r="F828" t="s">
        <v>18</v>
      </c>
      <c r="G828" t="s">
        <v>19</v>
      </c>
      <c r="H828">
        <v>68954</v>
      </c>
      <c r="I828">
        <v>13306</v>
      </c>
      <c r="J828">
        <v>0</v>
      </c>
      <c r="K828">
        <v>0</v>
      </c>
      <c r="L828" s="4" t="s">
        <v>1276</v>
      </c>
      <c r="M828" s="4" t="str">
        <f t="shared" si="110"/>
        <v>9/18/2020</v>
      </c>
      <c r="N828" s="1">
        <f t="shared" ca="1" si="111"/>
        <v>46064</v>
      </c>
      <c r="O828" s="6" t="e">
        <f t="shared" ca="1" si="112"/>
        <v>#VALUE!</v>
      </c>
      <c r="P828">
        <v>2</v>
      </c>
      <c r="Q828">
        <f t="shared" si="113"/>
        <v>82260</v>
      </c>
      <c r="R828" s="2">
        <f t="shared" si="114"/>
        <v>41130</v>
      </c>
      <c r="S828" s="2" t="str">
        <f t="shared" si="115"/>
        <v xml:space="preserve"> Not Achieved</v>
      </c>
      <c r="T828" s="2" t="str">
        <f t="shared" si="116"/>
        <v xml:space="preserve"> Excellent</v>
      </c>
      <c r="U828" s="2"/>
    </row>
    <row r="829" spans="1:21" x14ac:dyDescent="0.3">
      <c r="A829">
        <v>828</v>
      </c>
      <c r="B829" t="s">
        <v>1277</v>
      </c>
      <c r="C829" t="str">
        <f t="shared" si="108"/>
        <v>EMP_828</v>
      </c>
      <c r="D829" t="s">
        <v>11</v>
      </c>
      <c r="E829" t="str">
        <f t="shared" si="109"/>
        <v>EMP_828IT</v>
      </c>
      <c r="F829" t="s">
        <v>21</v>
      </c>
      <c r="G829" t="s">
        <v>16</v>
      </c>
      <c r="H829">
        <v>21293</v>
      </c>
      <c r="I829">
        <v>6563</v>
      </c>
      <c r="J829">
        <v>0</v>
      </c>
      <c r="K829">
        <v>0</v>
      </c>
      <c r="L829" s="4" t="s">
        <v>682</v>
      </c>
      <c r="M829" s="4" t="str">
        <f t="shared" si="110"/>
        <v>8/17/2024</v>
      </c>
      <c r="N829" s="1">
        <f t="shared" ca="1" si="111"/>
        <v>46064</v>
      </c>
      <c r="O829" s="6" t="e">
        <f t="shared" ca="1" si="112"/>
        <v>#VALUE!</v>
      </c>
      <c r="P829">
        <v>2</v>
      </c>
      <c r="Q829">
        <f t="shared" si="113"/>
        <v>27856</v>
      </c>
      <c r="R829" s="2">
        <f t="shared" si="114"/>
        <v>13928</v>
      </c>
      <c r="S829" s="2" t="str">
        <f t="shared" si="115"/>
        <v xml:space="preserve"> Not Achieved</v>
      </c>
      <c r="T829" s="2" t="str">
        <f t="shared" si="116"/>
        <v>poor</v>
      </c>
      <c r="U829" s="2"/>
    </row>
    <row r="830" spans="1:21" x14ac:dyDescent="0.3">
      <c r="A830">
        <v>829</v>
      </c>
      <c r="B830" t="s">
        <v>1278</v>
      </c>
      <c r="C830" t="str">
        <f t="shared" si="108"/>
        <v>EMP_829</v>
      </c>
      <c r="D830" t="s">
        <v>15</v>
      </c>
      <c r="E830" t="str">
        <f t="shared" si="109"/>
        <v>EMP_829HR</v>
      </c>
      <c r="F830" t="s">
        <v>12</v>
      </c>
      <c r="G830" t="s">
        <v>16</v>
      </c>
      <c r="H830">
        <v>71670</v>
      </c>
      <c r="I830">
        <v>8070</v>
      </c>
      <c r="J830">
        <v>0</v>
      </c>
      <c r="K830">
        <v>0</v>
      </c>
      <c r="L830" s="4">
        <v>44046</v>
      </c>
      <c r="M830" s="4" t="str">
        <f t="shared" si="110"/>
        <v>2020</v>
      </c>
      <c r="N830" s="1">
        <f t="shared" ca="1" si="111"/>
        <v>46064</v>
      </c>
      <c r="O830" s="6">
        <f t="shared" ca="1" si="112"/>
        <v>5</v>
      </c>
      <c r="P830">
        <v>3</v>
      </c>
      <c r="Q830">
        <f t="shared" si="113"/>
        <v>79740</v>
      </c>
      <c r="R830" s="2">
        <f t="shared" si="114"/>
        <v>39870</v>
      </c>
      <c r="S830" s="2" t="str">
        <f t="shared" si="115"/>
        <v xml:space="preserve"> Not Achieved</v>
      </c>
      <c r="T830" s="2" t="str">
        <f t="shared" si="116"/>
        <v xml:space="preserve"> Excellent</v>
      </c>
      <c r="U830" s="2"/>
    </row>
    <row r="831" spans="1:21" x14ac:dyDescent="0.3">
      <c r="A831">
        <v>830</v>
      </c>
      <c r="B831" t="s">
        <v>1279</v>
      </c>
      <c r="C831" t="str">
        <f t="shared" si="108"/>
        <v>EMP_830</v>
      </c>
      <c r="D831" t="s">
        <v>15</v>
      </c>
      <c r="E831" t="str">
        <f t="shared" si="109"/>
        <v>EMP_830Sales</v>
      </c>
      <c r="F831" t="s">
        <v>7</v>
      </c>
      <c r="G831" t="s">
        <v>19</v>
      </c>
      <c r="H831">
        <v>64794</v>
      </c>
      <c r="I831">
        <v>11903</v>
      </c>
      <c r="J831">
        <v>172397</v>
      </c>
      <c r="K831">
        <v>140155</v>
      </c>
      <c r="L831" s="4">
        <v>44687</v>
      </c>
      <c r="M831" s="4" t="str">
        <f t="shared" si="110"/>
        <v>2022</v>
      </c>
      <c r="N831" s="1">
        <f t="shared" ca="1" si="111"/>
        <v>46064</v>
      </c>
      <c r="O831" s="6">
        <f t="shared" ca="1" si="112"/>
        <v>3</v>
      </c>
      <c r="P831">
        <v>3</v>
      </c>
      <c r="Q831">
        <f t="shared" si="113"/>
        <v>76697</v>
      </c>
      <c r="R831" s="2">
        <f t="shared" si="114"/>
        <v>38348.5</v>
      </c>
      <c r="S831" s="2" t="str">
        <f t="shared" si="115"/>
        <v>Achieved</v>
      </c>
      <c r="T831" s="2" t="str">
        <f t="shared" si="116"/>
        <v xml:space="preserve"> Excellent</v>
      </c>
      <c r="U831" s="2"/>
    </row>
    <row r="832" spans="1:21" x14ac:dyDescent="0.3">
      <c r="A832">
        <v>831</v>
      </c>
      <c r="B832" t="s">
        <v>1280</v>
      </c>
      <c r="C832" t="str">
        <f t="shared" si="108"/>
        <v>EMP_831</v>
      </c>
      <c r="D832" t="s">
        <v>11</v>
      </c>
      <c r="E832" t="str">
        <f t="shared" si="109"/>
        <v>EMP_831Finance</v>
      </c>
      <c r="F832" t="s">
        <v>18</v>
      </c>
      <c r="G832" t="s">
        <v>25</v>
      </c>
      <c r="H832">
        <v>60680</v>
      </c>
      <c r="I832">
        <v>6949</v>
      </c>
      <c r="J832">
        <v>0</v>
      </c>
      <c r="K832">
        <v>0</v>
      </c>
      <c r="L832" s="4">
        <v>45181</v>
      </c>
      <c r="M832" s="4" t="str">
        <f t="shared" si="110"/>
        <v>2023</v>
      </c>
      <c r="N832" s="1">
        <f t="shared" ca="1" si="111"/>
        <v>46064</v>
      </c>
      <c r="O832" s="6">
        <f t="shared" ca="1" si="112"/>
        <v>2</v>
      </c>
      <c r="P832">
        <v>2</v>
      </c>
      <c r="Q832">
        <f t="shared" si="113"/>
        <v>67629</v>
      </c>
      <c r="R832" s="2">
        <f t="shared" si="114"/>
        <v>33814.5</v>
      </c>
      <c r="S832" s="2" t="str">
        <f t="shared" si="115"/>
        <v xml:space="preserve"> Not Achieved</v>
      </c>
      <c r="T832" s="2" t="str">
        <f t="shared" si="116"/>
        <v xml:space="preserve"> Excellent</v>
      </c>
      <c r="U832" s="2"/>
    </row>
    <row r="833" spans="1:21" x14ac:dyDescent="0.3">
      <c r="A833">
        <v>832</v>
      </c>
      <c r="B833" t="s">
        <v>1281</v>
      </c>
      <c r="C833" t="str">
        <f t="shared" si="108"/>
        <v>EMP_832</v>
      </c>
      <c r="D833" t="s">
        <v>11</v>
      </c>
      <c r="E833" t="str">
        <f t="shared" si="109"/>
        <v>EMP_832HR</v>
      </c>
      <c r="F833" t="s">
        <v>12</v>
      </c>
      <c r="G833" t="s">
        <v>13</v>
      </c>
      <c r="H833">
        <v>52398</v>
      </c>
      <c r="I833">
        <v>12284</v>
      </c>
      <c r="J833">
        <v>0</v>
      </c>
      <c r="K833">
        <v>0</v>
      </c>
      <c r="L833" s="4">
        <v>45418</v>
      </c>
      <c r="M833" s="4" t="str">
        <f t="shared" si="110"/>
        <v>2024</v>
      </c>
      <c r="N833" s="1">
        <f t="shared" ca="1" si="111"/>
        <v>46064</v>
      </c>
      <c r="O833" s="6">
        <f t="shared" ca="1" si="112"/>
        <v>1</v>
      </c>
      <c r="P833">
        <v>3</v>
      </c>
      <c r="Q833">
        <f t="shared" si="113"/>
        <v>64682</v>
      </c>
      <c r="R833" s="2">
        <f t="shared" si="114"/>
        <v>32341</v>
      </c>
      <c r="S833" s="2" t="str">
        <f t="shared" si="115"/>
        <v xml:space="preserve"> Not Achieved</v>
      </c>
      <c r="T833" s="2" t="str">
        <f t="shared" si="116"/>
        <v xml:space="preserve"> Excellent</v>
      </c>
      <c r="U833" s="2"/>
    </row>
    <row r="834" spans="1:21" x14ac:dyDescent="0.3">
      <c r="A834">
        <v>833</v>
      </c>
      <c r="B834" t="s">
        <v>1282</v>
      </c>
      <c r="C834" t="str">
        <f t="shared" si="108"/>
        <v>EMP_833</v>
      </c>
      <c r="D834" t="s">
        <v>15</v>
      </c>
      <c r="E834" t="str">
        <f t="shared" si="109"/>
        <v>EMP_833Marketing</v>
      </c>
      <c r="F834" t="s">
        <v>24</v>
      </c>
      <c r="G834" t="s">
        <v>16</v>
      </c>
      <c r="H834">
        <v>32397</v>
      </c>
      <c r="I834">
        <v>9913</v>
      </c>
      <c r="J834">
        <v>0</v>
      </c>
      <c r="K834">
        <v>0</v>
      </c>
      <c r="L834" s="4" t="s">
        <v>1283</v>
      </c>
      <c r="M834" s="4" t="str">
        <f t="shared" si="110"/>
        <v>5/21/2024</v>
      </c>
      <c r="N834" s="1">
        <f t="shared" ca="1" si="111"/>
        <v>46064</v>
      </c>
      <c r="O834" s="6" t="e">
        <f t="shared" ca="1" si="112"/>
        <v>#VALUE!</v>
      </c>
      <c r="P834">
        <v>4</v>
      </c>
      <c r="Q834">
        <f t="shared" si="113"/>
        <v>42310</v>
      </c>
      <c r="R834" s="2">
        <f t="shared" si="114"/>
        <v>21155</v>
      </c>
      <c r="S834" s="2" t="str">
        <f t="shared" si="115"/>
        <v xml:space="preserve"> Not Achieved</v>
      </c>
      <c r="T834" s="2" t="str">
        <f t="shared" si="116"/>
        <v>Average</v>
      </c>
      <c r="U834" s="2"/>
    </row>
    <row r="835" spans="1:21" x14ac:dyDescent="0.3">
      <c r="A835">
        <v>834</v>
      </c>
      <c r="B835" t="s">
        <v>1284</v>
      </c>
      <c r="C835" t="str">
        <f t="shared" ref="C835:C898" si="117">UPPER(B835)</f>
        <v>EMP_834</v>
      </c>
      <c r="D835" t="s">
        <v>11</v>
      </c>
      <c r="E835" t="str">
        <f t="shared" ref="E835:E898" si="118">_xlfn.CONCAT(C835,F835)</f>
        <v>EMP_834Sales</v>
      </c>
      <c r="F835" t="s">
        <v>7</v>
      </c>
      <c r="G835" t="s">
        <v>22</v>
      </c>
      <c r="H835">
        <v>23056</v>
      </c>
      <c r="I835">
        <v>10121</v>
      </c>
      <c r="J835">
        <v>196756</v>
      </c>
      <c r="K835">
        <v>207226</v>
      </c>
      <c r="L835" s="4" t="s">
        <v>1173</v>
      </c>
      <c r="M835" s="4" t="str">
        <f t="shared" ref="M835:M898" si="119">TEXT(L835,"yyyy")</f>
        <v>9/20/2024</v>
      </c>
      <c r="N835" s="1">
        <f t="shared" ref="N835:N898" ca="1" si="120">TODAY()</f>
        <v>46064</v>
      </c>
      <c r="O835" s="6" t="e">
        <f t="shared" ref="O835:O898" ca="1" si="121">DATEDIF(L835, TODAY(), "y")</f>
        <v>#VALUE!</v>
      </c>
      <c r="P835">
        <v>4</v>
      </c>
      <c r="Q835">
        <f t="shared" ref="Q835:Q898" si="122">SUM(H835,I835)</f>
        <v>33177</v>
      </c>
      <c r="R835" s="2">
        <f t="shared" ref="R835:R898" si="123">AVERAGE(H835,I835)</f>
        <v>16588.5</v>
      </c>
      <c r="S835" s="2" t="str">
        <f t="shared" ref="S835:S898" si="124">IF(J835&gt;K835,"Achieved"," Not Achieved")</f>
        <v xml:space="preserve"> Not Achieved</v>
      </c>
      <c r="T835" s="2" t="str">
        <f t="shared" ref="T835:T898" si="125">_xlfn.IFS(H835&gt;=50000," Excellent",H835&gt;=40000,"Good",H835&gt;=30000,"Average",H835&lt;30000,"poor")</f>
        <v>poor</v>
      </c>
      <c r="U835" s="2"/>
    </row>
    <row r="836" spans="1:21" x14ac:dyDescent="0.3">
      <c r="A836">
        <v>835</v>
      </c>
      <c r="B836" t="s">
        <v>1285</v>
      </c>
      <c r="C836" t="str">
        <f t="shared" si="117"/>
        <v>EMP_835</v>
      </c>
      <c r="D836" t="s">
        <v>11</v>
      </c>
      <c r="E836" t="str">
        <f t="shared" si="118"/>
        <v>EMP_835Sales</v>
      </c>
      <c r="F836" t="s">
        <v>7</v>
      </c>
      <c r="G836" t="s">
        <v>22</v>
      </c>
      <c r="H836">
        <v>41576</v>
      </c>
      <c r="I836">
        <v>13419</v>
      </c>
      <c r="J836">
        <v>299312</v>
      </c>
      <c r="K836">
        <v>184097</v>
      </c>
      <c r="L836" s="4" t="s">
        <v>1286</v>
      </c>
      <c r="M836" s="4" t="str">
        <f t="shared" si="119"/>
        <v>10/30/2022</v>
      </c>
      <c r="N836" s="1">
        <f t="shared" ca="1" si="120"/>
        <v>46064</v>
      </c>
      <c r="O836" s="6" t="e">
        <f t="shared" ca="1" si="121"/>
        <v>#VALUE!</v>
      </c>
      <c r="P836">
        <v>1</v>
      </c>
      <c r="Q836">
        <f t="shared" si="122"/>
        <v>54995</v>
      </c>
      <c r="R836" s="2">
        <f t="shared" si="123"/>
        <v>27497.5</v>
      </c>
      <c r="S836" s="2" t="str">
        <f t="shared" si="124"/>
        <v>Achieved</v>
      </c>
      <c r="T836" s="2" t="str">
        <f t="shared" si="125"/>
        <v>Good</v>
      </c>
      <c r="U836" s="2"/>
    </row>
    <row r="837" spans="1:21" x14ac:dyDescent="0.3">
      <c r="A837">
        <v>836</v>
      </c>
      <c r="B837" t="s">
        <v>1287</v>
      </c>
      <c r="C837" t="str">
        <f t="shared" si="117"/>
        <v>EMP_836</v>
      </c>
      <c r="D837" t="s">
        <v>15</v>
      </c>
      <c r="E837" t="str">
        <f t="shared" si="118"/>
        <v>EMP_836HR</v>
      </c>
      <c r="F837" t="s">
        <v>12</v>
      </c>
      <c r="G837" t="s">
        <v>16</v>
      </c>
      <c r="H837">
        <v>55291</v>
      </c>
      <c r="I837">
        <v>12894</v>
      </c>
      <c r="J837">
        <v>0</v>
      </c>
      <c r="K837">
        <v>0</v>
      </c>
      <c r="L837" s="4" t="s">
        <v>1288</v>
      </c>
      <c r="M837" s="4" t="str">
        <f t="shared" si="119"/>
        <v>11/24/2020</v>
      </c>
      <c r="N837" s="1">
        <f t="shared" ca="1" si="120"/>
        <v>46064</v>
      </c>
      <c r="O837" s="6" t="e">
        <f t="shared" ca="1" si="121"/>
        <v>#VALUE!</v>
      </c>
      <c r="P837">
        <v>4</v>
      </c>
      <c r="Q837">
        <f t="shared" si="122"/>
        <v>68185</v>
      </c>
      <c r="R837" s="2">
        <f t="shared" si="123"/>
        <v>34092.5</v>
      </c>
      <c r="S837" s="2" t="str">
        <f t="shared" si="124"/>
        <v xml:space="preserve"> Not Achieved</v>
      </c>
      <c r="T837" s="2" t="str">
        <f t="shared" si="125"/>
        <v xml:space="preserve"> Excellent</v>
      </c>
      <c r="U837" s="2"/>
    </row>
    <row r="838" spans="1:21" x14ac:dyDescent="0.3">
      <c r="A838">
        <v>837</v>
      </c>
      <c r="B838" t="s">
        <v>1289</v>
      </c>
      <c r="C838" t="str">
        <f t="shared" si="117"/>
        <v>EMP_837</v>
      </c>
      <c r="D838" t="s">
        <v>11</v>
      </c>
      <c r="E838" t="str">
        <f t="shared" si="118"/>
        <v>EMP_837IT</v>
      </c>
      <c r="F838" t="s">
        <v>21</v>
      </c>
      <c r="G838" t="s">
        <v>13</v>
      </c>
      <c r="H838">
        <v>25744</v>
      </c>
      <c r="I838">
        <v>3581</v>
      </c>
      <c r="J838">
        <v>0</v>
      </c>
      <c r="K838">
        <v>0</v>
      </c>
      <c r="L838" s="4">
        <v>44934</v>
      </c>
      <c r="M838" s="4" t="str">
        <f t="shared" si="119"/>
        <v>2023</v>
      </c>
      <c r="N838" s="1">
        <f t="shared" ca="1" si="120"/>
        <v>46064</v>
      </c>
      <c r="O838" s="6">
        <f t="shared" ca="1" si="121"/>
        <v>3</v>
      </c>
      <c r="P838">
        <v>1</v>
      </c>
      <c r="Q838">
        <f t="shared" si="122"/>
        <v>29325</v>
      </c>
      <c r="R838" s="2">
        <f t="shared" si="123"/>
        <v>14662.5</v>
      </c>
      <c r="S838" s="2" t="str">
        <f t="shared" si="124"/>
        <v xml:space="preserve"> Not Achieved</v>
      </c>
      <c r="T838" s="2" t="str">
        <f t="shared" si="125"/>
        <v>poor</v>
      </c>
      <c r="U838" s="2"/>
    </row>
    <row r="839" spans="1:21" x14ac:dyDescent="0.3">
      <c r="A839">
        <v>838</v>
      </c>
      <c r="B839" t="s">
        <v>1290</v>
      </c>
      <c r="C839" t="str">
        <f t="shared" si="117"/>
        <v>EMP_838</v>
      </c>
      <c r="D839" t="s">
        <v>15</v>
      </c>
      <c r="E839" t="str">
        <f t="shared" si="118"/>
        <v>EMP_838Marketing</v>
      </c>
      <c r="F839" t="s">
        <v>24</v>
      </c>
      <c r="G839" t="s">
        <v>25</v>
      </c>
      <c r="H839">
        <v>70604</v>
      </c>
      <c r="I839">
        <v>10556</v>
      </c>
      <c r="J839">
        <v>0</v>
      </c>
      <c r="K839">
        <v>0</v>
      </c>
      <c r="L839" s="4">
        <v>45057</v>
      </c>
      <c r="M839" s="4" t="str">
        <f t="shared" si="119"/>
        <v>2023</v>
      </c>
      <c r="N839" s="1">
        <f t="shared" ca="1" si="120"/>
        <v>46064</v>
      </c>
      <c r="O839" s="6">
        <f t="shared" ca="1" si="121"/>
        <v>2</v>
      </c>
      <c r="P839">
        <v>4</v>
      </c>
      <c r="Q839">
        <f t="shared" si="122"/>
        <v>81160</v>
      </c>
      <c r="R839" s="2">
        <f t="shared" si="123"/>
        <v>40580</v>
      </c>
      <c r="S839" s="2" t="str">
        <f t="shared" si="124"/>
        <v xml:space="preserve"> Not Achieved</v>
      </c>
      <c r="T839" s="2" t="str">
        <f t="shared" si="125"/>
        <v xml:space="preserve"> Excellent</v>
      </c>
      <c r="U839" s="2"/>
    </row>
    <row r="840" spans="1:21" x14ac:dyDescent="0.3">
      <c r="A840">
        <v>839</v>
      </c>
      <c r="B840" t="s">
        <v>1291</v>
      </c>
      <c r="C840" t="str">
        <f t="shared" si="117"/>
        <v>EMP_839</v>
      </c>
      <c r="D840" t="s">
        <v>15</v>
      </c>
      <c r="E840" t="str">
        <f t="shared" si="118"/>
        <v>EMP_839HR</v>
      </c>
      <c r="F840" t="s">
        <v>12</v>
      </c>
      <c r="G840" t="s">
        <v>22</v>
      </c>
      <c r="H840">
        <v>25273</v>
      </c>
      <c r="I840">
        <v>10153</v>
      </c>
      <c r="J840">
        <v>0</v>
      </c>
      <c r="K840">
        <v>0</v>
      </c>
      <c r="L840" s="4">
        <v>44623</v>
      </c>
      <c r="M840" s="4" t="str">
        <f t="shared" si="119"/>
        <v>2022</v>
      </c>
      <c r="N840" s="1">
        <f t="shared" ca="1" si="120"/>
        <v>46064</v>
      </c>
      <c r="O840" s="6">
        <f t="shared" ca="1" si="121"/>
        <v>3</v>
      </c>
      <c r="P840">
        <v>5</v>
      </c>
      <c r="Q840">
        <f t="shared" si="122"/>
        <v>35426</v>
      </c>
      <c r="R840" s="2">
        <f t="shared" si="123"/>
        <v>17713</v>
      </c>
      <c r="S840" s="2" t="str">
        <f t="shared" si="124"/>
        <v xml:space="preserve"> Not Achieved</v>
      </c>
      <c r="T840" s="2" t="str">
        <f t="shared" si="125"/>
        <v>poor</v>
      </c>
      <c r="U840" s="2"/>
    </row>
    <row r="841" spans="1:21" x14ac:dyDescent="0.3">
      <c r="A841">
        <v>840</v>
      </c>
      <c r="B841" t="s">
        <v>1292</v>
      </c>
      <c r="C841" t="str">
        <f t="shared" si="117"/>
        <v>EMP_840</v>
      </c>
      <c r="D841" t="s">
        <v>11</v>
      </c>
      <c r="E841" t="str">
        <f t="shared" si="118"/>
        <v>EMP_840HR</v>
      </c>
      <c r="F841" t="s">
        <v>12</v>
      </c>
      <c r="G841" t="s">
        <v>13</v>
      </c>
      <c r="H841">
        <v>30859</v>
      </c>
      <c r="I841">
        <v>8703</v>
      </c>
      <c r="J841">
        <v>0</v>
      </c>
      <c r="K841">
        <v>0</v>
      </c>
      <c r="L841" s="4">
        <v>43378</v>
      </c>
      <c r="M841" s="4" t="str">
        <f t="shared" si="119"/>
        <v>2018</v>
      </c>
      <c r="N841" s="1">
        <f t="shared" ca="1" si="120"/>
        <v>46064</v>
      </c>
      <c r="O841" s="6">
        <f t="shared" ca="1" si="121"/>
        <v>7</v>
      </c>
      <c r="P841">
        <v>2</v>
      </c>
      <c r="Q841">
        <f t="shared" si="122"/>
        <v>39562</v>
      </c>
      <c r="R841" s="2">
        <f t="shared" si="123"/>
        <v>19781</v>
      </c>
      <c r="S841" s="2" t="str">
        <f t="shared" si="124"/>
        <v xml:space="preserve"> Not Achieved</v>
      </c>
      <c r="T841" s="2" t="str">
        <f t="shared" si="125"/>
        <v>Average</v>
      </c>
      <c r="U841" s="2"/>
    </row>
    <row r="842" spans="1:21" x14ac:dyDescent="0.3">
      <c r="A842">
        <v>841</v>
      </c>
      <c r="B842" t="s">
        <v>1293</v>
      </c>
      <c r="C842" t="str">
        <f t="shared" si="117"/>
        <v>EMP_841</v>
      </c>
      <c r="D842" t="s">
        <v>15</v>
      </c>
      <c r="E842" t="str">
        <f t="shared" si="118"/>
        <v>EMP_841Sales</v>
      </c>
      <c r="F842" t="s">
        <v>7</v>
      </c>
      <c r="G842" t="s">
        <v>16</v>
      </c>
      <c r="H842">
        <v>34806</v>
      </c>
      <c r="I842">
        <v>2523</v>
      </c>
      <c r="J842">
        <v>212683</v>
      </c>
      <c r="K842">
        <v>101442</v>
      </c>
      <c r="L842" s="4" t="s">
        <v>1294</v>
      </c>
      <c r="M842" s="4" t="str">
        <f t="shared" si="119"/>
        <v>2/22/2022</v>
      </c>
      <c r="N842" s="1">
        <f t="shared" ca="1" si="120"/>
        <v>46064</v>
      </c>
      <c r="O842" s="6" t="e">
        <f t="shared" ca="1" si="121"/>
        <v>#VALUE!</v>
      </c>
      <c r="P842">
        <v>2</v>
      </c>
      <c r="Q842">
        <f t="shared" si="122"/>
        <v>37329</v>
      </c>
      <c r="R842" s="2">
        <f t="shared" si="123"/>
        <v>18664.5</v>
      </c>
      <c r="S842" s="2" t="str">
        <f t="shared" si="124"/>
        <v>Achieved</v>
      </c>
      <c r="T842" s="2" t="str">
        <f t="shared" si="125"/>
        <v>Average</v>
      </c>
      <c r="U842" s="2"/>
    </row>
    <row r="843" spans="1:21" x14ac:dyDescent="0.3">
      <c r="A843">
        <v>842</v>
      </c>
      <c r="B843" t="s">
        <v>1295</v>
      </c>
      <c r="C843" t="str">
        <f t="shared" si="117"/>
        <v>EMP_842</v>
      </c>
      <c r="D843" t="s">
        <v>11</v>
      </c>
      <c r="E843" t="str">
        <f t="shared" si="118"/>
        <v>EMP_842Sales</v>
      </c>
      <c r="F843" t="s">
        <v>7</v>
      </c>
      <c r="G843" t="s">
        <v>22</v>
      </c>
      <c r="H843">
        <v>63051</v>
      </c>
      <c r="I843">
        <v>4173</v>
      </c>
      <c r="J843">
        <v>210073</v>
      </c>
      <c r="K843">
        <v>120915</v>
      </c>
      <c r="L843" s="4" t="s">
        <v>1296</v>
      </c>
      <c r="M843" s="4" t="str">
        <f t="shared" si="119"/>
        <v>1/18/2021</v>
      </c>
      <c r="N843" s="1">
        <f t="shared" ca="1" si="120"/>
        <v>46064</v>
      </c>
      <c r="O843" s="6" t="e">
        <f t="shared" ca="1" si="121"/>
        <v>#VALUE!</v>
      </c>
      <c r="P843">
        <v>1</v>
      </c>
      <c r="Q843">
        <f t="shared" si="122"/>
        <v>67224</v>
      </c>
      <c r="R843" s="2">
        <f t="shared" si="123"/>
        <v>33612</v>
      </c>
      <c r="S843" s="2" t="str">
        <f t="shared" si="124"/>
        <v>Achieved</v>
      </c>
      <c r="T843" s="2" t="str">
        <f t="shared" si="125"/>
        <v xml:space="preserve"> Excellent</v>
      </c>
      <c r="U843" s="2"/>
    </row>
    <row r="844" spans="1:21" x14ac:dyDescent="0.3">
      <c r="A844">
        <v>843</v>
      </c>
      <c r="B844" t="s">
        <v>1297</v>
      </c>
      <c r="C844" t="str">
        <f t="shared" si="117"/>
        <v>EMP_843</v>
      </c>
      <c r="D844" t="s">
        <v>11</v>
      </c>
      <c r="E844" t="str">
        <f t="shared" si="118"/>
        <v>EMP_843HR</v>
      </c>
      <c r="F844" t="s">
        <v>12</v>
      </c>
      <c r="G844" t="s">
        <v>22</v>
      </c>
      <c r="H844">
        <v>26799</v>
      </c>
      <c r="I844">
        <v>5871</v>
      </c>
      <c r="J844">
        <v>0</v>
      </c>
      <c r="K844">
        <v>0</v>
      </c>
      <c r="L844" s="4" t="s">
        <v>1298</v>
      </c>
      <c r="M844" s="4" t="str">
        <f t="shared" si="119"/>
        <v>11/28/2020</v>
      </c>
      <c r="N844" s="1">
        <f t="shared" ca="1" si="120"/>
        <v>46064</v>
      </c>
      <c r="O844" s="6" t="e">
        <f t="shared" ca="1" si="121"/>
        <v>#VALUE!</v>
      </c>
      <c r="P844">
        <v>5</v>
      </c>
      <c r="Q844">
        <f t="shared" si="122"/>
        <v>32670</v>
      </c>
      <c r="R844" s="2">
        <f t="shared" si="123"/>
        <v>16335</v>
      </c>
      <c r="S844" s="2" t="str">
        <f t="shared" si="124"/>
        <v xml:space="preserve"> Not Achieved</v>
      </c>
      <c r="T844" s="2" t="str">
        <f t="shared" si="125"/>
        <v>poor</v>
      </c>
      <c r="U844" s="2"/>
    </row>
    <row r="845" spans="1:21" x14ac:dyDescent="0.3">
      <c r="A845">
        <v>844</v>
      </c>
      <c r="B845" t="s">
        <v>1299</v>
      </c>
      <c r="C845" t="str">
        <f t="shared" si="117"/>
        <v>EMP_844</v>
      </c>
      <c r="D845" t="s">
        <v>11</v>
      </c>
      <c r="E845" t="str">
        <f t="shared" si="118"/>
        <v>EMP_844HR</v>
      </c>
      <c r="F845" t="s">
        <v>12</v>
      </c>
      <c r="G845" t="s">
        <v>19</v>
      </c>
      <c r="H845">
        <v>62691</v>
      </c>
      <c r="I845">
        <v>7961</v>
      </c>
      <c r="J845">
        <v>0</v>
      </c>
      <c r="K845">
        <v>0</v>
      </c>
      <c r="L845" s="4" t="s">
        <v>468</v>
      </c>
      <c r="M845" s="4" t="str">
        <f t="shared" si="119"/>
        <v>10/27/2020</v>
      </c>
      <c r="N845" s="1">
        <f t="shared" ca="1" si="120"/>
        <v>46064</v>
      </c>
      <c r="O845" s="6" t="e">
        <f t="shared" ca="1" si="121"/>
        <v>#VALUE!</v>
      </c>
      <c r="P845">
        <v>2</v>
      </c>
      <c r="Q845">
        <f t="shared" si="122"/>
        <v>70652</v>
      </c>
      <c r="R845" s="2">
        <f t="shared" si="123"/>
        <v>35326</v>
      </c>
      <c r="S845" s="2" t="str">
        <f t="shared" si="124"/>
        <v xml:space="preserve"> Not Achieved</v>
      </c>
      <c r="T845" s="2" t="str">
        <f t="shared" si="125"/>
        <v xml:space="preserve"> Excellent</v>
      </c>
      <c r="U845" s="2"/>
    </row>
    <row r="846" spans="1:21" x14ac:dyDescent="0.3">
      <c r="A846">
        <v>845</v>
      </c>
      <c r="B846" t="s">
        <v>1300</v>
      </c>
      <c r="C846" t="str">
        <f t="shared" si="117"/>
        <v>EMP_845</v>
      </c>
      <c r="D846" t="s">
        <v>11</v>
      </c>
      <c r="E846" t="str">
        <f t="shared" si="118"/>
        <v>EMP_845Sales</v>
      </c>
      <c r="F846" t="s">
        <v>7</v>
      </c>
      <c r="G846" t="s">
        <v>25</v>
      </c>
      <c r="H846">
        <v>32011</v>
      </c>
      <c r="I846">
        <v>9249</v>
      </c>
      <c r="J846">
        <v>78139</v>
      </c>
      <c r="K846">
        <v>133856</v>
      </c>
      <c r="L846" s="4" t="s">
        <v>1301</v>
      </c>
      <c r="M846" s="4" t="str">
        <f t="shared" si="119"/>
        <v>12/28/2023</v>
      </c>
      <c r="N846" s="1">
        <f t="shared" ca="1" si="120"/>
        <v>46064</v>
      </c>
      <c r="O846" s="6" t="e">
        <f t="shared" ca="1" si="121"/>
        <v>#VALUE!</v>
      </c>
      <c r="P846">
        <v>4</v>
      </c>
      <c r="Q846">
        <f t="shared" si="122"/>
        <v>41260</v>
      </c>
      <c r="R846" s="2">
        <f t="shared" si="123"/>
        <v>20630</v>
      </c>
      <c r="S846" s="2" t="str">
        <f t="shared" si="124"/>
        <v xml:space="preserve"> Not Achieved</v>
      </c>
      <c r="T846" s="2" t="str">
        <f t="shared" si="125"/>
        <v>Average</v>
      </c>
      <c r="U846" s="2"/>
    </row>
    <row r="847" spans="1:21" x14ac:dyDescent="0.3">
      <c r="A847">
        <v>846</v>
      </c>
      <c r="B847" t="s">
        <v>1302</v>
      </c>
      <c r="C847" t="str">
        <f t="shared" si="117"/>
        <v>EMP_846</v>
      </c>
      <c r="D847" t="s">
        <v>15</v>
      </c>
      <c r="E847" t="str">
        <f t="shared" si="118"/>
        <v>EMP_846HR</v>
      </c>
      <c r="F847" t="s">
        <v>12</v>
      </c>
      <c r="G847" t="s">
        <v>22</v>
      </c>
      <c r="H847">
        <v>26610</v>
      </c>
      <c r="I847">
        <v>9019</v>
      </c>
      <c r="J847">
        <v>0</v>
      </c>
      <c r="K847">
        <v>0</v>
      </c>
      <c r="L847" s="4" t="s">
        <v>1303</v>
      </c>
      <c r="M847" s="4" t="str">
        <f t="shared" si="119"/>
        <v>5/27/2022</v>
      </c>
      <c r="N847" s="1">
        <f t="shared" ca="1" si="120"/>
        <v>46064</v>
      </c>
      <c r="O847" s="6" t="e">
        <f t="shared" ca="1" si="121"/>
        <v>#VALUE!</v>
      </c>
      <c r="P847">
        <v>3</v>
      </c>
      <c r="Q847">
        <f t="shared" si="122"/>
        <v>35629</v>
      </c>
      <c r="R847" s="2">
        <f t="shared" si="123"/>
        <v>17814.5</v>
      </c>
      <c r="S847" s="2" t="str">
        <f t="shared" si="124"/>
        <v xml:space="preserve"> Not Achieved</v>
      </c>
      <c r="T847" s="2" t="str">
        <f t="shared" si="125"/>
        <v>poor</v>
      </c>
      <c r="U847" s="2"/>
    </row>
    <row r="848" spans="1:21" x14ac:dyDescent="0.3">
      <c r="A848">
        <v>847</v>
      </c>
      <c r="B848" t="s">
        <v>1304</v>
      </c>
      <c r="C848" t="str">
        <f t="shared" si="117"/>
        <v>EMP_847</v>
      </c>
      <c r="D848" t="s">
        <v>11</v>
      </c>
      <c r="E848" t="str">
        <f t="shared" si="118"/>
        <v>EMP_847IT</v>
      </c>
      <c r="F848" t="s">
        <v>21</v>
      </c>
      <c r="G848" t="s">
        <v>25</v>
      </c>
      <c r="H848">
        <v>23095</v>
      </c>
      <c r="I848">
        <v>7491</v>
      </c>
      <c r="J848">
        <v>0</v>
      </c>
      <c r="K848">
        <v>0</v>
      </c>
      <c r="L848" s="4" t="s">
        <v>1305</v>
      </c>
      <c r="M848" s="4" t="str">
        <f t="shared" si="119"/>
        <v>5/15/2021</v>
      </c>
      <c r="N848" s="1">
        <f t="shared" ca="1" si="120"/>
        <v>46064</v>
      </c>
      <c r="O848" s="6" t="e">
        <f t="shared" ca="1" si="121"/>
        <v>#VALUE!</v>
      </c>
      <c r="P848">
        <v>4</v>
      </c>
      <c r="Q848">
        <f t="shared" si="122"/>
        <v>30586</v>
      </c>
      <c r="R848" s="2">
        <f t="shared" si="123"/>
        <v>15293</v>
      </c>
      <c r="S848" s="2" t="str">
        <f t="shared" si="124"/>
        <v xml:space="preserve"> Not Achieved</v>
      </c>
      <c r="T848" s="2" t="str">
        <f t="shared" si="125"/>
        <v>poor</v>
      </c>
      <c r="U848" s="2"/>
    </row>
    <row r="849" spans="1:21" x14ac:dyDescent="0.3">
      <c r="A849">
        <v>848</v>
      </c>
      <c r="B849" t="s">
        <v>1306</v>
      </c>
      <c r="C849" t="str">
        <f t="shared" si="117"/>
        <v>EMP_848</v>
      </c>
      <c r="D849" t="s">
        <v>15</v>
      </c>
      <c r="E849" t="str">
        <f t="shared" si="118"/>
        <v>EMP_848IT</v>
      </c>
      <c r="F849" t="s">
        <v>21</v>
      </c>
      <c r="G849" t="s">
        <v>22</v>
      </c>
      <c r="H849">
        <v>23090</v>
      </c>
      <c r="I849">
        <v>4694</v>
      </c>
      <c r="J849">
        <v>0</v>
      </c>
      <c r="K849">
        <v>0</v>
      </c>
      <c r="L849" s="4" t="s">
        <v>1307</v>
      </c>
      <c r="M849" s="4" t="str">
        <f t="shared" si="119"/>
        <v>12/21/2020</v>
      </c>
      <c r="N849" s="1">
        <f t="shared" ca="1" si="120"/>
        <v>46064</v>
      </c>
      <c r="O849" s="6" t="e">
        <f t="shared" ca="1" si="121"/>
        <v>#VALUE!</v>
      </c>
      <c r="P849">
        <v>1</v>
      </c>
      <c r="Q849">
        <f t="shared" si="122"/>
        <v>27784</v>
      </c>
      <c r="R849" s="2">
        <f t="shared" si="123"/>
        <v>13892</v>
      </c>
      <c r="S849" s="2" t="str">
        <f t="shared" si="124"/>
        <v xml:space="preserve"> Not Achieved</v>
      </c>
      <c r="T849" s="2" t="str">
        <f t="shared" si="125"/>
        <v>poor</v>
      </c>
      <c r="U849" s="2"/>
    </row>
    <row r="850" spans="1:21" x14ac:dyDescent="0.3">
      <c r="A850">
        <v>849</v>
      </c>
      <c r="B850" t="s">
        <v>1308</v>
      </c>
      <c r="C850" t="str">
        <f t="shared" si="117"/>
        <v>EMP_849</v>
      </c>
      <c r="D850" t="s">
        <v>11</v>
      </c>
      <c r="E850" t="str">
        <f t="shared" si="118"/>
        <v>EMP_849Marketing</v>
      </c>
      <c r="F850" t="s">
        <v>24</v>
      </c>
      <c r="G850" t="s">
        <v>19</v>
      </c>
      <c r="H850">
        <v>27506</v>
      </c>
      <c r="I850">
        <v>13592</v>
      </c>
      <c r="J850">
        <v>0</v>
      </c>
      <c r="K850">
        <v>0</v>
      </c>
      <c r="L850" s="4" t="s">
        <v>804</v>
      </c>
      <c r="M850" s="4" t="str">
        <f t="shared" si="119"/>
        <v>4/17/2021</v>
      </c>
      <c r="N850" s="1">
        <f t="shared" ca="1" si="120"/>
        <v>46064</v>
      </c>
      <c r="O850" s="6" t="e">
        <f t="shared" ca="1" si="121"/>
        <v>#VALUE!</v>
      </c>
      <c r="P850">
        <v>5</v>
      </c>
      <c r="Q850">
        <f t="shared" si="122"/>
        <v>41098</v>
      </c>
      <c r="R850" s="2">
        <f t="shared" si="123"/>
        <v>20549</v>
      </c>
      <c r="S850" s="2" t="str">
        <f t="shared" si="124"/>
        <v xml:space="preserve"> Not Achieved</v>
      </c>
      <c r="T850" s="2" t="str">
        <f t="shared" si="125"/>
        <v>poor</v>
      </c>
      <c r="U850" s="2"/>
    </row>
    <row r="851" spans="1:21" x14ac:dyDescent="0.3">
      <c r="A851">
        <v>850</v>
      </c>
      <c r="B851" t="s">
        <v>1309</v>
      </c>
      <c r="C851" t="str">
        <f t="shared" si="117"/>
        <v>EMP_850</v>
      </c>
      <c r="D851" t="s">
        <v>11</v>
      </c>
      <c r="E851" t="str">
        <f t="shared" si="118"/>
        <v>EMP_850Sales</v>
      </c>
      <c r="F851" t="s">
        <v>7</v>
      </c>
      <c r="G851" t="s">
        <v>25</v>
      </c>
      <c r="H851">
        <v>33335</v>
      </c>
      <c r="I851">
        <v>10011</v>
      </c>
      <c r="J851">
        <v>265120</v>
      </c>
      <c r="K851">
        <v>170779</v>
      </c>
      <c r="L851" s="4" t="s">
        <v>1310</v>
      </c>
      <c r="M851" s="4" t="str">
        <f t="shared" si="119"/>
        <v>2/14/2022</v>
      </c>
      <c r="N851" s="1">
        <f t="shared" ca="1" si="120"/>
        <v>46064</v>
      </c>
      <c r="O851" s="6" t="e">
        <f t="shared" ca="1" si="121"/>
        <v>#VALUE!</v>
      </c>
      <c r="P851">
        <v>3</v>
      </c>
      <c r="Q851">
        <f t="shared" si="122"/>
        <v>43346</v>
      </c>
      <c r="R851" s="2">
        <f t="shared" si="123"/>
        <v>21673</v>
      </c>
      <c r="S851" s="2" t="str">
        <f t="shared" si="124"/>
        <v>Achieved</v>
      </c>
      <c r="T851" s="2" t="str">
        <f t="shared" si="125"/>
        <v>Average</v>
      </c>
      <c r="U851" s="2"/>
    </row>
    <row r="852" spans="1:21" x14ac:dyDescent="0.3">
      <c r="A852">
        <v>851</v>
      </c>
      <c r="B852" t="s">
        <v>1311</v>
      </c>
      <c r="C852" t="str">
        <f t="shared" si="117"/>
        <v>EMP_851</v>
      </c>
      <c r="D852" t="s">
        <v>15</v>
      </c>
      <c r="E852" t="str">
        <f t="shared" si="118"/>
        <v>EMP_851IT</v>
      </c>
      <c r="F852" t="s">
        <v>21</v>
      </c>
      <c r="G852" t="s">
        <v>25</v>
      </c>
      <c r="H852">
        <v>28107</v>
      </c>
      <c r="I852">
        <v>13402</v>
      </c>
      <c r="J852">
        <v>0</v>
      </c>
      <c r="K852">
        <v>0</v>
      </c>
      <c r="L852" s="4" t="s">
        <v>1312</v>
      </c>
      <c r="M852" s="4" t="str">
        <f t="shared" si="119"/>
        <v>11/30/2022</v>
      </c>
      <c r="N852" s="1">
        <f t="shared" ca="1" si="120"/>
        <v>46064</v>
      </c>
      <c r="O852" s="6" t="e">
        <f t="shared" ca="1" si="121"/>
        <v>#VALUE!</v>
      </c>
      <c r="P852">
        <v>1</v>
      </c>
      <c r="Q852">
        <f t="shared" si="122"/>
        <v>41509</v>
      </c>
      <c r="R852" s="2">
        <f t="shared" si="123"/>
        <v>20754.5</v>
      </c>
      <c r="S852" s="2" t="str">
        <f t="shared" si="124"/>
        <v xml:space="preserve"> Not Achieved</v>
      </c>
      <c r="T852" s="2" t="str">
        <f t="shared" si="125"/>
        <v>poor</v>
      </c>
      <c r="U852" s="2"/>
    </row>
    <row r="853" spans="1:21" x14ac:dyDescent="0.3">
      <c r="A853">
        <v>852</v>
      </c>
      <c r="B853" t="s">
        <v>1313</v>
      </c>
      <c r="C853" t="str">
        <f t="shared" si="117"/>
        <v>EMP_852</v>
      </c>
      <c r="D853" t="s">
        <v>11</v>
      </c>
      <c r="E853" t="str">
        <f t="shared" si="118"/>
        <v>EMP_852HR</v>
      </c>
      <c r="F853" t="s">
        <v>12</v>
      </c>
      <c r="G853" t="s">
        <v>22</v>
      </c>
      <c r="H853">
        <v>26405</v>
      </c>
      <c r="I853">
        <v>6494</v>
      </c>
      <c r="J853">
        <v>0</v>
      </c>
      <c r="K853">
        <v>0</v>
      </c>
      <c r="L853" s="4">
        <v>44050</v>
      </c>
      <c r="M853" s="4" t="str">
        <f t="shared" si="119"/>
        <v>2020</v>
      </c>
      <c r="N853" s="1">
        <f t="shared" ca="1" si="120"/>
        <v>46064</v>
      </c>
      <c r="O853" s="6">
        <f t="shared" ca="1" si="121"/>
        <v>5</v>
      </c>
      <c r="P853">
        <v>4</v>
      </c>
      <c r="Q853">
        <f t="shared" si="122"/>
        <v>32899</v>
      </c>
      <c r="R853" s="2">
        <f t="shared" si="123"/>
        <v>16449.5</v>
      </c>
      <c r="S853" s="2" t="str">
        <f t="shared" si="124"/>
        <v xml:space="preserve"> Not Achieved</v>
      </c>
      <c r="T853" s="2" t="str">
        <f t="shared" si="125"/>
        <v>poor</v>
      </c>
      <c r="U853" s="2"/>
    </row>
    <row r="854" spans="1:21" x14ac:dyDescent="0.3">
      <c r="A854">
        <v>853</v>
      </c>
      <c r="B854" t="s">
        <v>1314</v>
      </c>
      <c r="C854" t="str">
        <f t="shared" si="117"/>
        <v>EMP_853</v>
      </c>
      <c r="D854" t="s">
        <v>15</v>
      </c>
      <c r="E854" t="str">
        <f t="shared" si="118"/>
        <v>EMP_853HR</v>
      </c>
      <c r="F854" t="s">
        <v>12</v>
      </c>
      <c r="G854" t="s">
        <v>22</v>
      </c>
      <c r="H854">
        <v>45067</v>
      </c>
      <c r="I854">
        <v>7534</v>
      </c>
      <c r="J854">
        <v>0</v>
      </c>
      <c r="K854">
        <v>0</v>
      </c>
      <c r="L854" s="4" t="s">
        <v>1315</v>
      </c>
      <c r="M854" s="4" t="str">
        <f t="shared" si="119"/>
        <v>7/16/2023</v>
      </c>
      <c r="N854" s="1">
        <f t="shared" ca="1" si="120"/>
        <v>46064</v>
      </c>
      <c r="O854" s="6" t="e">
        <f t="shared" ca="1" si="121"/>
        <v>#VALUE!</v>
      </c>
      <c r="P854">
        <v>1</v>
      </c>
      <c r="Q854">
        <f t="shared" si="122"/>
        <v>52601</v>
      </c>
      <c r="R854" s="2">
        <f t="shared" si="123"/>
        <v>26300.5</v>
      </c>
      <c r="S854" s="2" t="str">
        <f t="shared" si="124"/>
        <v xml:space="preserve"> Not Achieved</v>
      </c>
      <c r="T854" s="2" t="str">
        <f t="shared" si="125"/>
        <v>Good</v>
      </c>
      <c r="U854" s="2"/>
    </row>
    <row r="855" spans="1:21" x14ac:dyDescent="0.3">
      <c r="A855">
        <v>854</v>
      </c>
      <c r="B855" t="s">
        <v>1316</v>
      </c>
      <c r="C855" t="str">
        <f t="shared" si="117"/>
        <v>EMP_854</v>
      </c>
      <c r="D855" t="s">
        <v>15</v>
      </c>
      <c r="E855" t="str">
        <f t="shared" si="118"/>
        <v>EMP_854HR</v>
      </c>
      <c r="F855" t="s">
        <v>12</v>
      </c>
      <c r="G855" t="s">
        <v>25</v>
      </c>
      <c r="H855">
        <v>53843</v>
      </c>
      <c r="I855">
        <v>4158</v>
      </c>
      <c r="J855">
        <v>0</v>
      </c>
      <c r="K855">
        <v>0</v>
      </c>
      <c r="L855" s="4" t="s">
        <v>1317</v>
      </c>
      <c r="M855" s="4" t="str">
        <f t="shared" si="119"/>
        <v>8/26/2023</v>
      </c>
      <c r="N855" s="1">
        <f t="shared" ca="1" si="120"/>
        <v>46064</v>
      </c>
      <c r="O855" s="6" t="e">
        <f t="shared" ca="1" si="121"/>
        <v>#VALUE!</v>
      </c>
      <c r="P855">
        <v>2</v>
      </c>
      <c r="Q855">
        <f t="shared" si="122"/>
        <v>58001</v>
      </c>
      <c r="R855" s="2">
        <f t="shared" si="123"/>
        <v>29000.5</v>
      </c>
      <c r="S855" s="2" t="str">
        <f t="shared" si="124"/>
        <v xml:space="preserve"> Not Achieved</v>
      </c>
      <c r="T855" s="2" t="str">
        <f t="shared" si="125"/>
        <v xml:space="preserve"> Excellent</v>
      </c>
      <c r="U855" s="2"/>
    </row>
    <row r="856" spans="1:21" x14ac:dyDescent="0.3">
      <c r="A856">
        <v>855</v>
      </c>
      <c r="B856" t="s">
        <v>1318</v>
      </c>
      <c r="C856" t="str">
        <f t="shared" si="117"/>
        <v>EMP_855</v>
      </c>
      <c r="D856" t="s">
        <v>11</v>
      </c>
      <c r="E856" t="str">
        <f t="shared" si="118"/>
        <v>EMP_855Sales</v>
      </c>
      <c r="F856" t="s">
        <v>7</v>
      </c>
      <c r="G856" t="s">
        <v>13</v>
      </c>
      <c r="H856">
        <v>35068</v>
      </c>
      <c r="I856">
        <v>2918</v>
      </c>
      <c r="J856">
        <v>91702</v>
      </c>
      <c r="K856">
        <v>214718</v>
      </c>
      <c r="L856" s="4">
        <v>43533</v>
      </c>
      <c r="M856" s="4" t="str">
        <f t="shared" si="119"/>
        <v>2019</v>
      </c>
      <c r="N856" s="1">
        <f t="shared" ca="1" si="120"/>
        <v>46064</v>
      </c>
      <c r="O856" s="6">
        <f t="shared" ca="1" si="121"/>
        <v>6</v>
      </c>
      <c r="P856">
        <v>1</v>
      </c>
      <c r="Q856">
        <f t="shared" si="122"/>
        <v>37986</v>
      </c>
      <c r="R856" s="2">
        <f t="shared" si="123"/>
        <v>18993</v>
      </c>
      <c r="S856" s="2" t="str">
        <f t="shared" si="124"/>
        <v xml:space="preserve"> Not Achieved</v>
      </c>
      <c r="T856" s="2" t="str">
        <f t="shared" si="125"/>
        <v>Average</v>
      </c>
      <c r="U856" s="2"/>
    </row>
    <row r="857" spans="1:21" x14ac:dyDescent="0.3">
      <c r="A857">
        <v>856</v>
      </c>
      <c r="B857" t="s">
        <v>1319</v>
      </c>
      <c r="C857" t="str">
        <f t="shared" si="117"/>
        <v>EMP_856</v>
      </c>
      <c r="D857" t="s">
        <v>15</v>
      </c>
      <c r="E857" t="str">
        <f t="shared" si="118"/>
        <v>EMP_856HR</v>
      </c>
      <c r="F857" t="s">
        <v>12</v>
      </c>
      <c r="G857" t="s">
        <v>19</v>
      </c>
      <c r="H857">
        <v>45003</v>
      </c>
      <c r="I857">
        <v>12545</v>
      </c>
      <c r="J857">
        <v>0</v>
      </c>
      <c r="K857">
        <v>0</v>
      </c>
      <c r="L857" s="4" t="s">
        <v>186</v>
      </c>
      <c r="M857" s="4" t="str">
        <f t="shared" si="119"/>
        <v>9/19/2018</v>
      </c>
      <c r="N857" s="1">
        <f t="shared" ca="1" si="120"/>
        <v>46064</v>
      </c>
      <c r="O857" s="6" t="e">
        <f t="shared" ca="1" si="121"/>
        <v>#VALUE!</v>
      </c>
      <c r="P857">
        <v>2</v>
      </c>
      <c r="Q857">
        <f t="shared" si="122"/>
        <v>57548</v>
      </c>
      <c r="R857" s="2">
        <f t="shared" si="123"/>
        <v>28774</v>
      </c>
      <c r="S857" s="2" t="str">
        <f t="shared" si="124"/>
        <v xml:space="preserve"> Not Achieved</v>
      </c>
      <c r="T857" s="2" t="str">
        <f t="shared" si="125"/>
        <v>Good</v>
      </c>
      <c r="U857" s="2"/>
    </row>
    <row r="858" spans="1:21" x14ac:dyDescent="0.3">
      <c r="A858">
        <v>857</v>
      </c>
      <c r="B858" t="s">
        <v>1320</v>
      </c>
      <c r="C858" t="str">
        <f t="shared" si="117"/>
        <v>EMP_857</v>
      </c>
      <c r="D858" t="s">
        <v>15</v>
      </c>
      <c r="E858" t="str">
        <f t="shared" si="118"/>
        <v>EMP_857Marketing</v>
      </c>
      <c r="F858" t="s">
        <v>24</v>
      </c>
      <c r="G858" t="s">
        <v>16</v>
      </c>
      <c r="H858">
        <v>29602</v>
      </c>
      <c r="I858">
        <v>6896</v>
      </c>
      <c r="J858">
        <v>0</v>
      </c>
      <c r="K858">
        <v>0</v>
      </c>
      <c r="L858" s="4">
        <v>45112</v>
      </c>
      <c r="M858" s="4" t="str">
        <f t="shared" si="119"/>
        <v>2023</v>
      </c>
      <c r="N858" s="1">
        <f t="shared" ca="1" si="120"/>
        <v>46064</v>
      </c>
      <c r="O858" s="6">
        <f t="shared" ca="1" si="121"/>
        <v>2</v>
      </c>
      <c r="P858">
        <v>3</v>
      </c>
      <c r="Q858">
        <f t="shared" si="122"/>
        <v>36498</v>
      </c>
      <c r="R858" s="2">
        <f t="shared" si="123"/>
        <v>18249</v>
      </c>
      <c r="S858" s="2" t="str">
        <f t="shared" si="124"/>
        <v xml:space="preserve"> Not Achieved</v>
      </c>
      <c r="T858" s="2" t="str">
        <f t="shared" si="125"/>
        <v>poor</v>
      </c>
      <c r="U858" s="2"/>
    </row>
    <row r="859" spans="1:21" x14ac:dyDescent="0.3">
      <c r="A859">
        <v>858</v>
      </c>
      <c r="B859" t="s">
        <v>1321</v>
      </c>
      <c r="C859" t="str">
        <f t="shared" si="117"/>
        <v>EMP_858</v>
      </c>
      <c r="D859" t="s">
        <v>15</v>
      </c>
      <c r="E859" t="str">
        <f t="shared" si="118"/>
        <v>EMP_858HR</v>
      </c>
      <c r="F859" t="s">
        <v>12</v>
      </c>
      <c r="G859" t="s">
        <v>19</v>
      </c>
      <c r="H859">
        <v>64804</v>
      </c>
      <c r="I859">
        <v>5604</v>
      </c>
      <c r="J859">
        <v>0</v>
      </c>
      <c r="K859">
        <v>0</v>
      </c>
      <c r="L859" s="4" t="s">
        <v>1322</v>
      </c>
      <c r="M859" s="4" t="str">
        <f t="shared" si="119"/>
        <v>2/27/2021</v>
      </c>
      <c r="N859" s="1">
        <f t="shared" ca="1" si="120"/>
        <v>46064</v>
      </c>
      <c r="O859" s="6" t="e">
        <f t="shared" ca="1" si="121"/>
        <v>#VALUE!</v>
      </c>
      <c r="P859">
        <v>2</v>
      </c>
      <c r="Q859">
        <f t="shared" si="122"/>
        <v>70408</v>
      </c>
      <c r="R859" s="2">
        <f t="shared" si="123"/>
        <v>35204</v>
      </c>
      <c r="S859" s="2" t="str">
        <f t="shared" si="124"/>
        <v xml:space="preserve"> Not Achieved</v>
      </c>
      <c r="T859" s="2" t="str">
        <f t="shared" si="125"/>
        <v xml:space="preserve"> Excellent</v>
      </c>
      <c r="U859" s="2"/>
    </row>
    <row r="860" spans="1:21" x14ac:dyDescent="0.3">
      <c r="A860">
        <v>859</v>
      </c>
      <c r="B860" t="s">
        <v>1323</v>
      </c>
      <c r="C860" t="str">
        <f t="shared" si="117"/>
        <v>EMP_859</v>
      </c>
      <c r="D860" t="s">
        <v>11</v>
      </c>
      <c r="E860" t="str">
        <f t="shared" si="118"/>
        <v>EMP_859Marketing</v>
      </c>
      <c r="F860" t="s">
        <v>24</v>
      </c>
      <c r="G860" t="s">
        <v>19</v>
      </c>
      <c r="H860">
        <v>57187</v>
      </c>
      <c r="I860">
        <v>11773</v>
      </c>
      <c r="J860">
        <v>0</v>
      </c>
      <c r="K860">
        <v>0</v>
      </c>
      <c r="L860" s="4">
        <v>45139</v>
      </c>
      <c r="M860" s="4" t="str">
        <f t="shared" si="119"/>
        <v>2023</v>
      </c>
      <c r="N860" s="1">
        <f t="shared" ca="1" si="120"/>
        <v>46064</v>
      </c>
      <c r="O860" s="6">
        <f t="shared" ca="1" si="121"/>
        <v>2</v>
      </c>
      <c r="P860">
        <v>1</v>
      </c>
      <c r="Q860">
        <f t="shared" si="122"/>
        <v>68960</v>
      </c>
      <c r="R860" s="2">
        <f t="shared" si="123"/>
        <v>34480</v>
      </c>
      <c r="S860" s="2" t="str">
        <f t="shared" si="124"/>
        <v xml:space="preserve"> Not Achieved</v>
      </c>
      <c r="T860" s="2" t="str">
        <f t="shared" si="125"/>
        <v xml:space="preserve"> Excellent</v>
      </c>
      <c r="U860" s="2"/>
    </row>
    <row r="861" spans="1:21" x14ac:dyDescent="0.3">
      <c r="A861">
        <v>860</v>
      </c>
      <c r="B861" t="s">
        <v>1324</v>
      </c>
      <c r="C861" t="str">
        <f t="shared" si="117"/>
        <v>EMP_860</v>
      </c>
      <c r="D861" t="s">
        <v>11</v>
      </c>
      <c r="E861" t="str">
        <f t="shared" si="118"/>
        <v>EMP_860IT</v>
      </c>
      <c r="F861" t="s">
        <v>21</v>
      </c>
      <c r="G861" t="s">
        <v>22</v>
      </c>
      <c r="H861">
        <v>66483</v>
      </c>
      <c r="I861">
        <v>9417</v>
      </c>
      <c r="J861">
        <v>0</v>
      </c>
      <c r="K861">
        <v>0</v>
      </c>
      <c r="L861" s="4">
        <v>44719</v>
      </c>
      <c r="M861" s="4" t="str">
        <f t="shared" si="119"/>
        <v>2022</v>
      </c>
      <c r="N861" s="1">
        <f t="shared" ca="1" si="120"/>
        <v>46064</v>
      </c>
      <c r="O861" s="6">
        <f t="shared" ca="1" si="121"/>
        <v>3</v>
      </c>
      <c r="P861">
        <v>3</v>
      </c>
      <c r="Q861">
        <f t="shared" si="122"/>
        <v>75900</v>
      </c>
      <c r="R861" s="2">
        <f t="shared" si="123"/>
        <v>37950</v>
      </c>
      <c r="S861" s="2" t="str">
        <f t="shared" si="124"/>
        <v xml:space="preserve"> Not Achieved</v>
      </c>
      <c r="T861" s="2" t="str">
        <f t="shared" si="125"/>
        <v xml:space="preserve"> Excellent</v>
      </c>
      <c r="U861" s="2"/>
    </row>
    <row r="862" spans="1:21" x14ac:dyDescent="0.3">
      <c r="A862">
        <v>861</v>
      </c>
      <c r="B862" t="s">
        <v>1325</v>
      </c>
      <c r="C862" t="str">
        <f t="shared" si="117"/>
        <v>EMP_861</v>
      </c>
      <c r="D862" t="s">
        <v>11</v>
      </c>
      <c r="E862" t="str">
        <f t="shared" si="118"/>
        <v>EMP_861Sales</v>
      </c>
      <c r="F862" t="s">
        <v>7</v>
      </c>
      <c r="G862" t="s">
        <v>22</v>
      </c>
      <c r="H862">
        <v>46952</v>
      </c>
      <c r="I862">
        <v>13239</v>
      </c>
      <c r="J862">
        <v>274747</v>
      </c>
      <c r="K862">
        <v>190114</v>
      </c>
      <c r="L862" s="4" t="s">
        <v>559</v>
      </c>
      <c r="M862" s="4" t="str">
        <f t="shared" si="119"/>
        <v>12/28/2018</v>
      </c>
      <c r="N862" s="1">
        <f t="shared" ca="1" si="120"/>
        <v>46064</v>
      </c>
      <c r="O862" s="6" t="e">
        <f t="shared" ca="1" si="121"/>
        <v>#VALUE!</v>
      </c>
      <c r="P862">
        <v>1</v>
      </c>
      <c r="Q862">
        <f t="shared" si="122"/>
        <v>60191</v>
      </c>
      <c r="R862" s="2">
        <f t="shared" si="123"/>
        <v>30095.5</v>
      </c>
      <c r="S862" s="2" t="str">
        <f t="shared" si="124"/>
        <v>Achieved</v>
      </c>
      <c r="T862" s="2" t="str">
        <f t="shared" si="125"/>
        <v>Good</v>
      </c>
      <c r="U862" s="2"/>
    </row>
    <row r="863" spans="1:21" x14ac:dyDescent="0.3">
      <c r="A863">
        <v>862</v>
      </c>
      <c r="B863" t="s">
        <v>1326</v>
      </c>
      <c r="C863" t="str">
        <f t="shared" si="117"/>
        <v>EMP_862</v>
      </c>
      <c r="D863" t="s">
        <v>11</v>
      </c>
      <c r="E863" t="str">
        <f t="shared" si="118"/>
        <v>EMP_862HR</v>
      </c>
      <c r="F863" t="s">
        <v>12</v>
      </c>
      <c r="G863" t="s">
        <v>16</v>
      </c>
      <c r="H863">
        <v>54536</v>
      </c>
      <c r="I863">
        <v>5252</v>
      </c>
      <c r="J863">
        <v>0</v>
      </c>
      <c r="K863">
        <v>0</v>
      </c>
      <c r="L863" s="4">
        <v>43222</v>
      </c>
      <c r="M863" s="4" t="str">
        <f t="shared" si="119"/>
        <v>2018</v>
      </c>
      <c r="N863" s="1">
        <f t="shared" ca="1" si="120"/>
        <v>46064</v>
      </c>
      <c r="O863" s="6">
        <f t="shared" ca="1" si="121"/>
        <v>7</v>
      </c>
      <c r="P863">
        <v>5</v>
      </c>
      <c r="Q863">
        <f t="shared" si="122"/>
        <v>59788</v>
      </c>
      <c r="R863" s="2">
        <f t="shared" si="123"/>
        <v>29894</v>
      </c>
      <c r="S863" s="2" t="str">
        <f t="shared" si="124"/>
        <v xml:space="preserve"> Not Achieved</v>
      </c>
      <c r="T863" s="2" t="str">
        <f t="shared" si="125"/>
        <v xml:space="preserve"> Excellent</v>
      </c>
      <c r="U863" s="2"/>
    </row>
    <row r="864" spans="1:21" x14ac:dyDescent="0.3">
      <c r="A864">
        <v>863</v>
      </c>
      <c r="B864" t="s">
        <v>1327</v>
      </c>
      <c r="C864" t="str">
        <f t="shared" si="117"/>
        <v>EMP_863</v>
      </c>
      <c r="D864" t="s">
        <v>11</v>
      </c>
      <c r="E864" t="str">
        <f t="shared" si="118"/>
        <v>EMP_863IT</v>
      </c>
      <c r="F864" t="s">
        <v>21</v>
      </c>
      <c r="G864" t="s">
        <v>13</v>
      </c>
      <c r="H864">
        <v>66305</v>
      </c>
      <c r="I864">
        <v>11292</v>
      </c>
      <c r="J864">
        <v>0</v>
      </c>
      <c r="K864">
        <v>0</v>
      </c>
      <c r="L864" s="4">
        <v>43110</v>
      </c>
      <c r="M864" s="4" t="str">
        <f t="shared" si="119"/>
        <v>2018</v>
      </c>
      <c r="N864" s="1">
        <f t="shared" ca="1" si="120"/>
        <v>46064</v>
      </c>
      <c r="O864" s="6">
        <f t="shared" ca="1" si="121"/>
        <v>8</v>
      </c>
      <c r="P864">
        <v>2</v>
      </c>
      <c r="Q864">
        <f t="shared" si="122"/>
        <v>77597</v>
      </c>
      <c r="R864" s="2">
        <f t="shared" si="123"/>
        <v>38798.5</v>
      </c>
      <c r="S864" s="2" t="str">
        <f t="shared" si="124"/>
        <v xml:space="preserve"> Not Achieved</v>
      </c>
      <c r="T864" s="2" t="str">
        <f t="shared" si="125"/>
        <v xml:space="preserve"> Excellent</v>
      </c>
      <c r="U864" s="2"/>
    </row>
    <row r="865" spans="1:21" x14ac:dyDescent="0.3">
      <c r="A865">
        <v>864</v>
      </c>
      <c r="B865" t="s">
        <v>1328</v>
      </c>
      <c r="C865" t="str">
        <f t="shared" si="117"/>
        <v>EMP_864</v>
      </c>
      <c r="D865" t="s">
        <v>15</v>
      </c>
      <c r="E865" t="str">
        <f t="shared" si="118"/>
        <v>EMP_864Marketing</v>
      </c>
      <c r="F865" t="s">
        <v>24</v>
      </c>
      <c r="G865" t="s">
        <v>22</v>
      </c>
      <c r="H865">
        <v>25402</v>
      </c>
      <c r="I865">
        <v>7822</v>
      </c>
      <c r="J865">
        <v>0</v>
      </c>
      <c r="K865">
        <v>0</v>
      </c>
      <c r="L865" s="4">
        <v>45476</v>
      </c>
      <c r="M865" s="4" t="str">
        <f t="shared" si="119"/>
        <v>2024</v>
      </c>
      <c r="N865" s="1">
        <f t="shared" ca="1" si="120"/>
        <v>46064</v>
      </c>
      <c r="O865" s="6">
        <f t="shared" ca="1" si="121"/>
        <v>1</v>
      </c>
      <c r="P865">
        <v>3</v>
      </c>
      <c r="Q865">
        <f t="shared" si="122"/>
        <v>33224</v>
      </c>
      <c r="R865" s="2">
        <f t="shared" si="123"/>
        <v>16612</v>
      </c>
      <c r="S865" s="2" t="str">
        <f t="shared" si="124"/>
        <v xml:space="preserve"> Not Achieved</v>
      </c>
      <c r="T865" s="2" t="str">
        <f t="shared" si="125"/>
        <v>poor</v>
      </c>
      <c r="U865" s="2"/>
    </row>
    <row r="866" spans="1:21" x14ac:dyDescent="0.3">
      <c r="A866">
        <v>865</v>
      </c>
      <c r="B866" t="s">
        <v>1329</v>
      </c>
      <c r="C866" t="str">
        <f t="shared" si="117"/>
        <v>EMP_865</v>
      </c>
      <c r="D866" t="s">
        <v>15</v>
      </c>
      <c r="E866" t="str">
        <f t="shared" si="118"/>
        <v>EMP_865IT</v>
      </c>
      <c r="F866" t="s">
        <v>21</v>
      </c>
      <c r="G866" t="s">
        <v>13</v>
      </c>
      <c r="H866">
        <v>36822</v>
      </c>
      <c r="I866">
        <v>10227</v>
      </c>
      <c r="J866">
        <v>0</v>
      </c>
      <c r="K866">
        <v>0</v>
      </c>
      <c r="L866" s="4">
        <v>45268</v>
      </c>
      <c r="M866" s="4" t="str">
        <f t="shared" si="119"/>
        <v>2023</v>
      </c>
      <c r="N866" s="1">
        <f t="shared" ca="1" si="120"/>
        <v>46064</v>
      </c>
      <c r="O866" s="6">
        <f t="shared" ca="1" si="121"/>
        <v>2</v>
      </c>
      <c r="P866">
        <v>5</v>
      </c>
      <c r="Q866">
        <f t="shared" si="122"/>
        <v>47049</v>
      </c>
      <c r="R866" s="2">
        <f t="shared" si="123"/>
        <v>23524.5</v>
      </c>
      <c r="S866" s="2" t="str">
        <f t="shared" si="124"/>
        <v xml:space="preserve"> Not Achieved</v>
      </c>
      <c r="T866" s="2" t="str">
        <f t="shared" si="125"/>
        <v>Average</v>
      </c>
      <c r="U866" s="2"/>
    </row>
    <row r="867" spans="1:21" x14ac:dyDescent="0.3">
      <c r="A867">
        <v>866</v>
      </c>
      <c r="B867" t="s">
        <v>1330</v>
      </c>
      <c r="C867" t="str">
        <f t="shared" si="117"/>
        <v>EMP_866</v>
      </c>
      <c r="D867" t="s">
        <v>15</v>
      </c>
      <c r="E867" t="str">
        <f t="shared" si="118"/>
        <v>EMP_866IT</v>
      </c>
      <c r="F867" t="s">
        <v>21</v>
      </c>
      <c r="G867" t="s">
        <v>16</v>
      </c>
      <c r="H867">
        <v>24285</v>
      </c>
      <c r="I867">
        <v>5528</v>
      </c>
      <c r="J867">
        <v>0</v>
      </c>
      <c r="K867">
        <v>0</v>
      </c>
      <c r="L867" s="4" t="s">
        <v>1331</v>
      </c>
      <c r="M867" s="4" t="str">
        <f t="shared" si="119"/>
        <v>4/21/2024</v>
      </c>
      <c r="N867" s="1">
        <f t="shared" ca="1" si="120"/>
        <v>46064</v>
      </c>
      <c r="O867" s="6" t="e">
        <f t="shared" ca="1" si="121"/>
        <v>#VALUE!</v>
      </c>
      <c r="P867">
        <v>2</v>
      </c>
      <c r="Q867">
        <f t="shared" si="122"/>
        <v>29813</v>
      </c>
      <c r="R867" s="2">
        <f t="shared" si="123"/>
        <v>14906.5</v>
      </c>
      <c r="S867" s="2" t="str">
        <f t="shared" si="124"/>
        <v xml:space="preserve"> Not Achieved</v>
      </c>
      <c r="T867" s="2" t="str">
        <f t="shared" si="125"/>
        <v>poor</v>
      </c>
      <c r="U867" s="2"/>
    </row>
    <row r="868" spans="1:21" x14ac:dyDescent="0.3">
      <c r="A868">
        <v>867</v>
      </c>
      <c r="B868" t="s">
        <v>1332</v>
      </c>
      <c r="C868" t="str">
        <f t="shared" si="117"/>
        <v>EMP_867</v>
      </c>
      <c r="D868" t="s">
        <v>15</v>
      </c>
      <c r="E868" t="str">
        <f t="shared" si="118"/>
        <v>EMP_867HR</v>
      </c>
      <c r="F868" t="s">
        <v>12</v>
      </c>
      <c r="G868" t="s">
        <v>13</v>
      </c>
      <c r="H868">
        <v>29171</v>
      </c>
      <c r="I868">
        <v>2662</v>
      </c>
      <c r="J868">
        <v>0</v>
      </c>
      <c r="K868">
        <v>0</v>
      </c>
      <c r="L868" s="4" t="s">
        <v>1333</v>
      </c>
      <c r="M868" s="4" t="str">
        <f t="shared" si="119"/>
        <v>10/17/2022</v>
      </c>
      <c r="N868" s="1">
        <f t="shared" ca="1" si="120"/>
        <v>46064</v>
      </c>
      <c r="O868" s="6" t="e">
        <f t="shared" ca="1" si="121"/>
        <v>#VALUE!</v>
      </c>
      <c r="P868">
        <v>2</v>
      </c>
      <c r="Q868">
        <f t="shared" si="122"/>
        <v>31833</v>
      </c>
      <c r="R868" s="2">
        <f t="shared" si="123"/>
        <v>15916.5</v>
      </c>
      <c r="S868" s="2" t="str">
        <f t="shared" si="124"/>
        <v xml:space="preserve"> Not Achieved</v>
      </c>
      <c r="T868" s="2" t="str">
        <f t="shared" si="125"/>
        <v>poor</v>
      </c>
      <c r="U868" s="2"/>
    </row>
    <row r="869" spans="1:21" x14ac:dyDescent="0.3">
      <c r="A869">
        <v>868</v>
      </c>
      <c r="B869" t="s">
        <v>1334</v>
      </c>
      <c r="C869" t="str">
        <f t="shared" si="117"/>
        <v>EMP_868</v>
      </c>
      <c r="D869" t="s">
        <v>15</v>
      </c>
      <c r="E869" t="str">
        <f t="shared" si="118"/>
        <v>EMP_868Sales</v>
      </c>
      <c r="F869" t="s">
        <v>7</v>
      </c>
      <c r="G869" t="s">
        <v>25</v>
      </c>
      <c r="H869">
        <v>21483</v>
      </c>
      <c r="I869">
        <v>9650</v>
      </c>
      <c r="J869">
        <v>251043</v>
      </c>
      <c r="K869">
        <v>138093</v>
      </c>
      <c r="L869" s="4">
        <v>43649</v>
      </c>
      <c r="M869" s="4" t="str">
        <f t="shared" si="119"/>
        <v>2019</v>
      </c>
      <c r="N869" s="1">
        <f t="shared" ca="1" si="120"/>
        <v>46064</v>
      </c>
      <c r="O869" s="6">
        <f t="shared" ca="1" si="121"/>
        <v>6</v>
      </c>
      <c r="P869">
        <v>5</v>
      </c>
      <c r="Q869">
        <f t="shared" si="122"/>
        <v>31133</v>
      </c>
      <c r="R869" s="2">
        <f t="shared" si="123"/>
        <v>15566.5</v>
      </c>
      <c r="S869" s="2" t="str">
        <f t="shared" si="124"/>
        <v>Achieved</v>
      </c>
      <c r="T869" s="2" t="str">
        <f t="shared" si="125"/>
        <v>poor</v>
      </c>
      <c r="U869" s="2"/>
    </row>
    <row r="870" spans="1:21" x14ac:dyDescent="0.3">
      <c r="A870">
        <v>869</v>
      </c>
      <c r="B870" t="s">
        <v>1335</v>
      </c>
      <c r="C870" t="str">
        <f t="shared" si="117"/>
        <v>EMP_869</v>
      </c>
      <c r="D870" t="s">
        <v>11</v>
      </c>
      <c r="E870" t="str">
        <f t="shared" si="118"/>
        <v>EMP_869Sales</v>
      </c>
      <c r="F870" t="s">
        <v>7</v>
      </c>
      <c r="G870" t="s">
        <v>25</v>
      </c>
      <c r="H870">
        <v>30890</v>
      </c>
      <c r="I870">
        <v>7708</v>
      </c>
      <c r="J870">
        <v>52123</v>
      </c>
      <c r="K870">
        <v>126643</v>
      </c>
      <c r="L870" s="4" t="s">
        <v>1336</v>
      </c>
      <c r="M870" s="4" t="str">
        <f t="shared" si="119"/>
        <v>7/18/2020</v>
      </c>
      <c r="N870" s="1">
        <f t="shared" ca="1" si="120"/>
        <v>46064</v>
      </c>
      <c r="O870" s="6" t="e">
        <f t="shared" ca="1" si="121"/>
        <v>#VALUE!</v>
      </c>
      <c r="P870">
        <v>5</v>
      </c>
      <c r="Q870">
        <f t="shared" si="122"/>
        <v>38598</v>
      </c>
      <c r="R870" s="2">
        <f t="shared" si="123"/>
        <v>19299</v>
      </c>
      <c r="S870" s="2" t="str">
        <f t="shared" si="124"/>
        <v xml:space="preserve"> Not Achieved</v>
      </c>
      <c r="T870" s="2" t="str">
        <f t="shared" si="125"/>
        <v>Average</v>
      </c>
      <c r="U870" s="2"/>
    </row>
    <row r="871" spans="1:21" x14ac:dyDescent="0.3">
      <c r="A871">
        <v>870</v>
      </c>
      <c r="B871" t="s">
        <v>1337</v>
      </c>
      <c r="C871" t="str">
        <f t="shared" si="117"/>
        <v>EMP_870</v>
      </c>
      <c r="D871" t="s">
        <v>15</v>
      </c>
      <c r="E871" t="str">
        <f t="shared" si="118"/>
        <v>EMP_870Sales</v>
      </c>
      <c r="F871" t="s">
        <v>7</v>
      </c>
      <c r="G871" t="s">
        <v>13</v>
      </c>
      <c r="H871">
        <v>30891</v>
      </c>
      <c r="I871">
        <v>12730</v>
      </c>
      <c r="J871">
        <v>145800</v>
      </c>
      <c r="K871">
        <v>158427</v>
      </c>
      <c r="L871" s="4">
        <v>44932</v>
      </c>
      <c r="M871" s="4" t="str">
        <f t="shared" si="119"/>
        <v>2023</v>
      </c>
      <c r="N871" s="1">
        <f t="shared" ca="1" si="120"/>
        <v>46064</v>
      </c>
      <c r="O871" s="6">
        <f t="shared" ca="1" si="121"/>
        <v>3</v>
      </c>
      <c r="P871">
        <v>1</v>
      </c>
      <c r="Q871">
        <f t="shared" si="122"/>
        <v>43621</v>
      </c>
      <c r="R871" s="2">
        <f t="shared" si="123"/>
        <v>21810.5</v>
      </c>
      <c r="S871" s="2" t="str">
        <f t="shared" si="124"/>
        <v xml:space="preserve"> Not Achieved</v>
      </c>
      <c r="T871" s="2" t="str">
        <f t="shared" si="125"/>
        <v>Average</v>
      </c>
      <c r="U871" s="2"/>
    </row>
    <row r="872" spans="1:21" x14ac:dyDescent="0.3">
      <c r="A872">
        <v>871</v>
      </c>
      <c r="B872" t="s">
        <v>1338</v>
      </c>
      <c r="C872" t="str">
        <f t="shared" si="117"/>
        <v>EMP_871</v>
      </c>
      <c r="D872" t="s">
        <v>15</v>
      </c>
      <c r="E872" t="str">
        <f t="shared" si="118"/>
        <v>EMP_871HR</v>
      </c>
      <c r="F872" t="s">
        <v>12</v>
      </c>
      <c r="G872" t="s">
        <v>22</v>
      </c>
      <c r="H872">
        <v>49806</v>
      </c>
      <c r="I872">
        <v>14005</v>
      </c>
      <c r="J872">
        <v>0</v>
      </c>
      <c r="K872">
        <v>0</v>
      </c>
      <c r="L872" s="4" t="s">
        <v>1269</v>
      </c>
      <c r="M872" s="4" t="str">
        <f t="shared" si="119"/>
        <v>7/24/2023</v>
      </c>
      <c r="N872" s="1">
        <f t="shared" ca="1" si="120"/>
        <v>46064</v>
      </c>
      <c r="O872" s="6" t="e">
        <f t="shared" ca="1" si="121"/>
        <v>#VALUE!</v>
      </c>
      <c r="P872">
        <v>3</v>
      </c>
      <c r="Q872">
        <f t="shared" si="122"/>
        <v>63811</v>
      </c>
      <c r="R872" s="2">
        <f t="shared" si="123"/>
        <v>31905.5</v>
      </c>
      <c r="S872" s="2" t="str">
        <f t="shared" si="124"/>
        <v xml:space="preserve"> Not Achieved</v>
      </c>
      <c r="T872" s="2" t="str">
        <f t="shared" si="125"/>
        <v>Good</v>
      </c>
      <c r="U872" s="2"/>
    </row>
    <row r="873" spans="1:21" x14ac:dyDescent="0.3">
      <c r="A873">
        <v>872</v>
      </c>
      <c r="B873" t="s">
        <v>1339</v>
      </c>
      <c r="C873" t="str">
        <f t="shared" si="117"/>
        <v>EMP_872</v>
      </c>
      <c r="D873" t="s">
        <v>15</v>
      </c>
      <c r="E873" t="str">
        <f t="shared" si="118"/>
        <v>EMP_872Marketing</v>
      </c>
      <c r="F873" t="s">
        <v>24</v>
      </c>
      <c r="G873" t="s">
        <v>16</v>
      </c>
      <c r="H873">
        <v>55459</v>
      </c>
      <c r="I873">
        <v>12705</v>
      </c>
      <c r="J873">
        <v>0</v>
      </c>
      <c r="K873">
        <v>0</v>
      </c>
      <c r="L873" s="4" t="s">
        <v>277</v>
      </c>
      <c r="M873" s="4" t="str">
        <f t="shared" si="119"/>
        <v>3/18/2022</v>
      </c>
      <c r="N873" s="1">
        <f t="shared" ca="1" si="120"/>
        <v>46064</v>
      </c>
      <c r="O873" s="6" t="e">
        <f t="shared" ca="1" si="121"/>
        <v>#VALUE!</v>
      </c>
      <c r="P873">
        <v>1</v>
      </c>
      <c r="Q873">
        <f t="shared" si="122"/>
        <v>68164</v>
      </c>
      <c r="R873" s="2">
        <f t="shared" si="123"/>
        <v>34082</v>
      </c>
      <c r="S873" s="2" t="str">
        <f t="shared" si="124"/>
        <v xml:space="preserve"> Not Achieved</v>
      </c>
      <c r="T873" s="2" t="str">
        <f t="shared" si="125"/>
        <v xml:space="preserve"> Excellent</v>
      </c>
      <c r="U873" s="2"/>
    </row>
    <row r="874" spans="1:21" x14ac:dyDescent="0.3">
      <c r="A874">
        <v>873</v>
      </c>
      <c r="B874" t="s">
        <v>1340</v>
      </c>
      <c r="C874" t="str">
        <f t="shared" si="117"/>
        <v>EMP_873</v>
      </c>
      <c r="D874" t="s">
        <v>15</v>
      </c>
      <c r="E874" t="str">
        <f t="shared" si="118"/>
        <v>EMP_873Finance</v>
      </c>
      <c r="F874" t="s">
        <v>18</v>
      </c>
      <c r="G874" t="s">
        <v>13</v>
      </c>
      <c r="H874">
        <v>44920</v>
      </c>
      <c r="I874">
        <v>14278</v>
      </c>
      <c r="J874">
        <v>0</v>
      </c>
      <c r="K874">
        <v>0</v>
      </c>
      <c r="L874" s="4" t="s">
        <v>1341</v>
      </c>
      <c r="M874" s="4" t="str">
        <f t="shared" si="119"/>
        <v>5/27/2021</v>
      </c>
      <c r="N874" s="1">
        <f t="shared" ca="1" si="120"/>
        <v>46064</v>
      </c>
      <c r="O874" s="6" t="e">
        <f t="shared" ca="1" si="121"/>
        <v>#VALUE!</v>
      </c>
      <c r="P874">
        <v>1</v>
      </c>
      <c r="Q874">
        <f t="shared" si="122"/>
        <v>59198</v>
      </c>
      <c r="R874" s="2">
        <f t="shared" si="123"/>
        <v>29599</v>
      </c>
      <c r="S874" s="2" t="str">
        <f t="shared" si="124"/>
        <v xml:space="preserve"> Not Achieved</v>
      </c>
      <c r="T874" s="2" t="str">
        <f t="shared" si="125"/>
        <v>Good</v>
      </c>
      <c r="U874" s="2"/>
    </row>
    <row r="875" spans="1:21" x14ac:dyDescent="0.3">
      <c r="A875">
        <v>874</v>
      </c>
      <c r="B875" t="s">
        <v>1342</v>
      </c>
      <c r="C875" t="str">
        <f t="shared" si="117"/>
        <v>EMP_874</v>
      </c>
      <c r="D875" t="s">
        <v>15</v>
      </c>
      <c r="E875" t="str">
        <f t="shared" si="118"/>
        <v>EMP_874IT</v>
      </c>
      <c r="F875" t="s">
        <v>21</v>
      </c>
      <c r="G875" t="s">
        <v>16</v>
      </c>
      <c r="H875">
        <v>71154</v>
      </c>
      <c r="I875">
        <v>5887</v>
      </c>
      <c r="J875">
        <v>0</v>
      </c>
      <c r="K875">
        <v>0</v>
      </c>
      <c r="L875" s="4">
        <v>45108</v>
      </c>
      <c r="M875" s="4" t="str">
        <f t="shared" si="119"/>
        <v>2023</v>
      </c>
      <c r="N875" s="1">
        <f t="shared" ca="1" si="120"/>
        <v>46064</v>
      </c>
      <c r="O875" s="6">
        <f t="shared" ca="1" si="121"/>
        <v>2</v>
      </c>
      <c r="P875">
        <v>4</v>
      </c>
      <c r="Q875">
        <f t="shared" si="122"/>
        <v>77041</v>
      </c>
      <c r="R875" s="2">
        <f t="shared" si="123"/>
        <v>38520.5</v>
      </c>
      <c r="S875" s="2" t="str">
        <f t="shared" si="124"/>
        <v xml:space="preserve"> Not Achieved</v>
      </c>
      <c r="T875" s="2" t="str">
        <f t="shared" si="125"/>
        <v xml:space="preserve"> Excellent</v>
      </c>
      <c r="U875" s="2"/>
    </row>
    <row r="876" spans="1:21" x14ac:dyDescent="0.3">
      <c r="A876">
        <v>875</v>
      </c>
      <c r="B876" t="s">
        <v>1343</v>
      </c>
      <c r="C876" t="str">
        <f t="shared" si="117"/>
        <v>EMP_875</v>
      </c>
      <c r="D876" t="s">
        <v>15</v>
      </c>
      <c r="E876" t="str">
        <f t="shared" si="118"/>
        <v>EMP_875HR</v>
      </c>
      <c r="F876" t="s">
        <v>12</v>
      </c>
      <c r="G876" t="s">
        <v>13</v>
      </c>
      <c r="H876">
        <v>24728</v>
      </c>
      <c r="I876">
        <v>13311</v>
      </c>
      <c r="J876">
        <v>0</v>
      </c>
      <c r="K876">
        <v>0</v>
      </c>
      <c r="L876" s="4">
        <v>43170</v>
      </c>
      <c r="M876" s="4" t="str">
        <f t="shared" si="119"/>
        <v>2018</v>
      </c>
      <c r="N876" s="1">
        <f t="shared" ca="1" si="120"/>
        <v>46064</v>
      </c>
      <c r="O876" s="6">
        <f t="shared" ca="1" si="121"/>
        <v>7</v>
      </c>
      <c r="P876">
        <v>2</v>
      </c>
      <c r="Q876">
        <f t="shared" si="122"/>
        <v>38039</v>
      </c>
      <c r="R876" s="2">
        <f t="shared" si="123"/>
        <v>19019.5</v>
      </c>
      <c r="S876" s="2" t="str">
        <f t="shared" si="124"/>
        <v xml:space="preserve"> Not Achieved</v>
      </c>
      <c r="T876" s="2" t="str">
        <f t="shared" si="125"/>
        <v>poor</v>
      </c>
      <c r="U876" s="2"/>
    </row>
    <row r="877" spans="1:21" x14ac:dyDescent="0.3">
      <c r="A877">
        <v>876</v>
      </c>
      <c r="B877" t="s">
        <v>1344</v>
      </c>
      <c r="C877" t="str">
        <f t="shared" si="117"/>
        <v>EMP_876</v>
      </c>
      <c r="D877" t="s">
        <v>15</v>
      </c>
      <c r="E877" t="str">
        <f t="shared" si="118"/>
        <v>EMP_876Finance</v>
      </c>
      <c r="F877" t="s">
        <v>18</v>
      </c>
      <c r="G877" t="s">
        <v>25</v>
      </c>
      <c r="H877">
        <v>49487</v>
      </c>
      <c r="I877">
        <v>5210</v>
      </c>
      <c r="J877">
        <v>0</v>
      </c>
      <c r="K877">
        <v>0</v>
      </c>
      <c r="L877" s="4" t="s">
        <v>1345</v>
      </c>
      <c r="M877" s="4" t="str">
        <f t="shared" si="119"/>
        <v>12/29/2024</v>
      </c>
      <c r="N877" s="1">
        <f t="shared" ca="1" si="120"/>
        <v>46064</v>
      </c>
      <c r="O877" s="6" t="e">
        <f t="shared" ca="1" si="121"/>
        <v>#VALUE!</v>
      </c>
      <c r="P877">
        <v>5</v>
      </c>
      <c r="Q877">
        <f t="shared" si="122"/>
        <v>54697</v>
      </c>
      <c r="R877" s="2">
        <f t="shared" si="123"/>
        <v>27348.5</v>
      </c>
      <c r="S877" s="2" t="str">
        <f t="shared" si="124"/>
        <v xml:space="preserve"> Not Achieved</v>
      </c>
      <c r="T877" s="2" t="str">
        <f t="shared" si="125"/>
        <v>Good</v>
      </c>
      <c r="U877" s="2"/>
    </row>
    <row r="878" spans="1:21" x14ac:dyDescent="0.3">
      <c r="A878">
        <v>877</v>
      </c>
      <c r="B878" t="s">
        <v>1346</v>
      </c>
      <c r="C878" t="str">
        <f t="shared" si="117"/>
        <v>EMP_877</v>
      </c>
      <c r="D878" t="s">
        <v>15</v>
      </c>
      <c r="E878" t="str">
        <f t="shared" si="118"/>
        <v>EMP_877IT</v>
      </c>
      <c r="F878" t="s">
        <v>21</v>
      </c>
      <c r="G878" t="s">
        <v>16</v>
      </c>
      <c r="H878">
        <v>63097</v>
      </c>
      <c r="I878">
        <v>4235</v>
      </c>
      <c r="J878">
        <v>0</v>
      </c>
      <c r="K878">
        <v>0</v>
      </c>
      <c r="L878" s="4" t="s">
        <v>902</v>
      </c>
      <c r="M878" s="4" t="str">
        <f t="shared" si="119"/>
        <v>2/24/2024</v>
      </c>
      <c r="N878" s="1">
        <f t="shared" ca="1" si="120"/>
        <v>46064</v>
      </c>
      <c r="O878" s="6" t="e">
        <f t="shared" ca="1" si="121"/>
        <v>#VALUE!</v>
      </c>
      <c r="P878">
        <v>5</v>
      </c>
      <c r="Q878">
        <f t="shared" si="122"/>
        <v>67332</v>
      </c>
      <c r="R878" s="2">
        <f t="shared" si="123"/>
        <v>33666</v>
      </c>
      <c r="S878" s="2" t="str">
        <f t="shared" si="124"/>
        <v xml:space="preserve"> Not Achieved</v>
      </c>
      <c r="T878" s="2" t="str">
        <f t="shared" si="125"/>
        <v xml:space="preserve"> Excellent</v>
      </c>
      <c r="U878" s="2"/>
    </row>
    <row r="879" spans="1:21" x14ac:dyDescent="0.3">
      <c r="A879">
        <v>878</v>
      </c>
      <c r="B879" t="s">
        <v>1347</v>
      </c>
      <c r="C879" t="str">
        <f t="shared" si="117"/>
        <v>EMP_878</v>
      </c>
      <c r="D879" t="s">
        <v>15</v>
      </c>
      <c r="E879" t="str">
        <f t="shared" si="118"/>
        <v>EMP_878HR</v>
      </c>
      <c r="F879" t="s">
        <v>12</v>
      </c>
      <c r="G879" t="s">
        <v>25</v>
      </c>
      <c r="H879">
        <v>23880</v>
      </c>
      <c r="I879">
        <v>9665</v>
      </c>
      <c r="J879">
        <v>0</v>
      </c>
      <c r="K879">
        <v>0</v>
      </c>
      <c r="L879" s="4" t="s">
        <v>473</v>
      </c>
      <c r="M879" s="4" t="str">
        <f t="shared" si="119"/>
        <v>12/20/2018</v>
      </c>
      <c r="N879" s="1">
        <f t="shared" ca="1" si="120"/>
        <v>46064</v>
      </c>
      <c r="O879" s="6" t="e">
        <f t="shared" ca="1" si="121"/>
        <v>#VALUE!</v>
      </c>
      <c r="P879">
        <v>3</v>
      </c>
      <c r="Q879">
        <f t="shared" si="122"/>
        <v>33545</v>
      </c>
      <c r="R879" s="2">
        <f t="shared" si="123"/>
        <v>16772.5</v>
      </c>
      <c r="S879" s="2" t="str">
        <f t="shared" si="124"/>
        <v xml:space="preserve"> Not Achieved</v>
      </c>
      <c r="T879" s="2" t="str">
        <f t="shared" si="125"/>
        <v>poor</v>
      </c>
      <c r="U879" s="2"/>
    </row>
    <row r="880" spans="1:21" x14ac:dyDescent="0.3">
      <c r="A880">
        <v>879</v>
      </c>
      <c r="B880" t="s">
        <v>1348</v>
      </c>
      <c r="C880" t="str">
        <f t="shared" si="117"/>
        <v>EMP_879</v>
      </c>
      <c r="D880" t="s">
        <v>11</v>
      </c>
      <c r="E880" t="str">
        <f t="shared" si="118"/>
        <v>EMP_879Finance</v>
      </c>
      <c r="F880" t="s">
        <v>18</v>
      </c>
      <c r="G880" t="s">
        <v>19</v>
      </c>
      <c r="H880">
        <v>76373</v>
      </c>
      <c r="I880">
        <v>2824</v>
      </c>
      <c r="J880">
        <v>0</v>
      </c>
      <c r="K880">
        <v>0</v>
      </c>
      <c r="L880" s="4" t="s">
        <v>1349</v>
      </c>
      <c r="M880" s="4" t="str">
        <f t="shared" si="119"/>
        <v>1/28/2019</v>
      </c>
      <c r="N880" s="1">
        <f t="shared" ca="1" si="120"/>
        <v>46064</v>
      </c>
      <c r="O880" s="6" t="e">
        <f t="shared" ca="1" si="121"/>
        <v>#VALUE!</v>
      </c>
      <c r="P880">
        <v>4</v>
      </c>
      <c r="Q880">
        <f t="shared" si="122"/>
        <v>79197</v>
      </c>
      <c r="R880" s="2">
        <f t="shared" si="123"/>
        <v>39598.5</v>
      </c>
      <c r="S880" s="2" t="str">
        <f t="shared" si="124"/>
        <v xml:space="preserve"> Not Achieved</v>
      </c>
      <c r="T880" s="2" t="str">
        <f t="shared" si="125"/>
        <v xml:space="preserve"> Excellent</v>
      </c>
      <c r="U880" s="2"/>
    </row>
    <row r="881" spans="1:21" x14ac:dyDescent="0.3">
      <c r="A881">
        <v>880</v>
      </c>
      <c r="B881" t="s">
        <v>1350</v>
      </c>
      <c r="C881" t="str">
        <f t="shared" si="117"/>
        <v>EMP_880</v>
      </c>
      <c r="D881" t="s">
        <v>15</v>
      </c>
      <c r="E881" t="str">
        <f t="shared" si="118"/>
        <v>EMP_880Finance</v>
      </c>
      <c r="F881" t="s">
        <v>18</v>
      </c>
      <c r="G881" t="s">
        <v>16</v>
      </c>
      <c r="H881">
        <v>67957</v>
      </c>
      <c r="I881">
        <v>13118</v>
      </c>
      <c r="J881">
        <v>0</v>
      </c>
      <c r="K881">
        <v>0</v>
      </c>
      <c r="L881" s="4">
        <v>43561</v>
      </c>
      <c r="M881" s="4" t="str">
        <f t="shared" si="119"/>
        <v>2019</v>
      </c>
      <c r="N881" s="1">
        <f t="shared" ca="1" si="120"/>
        <v>46064</v>
      </c>
      <c r="O881" s="6">
        <f t="shared" ca="1" si="121"/>
        <v>6</v>
      </c>
      <c r="P881">
        <v>1</v>
      </c>
      <c r="Q881">
        <f t="shared" si="122"/>
        <v>81075</v>
      </c>
      <c r="R881" s="2">
        <f t="shared" si="123"/>
        <v>40537.5</v>
      </c>
      <c r="S881" s="2" t="str">
        <f t="shared" si="124"/>
        <v xml:space="preserve"> Not Achieved</v>
      </c>
      <c r="T881" s="2" t="str">
        <f t="shared" si="125"/>
        <v xml:space="preserve"> Excellent</v>
      </c>
      <c r="U881" s="2"/>
    </row>
    <row r="882" spans="1:21" x14ac:dyDescent="0.3">
      <c r="A882">
        <v>881</v>
      </c>
      <c r="B882" t="s">
        <v>1351</v>
      </c>
      <c r="C882" t="str">
        <f t="shared" si="117"/>
        <v>EMP_881</v>
      </c>
      <c r="D882" t="s">
        <v>11</v>
      </c>
      <c r="E882" t="str">
        <f t="shared" si="118"/>
        <v>EMP_881IT</v>
      </c>
      <c r="F882" t="s">
        <v>21</v>
      </c>
      <c r="G882" t="s">
        <v>22</v>
      </c>
      <c r="H882">
        <v>75983</v>
      </c>
      <c r="I882">
        <v>11310</v>
      </c>
      <c r="J882">
        <v>0</v>
      </c>
      <c r="K882">
        <v>0</v>
      </c>
      <c r="L882" s="4" t="s">
        <v>709</v>
      </c>
      <c r="M882" s="4" t="str">
        <f t="shared" si="119"/>
        <v>7/21/2024</v>
      </c>
      <c r="N882" s="1">
        <f t="shared" ca="1" si="120"/>
        <v>46064</v>
      </c>
      <c r="O882" s="6" t="e">
        <f t="shared" ca="1" si="121"/>
        <v>#VALUE!</v>
      </c>
      <c r="P882">
        <v>3</v>
      </c>
      <c r="Q882">
        <f t="shared" si="122"/>
        <v>87293</v>
      </c>
      <c r="R882" s="2">
        <f t="shared" si="123"/>
        <v>43646.5</v>
      </c>
      <c r="S882" s="2" t="str">
        <f t="shared" si="124"/>
        <v xml:space="preserve"> Not Achieved</v>
      </c>
      <c r="T882" s="2" t="str">
        <f t="shared" si="125"/>
        <v xml:space="preserve"> Excellent</v>
      </c>
      <c r="U882" s="2"/>
    </row>
    <row r="883" spans="1:21" x14ac:dyDescent="0.3">
      <c r="A883">
        <v>882</v>
      </c>
      <c r="B883" t="s">
        <v>1352</v>
      </c>
      <c r="C883" t="str">
        <f t="shared" si="117"/>
        <v>EMP_882</v>
      </c>
      <c r="D883" t="s">
        <v>15</v>
      </c>
      <c r="E883" t="str">
        <f t="shared" si="118"/>
        <v>EMP_882Sales</v>
      </c>
      <c r="F883" t="s">
        <v>7</v>
      </c>
      <c r="G883" t="s">
        <v>13</v>
      </c>
      <c r="H883">
        <v>25853</v>
      </c>
      <c r="I883">
        <v>7630</v>
      </c>
      <c r="J883">
        <v>116693</v>
      </c>
      <c r="K883">
        <v>83103</v>
      </c>
      <c r="L883" s="4">
        <v>43385</v>
      </c>
      <c r="M883" s="4" t="str">
        <f t="shared" si="119"/>
        <v>2018</v>
      </c>
      <c r="N883" s="1">
        <f t="shared" ca="1" si="120"/>
        <v>46064</v>
      </c>
      <c r="O883" s="6">
        <f t="shared" ca="1" si="121"/>
        <v>7</v>
      </c>
      <c r="P883">
        <v>1</v>
      </c>
      <c r="Q883">
        <f t="shared" si="122"/>
        <v>33483</v>
      </c>
      <c r="R883" s="2">
        <f t="shared" si="123"/>
        <v>16741.5</v>
      </c>
      <c r="S883" s="2" t="str">
        <f t="shared" si="124"/>
        <v>Achieved</v>
      </c>
      <c r="T883" s="2" t="str">
        <f t="shared" si="125"/>
        <v>poor</v>
      </c>
      <c r="U883" s="2"/>
    </row>
    <row r="884" spans="1:21" x14ac:dyDescent="0.3">
      <c r="A884">
        <v>883</v>
      </c>
      <c r="B884" t="s">
        <v>1353</v>
      </c>
      <c r="C884" t="str">
        <f t="shared" si="117"/>
        <v>EMP_883</v>
      </c>
      <c r="D884" t="s">
        <v>15</v>
      </c>
      <c r="E884" t="str">
        <f t="shared" si="118"/>
        <v>EMP_883Finance</v>
      </c>
      <c r="F884" t="s">
        <v>18</v>
      </c>
      <c r="G884" t="s">
        <v>25</v>
      </c>
      <c r="H884">
        <v>61692</v>
      </c>
      <c r="I884">
        <v>7286</v>
      </c>
      <c r="J884">
        <v>0</v>
      </c>
      <c r="K884">
        <v>0</v>
      </c>
      <c r="L884" s="4">
        <v>44448</v>
      </c>
      <c r="M884" s="4" t="str">
        <f t="shared" si="119"/>
        <v>2021</v>
      </c>
      <c r="N884" s="1">
        <f t="shared" ca="1" si="120"/>
        <v>46064</v>
      </c>
      <c r="O884" s="6">
        <f t="shared" ca="1" si="121"/>
        <v>4</v>
      </c>
      <c r="P884">
        <v>4</v>
      </c>
      <c r="Q884">
        <f t="shared" si="122"/>
        <v>68978</v>
      </c>
      <c r="R884" s="2">
        <f t="shared" si="123"/>
        <v>34489</v>
      </c>
      <c r="S884" s="2" t="str">
        <f t="shared" si="124"/>
        <v xml:space="preserve"> Not Achieved</v>
      </c>
      <c r="T884" s="2" t="str">
        <f t="shared" si="125"/>
        <v xml:space="preserve"> Excellent</v>
      </c>
      <c r="U884" s="2"/>
    </row>
    <row r="885" spans="1:21" x14ac:dyDescent="0.3">
      <c r="A885">
        <v>884</v>
      </c>
      <c r="B885" t="s">
        <v>1354</v>
      </c>
      <c r="C885" t="str">
        <f t="shared" si="117"/>
        <v>EMP_884</v>
      </c>
      <c r="D885" t="s">
        <v>11</v>
      </c>
      <c r="E885" t="str">
        <f t="shared" si="118"/>
        <v>EMP_884Finance</v>
      </c>
      <c r="F885" t="s">
        <v>18</v>
      </c>
      <c r="G885" t="s">
        <v>13</v>
      </c>
      <c r="H885">
        <v>59809</v>
      </c>
      <c r="I885">
        <v>12269</v>
      </c>
      <c r="J885">
        <v>0</v>
      </c>
      <c r="K885">
        <v>0</v>
      </c>
      <c r="L885" s="4">
        <v>45049</v>
      </c>
      <c r="M885" s="4" t="str">
        <f t="shared" si="119"/>
        <v>2023</v>
      </c>
      <c r="N885" s="1">
        <f t="shared" ca="1" si="120"/>
        <v>46064</v>
      </c>
      <c r="O885" s="6">
        <f t="shared" ca="1" si="121"/>
        <v>2</v>
      </c>
      <c r="P885">
        <v>4</v>
      </c>
      <c r="Q885">
        <f t="shared" si="122"/>
        <v>72078</v>
      </c>
      <c r="R885" s="2">
        <f t="shared" si="123"/>
        <v>36039</v>
      </c>
      <c r="S885" s="2" t="str">
        <f t="shared" si="124"/>
        <v xml:space="preserve"> Not Achieved</v>
      </c>
      <c r="T885" s="2" t="str">
        <f t="shared" si="125"/>
        <v xml:space="preserve"> Excellent</v>
      </c>
      <c r="U885" s="2"/>
    </row>
    <row r="886" spans="1:21" x14ac:dyDescent="0.3">
      <c r="A886">
        <v>885</v>
      </c>
      <c r="B886" t="s">
        <v>1355</v>
      </c>
      <c r="C886" t="str">
        <f t="shared" si="117"/>
        <v>EMP_885</v>
      </c>
      <c r="D886" t="s">
        <v>11</v>
      </c>
      <c r="E886" t="str">
        <f t="shared" si="118"/>
        <v>EMP_885Finance</v>
      </c>
      <c r="F886" t="s">
        <v>18</v>
      </c>
      <c r="G886" t="s">
        <v>13</v>
      </c>
      <c r="H886">
        <v>47077</v>
      </c>
      <c r="I886">
        <v>6542</v>
      </c>
      <c r="J886">
        <v>0</v>
      </c>
      <c r="K886">
        <v>0</v>
      </c>
      <c r="L886" s="4">
        <v>43171</v>
      </c>
      <c r="M886" s="4" t="str">
        <f t="shared" si="119"/>
        <v>2018</v>
      </c>
      <c r="N886" s="1">
        <f t="shared" ca="1" si="120"/>
        <v>46064</v>
      </c>
      <c r="O886" s="6">
        <f t="shared" ca="1" si="121"/>
        <v>7</v>
      </c>
      <c r="P886">
        <v>5</v>
      </c>
      <c r="Q886">
        <f t="shared" si="122"/>
        <v>53619</v>
      </c>
      <c r="R886" s="2">
        <f t="shared" si="123"/>
        <v>26809.5</v>
      </c>
      <c r="S886" s="2" t="str">
        <f t="shared" si="124"/>
        <v xml:space="preserve"> Not Achieved</v>
      </c>
      <c r="T886" s="2" t="str">
        <f t="shared" si="125"/>
        <v>Good</v>
      </c>
      <c r="U886" s="2"/>
    </row>
    <row r="887" spans="1:21" x14ac:dyDescent="0.3">
      <c r="A887">
        <v>886</v>
      </c>
      <c r="B887" t="s">
        <v>1356</v>
      </c>
      <c r="C887" t="str">
        <f t="shared" si="117"/>
        <v>EMP_886</v>
      </c>
      <c r="D887" t="s">
        <v>15</v>
      </c>
      <c r="E887" t="str">
        <f t="shared" si="118"/>
        <v>EMP_886Sales</v>
      </c>
      <c r="F887" t="s">
        <v>7</v>
      </c>
      <c r="G887" t="s">
        <v>22</v>
      </c>
      <c r="H887">
        <v>58843</v>
      </c>
      <c r="I887">
        <v>2274</v>
      </c>
      <c r="J887">
        <v>85539</v>
      </c>
      <c r="K887">
        <v>243619</v>
      </c>
      <c r="L887" s="4" t="s">
        <v>1357</v>
      </c>
      <c r="M887" s="4" t="str">
        <f t="shared" si="119"/>
        <v>7/28/2020</v>
      </c>
      <c r="N887" s="1">
        <f t="shared" ca="1" si="120"/>
        <v>46064</v>
      </c>
      <c r="O887" s="6" t="e">
        <f t="shared" ca="1" si="121"/>
        <v>#VALUE!</v>
      </c>
      <c r="P887">
        <v>3</v>
      </c>
      <c r="Q887">
        <f t="shared" si="122"/>
        <v>61117</v>
      </c>
      <c r="R887" s="2">
        <f t="shared" si="123"/>
        <v>30558.5</v>
      </c>
      <c r="S887" s="2" t="str">
        <f t="shared" si="124"/>
        <v xml:space="preserve"> Not Achieved</v>
      </c>
      <c r="T887" s="2" t="str">
        <f t="shared" si="125"/>
        <v xml:space="preserve"> Excellent</v>
      </c>
      <c r="U887" s="2"/>
    </row>
    <row r="888" spans="1:21" x14ac:dyDescent="0.3">
      <c r="A888">
        <v>887</v>
      </c>
      <c r="B888" t="s">
        <v>1358</v>
      </c>
      <c r="C888" t="str">
        <f t="shared" si="117"/>
        <v>EMP_887</v>
      </c>
      <c r="D888" t="s">
        <v>11</v>
      </c>
      <c r="E888" t="str">
        <f t="shared" si="118"/>
        <v>EMP_887IT</v>
      </c>
      <c r="F888" t="s">
        <v>21</v>
      </c>
      <c r="G888" t="s">
        <v>13</v>
      </c>
      <c r="H888">
        <v>64522</v>
      </c>
      <c r="I888">
        <v>12403</v>
      </c>
      <c r="J888">
        <v>0</v>
      </c>
      <c r="K888">
        <v>0</v>
      </c>
      <c r="L888" s="4">
        <v>43111</v>
      </c>
      <c r="M888" s="4" t="str">
        <f t="shared" si="119"/>
        <v>2018</v>
      </c>
      <c r="N888" s="1">
        <f t="shared" ca="1" si="120"/>
        <v>46064</v>
      </c>
      <c r="O888" s="6">
        <f t="shared" ca="1" si="121"/>
        <v>8</v>
      </c>
      <c r="P888">
        <v>4</v>
      </c>
      <c r="Q888">
        <f t="shared" si="122"/>
        <v>76925</v>
      </c>
      <c r="R888" s="2">
        <f t="shared" si="123"/>
        <v>38462.5</v>
      </c>
      <c r="S888" s="2" t="str">
        <f t="shared" si="124"/>
        <v xml:space="preserve"> Not Achieved</v>
      </c>
      <c r="T888" s="2" t="str">
        <f t="shared" si="125"/>
        <v xml:space="preserve"> Excellent</v>
      </c>
      <c r="U888" s="2"/>
    </row>
    <row r="889" spans="1:21" x14ac:dyDescent="0.3">
      <c r="A889">
        <v>888</v>
      </c>
      <c r="B889" t="s">
        <v>1359</v>
      </c>
      <c r="C889" t="str">
        <f t="shared" si="117"/>
        <v>EMP_888</v>
      </c>
      <c r="D889" t="s">
        <v>11</v>
      </c>
      <c r="E889" t="str">
        <f t="shared" si="118"/>
        <v>EMP_888Finance</v>
      </c>
      <c r="F889" t="s">
        <v>18</v>
      </c>
      <c r="G889" t="s">
        <v>19</v>
      </c>
      <c r="H889">
        <v>20742</v>
      </c>
      <c r="I889">
        <v>7385</v>
      </c>
      <c r="J889">
        <v>0</v>
      </c>
      <c r="K889">
        <v>0</v>
      </c>
      <c r="L889" s="4">
        <v>44688</v>
      </c>
      <c r="M889" s="4" t="str">
        <f t="shared" si="119"/>
        <v>2022</v>
      </c>
      <c r="N889" s="1">
        <f t="shared" ca="1" si="120"/>
        <v>46064</v>
      </c>
      <c r="O889" s="6">
        <f t="shared" ca="1" si="121"/>
        <v>3</v>
      </c>
      <c r="P889">
        <v>3</v>
      </c>
      <c r="Q889">
        <f t="shared" si="122"/>
        <v>28127</v>
      </c>
      <c r="R889" s="2">
        <f t="shared" si="123"/>
        <v>14063.5</v>
      </c>
      <c r="S889" s="2" t="str">
        <f t="shared" si="124"/>
        <v xml:space="preserve"> Not Achieved</v>
      </c>
      <c r="T889" s="2" t="str">
        <f t="shared" si="125"/>
        <v>poor</v>
      </c>
      <c r="U889" s="2"/>
    </row>
    <row r="890" spans="1:21" x14ac:dyDescent="0.3">
      <c r="A890">
        <v>889</v>
      </c>
      <c r="B890" t="s">
        <v>1360</v>
      </c>
      <c r="C890" t="str">
        <f t="shared" si="117"/>
        <v>EMP_889</v>
      </c>
      <c r="D890" t="s">
        <v>11</v>
      </c>
      <c r="E890" t="str">
        <f t="shared" si="118"/>
        <v>EMP_889HR</v>
      </c>
      <c r="F890" t="s">
        <v>12</v>
      </c>
      <c r="G890" t="s">
        <v>16</v>
      </c>
      <c r="H890">
        <v>20662</v>
      </c>
      <c r="I890">
        <v>9359</v>
      </c>
      <c r="J890">
        <v>0</v>
      </c>
      <c r="K890">
        <v>0</v>
      </c>
      <c r="L890" s="4" t="s">
        <v>1361</v>
      </c>
      <c r="M890" s="4" t="str">
        <f t="shared" si="119"/>
        <v>7/15/2024</v>
      </c>
      <c r="N890" s="1">
        <f t="shared" ca="1" si="120"/>
        <v>46064</v>
      </c>
      <c r="O890" s="6" t="e">
        <f t="shared" ca="1" si="121"/>
        <v>#VALUE!</v>
      </c>
      <c r="P890">
        <v>2</v>
      </c>
      <c r="Q890">
        <f t="shared" si="122"/>
        <v>30021</v>
      </c>
      <c r="R890" s="2">
        <f t="shared" si="123"/>
        <v>15010.5</v>
      </c>
      <c r="S890" s="2" t="str">
        <f t="shared" si="124"/>
        <v xml:space="preserve"> Not Achieved</v>
      </c>
      <c r="T890" s="2" t="str">
        <f t="shared" si="125"/>
        <v>poor</v>
      </c>
      <c r="U890" s="2"/>
    </row>
    <row r="891" spans="1:21" x14ac:dyDescent="0.3">
      <c r="A891">
        <v>890</v>
      </c>
      <c r="B891" t="s">
        <v>1362</v>
      </c>
      <c r="C891" t="str">
        <f t="shared" si="117"/>
        <v>EMP_890</v>
      </c>
      <c r="D891" t="s">
        <v>11</v>
      </c>
      <c r="E891" t="str">
        <f t="shared" si="118"/>
        <v>EMP_890HR</v>
      </c>
      <c r="F891" t="s">
        <v>12</v>
      </c>
      <c r="G891" t="s">
        <v>16</v>
      </c>
      <c r="H891">
        <v>51281</v>
      </c>
      <c r="I891">
        <v>8258</v>
      </c>
      <c r="J891">
        <v>0</v>
      </c>
      <c r="K891">
        <v>0</v>
      </c>
      <c r="L891" s="4" t="s">
        <v>1363</v>
      </c>
      <c r="M891" s="4" t="str">
        <f t="shared" si="119"/>
        <v>11/16/2023</v>
      </c>
      <c r="N891" s="1">
        <f t="shared" ca="1" si="120"/>
        <v>46064</v>
      </c>
      <c r="O891" s="6" t="e">
        <f t="shared" ca="1" si="121"/>
        <v>#VALUE!</v>
      </c>
      <c r="P891">
        <v>3</v>
      </c>
      <c r="Q891">
        <f t="shared" si="122"/>
        <v>59539</v>
      </c>
      <c r="R891" s="2">
        <f t="shared" si="123"/>
        <v>29769.5</v>
      </c>
      <c r="S891" s="2" t="str">
        <f t="shared" si="124"/>
        <v xml:space="preserve"> Not Achieved</v>
      </c>
      <c r="T891" s="2" t="str">
        <f t="shared" si="125"/>
        <v xml:space="preserve"> Excellent</v>
      </c>
      <c r="U891" s="2"/>
    </row>
    <row r="892" spans="1:21" x14ac:dyDescent="0.3">
      <c r="A892">
        <v>891</v>
      </c>
      <c r="B892" t="s">
        <v>1364</v>
      </c>
      <c r="C892" t="str">
        <f t="shared" si="117"/>
        <v>EMP_891</v>
      </c>
      <c r="D892" t="s">
        <v>11</v>
      </c>
      <c r="E892" t="str">
        <f t="shared" si="118"/>
        <v>EMP_891IT</v>
      </c>
      <c r="F892" t="s">
        <v>21</v>
      </c>
      <c r="G892" t="s">
        <v>25</v>
      </c>
      <c r="H892">
        <v>46774</v>
      </c>
      <c r="I892">
        <v>10737</v>
      </c>
      <c r="J892">
        <v>0</v>
      </c>
      <c r="K892">
        <v>0</v>
      </c>
      <c r="L892" s="4" t="s">
        <v>528</v>
      </c>
      <c r="M892" s="4" t="str">
        <f t="shared" si="119"/>
        <v>12/13/2023</v>
      </c>
      <c r="N892" s="1">
        <f t="shared" ca="1" si="120"/>
        <v>46064</v>
      </c>
      <c r="O892" s="6" t="e">
        <f t="shared" ca="1" si="121"/>
        <v>#VALUE!</v>
      </c>
      <c r="P892">
        <v>4</v>
      </c>
      <c r="Q892">
        <f t="shared" si="122"/>
        <v>57511</v>
      </c>
      <c r="R892" s="2">
        <f t="shared" si="123"/>
        <v>28755.5</v>
      </c>
      <c r="S892" s="2" t="str">
        <f t="shared" si="124"/>
        <v xml:space="preserve"> Not Achieved</v>
      </c>
      <c r="T892" s="2" t="str">
        <f t="shared" si="125"/>
        <v>Good</v>
      </c>
      <c r="U892" s="2"/>
    </row>
    <row r="893" spans="1:21" x14ac:dyDescent="0.3">
      <c r="A893">
        <v>892</v>
      </c>
      <c r="B893" t="s">
        <v>1365</v>
      </c>
      <c r="C893" t="str">
        <f t="shared" si="117"/>
        <v>EMP_892</v>
      </c>
      <c r="D893" t="s">
        <v>11</v>
      </c>
      <c r="E893" t="str">
        <f t="shared" si="118"/>
        <v>EMP_892Finance</v>
      </c>
      <c r="F893" t="s">
        <v>18</v>
      </c>
      <c r="G893" t="s">
        <v>16</v>
      </c>
      <c r="H893">
        <v>47337</v>
      </c>
      <c r="I893">
        <v>2535</v>
      </c>
      <c r="J893">
        <v>0</v>
      </c>
      <c r="K893">
        <v>0</v>
      </c>
      <c r="L893" s="4" t="s">
        <v>1366</v>
      </c>
      <c r="M893" s="4" t="str">
        <f t="shared" si="119"/>
        <v>6/21/2022</v>
      </c>
      <c r="N893" s="1">
        <f t="shared" ca="1" si="120"/>
        <v>46064</v>
      </c>
      <c r="O893" s="6" t="e">
        <f t="shared" ca="1" si="121"/>
        <v>#VALUE!</v>
      </c>
      <c r="P893">
        <v>5</v>
      </c>
      <c r="Q893">
        <f t="shared" si="122"/>
        <v>49872</v>
      </c>
      <c r="R893" s="2">
        <f t="shared" si="123"/>
        <v>24936</v>
      </c>
      <c r="S893" s="2" t="str">
        <f t="shared" si="124"/>
        <v xml:space="preserve"> Not Achieved</v>
      </c>
      <c r="T893" s="2" t="str">
        <f t="shared" si="125"/>
        <v>Good</v>
      </c>
      <c r="U893" s="2"/>
    </row>
    <row r="894" spans="1:21" x14ac:dyDescent="0.3">
      <c r="A894">
        <v>893</v>
      </c>
      <c r="B894" t="s">
        <v>1367</v>
      </c>
      <c r="C894" t="str">
        <f t="shared" si="117"/>
        <v>EMP_893</v>
      </c>
      <c r="D894" t="s">
        <v>11</v>
      </c>
      <c r="E894" t="str">
        <f t="shared" si="118"/>
        <v>EMP_893Sales</v>
      </c>
      <c r="F894" t="s">
        <v>7</v>
      </c>
      <c r="G894" t="s">
        <v>13</v>
      </c>
      <c r="H894">
        <v>41343</v>
      </c>
      <c r="I894">
        <v>12622</v>
      </c>
      <c r="J894">
        <v>116552</v>
      </c>
      <c r="K894">
        <v>139323</v>
      </c>
      <c r="L894" s="4">
        <v>44084</v>
      </c>
      <c r="M894" s="4" t="str">
        <f t="shared" si="119"/>
        <v>2020</v>
      </c>
      <c r="N894" s="1">
        <f t="shared" ca="1" si="120"/>
        <v>46064</v>
      </c>
      <c r="O894" s="6">
        <f t="shared" ca="1" si="121"/>
        <v>5</v>
      </c>
      <c r="P894">
        <v>1</v>
      </c>
      <c r="Q894">
        <f t="shared" si="122"/>
        <v>53965</v>
      </c>
      <c r="R894" s="2">
        <f t="shared" si="123"/>
        <v>26982.5</v>
      </c>
      <c r="S894" s="2" t="str">
        <f t="shared" si="124"/>
        <v xml:space="preserve"> Not Achieved</v>
      </c>
      <c r="T894" s="2" t="str">
        <f t="shared" si="125"/>
        <v>Good</v>
      </c>
      <c r="U894" s="2"/>
    </row>
    <row r="895" spans="1:21" x14ac:dyDescent="0.3">
      <c r="A895">
        <v>894</v>
      </c>
      <c r="B895" t="s">
        <v>1368</v>
      </c>
      <c r="C895" t="str">
        <f t="shared" si="117"/>
        <v>EMP_894</v>
      </c>
      <c r="D895" t="s">
        <v>15</v>
      </c>
      <c r="E895" t="str">
        <f t="shared" si="118"/>
        <v>EMP_894Finance</v>
      </c>
      <c r="F895" t="s">
        <v>18</v>
      </c>
      <c r="G895" t="s">
        <v>19</v>
      </c>
      <c r="H895">
        <v>28459</v>
      </c>
      <c r="I895">
        <v>3977</v>
      </c>
      <c r="J895">
        <v>0</v>
      </c>
      <c r="K895">
        <v>0</v>
      </c>
      <c r="L895" s="4" t="s">
        <v>1369</v>
      </c>
      <c r="M895" s="4" t="str">
        <f t="shared" si="119"/>
        <v>4/22/2022</v>
      </c>
      <c r="N895" s="1">
        <f t="shared" ca="1" si="120"/>
        <v>46064</v>
      </c>
      <c r="O895" s="6" t="e">
        <f t="shared" ca="1" si="121"/>
        <v>#VALUE!</v>
      </c>
      <c r="P895">
        <v>4</v>
      </c>
      <c r="Q895">
        <f t="shared" si="122"/>
        <v>32436</v>
      </c>
      <c r="R895" s="2">
        <f t="shared" si="123"/>
        <v>16218</v>
      </c>
      <c r="S895" s="2" t="str">
        <f t="shared" si="124"/>
        <v xml:space="preserve"> Not Achieved</v>
      </c>
      <c r="T895" s="2" t="str">
        <f t="shared" si="125"/>
        <v>poor</v>
      </c>
      <c r="U895" s="2"/>
    </row>
    <row r="896" spans="1:21" x14ac:dyDescent="0.3">
      <c r="A896">
        <v>895</v>
      </c>
      <c r="B896" t="s">
        <v>1370</v>
      </c>
      <c r="C896" t="str">
        <f t="shared" si="117"/>
        <v>EMP_895</v>
      </c>
      <c r="D896" t="s">
        <v>15</v>
      </c>
      <c r="E896" t="str">
        <f t="shared" si="118"/>
        <v>EMP_895Sales</v>
      </c>
      <c r="F896" t="s">
        <v>7</v>
      </c>
      <c r="G896" t="s">
        <v>13</v>
      </c>
      <c r="H896">
        <v>54802</v>
      </c>
      <c r="I896">
        <v>2259</v>
      </c>
      <c r="J896">
        <v>233898</v>
      </c>
      <c r="K896">
        <v>111392</v>
      </c>
      <c r="L896" s="4">
        <v>44843</v>
      </c>
      <c r="M896" s="4" t="str">
        <f t="shared" si="119"/>
        <v>2022</v>
      </c>
      <c r="N896" s="1">
        <f t="shared" ca="1" si="120"/>
        <v>46064</v>
      </c>
      <c r="O896" s="6">
        <f t="shared" ca="1" si="121"/>
        <v>3</v>
      </c>
      <c r="P896">
        <v>1</v>
      </c>
      <c r="Q896">
        <f t="shared" si="122"/>
        <v>57061</v>
      </c>
      <c r="R896" s="2">
        <f t="shared" si="123"/>
        <v>28530.5</v>
      </c>
      <c r="S896" s="2" t="str">
        <f t="shared" si="124"/>
        <v>Achieved</v>
      </c>
      <c r="T896" s="2" t="str">
        <f t="shared" si="125"/>
        <v xml:space="preserve"> Excellent</v>
      </c>
      <c r="U896" s="2"/>
    </row>
    <row r="897" spans="1:21" x14ac:dyDescent="0.3">
      <c r="A897">
        <v>896</v>
      </c>
      <c r="B897" t="s">
        <v>1371</v>
      </c>
      <c r="C897" t="str">
        <f t="shared" si="117"/>
        <v>EMP_896</v>
      </c>
      <c r="D897" t="s">
        <v>15</v>
      </c>
      <c r="E897" t="str">
        <f t="shared" si="118"/>
        <v>EMP_896IT</v>
      </c>
      <c r="F897" t="s">
        <v>21</v>
      </c>
      <c r="G897" t="s">
        <v>22</v>
      </c>
      <c r="H897">
        <v>45567</v>
      </c>
      <c r="I897">
        <v>12842</v>
      </c>
      <c r="J897">
        <v>0</v>
      </c>
      <c r="K897">
        <v>0</v>
      </c>
      <c r="L897" s="4">
        <v>44623</v>
      </c>
      <c r="M897" s="4" t="str">
        <f t="shared" si="119"/>
        <v>2022</v>
      </c>
      <c r="N897" s="1">
        <f t="shared" ca="1" si="120"/>
        <v>46064</v>
      </c>
      <c r="O897" s="6">
        <f t="shared" ca="1" si="121"/>
        <v>3</v>
      </c>
      <c r="P897">
        <v>4</v>
      </c>
      <c r="Q897">
        <f t="shared" si="122"/>
        <v>58409</v>
      </c>
      <c r="R897" s="2">
        <f t="shared" si="123"/>
        <v>29204.5</v>
      </c>
      <c r="S897" s="2" t="str">
        <f t="shared" si="124"/>
        <v xml:space="preserve"> Not Achieved</v>
      </c>
      <c r="T897" s="2" t="str">
        <f t="shared" si="125"/>
        <v>Good</v>
      </c>
      <c r="U897" s="2"/>
    </row>
    <row r="898" spans="1:21" x14ac:dyDescent="0.3">
      <c r="A898">
        <v>897</v>
      </c>
      <c r="B898" t="s">
        <v>1372</v>
      </c>
      <c r="C898" t="str">
        <f t="shared" si="117"/>
        <v>EMP_897</v>
      </c>
      <c r="D898" t="s">
        <v>11</v>
      </c>
      <c r="E898" t="str">
        <f t="shared" si="118"/>
        <v>EMP_897Finance</v>
      </c>
      <c r="F898" t="s">
        <v>18</v>
      </c>
      <c r="G898" t="s">
        <v>16</v>
      </c>
      <c r="H898">
        <v>72729</v>
      </c>
      <c r="I898">
        <v>9333</v>
      </c>
      <c r="J898">
        <v>0</v>
      </c>
      <c r="K898">
        <v>0</v>
      </c>
      <c r="L898" s="4">
        <v>44320</v>
      </c>
      <c r="M898" s="4" t="str">
        <f t="shared" si="119"/>
        <v>2021</v>
      </c>
      <c r="N898" s="1">
        <f t="shared" ca="1" si="120"/>
        <v>46064</v>
      </c>
      <c r="O898" s="6">
        <f t="shared" ca="1" si="121"/>
        <v>4</v>
      </c>
      <c r="P898">
        <v>3</v>
      </c>
      <c r="Q898">
        <f t="shared" si="122"/>
        <v>82062</v>
      </c>
      <c r="R898" s="2">
        <f t="shared" si="123"/>
        <v>41031</v>
      </c>
      <c r="S898" s="2" t="str">
        <f t="shared" si="124"/>
        <v xml:space="preserve"> Not Achieved</v>
      </c>
      <c r="T898" s="2" t="str">
        <f t="shared" si="125"/>
        <v xml:space="preserve"> Excellent</v>
      </c>
      <c r="U898" s="2"/>
    </row>
    <row r="899" spans="1:21" x14ac:dyDescent="0.3">
      <c r="A899">
        <v>898</v>
      </c>
      <c r="B899" t="s">
        <v>1373</v>
      </c>
      <c r="C899" t="str">
        <f t="shared" ref="C899:C962" si="126">UPPER(B899)</f>
        <v>EMP_898</v>
      </c>
      <c r="D899" t="s">
        <v>11</v>
      </c>
      <c r="E899" t="str">
        <f t="shared" ref="E899:E962" si="127">_xlfn.CONCAT(C899,F899)</f>
        <v>EMP_898HR</v>
      </c>
      <c r="F899" t="s">
        <v>12</v>
      </c>
      <c r="G899" t="s">
        <v>19</v>
      </c>
      <c r="H899">
        <v>73567</v>
      </c>
      <c r="I899">
        <v>12582</v>
      </c>
      <c r="J899">
        <v>0</v>
      </c>
      <c r="K899">
        <v>0</v>
      </c>
      <c r="L899" s="4" t="s">
        <v>1374</v>
      </c>
      <c r="M899" s="4" t="str">
        <f t="shared" ref="M899:M962" si="128">TEXT(L899,"yyyy")</f>
        <v>7/26/2023</v>
      </c>
      <c r="N899" s="1">
        <f t="shared" ref="N899:N962" ca="1" si="129">TODAY()</f>
        <v>46064</v>
      </c>
      <c r="O899" s="6" t="e">
        <f t="shared" ref="O899:O962" ca="1" si="130">DATEDIF(L899, TODAY(), "y")</f>
        <v>#VALUE!</v>
      </c>
      <c r="P899">
        <v>4</v>
      </c>
      <c r="Q899">
        <f t="shared" ref="Q899:Q962" si="131">SUM(H899,I899)</f>
        <v>86149</v>
      </c>
      <c r="R899" s="2">
        <f t="shared" ref="R899:R962" si="132">AVERAGE(H899,I899)</f>
        <v>43074.5</v>
      </c>
      <c r="S899" s="2" t="str">
        <f t="shared" ref="S899:S962" si="133">IF(J899&gt;K899,"Achieved"," Not Achieved")</f>
        <v xml:space="preserve"> Not Achieved</v>
      </c>
      <c r="T899" s="2" t="str">
        <f t="shared" ref="T899:T962" si="134">_xlfn.IFS(H899&gt;=50000," Excellent",H899&gt;=40000,"Good",H899&gt;=30000,"Average",H899&lt;30000,"poor")</f>
        <v xml:space="preserve"> Excellent</v>
      </c>
      <c r="U899" s="2"/>
    </row>
    <row r="900" spans="1:21" x14ac:dyDescent="0.3">
      <c r="A900">
        <v>899</v>
      </c>
      <c r="B900" t="s">
        <v>1375</v>
      </c>
      <c r="C900" t="str">
        <f t="shared" si="126"/>
        <v>EMP_899</v>
      </c>
      <c r="D900" t="s">
        <v>11</v>
      </c>
      <c r="E900" t="str">
        <f t="shared" si="127"/>
        <v>EMP_899Marketing</v>
      </c>
      <c r="F900" t="s">
        <v>24</v>
      </c>
      <c r="G900" t="s">
        <v>25</v>
      </c>
      <c r="H900">
        <v>21640</v>
      </c>
      <c r="I900">
        <v>9487</v>
      </c>
      <c r="J900">
        <v>0</v>
      </c>
      <c r="K900">
        <v>0</v>
      </c>
      <c r="L900" s="4">
        <v>44785</v>
      </c>
      <c r="M900" s="4" t="str">
        <f t="shared" si="128"/>
        <v>2022</v>
      </c>
      <c r="N900" s="1">
        <f t="shared" ca="1" si="129"/>
        <v>46064</v>
      </c>
      <c r="O900" s="6">
        <f t="shared" ca="1" si="130"/>
        <v>3</v>
      </c>
      <c r="P900">
        <v>1</v>
      </c>
      <c r="Q900">
        <f t="shared" si="131"/>
        <v>31127</v>
      </c>
      <c r="R900" s="2">
        <f t="shared" si="132"/>
        <v>15563.5</v>
      </c>
      <c r="S900" s="2" t="str">
        <f t="shared" si="133"/>
        <v xml:space="preserve"> Not Achieved</v>
      </c>
      <c r="T900" s="2" t="str">
        <f t="shared" si="134"/>
        <v>poor</v>
      </c>
      <c r="U900" s="2"/>
    </row>
    <row r="901" spans="1:21" x14ac:dyDescent="0.3">
      <c r="A901">
        <v>900</v>
      </c>
      <c r="B901" t="s">
        <v>1376</v>
      </c>
      <c r="C901" t="str">
        <f t="shared" si="126"/>
        <v>EMP_900</v>
      </c>
      <c r="D901" t="s">
        <v>15</v>
      </c>
      <c r="E901" t="str">
        <f t="shared" si="127"/>
        <v>EMP_900IT</v>
      </c>
      <c r="F901" t="s">
        <v>21</v>
      </c>
      <c r="G901" t="s">
        <v>13</v>
      </c>
      <c r="H901">
        <v>44094</v>
      </c>
      <c r="I901">
        <v>7874</v>
      </c>
      <c r="J901">
        <v>0</v>
      </c>
      <c r="K901">
        <v>0</v>
      </c>
      <c r="L901" s="4" t="s">
        <v>1377</v>
      </c>
      <c r="M901" s="4" t="str">
        <f t="shared" si="128"/>
        <v>2/13/2024</v>
      </c>
      <c r="N901" s="1">
        <f t="shared" ca="1" si="129"/>
        <v>46064</v>
      </c>
      <c r="O901" s="6" t="e">
        <f t="shared" ca="1" si="130"/>
        <v>#VALUE!</v>
      </c>
      <c r="P901">
        <v>1</v>
      </c>
      <c r="Q901">
        <f t="shared" si="131"/>
        <v>51968</v>
      </c>
      <c r="R901" s="2">
        <f t="shared" si="132"/>
        <v>25984</v>
      </c>
      <c r="S901" s="2" t="str">
        <f t="shared" si="133"/>
        <v xml:space="preserve"> Not Achieved</v>
      </c>
      <c r="T901" s="2" t="str">
        <f t="shared" si="134"/>
        <v>Good</v>
      </c>
      <c r="U901" s="2"/>
    </row>
    <row r="902" spans="1:21" x14ac:dyDescent="0.3">
      <c r="A902">
        <v>901</v>
      </c>
      <c r="B902" t="s">
        <v>1378</v>
      </c>
      <c r="C902" t="str">
        <f t="shared" si="126"/>
        <v>EMP_901</v>
      </c>
      <c r="D902" t="s">
        <v>11</v>
      </c>
      <c r="E902" t="str">
        <f t="shared" si="127"/>
        <v>EMP_901Marketing</v>
      </c>
      <c r="F902" t="s">
        <v>24</v>
      </c>
      <c r="G902" t="s">
        <v>16</v>
      </c>
      <c r="H902">
        <v>66744</v>
      </c>
      <c r="I902">
        <v>12471</v>
      </c>
      <c r="J902">
        <v>0</v>
      </c>
      <c r="K902">
        <v>0</v>
      </c>
      <c r="L902" s="4" t="s">
        <v>1379</v>
      </c>
      <c r="M902" s="4" t="str">
        <f t="shared" si="128"/>
        <v>2/19/2019</v>
      </c>
      <c r="N902" s="1">
        <f t="shared" ca="1" si="129"/>
        <v>46064</v>
      </c>
      <c r="O902" s="6" t="e">
        <f t="shared" ca="1" si="130"/>
        <v>#VALUE!</v>
      </c>
      <c r="P902">
        <v>4</v>
      </c>
      <c r="Q902">
        <f t="shared" si="131"/>
        <v>79215</v>
      </c>
      <c r="R902" s="2">
        <f t="shared" si="132"/>
        <v>39607.5</v>
      </c>
      <c r="S902" s="2" t="str">
        <f t="shared" si="133"/>
        <v xml:space="preserve"> Not Achieved</v>
      </c>
      <c r="T902" s="2" t="str">
        <f t="shared" si="134"/>
        <v xml:space="preserve"> Excellent</v>
      </c>
      <c r="U902" s="2"/>
    </row>
    <row r="903" spans="1:21" x14ac:dyDescent="0.3">
      <c r="A903">
        <v>902</v>
      </c>
      <c r="B903" t="s">
        <v>1380</v>
      </c>
      <c r="C903" t="str">
        <f t="shared" si="126"/>
        <v>EMP_902</v>
      </c>
      <c r="D903" t="s">
        <v>15</v>
      </c>
      <c r="E903" t="str">
        <f t="shared" si="127"/>
        <v>EMP_902HR</v>
      </c>
      <c r="F903" t="s">
        <v>12</v>
      </c>
      <c r="G903" t="s">
        <v>25</v>
      </c>
      <c r="H903">
        <v>29768</v>
      </c>
      <c r="I903">
        <v>5974</v>
      </c>
      <c r="J903">
        <v>0</v>
      </c>
      <c r="K903">
        <v>0</v>
      </c>
      <c r="L903" s="4" t="s">
        <v>1168</v>
      </c>
      <c r="M903" s="4" t="str">
        <f t="shared" si="128"/>
        <v>7/17/2019</v>
      </c>
      <c r="N903" s="1">
        <f t="shared" ca="1" si="129"/>
        <v>46064</v>
      </c>
      <c r="O903" s="6" t="e">
        <f t="shared" ca="1" si="130"/>
        <v>#VALUE!</v>
      </c>
      <c r="P903">
        <v>4</v>
      </c>
      <c r="Q903">
        <f t="shared" si="131"/>
        <v>35742</v>
      </c>
      <c r="R903" s="2">
        <f t="shared" si="132"/>
        <v>17871</v>
      </c>
      <c r="S903" s="2" t="str">
        <f t="shared" si="133"/>
        <v xml:space="preserve"> Not Achieved</v>
      </c>
      <c r="T903" s="2" t="str">
        <f t="shared" si="134"/>
        <v>poor</v>
      </c>
      <c r="U903" s="2"/>
    </row>
    <row r="904" spans="1:21" x14ac:dyDescent="0.3">
      <c r="A904">
        <v>903</v>
      </c>
      <c r="B904" t="s">
        <v>1381</v>
      </c>
      <c r="C904" t="str">
        <f t="shared" si="126"/>
        <v>EMP_903</v>
      </c>
      <c r="D904" t="s">
        <v>11</v>
      </c>
      <c r="E904" t="str">
        <f t="shared" si="127"/>
        <v>EMP_903Sales</v>
      </c>
      <c r="F904" t="s">
        <v>7</v>
      </c>
      <c r="G904" t="s">
        <v>16</v>
      </c>
      <c r="H904">
        <v>20107</v>
      </c>
      <c r="I904">
        <v>12753</v>
      </c>
      <c r="J904">
        <v>57250</v>
      </c>
      <c r="K904">
        <v>219823</v>
      </c>
      <c r="L904" s="4" t="s">
        <v>1382</v>
      </c>
      <c r="M904" s="4" t="str">
        <f t="shared" si="128"/>
        <v>6/17/2020</v>
      </c>
      <c r="N904" s="1">
        <f t="shared" ca="1" si="129"/>
        <v>46064</v>
      </c>
      <c r="O904" s="6" t="e">
        <f t="shared" ca="1" si="130"/>
        <v>#VALUE!</v>
      </c>
      <c r="P904">
        <v>5</v>
      </c>
      <c r="Q904">
        <f t="shared" si="131"/>
        <v>32860</v>
      </c>
      <c r="R904" s="2">
        <f t="shared" si="132"/>
        <v>16430</v>
      </c>
      <c r="S904" s="2" t="str">
        <f t="shared" si="133"/>
        <v xml:space="preserve"> Not Achieved</v>
      </c>
      <c r="T904" s="2" t="str">
        <f t="shared" si="134"/>
        <v>poor</v>
      </c>
      <c r="U904" s="2"/>
    </row>
    <row r="905" spans="1:21" x14ac:dyDescent="0.3">
      <c r="A905">
        <v>904</v>
      </c>
      <c r="B905" t="s">
        <v>1383</v>
      </c>
      <c r="C905" t="str">
        <f t="shared" si="126"/>
        <v>EMP_904</v>
      </c>
      <c r="D905" t="s">
        <v>15</v>
      </c>
      <c r="E905" t="str">
        <f t="shared" si="127"/>
        <v>EMP_904HR</v>
      </c>
      <c r="F905" t="s">
        <v>12</v>
      </c>
      <c r="G905" t="s">
        <v>19</v>
      </c>
      <c r="H905">
        <v>52940</v>
      </c>
      <c r="I905">
        <v>8627</v>
      </c>
      <c r="J905">
        <v>0</v>
      </c>
      <c r="K905">
        <v>0</v>
      </c>
      <c r="L905" s="4" t="s">
        <v>1384</v>
      </c>
      <c r="M905" s="4" t="str">
        <f t="shared" si="128"/>
        <v>1/16/2020</v>
      </c>
      <c r="N905" s="1">
        <f t="shared" ca="1" si="129"/>
        <v>46064</v>
      </c>
      <c r="O905" s="6" t="e">
        <f t="shared" ca="1" si="130"/>
        <v>#VALUE!</v>
      </c>
      <c r="P905">
        <v>2</v>
      </c>
      <c r="Q905">
        <f t="shared" si="131"/>
        <v>61567</v>
      </c>
      <c r="R905" s="2">
        <f t="shared" si="132"/>
        <v>30783.5</v>
      </c>
      <c r="S905" s="2" t="str">
        <f t="shared" si="133"/>
        <v xml:space="preserve"> Not Achieved</v>
      </c>
      <c r="T905" s="2" t="str">
        <f t="shared" si="134"/>
        <v xml:space="preserve"> Excellent</v>
      </c>
      <c r="U905" s="2"/>
    </row>
    <row r="906" spans="1:21" x14ac:dyDescent="0.3">
      <c r="A906">
        <v>905</v>
      </c>
      <c r="B906" t="s">
        <v>1385</v>
      </c>
      <c r="C906" t="str">
        <f t="shared" si="126"/>
        <v>EMP_905</v>
      </c>
      <c r="D906" t="s">
        <v>11</v>
      </c>
      <c r="E906" t="str">
        <f t="shared" si="127"/>
        <v>EMP_905Finance</v>
      </c>
      <c r="F906" t="s">
        <v>18</v>
      </c>
      <c r="G906" t="s">
        <v>25</v>
      </c>
      <c r="H906">
        <v>79841</v>
      </c>
      <c r="I906">
        <v>13493</v>
      </c>
      <c r="J906">
        <v>0</v>
      </c>
      <c r="K906">
        <v>0</v>
      </c>
      <c r="L906" s="4">
        <v>44684</v>
      </c>
      <c r="M906" s="4" t="str">
        <f t="shared" si="128"/>
        <v>2022</v>
      </c>
      <c r="N906" s="1">
        <f t="shared" ca="1" si="129"/>
        <v>46064</v>
      </c>
      <c r="O906" s="6">
        <f t="shared" ca="1" si="130"/>
        <v>3</v>
      </c>
      <c r="P906">
        <v>5</v>
      </c>
      <c r="Q906">
        <f t="shared" si="131"/>
        <v>93334</v>
      </c>
      <c r="R906" s="2">
        <f t="shared" si="132"/>
        <v>46667</v>
      </c>
      <c r="S906" s="2" t="str">
        <f t="shared" si="133"/>
        <v xml:space="preserve"> Not Achieved</v>
      </c>
      <c r="T906" s="2" t="str">
        <f t="shared" si="134"/>
        <v xml:space="preserve"> Excellent</v>
      </c>
      <c r="U906" s="2"/>
    </row>
    <row r="907" spans="1:21" x14ac:dyDescent="0.3">
      <c r="A907">
        <v>906</v>
      </c>
      <c r="B907" t="s">
        <v>1386</v>
      </c>
      <c r="C907" t="str">
        <f t="shared" si="126"/>
        <v>EMP_906</v>
      </c>
      <c r="D907" t="s">
        <v>11</v>
      </c>
      <c r="E907" t="str">
        <f t="shared" si="127"/>
        <v>EMP_906Marketing</v>
      </c>
      <c r="F907" t="s">
        <v>24</v>
      </c>
      <c r="G907" t="s">
        <v>19</v>
      </c>
      <c r="H907">
        <v>47553</v>
      </c>
      <c r="I907">
        <v>6680</v>
      </c>
      <c r="J907">
        <v>0</v>
      </c>
      <c r="K907">
        <v>0</v>
      </c>
      <c r="L907" s="4" t="s">
        <v>1387</v>
      </c>
      <c r="M907" s="4" t="str">
        <f t="shared" si="128"/>
        <v>9/26/2022</v>
      </c>
      <c r="N907" s="1">
        <f t="shared" ca="1" si="129"/>
        <v>46064</v>
      </c>
      <c r="O907" s="6" t="e">
        <f t="shared" ca="1" si="130"/>
        <v>#VALUE!</v>
      </c>
      <c r="P907">
        <v>4</v>
      </c>
      <c r="Q907">
        <f t="shared" si="131"/>
        <v>54233</v>
      </c>
      <c r="R907" s="2">
        <f t="shared" si="132"/>
        <v>27116.5</v>
      </c>
      <c r="S907" s="2" t="str">
        <f t="shared" si="133"/>
        <v xml:space="preserve"> Not Achieved</v>
      </c>
      <c r="T907" s="2" t="str">
        <f t="shared" si="134"/>
        <v>Good</v>
      </c>
      <c r="U907" s="2"/>
    </row>
    <row r="908" spans="1:21" x14ac:dyDescent="0.3">
      <c r="A908">
        <v>907</v>
      </c>
      <c r="B908" t="s">
        <v>1388</v>
      </c>
      <c r="C908" t="str">
        <f t="shared" si="126"/>
        <v>EMP_907</v>
      </c>
      <c r="D908" t="s">
        <v>15</v>
      </c>
      <c r="E908" t="str">
        <f t="shared" si="127"/>
        <v>EMP_907HR</v>
      </c>
      <c r="F908" t="s">
        <v>12</v>
      </c>
      <c r="G908" t="s">
        <v>13</v>
      </c>
      <c r="H908">
        <v>50930</v>
      </c>
      <c r="I908">
        <v>11100</v>
      </c>
      <c r="J908">
        <v>0</v>
      </c>
      <c r="K908">
        <v>0</v>
      </c>
      <c r="L908" s="4">
        <v>43739</v>
      </c>
      <c r="M908" s="4" t="str">
        <f t="shared" si="128"/>
        <v>2019</v>
      </c>
      <c r="N908" s="1">
        <f t="shared" ca="1" si="129"/>
        <v>46064</v>
      </c>
      <c r="O908" s="6">
        <f t="shared" ca="1" si="130"/>
        <v>6</v>
      </c>
      <c r="P908">
        <v>5</v>
      </c>
      <c r="Q908">
        <f t="shared" si="131"/>
        <v>62030</v>
      </c>
      <c r="R908" s="2">
        <f t="shared" si="132"/>
        <v>31015</v>
      </c>
      <c r="S908" s="2" t="str">
        <f t="shared" si="133"/>
        <v xml:space="preserve"> Not Achieved</v>
      </c>
      <c r="T908" s="2" t="str">
        <f t="shared" si="134"/>
        <v xml:space="preserve"> Excellent</v>
      </c>
      <c r="U908" s="2"/>
    </row>
    <row r="909" spans="1:21" x14ac:dyDescent="0.3">
      <c r="A909">
        <v>908</v>
      </c>
      <c r="B909" t="s">
        <v>1389</v>
      </c>
      <c r="C909" t="str">
        <f t="shared" si="126"/>
        <v>EMP_908</v>
      </c>
      <c r="D909" t="s">
        <v>15</v>
      </c>
      <c r="E909" t="str">
        <f t="shared" si="127"/>
        <v>EMP_908Sales</v>
      </c>
      <c r="F909" t="s">
        <v>7</v>
      </c>
      <c r="G909" t="s">
        <v>22</v>
      </c>
      <c r="H909">
        <v>37296</v>
      </c>
      <c r="I909">
        <v>9833</v>
      </c>
      <c r="J909">
        <v>111471</v>
      </c>
      <c r="K909">
        <v>109961</v>
      </c>
      <c r="L909" s="4" t="s">
        <v>1105</v>
      </c>
      <c r="M909" s="4" t="str">
        <f t="shared" si="128"/>
        <v>2/22/2021</v>
      </c>
      <c r="N909" s="1">
        <f t="shared" ca="1" si="129"/>
        <v>46064</v>
      </c>
      <c r="O909" s="6" t="e">
        <f t="shared" ca="1" si="130"/>
        <v>#VALUE!</v>
      </c>
      <c r="P909">
        <v>1</v>
      </c>
      <c r="Q909">
        <f t="shared" si="131"/>
        <v>47129</v>
      </c>
      <c r="R909" s="2">
        <f t="shared" si="132"/>
        <v>23564.5</v>
      </c>
      <c r="S909" s="2" t="str">
        <f t="shared" si="133"/>
        <v>Achieved</v>
      </c>
      <c r="T909" s="2" t="str">
        <f t="shared" si="134"/>
        <v>Average</v>
      </c>
      <c r="U909" s="2"/>
    </row>
    <row r="910" spans="1:21" x14ac:dyDescent="0.3">
      <c r="A910">
        <v>909</v>
      </c>
      <c r="B910" t="s">
        <v>1390</v>
      </c>
      <c r="C910" t="str">
        <f t="shared" si="126"/>
        <v>EMP_909</v>
      </c>
      <c r="D910" t="s">
        <v>15</v>
      </c>
      <c r="E910" t="str">
        <f t="shared" si="127"/>
        <v>EMP_909IT</v>
      </c>
      <c r="F910" t="s">
        <v>21</v>
      </c>
      <c r="G910" t="s">
        <v>19</v>
      </c>
      <c r="H910">
        <v>50807</v>
      </c>
      <c r="I910">
        <v>13998</v>
      </c>
      <c r="J910">
        <v>0</v>
      </c>
      <c r="K910">
        <v>0</v>
      </c>
      <c r="L910" s="4" t="s">
        <v>1391</v>
      </c>
      <c r="M910" s="4" t="str">
        <f t="shared" si="128"/>
        <v>8/15/2019</v>
      </c>
      <c r="N910" s="1">
        <f t="shared" ca="1" si="129"/>
        <v>46064</v>
      </c>
      <c r="O910" s="6" t="e">
        <f t="shared" ca="1" si="130"/>
        <v>#VALUE!</v>
      </c>
      <c r="P910">
        <v>4</v>
      </c>
      <c r="Q910">
        <f t="shared" si="131"/>
        <v>64805</v>
      </c>
      <c r="R910" s="2">
        <f t="shared" si="132"/>
        <v>32402.5</v>
      </c>
      <c r="S910" s="2" t="str">
        <f t="shared" si="133"/>
        <v xml:space="preserve"> Not Achieved</v>
      </c>
      <c r="T910" s="2" t="str">
        <f t="shared" si="134"/>
        <v xml:space="preserve"> Excellent</v>
      </c>
      <c r="U910" s="2"/>
    </row>
    <row r="911" spans="1:21" x14ac:dyDescent="0.3">
      <c r="A911">
        <v>910</v>
      </c>
      <c r="B911" t="s">
        <v>1392</v>
      </c>
      <c r="C911" t="str">
        <f t="shared" si="126"/>
        <v>EMP_910</v>
      </c>
      <c r="D911" t="s">
        <v>11</v>
      </c>
      <c r="E911" t="str">
        <f t="shared" si="127"/>
        <v>EMP_910Finance</v>
      </c>
      <c r="F911" t="s">
        <v>18</v>
      </c>
      <c r="G911" t="s">
        <v>13</v>
      </c>
      <c r="H911">
        <v>45134</v>
      </c>
      <c r="I911">
        <v>6240</v>
      </c>
      <c r="J911">
        <v>0</v>
      </c>
      <c r="K911">
        <v>0</v>
      </c>
      <c r="L911" s="4" t="s">
        <v>279</v>
      </c>
      <c r="M911" s="4" t="str">
        <f t="shared" si="128"/>
        <v>12/15/2022</v>
      </c>
      <c r="N911" s="1">
        <f t="shared" ca="1" si="129"/>
        <v>46064</v>
      </c>
      <c r="O911" s="6" t="e">
        <f t="shared" ca="1" si="130"/>
        <v>#VALUE!</v>
      </c>
      <c r="P911">
        <v>5</v>
      </c>
      <c r="Q911">
        <f t="shared" si="131"/>
        <v>51374</v>
      </c>
      <c r="R911" s="2">
        <f t="shared" si="132"/>
        <v>25687</v>
      </c>
      <c r="S911" s="2" t="str">
        <f t="shared" si="133"/>
        <v xml:space="preserve"> Not Achieved</v>
      </c>
      <c r="T911" s="2" t="str">
        <f t="shared" si="134"/>
        <v>Good</v>
      </c>
      <c r="U911" s="2"/>
    </row>
    <row r="912" spans="1:21" x14ac:dyDescent="0.3">
      <c r="A912">
        <v>911</v>
      </c>
      <c r="B912" t="s">
        <v>1393</v>
      </c>
      <c r="C912" t="str">
        <f t="shared" si="126"/>
        <v>EMP_911</v>
      </c>
      <c r="D912" t="s">
        <v>15</v>
      </c>
      <c r="E912" t="str">
        <f t="shared" si="127"/>
        <v>EMP_911Sales</v>
      </c>
      <c r="F912" t="s">
        <v>7</v>
      </c>
      <c r="G912" t="s">
        <v>13</v>
      </c>
      <c r="H912">
        <v>68750</v>
      </c>
      <c r="I912">
        <v>12951</v>
      </c>
      <c r="J912">
        <v>80626</v>
      </c>
      <c r="K912">
        <v>191243</v>
      </c>
      <c r="L912" s="4" t="s">
        <v>1394</v>
      </c>
      <c r="M912" s="4" t="str">
        <f t="shared" si="128"/>
        <v>4/23/2020</v>
      </c>
      <c r="N912" s="1">
        <f t="shared" ca="1" si="129"/>
        <v>46064</v>
      </c>
      <c r="O912" s="6" t="e">
        <f t="shared" ca="1" si="130"/>
        <v>#VALUE!</v>
      </c>
      <c r="P912">
        <v>3</v>
      </c>
      <c r="Q912">
        <f t="shared" si="131"/>
        <v>81701</v>
      </c>
      <c r="R912" s="2">
        <f t="shared" si="132"/>
        <v>40850.5</v>
      </c>
      <c r="S912" s="2" t="str">
        <f t="shared" si="133"/>
        <v xml:space="preserve"> Not Achieved</v>
      </c>
      <c r="T912" s="2" t="str">
        <f t="shared" si="134"/>
        <v xml:space="preserve"> Excellent</v>
      </c>
      <c r="U912" s="2"/>
    </row>
    <row r="913" spans="1:21" x14ac:dyDescent="0.3">
      <c r="A913">
        <v>912</v>
      </c>
      <c r="B913" t="s">
        <v>1395</v>
      </c>
      <c r="C913" t="str">
        <f t="shared" si="126"/>
        <v>EMP_912</v>
      </c>
      <c r="D913" t="s">
        <v>15</v>
      </c>
      <c r="E913" t="str">
        <f t="shared" si="127"/>
        <v>EMP_912Sales</v>
      </c>
      <c r="F913" t="s">
        <v>7</v>
      </c>
      <c r="G913" t="s">
        <v>22</v>
      </c>
      <c r="H913">
        <v>33126</v>
      </c>
      <c r="I913">
        <v>5793</v>
      </c>
      <c r="J913">
        <v>224121</v>
      </c>
      <c r="K913">
        <v>170606</v>
      </c>
      <c r="L913" s="4">
        <v>43899</v>
      </c>
      <c r="M913" s="4" t="str">
        <f t="shared" si="128"/>
        <v>2020</v>
      </c>
      <c r="N913" s="1">
        <f t="shared" ca="1" si="129"/>
        <v>46064</v>
      </c>
      <c r="O913" s="6">
        <f t="shared" ca="1" si="130"/>
        <v>5</v>
      </c>
      <c r="P913">
        <v>3</v>
      </c>
      <c r="Q913">
        <f t="shared" si="131"/>
        <v>38919</v>
      </c>
      <c r="R913" s="2">
        <f t="shared" si="132"/>
        <v>19459.5</v>
      </c>
      <c r="S913" s="2" t="str">
        <f t="shared" si="133"/>
        <v>Achieved</v>
      </c>
      <c r="T913" s="2" t="str">
        <f t="shared" si="134"/>
        <v>Average</v>
      </c>
      <c r="U913" s="2"/>
    </row>
    <row r="914" spans="1:21" x14ac:dyDescent="0.3">
      <c r="A914">
        <v>913</v>
      </c>
      <c r="B914" t="s">
        <v>1396</v>
      </c>
      <c r="C914" t="str">
        <f t="shared" si="126"/>
        <v>EMP_913</v>
      </c>
      <c r="D914" t="s">
        <v>11</v>
      </c>
      <c r="E914" t="str">
        <f t="shared" si="127"/>
        <v>EMP_913Finance</v>
      </c>
      <c r="F914" t="s">
        <v>18</v>
      </c>
      <c r="G914" t="s">
        <v>19</v>
      </c>
      <c r="H914">
        <v>76832</v>
      </c>
      <c r="I914">
        <v>6527</v>
      </c>
      <c r="J914">
        <v>0</v>
      </c>
      <c r="K914">
        <v>0</v>
      </c>
      <c r="L914" s="4" t="s">
        <v>1397</v>
      </c>
      <c r="M914" s="4" t="str">
        <f t="shared" si="128"/>
        <v>8/30/2023</v>
      </c>
      <c r="N914" s="1">
        <f t="shared" ca="1" si="129"/>
        <v>46064</v>
      </c>
      <c r="O914" s="6" t="e">
        <f t="shared" ca="1" si="130"/>
        <v>#VALUE!</v>
      </c>
      <c r="P914">
        <v>1</v>
      </c>
      <c r="Q914">
        <f t="shared" si="131"/>
        <v>83359</v>
      </c>
      <c r="R914" s="2">
        <f t="shared" si="132"/>
        <v>41679.5</v>
      </c>
      <c r="S914" s="2" t="str">
        <f t="shared" si="133"/>
        <v xml:space="preserve"> Not Achieved</v>
      </c>
      <c r="T914" s="2" t="str">
        <f t="shared" si="134"/>
        <v xml:space="preserve"> Excellent</v>
      </c>
      <c r="U914" s="2"/>
    </row>
    <row r="915" spans="1:21" x14ac:dyDescent="0.3">
      <c r="A915">
        <v>914</v>
      </c>
      <c r="B915" t="s">
        <v>1398</v>
      </c>
      <c r="C915" t="str">
        <f t="shared" si="126"/>
        <v>EMP_914</v>
      </c>
      <c r="D915" t="s">
        <v>11</v>
      </c>
      <c r="E915" t="str">
        <f t="shared" si="127"/>
        <v>EMP_914HR</v>
      </c>
      <c r="F915" t="s">
        <v>12</v>
      </c>
      <c r="G915" t="s">
        <v>22</v>
      </c>
      <c r="H915">
        <v>20342</v>
      </c>
      <c r="I915">
        <v>3200</v>
      </c>
      <c r="J915">
        <v>0</v>
      </c>
      <c r="K915">
        <v>0</v>
      </c>
      <c r="L915" s="4" t="s">
        <v>1399</v>
      </c>
      <c r="M915" s="4" t="str">
        <f t="shared" si="128"/>
        <v>12/13/2018</v>
      </c>
      <c r="N915" s="1">
        <f t="shared" ca="1" si="129"/>
        <v>46064</v>
      </c>
      <c r="O915" s="6" t="e">
        <f t="shared" ca="1" si="130"/>
        <v>#VALUE!</v>
      </c>
      <c r="P915">
        <v>5</v>
      </c>
      <c r="Q915">
        <f t="shared" si="131"/>
        <v>23542</v>
      </c>
      <c r="R915" s="2">
        <f t="shared" si="132"/>
        <v>11771</v>
      </c>
      <c r="S915" s="2" t="str">
        <f t="shared" si="133"/>
        <v xml:space="preserve"> Not Achieved</v>
      </c>
      <c r="T915" s="2" t="str">
        <f t="shared" si="134"/>
        <v>poor</v>
      </c>
      <c r="U915" s="2"/>
    </row>
    <row r="916" spans="1:21" x14ac:dyDescent="0.3">
      <c r="A916">
        <v>915</v>
      </c>
      <c r="B916" t="s">
        <v>1400</v>
      </c>
      <c r="C916" t="str">
        <f t="shared" si="126"/>
        <v>EMP_915</v>
      </c>
      <c r="D916" t="s">
        <v>15</v>
      </c>
      <c r="E916" t="str">
        <f t="shared" si="127"/>
        <v>EMP_915Sales</v>
      </c>
      <c r="F916" t="s">
        <v>7</v>
      </c>
      <c r="G916" t="s">
        <v>22</v>
      </c>
      <c r="H916">
        <v>38571</v>
      </c>
      <c r="I916">
        <v>5793</v>
      </c>
      <c r="J916">
        <v>96626</v>
      </c>
      <c r="K916">
        <v>236236</v>
      </c>
      <c r="L916" s="4" t="s">
        <v>393</v>
      </c>
      <c r="M916" s="4" t="str">
        <f t="shared" si="128"/>
        <v>9/28/2020</v>
      </c>
      <c r="N916" s="1">
        <f t="shared" ca="1" si="129"/>
        <v>46064</v>
      </c>
      <c r="O916" s="6" t="e">
        <f t="shared" ca="1" si="130"/>
        <v>#VALUE!</v>
      </c>
      <c r="P916">
        <v>1</v>
      </c>
      <c r="Q916">
        <f t="shared" si="131"/>
        <v>44364</v>
      </c>
      <c r="R916" s="2">
        <f t="shared" si="132"/>
        <v>22182</v>
      </c>
      <c r="S916" s="2" t="str">
        <f t="shared" si="133"/>
        <v xml:space="preserve"> Not Achieved</v>
      </c>
      <c r="T916" s="2" t="str">
        <f t="shared" si="134"/>
        <v>Average</v>
      </c>
      <c r="U916" s="2"/>
    </row>
    <row r="917" spans="1:21" x14ac:dyDescent="0.3">
      <c r="A917">
        <v>916</v>
      </c>
      <c r="B917" t="s">
        <v>1401</v>
      </c>
      <c r="C917" t="str">
        <f t="shared" si="126"/>
        <v>EMP_916</v>
      </c>
      <c r="D917" t="s">
        <v>15</v>
      </c>
      <c r="E917" t="str">
        <f t="shared" si="127"/>
        <v>EMP_916HR</v>
      </c>
      <c r="F917" t="s">
        <v>12</v>
      </c>
      <c r="G917" t="s">
        <v>22</v>
      </c>
      <c r="H917">
        <v>28907</v>
      </c>
      <c r="I917">
        <v>11923</v>
      </c>
      <c r="J917">
        <v>0</v>
      </c>
      <c r="K917">
        <v>0</v>
      </c>
      <c r="L917" s="4" t="s">
        <v>347</v>
      </c>
      <c r="M917" s="4" t="str">
        <f t="shared" si="128"/>
        <v>8/21/2024</v>
      </c>
      <c r="N917" s="1">
        <f t="shared" ca="1" si="129"/>
        <v>46064</v>
      </c>
      <c r="O917" s="6" t="e">
        <f t="shared" ca="1" si="130"/>
        <v>#VALUE!</v>
      </c>
      <c r="P917">
        <v>5</v>
      </c>
      <c r="Q917">
        <f t="shared" si="131"/>
        <v>40830</v>
      </c>
      <c r="R917" s="2">
        <f t="shared" si="132"/>
        <v>20415</v>
      </c>
      <c r="S917" s="2" t="str">
        <f t="shared" si="133"/>
        <v xml:space="preserve"> Not Achieved</v>
      </c>
      <c r="T917" s="2" t="str">
        <f t="shared" si="134"/>
        <v>poor</v>
      </c>
      <c r="U917" s="2"/>
    </row>
    <row r="918" spans="1:21" x14ac:dyDescent="0.3">
      <c r="A918">
        <v>917</v>
      </c>
      <c r="B918" t="s">
        <v>1402</v>
      </c>
      <c r="C918" t="str">
        <f t="shared" si="126"/>
        <v>EMP_917</v>
      </c>
      <c r="D918" t="s">
        <v>15</v>
      </c>
      <c r="E918" t="str">
        <f t="shared" si="127"/>
        <v>EMP_917IT</v>
      </c>
      <c r="F918" t="s">
        <v>21</v>
      </c>
      <c r="G918" t="s">
        <v>13</v>
      </c>
      <c r="H918">
        <v>70378</v>
      </c>
      <c r="I918">
        <v>13433</v>
      </c>
      <c r="J918">
        <v>0</v>
      </c>
      <c r="K918">
        <v>0</v>
      </c>
      <c r="L918" s="4" t="s">
        <v>1403</v>
      </c>
      <c r="M918" s="4" t="str">
        <f t="shared" si="128"/>
        <v>4/16/2021</v>
      </c>
      <c r="N918" s="1">
        <f t="shared" ca="1" si="129"/>
        <v>46064</v>
      </c>
      <c r="O918" s="6" t="e">
        <f t="shared" ca="1" si="130"/>
        <v>#VALUE!</v>
      </c>
      <c r="P918">
        <v>4</v>
      </c>
      <c r="Q918">
        <f t="shared" si="131"/>
        <v>83811</v>
      </c>
      <c r="R918" s="2">
        <f t="shared" si="132"/>
        <v>41905.5</v>
      </c>
      <c r="S918" s="2" t="str">
        <f t="shared" si="133"/>
        <v xml:space="preserve"> Not Achieved</v>
      </c>
      <c r="T918" s="2" t="str">
        <f t="shared" si="134"/>
        <v xml:space="preserve"> Excellent</v>
      </c>
      <c r="U918" s="2"/>
    </row>
    <row r="919" spans="1:21" x14ac:dyDescent="0.3">
      <c r="A919">
        <v>918</v>
      </c>
      <c r="B919" t="s">
        <v>1404</v>
      </c>
      <c r="C919" t="str">
        <f t="shared" si="126"/>
        <v>EMP_918</v>
      </c>
      <c r="D919" t="s">
        <v>11</v>
      </c>
      <c r="E919" t="str">
        <f t="shared" si="127"/>
        <v>EMP_918HR</v>
      </c>
      <c r="F919" t="s">
        <v>12</v>
      </c>
      <c r="G919" t="s">
        <v>22</v>
      </c>
      <c r="H919">
        <v>79219</v>
      </c>
      <c r="I919">
        <v>12218</v>
      </c>
      <c r="J919">
        <v>0</v>
      </c>
      <c r="K919">
        <v>0</v>
      </c>
      <c r="L919" s="4" t="s">
        <v>1405</v>
      </c>
      <c r="M919" s="4" t="str">
        <f t="shared" si="128"/>
        <v>12/16/2021</v>
      </c>
      <c r="N919" s="1">
        <f t="shared" ca="1" si="129"/>
        <v>46064</v>
      </c>
      <c r="O919" s="6" t="e">
        <f t="shared" ca="1" si="130"/>
        <v>#VALUE!</v>
      </c>
      <c r="P919">
        <v>5</v>
      </c>
      <c r="Q919">
        <f t="shared" si="131"/>
        <v>91437</v>
      </c>
      <c r="R919" s="2">
        <f t="shared" si="132"/>
        <v>45718.5</v>
      </c>
      <c r="S919" s="2" t="str">
        <f t="shared" si="133"/>
        <v xml:space="preserve"> Not Achieved</v>
      </c>
      <c r="T919" s="2" t="str">
        <f t="shared" si="134"/>
        <v xml:space="preserve"> Excellent</v>
      </c>
      <c r="U919" s="2"/>
    </row>
    <row r="920" spans="1:21" x14ac:dyDescent="0.3">
      <c r="A920">
        <v>919</v>
      </c>
      <c r="B920" t="s">
        <v>1406</v>
      </c>
      <c r="C920" t="str">
        <f t="shared" si="126"/>
        <v>EMP_919</v>
      </c>
      <c r="D920" t="s">
        <v>15</v>
      </c>
      <c r="E920" t="str">
        <f t="shared" si="127"/>
        <v>EMP_919Finance</v>
      </c>
      <c r="F920" t="s">
        <v>18</v>
      </c>
      <c r="G920" t="s">
        <v>13</v>
      </c>
      <c r="H920">
        <v>37428</v>
      </c>
      <c r="I920">
        <v>7665</v>
      </c>
      <c r="J920">
        <v>0</v>
      </c>
      <c r="K920">
        <v>0</v>
      </c>
      <c r="L920" s="4">
        <v>43841</v>
      </c>
      <c r="M920" s="4" t="str">
        <f t="shared" si="128"/>
        <v>2020</v>
      </c>
      <c r="N920" s="1">
        <f t="shared" ca="1" si="129"/>
        <v>46064</v>
      </c>
      <c r="O920" s="6">
        <f t="shared" ca="1" si="130"/>
        <v>6</v>
      </c>
      <c r="P920">
        <v>1</v>
      </c>
      <c r="Q920">
        <f t="shared" si="131"/>
        <v>45093</v>
      </c>
      <c r="R920" s="2">
        <f t="shared" si="132"/>
        <v>22546.5</v>
      </c>
      <c r="S920" s="2" t="str">
        <f t="shared" si="133"/>
        <v xml:space="preserve"> Not Achieved</v>
      </c>
      <c r="T920" s="2" t="str">
        <f t="shared" si="134"/>
        <v>Average</v>
      </c>
      <c r="U920" s="2"/>
    </row>
    <row r="921" spans="1:21" x14ac:dyDescent="0.3">
      <c r="A921">
        <v>920</v>
      </c>
      <c r="B921" t="s">
        <v>1407</v>
      </c>
      <c r="C921" t="str">
        <f t="shared" si="126"/>
        <v>EMP_920</v>
      </c>
      <c r="D921" t="s">
        <v>15</v>
      </c>
      <c r="E921" t="str">
        <f t="shared" si="127"/>
        <v>EMP_920Finance</v>
      </c>
      <c r="F921" t="s">
        <v>18</v>
      </c>
      <c r="G921" t="s">
        <v>25</v>
      </c>
      <c r="H921">
        <v>41984</v>
      </c>
      <c r="I921">
        <v>4892</v>
      </c>
      <c r="J921">
        <v>0</v>
      </c>
      <c r="K921">
        <v>0</v>
      </c>
      <c r="L921" s="4" t="s">
        <v>1408</v>
      </c>
      <c r="M921" s="4" t="str">
        <f t="shared" si="128"/>
        <v>12/28/2020</v>
      </c>
      <c r="N921" s="1">
        <f t="shared" ca="1" si="129"/>
        <v>46064</v>
      </c>
      <c r="O921" s="6" t="e">
        <f t="shared" ca="1" si="130"/>
        <v>#VALUE!</v>
      </c>
      <c r="P921">
        <v>1</v>
      </c>
      <c r="Q921">
        <f t="shared" si="131"/>
        <v>46876</v>
      </c>
      <c r="R921" s="2">
        <f t="shared" si="132"/>
        <v>23438</v>
      </c>
      <c r="S921" s="2" t="str">
        <f t="shared" si="133"/>
        <v xml:space="preserve"> Not Achieved</v>
      </c>
      <c r="T921" s="2" t="str">
        <f t="shared" si="134"/>
        <v>Good</v>
      </c>
      <c r="U921" s="2"/>
    </row>
    <row r="922" spans="1:21" x14ac:dyDescent="0.3">
      <c r="A922">
        <v>921</v>
      </c>
      <c r="B922" t="s">
        <v>1409</v>
      </c>
      <c r="C922" t="str">
        <f t="shared" si="126"/>
        <v>EMP_921</v>
      </c>
      <c r="D922" t="s">
        <v>15</v>
      </c>
      <c r="E922" t="str">
        <f t="shared" si="127"/>
        <v>EMP_921Marketing</v>
      </c>
      <c r="F922" t="s">
        <v>24</v>
      </c>
      <c r="G922" t="s">
        <v>16</v>
      </c>
      <c r="H922">
        <v>38810</v>
      </c>
      <c r="I922">
        <v>8444</v>
      </c>
      <c r="J922">
        <v>0</v>
      </c>
      <c r="K922">
        <v>0</v>
      </c>
      <c r="L922" s="4">
        <v>43354</v>
      </c>
      <c r="M922" s="4" t="str">
        <f t="shared" si="128"/>
        <v>2018</v>
      </c>
      <c r="N922" s="1">
        <f t="shared" ca="1" si="129"/>
        <v>46064</v>
      </c>
      <c r="O922" s="6">
        <f t="shared" ca="1" si="130"/>
        <v>7</v>
      </c>
      <c r="P922">
        <v>4</v>
      </c>
      <c r="Q922">
        <f t="shared" si="131"/>
        <v>47254</v>
      </c>
      <c r="R922" s="2">
        <f t="shared" si="132"/>
        <v>23627</v>
      </c>
      <c r="S922" s="2" t="str">
        <f t="shared" si="133"/>
        <v xml:space="preserve"> Not Achieved</v>
      </c>
      <c r="T922" s="2" t="str">
        <f t="shared" si="134"/>
        <v>Average</v>
      </c>
      <c r="U922" s="2"/>
    </row>
    <row r="923" spans="1:21" x14ac:dyDescent="0.3">
      <c r="A923">
        <v>922</v>
      </c>
      <c r="B923" t="s">
        <v>1410</v>
      </c>
      <c r="C923" t="str">
        <f t="shared" si="126"/>
        <v>EMP_922</v>
      </c>
      <c r="D923" t="s">
        <v>15</v>
      </c>
      <c r="E923" t="str">
        <f t="shared" si="127"/>
        <v>EMP_922Finance</v>
      </c>
      <c r="F923" t="s">
        <v>18</v>
      </c>
      <c r="G923" t="s">
        <v>19</v>
      </c>
      <c r="H923">
        <v>45324</v>
      </c>
      <c r="I923">
        <v>11804</v>
      </c>
      <c r="J923">
        <v>0</v>
      </c>
      <c r="K923">
        <v>0</v>
      </c>
      <c r="L923" s="4">
        <v>45020</v>
      </c>
      <c r="M923" s="4" t="str">
        <f t="shared" si="128"/>
        <v>2023</v>
      </c>
      <c r="N923" s="1">
        <f t="shared" ca="1" si="129"/>
        <v>46064</v>
      </c>
      <c r="O923" s="6">
        <f t="shared" ca="1" si="130"/>
        <v>2</v>
      </c>
      <c r="P923">
        <v>4</v>
      </c>
      <c r="Q923">
        <f t="shared" si="131"/>
        <v>57128</v>
      </c>
      <c r="R923" s="2">
        <f t="shared" si="132"/>
        <v>28564</v>
      </c>
      <c r="S923" s="2" t="str">
        <f t="shared" si="133"/>
        <v xml:space="preserve"> Not Achieved</v>
      </c>
      <c r="T923" s="2" t="str">
        <f t="shared" si="134"/>
        <v>Good</v>
      </c>
      <c r="U923" s="2"/>
    </row>
    <row r="924" spans="1:21" x14ac:dyDescent="0.3">
      <c r="A924">
        <v>923</v>
      </c>
      <c r="B924" t="s">
        <v>1411</v>
      </c>
      <c r="C924" t="str">
        <f t="shared" si="126"/>
        <v>EMP_923</v>
      </c>
      <c r="D924" t="s">
        <v>15</v>
      </c>
      <c r="E924" t="str">
        <f t="shared" si="127"/>
        <v>EMP_923Marketing</v>
      </c>
      <c r="F924" t="s">
        <v>24</v>
      </c>
      <c r="G924" t="s">
        <v>22</v>
      </c>
      <c r="H924">
        <v>60922</v>
      </c>
      <c r="I924">
        <v>8838</v>
      </c>
      <c r="J924">
        <v>0</v>
      </c>
      <c r="K924">
        <v>0</v>
      </c>
      <c r="L924" s="4" t="s">
        <v>742</v>
      </c>
      <c r="M924" s="4" t="str">
        <f t="shared" si="128"/>
        <v>4/28/2018</v>
      </c>
      <c r="N924" s="1">
        <f t="shared" ca="1" si="129"/>
        <v>46064</v>
      </c>
      <c r="O924" s="6" t="e">
        <f t="shared" ca="1" si="130"/>
        <v>#VALUE!</v>
      </c>
      <c r="P924">
        <v>2</v>
      </c>
      <c r="Q924">
        <f t="shared" si="131"/>
        <v>69760</v>
      </c>
      <c r="R924" s="2">
        <f t="shared" si="132"/>
        <v>34880</v>
      </c>
      <c r="S924" s="2" t="str">
        <f t="shared" si="133"/>
        <v xml:space="preserve"> Not Achieved</v>
      </c>
      <c r="T924" s="2" t="str">
        <f t="shared" si="134"/>
        <v xml:space="preserve"> Excellent</v>
      </c>
      <c r="U924" s="2"/>
    </row>
    <row r="925" spans="1:21" x14ac:dyDescent="0.3">
      <c r="A925">
        <v>924</v>
      </c>
      <c r="B925" t="s">
        <v>1412</v>
      </c>
      <c r="C925" t="str">
        <f t="shared" si="126"/>
        <v>EMP_924</v>
      </c>
      <c r="D925" t="s">
        <v>11</v>
      </c>
      <c r="E925" t="str">
        <f t="shared" si="127"/>
        <v>EMP_924Marketing</v>
      </c>
      <c r="F925" t="s">
        <v>24</v>
      </c>
      <c r="G925" t="s">
        <v>22</v>
      </c>
      <c r="H925">
        <v>69878</v>
      </c>
      <c r="I925">
        <v>9668</v>
      </c>
      <c r="J925">
        <v>0</v>
      </c>
      <c r="K925">
        <v>0</v>
      </c>
      <c r="L925" s="4">
        <v>43106</v>
      </c>
      <c r="M925" s="4" t="str">
        <f t="shared" si="128"/>
        <v>2018</v>
      </c>
      <c r="N925" s="1">
        <f t="shared" ca="1" si="129"/>
        <v>46064</v>
      </c>
      <c r="O925" s="6">
        <f t="shared" ca="1" si="130"/>
        <v>8</v>
      </c>
      <c r="P925">
        <v>2</v>
      </c>
      <c r="Q925">
        <f t="shared" si="131"/>
        <v>79546</v>
      </c>
      <c r="R925" s="2">
        <f t="shared" si="132"/>
        <v>39773</v>
      </c>
      <c r="S925" s="2" t="str">
        <f t="shared" si="133"/>
        <v xml:space="preserve"> Not Achieved</v>
      </c>
      <c r="T925" s="2" t="str">
        <f t="shared" si="134"/>
        <v xml:space="preserve"> Excellent</v>
      </c>
      <c r="U925" s="2"/>
    </row>
    <row r="926" spans="1:21" x14ac:dyDescent="0.3">
      <c r="A926">
        <v>925</v>
      </c>
      <c r="B926" t="s">
        <v>1413</v>
      </c>
      <c r="C926" t="str">
        <f t="shared" si="126"/>
        <v>EMP_925</v>
      </c>
      <c r="D926" t="s">
        <v>15</v>
      </c>
      <c r="E926" t="str">
        <f t="shared" si="127"/>
        <v>EMP_925Sales</v>
      </c>
      <c r="F926" t="s">
        <v>7</v>
      </c>
      <c r="G926" t="s">
        <v>13</v>
      </c>
      <c r="H926">
        <v>36818</v>
      </c>
      <c r="I926">
        <v>5918</v>
      </c>
      <c r="J926">
        <v>58015</v>
      </c>
      <c r="K926">
        <v>221656</v>
      </c>
      <c r="L926" s="4">
        <v>45637</v>
      </c>
      <c r="M926" s="4" t="str">
        <f t="shared" si="128"/>
        <v>2024</v>
      </c>
      <c r="N926" s="1">
        <f t="shared" ca="1" si="129"/>
        <v>46064</v>
      </c>
      <c r="O926" s="6">
        <f t="shared" ca="1" si="130"/>
        <v>1</v>
      </c>
      <c r="P926">
        <v>4</v>
      </c>
      <c r="Q926">
        <f t="shared" si="131"/>
        <v>42736</v>
      </c>
      <c r="R926" s="2">
        <f t="shared" si="132"/>
        <v>21368</v>
      </c>
      <c r="S926" s="2" t="str">
        <f t="shared" si="133"/>
        <v xml:space="preserve"> Not Achieved</v>
      </c>
      <c r="T926" s="2" t="str">
        <f t="shared" si="134"/>
        <v>Average</v>
      </c>
      <c r="U926" s="2"/>
    </row>
    <row r="927" spans="1:21" x14ac:dyDescent="0.3">
      <c r="A927">
        <v>926</v>
      </c>
      <c r="B927" t="s">
        <v>1414</v>
      </c>
      <c r="C927" t="str">
        <f t="shared" si="126"/>
        <v>EMP_926</v>
      </c>
      <c r="D927" t="s">
        <v>15</v>
      </c>
      <c r="E927" t="str">
        <f t="shared" si="127"/>
        <v>EMP_926Marketing</v>
      </c>
      <c r="F927" t="s">
        <v>24</v>
      </c>
      <c r="G927" t="s">
        <v>25</v>
      </c>
      <c r="H927">
        <v>54658</v>
      </c>
      <c r="I927">
        <v>10417</v>
      </c>
      <c r="J927">
        <v>0</v>
      </c>
      <c r="K927">
        <v>0</v>
      </c>
      <c r="L927" s="4">
        <v>45444</v>
      </c>
      <c r="M927" s="4" t="str">
        <f t="shared" si="128"/>
        <v>2024</v>
      </c>
      <c r="N927" s="1">
        <f t="shared" ca="1" si="129"/>
        <v>46064</v>
      </c>
      <c r="O927" s="6">
        <f t="shared" ca="1" si="130"/>
        <v>1</v>
      </c>
      <c r="P927">
        <v>1</v>
      </c>
      <c r="Q927">
        <f t="shared" si="131"/>
        <v>65075</v>
      </c>
      <c r="R927" s="2">
        <f t="shared" si="132"/>
        <v>32537.5</v>
      </c>
      <c r="S927" s="2" t="str">
        <f t="shared" si="133"/>
        <v xml:space="preserve"> Not Achieved</v>
      </c>
      <c r="T927" s="2" t="str">
        <f t="shared" si="134"/>
        <v xml:space="preserve"> Excellent</v>
      </c>
      <c r="U927" s="2"/>
    </row>
    <row r="928" spans="1:21" x14ac:dyDescent="0.3">
      <c r="A928">
        <v>927</v>
      </c>
      <c r="B928" t="s">
        <v>1415</v>
      </c>
      <c r="C928" t="str">
        <f t="shared" si="126"/>
        <v>EMP_927</v>
      </c>
      <c r="D928" t="s">
        <v>15</v>
      </c>
      <c r="E928" t="str">
        <f t="shared" si="127"/>
        <v>EMP_927IT</v>
      </c>
      <c r="F928" t="s">
        <v>21</v>
      </c>
      <c r="G928" t="s">
        <v>22</v>
      </c>
      <c r="H928">
        <v>33556</v>
      </c>
      <c r="I928">
        <v>3697</v>
      </c>
      <c r="J928">
        <v>0</v>
      </c>
      <c r="K928">
        <v>0</v>
      </c>
      <c r="L928" s="4" t="s">
        <v>115</v>
      </c>
      <c r="M928" s="4" t="str">
        <f t="shared" si="128"/>
        <v>6/18/2024</v>
      </c>
      <c r="N928" s="1">
        <f t="shared" ca="1" si="129"/>
        <v>46064</v>
      </c>
      <c r="O928" s="6" t="e">
        <f t="shared" ca="1" si="130"/>
        <v>#VALUE!</v>
      </c>
      <c r="P928">
        <v>4</v>
      </c>
      <c r="Q928">
        <f t="shared" si="131"/>
        <v>37253</v>
      </c>
      <c r="R928" s="2">
        <f t="shared" si="132"/>
        <v>18626.5</v>
      </c>
      <c r="S928" s="2" t="str">
        <f t="shared" si="133"/>
        <v xml:space="preserve"> Not Achieved</v>
      </c>
      <c r="T928" s="2" t="str">
        <f t="shared" si="134"/>
        <v>Average</v>
      </c>
      <c r="U928" s="2"/>
    </row>
    <row r="929" spans="1:21" x14ac:dyDescent="0.3">
      <c r="A929">
        <v>928</v>
      </c>
      <c r="B929" t="s">
        <v>1416</v>
      </c>
      <c r="C929" t="str">
        <f t="shared" si="126"/>
        <v>EMP_928</v>
      </c>
      <c r="D929" t="s">
        <v>11</v>
      </c>
      <c r="E929" t="str">
        <f t="shared" si="127"/>
        <v>EMP_928Sales</v>
      </c>
      <c r="F929" t="s">
        <v>7</v>
      </c>
      <c r="G929" t="s">
        <v>16</v>
      </c>
      <c r="H929">
        <v>31072</v>
      </c>
      <c r="I929">
        <v>8042</v>
      </c>
      <c r="J929">
        <v>181553</v>
      </c>
      <c r="K929">
        <v>223324</v>
      </c>
      <c r="L929" s="4">
        <v>44716</v>
      </c>
      <c r="M929" s="4" t="str">
        <f t="shared" si="128"/>
        <v>2022</v>
      </c>
      <c r="N929" s="1">
        <f t="shared" ca="1" si="129"/>
        <v>46064</v>
      </c>
      <c r="O929" s="6">
        <f t="shared" ca="1" si="130"/>
        <v>3</v>
      </c>
      <c r="P929">
        <v>3</v>
      </c>
      <c r="Q929">
        <f t="shared" si="131"/>
        <v>39114</v>
      </c>
      <c r="R929" s="2">
        <f t="shared" si="132"/>
        <v>19557</v>
      </c>
      <c r="S929" s="2" t="str">
        <f t="shared" si="133"/>
        <v xml:space="preserve"> Not Achieved</v>
      </c>
      <c r="T929" s="2" t="str">
        <f t="shared" si="134"/>
        <v>Average</v>
      </c>
      <c r="U929" s="2"/>
    </row>
    <row r="930" spans="1:21" x14ac:dyDescent="0.3">
      <c r="A930">
        <v>929</v>
      </c>
      <c r="B930" t="s">
        <v>1417</v>
      </c>
      <c r="C930" t="str">
        <f t="shared" si="126"/>
        <v>EMP_929</v>
      </c>
      <c r="D930" t="s">
        <v>15</v>
      </c>
      <c r="E930" t="str">
        <f t="shared" si="127"/>
        <v>EMP_929Finance</v>
      </c>
      <c r="F930" t="s">
        <v>18</v>
      </c>
      <c r="G930" t="s">
        <v>19</v>
      </c>
      <c r="H930">
        <v>72643</v>
      </c>
      <c r="I930">
        <v>2920</v>
      </c>
      <c r="J930">
        <v>0</v>
      </c>
      <c r="K930">
        <v>0</v>
      </c>
      <c r="L930" s="4" t="s">
        <v>1418</v>
      </c>
      <c r="M930" s="4" t="str">
        <f t="shared" si="128"/>
        <v>1/25/2019</v>
      </c>
      <c r="N930" s="1">
        <f t="shared" ca="1" si="129"/>
        <v>46064</v>
      </c>
      <c r="O930" s="6" t="e">
        <f t="shared" ca="1" si="130"/>
        <v>#VALUE!</v>
      </c>
      <c r="P930">
        <v>4</v>
      </c>
      <c r="Q930">
        <f t="shared" si="131"/>
        <v>75563</v>
      </c>
      <c r="R930" s="2">
        <f t="shared" si="132"/>
        <v>37781.5</v>
      </c>
      <c r="S930" s="2" t="str">
        <f t="shared" si="133"/>
        <v xml:space="preserve"> Not Achieved</v>
      </c>
      <c r="T930" s="2" t="str">
        <f t="shared" si="134"/>
        <v xml:space="preserve"> Excellent</v>
      </c>
      <c r="U930" s="2"/>
    </row>
    <row r="931" spans="1:21" x14ac:dyDescent="0.3">
      <c r="A931">
        <v>930</v>
      </c>
      <c r="B931" t="s">
        <v>1419</v>
      </c>
      <c r="C931" t="str">
        <f t="shared" si="126"/>
        <v>EMP_930</v>
      </c>
      <c r="D931" t="s">
        <v>11</v>
      </c>
      <c r="E931" t="str">
        <f t="shared" si="127"/>
        <v>EMP_930HR</v>
      </c>
      <c r="F931" t="s">
        <v>12</v>
      </c>
      <c r="G931" t="s">
        <v>22</v>
      </c>
      <c r="H931">
        <v>44708</v>
      </c>
      <c r="I931">
        <v>13451</v>
      </c>
      <c r="J931">
        <v>0</v>
      </c>
      <c r="K931">
        <v>0</v>
      </c>
      <c r="L931" s="4">
        <v>44206</v>
      </c>
      <c r="M931" s="4" t="str">
        <f t="shared" si="128"/>
        <v>2021</v>
      </c>
      <c r="N931" s="1">
        <f t="shared" ca="1" si="129"/>
        <v>46064</v>
      </c>
      <c r="O931" s="6">
        <f t="shared" ca="1" si="130"/>
        <v>5</v>
      </c>
      <c r="P931">
        <v>2</v>
      </c>
      <c r="Q931">
        <f t="shared" si="131"/>
        <v>58159</v>
      </c>
      <c r="R931" s="2">
        <f t="shared" si="132"/>
        <v>29079.5</v>
      </c>
      <c r="S931" s="2" t="str">
        <f t="shared" si="133"/>
        <v xml:space="preserve"> Not Achieved</v>
      </c>
      <c r="T931" s="2" t="str">
        <f t="shared" si="134"/>
        <v>Good</v>
      </c>
      <c r="U931" s="2"/>
    </row>
    <row r="932" spans="1:21" x14ac:dyDescent="0.3">
      <c r="A932">
        <v>931</v>
      </c>
      <c r="B932" t="s">
        <v>1420</v>
      </c>
      <c r="C932" t="str">
        <f t="shared" si="126"/>
        <v>EMP_931</v>
      </c>
      <c r="D932" t="s">
        <v>15</v>
      </c>
      <c r="E932" t="str">
        <f t="shared" si="127"/>
        <v>EMP_931Finance</v>
      </c>
      <c r="F932" t="s">
        <v>18</v>
      </c>
      <c r="G932" t="s">
        <v>25</v>
      </c>
      <c r="H932">
        <v>36909</v>
      </c>
      <c r="I932">
        <v>9814</v>
      </c>
      <c r="J932">
        <v>0</v>
      </c>
      <c r="K932">
        <v>0</v>
      </c>
      <c r="L932" s="4">
        <v>45413</v>
      </c>
      <c r="M932" s="4" t="str">
        <f t="shared" si="128"/>
        <v>2024</v>
      </c>
      <c r="N932" s="1">
        <f t="shared" ca="1" si="129"/>
        <v>46064</v>
      </c>
      <c r="O932" s="6">
        <f t="shared" ca="1" si="130"/>
        <v>1</v>
      </c>
      <c r="P932">
        <v>3</v>
      </c>
      <c r="Q932">
        <f t="shared" si="131"/>
        <v>46723</v>
      </c>
      <c r="R932" s="2">
        <f t="shared" si="132"/>
        <v>23361.5</v>
      </c>
      <c r="S932" s="2" t="str">
        <f t="shared" si="133"/>
        <v xml:space="preserve"> Not Achieved</v>
      </c>
      <c r="T932" s="2" t="str">
        <f t="shared" si="134"/>
        <v>Average</v>
      </c>
      <c r="U932" s="2"/>
    </row>
    <row r="933" spans="1:21" x14ac:dyDescent="0.3">
      <c r="A933">
        <v>932</v>
      </c>
      <c r="B933" t="s">
        <v>1421</v>
      </c>
      <c r="C933" t="str">
        <f t="shared" si="126"/>
        <v>EMP_932</v>
      </c>
      <c r="D933" t="s">
        <v>11</v>
      </c>
      <c r="E933" t="str">
        <f t="shared" si="127"/>
        <v>EMP_932Marketing</v>
      </c>
      <c r="F933" t="s">
        <v>24</v>
      </c>
      <c r="G933" t="s">
        <v>16</v>
      </c>
      <c r="H933">
        <v>47537</v>
      </c>
      <c r="I933">
        <v>5107</v>
      </c>
      <c r="J933">
        <v>0</v>
      </c>
      <c r="K933">
        <v>0</v>
      </c>
      <c r="L933" s="4">
        <v>43711</v>
      </c>
      <c r="M933" s="4" t="str">
        <f t="shared" si="128"/>
        <v>2019</v>
      </c>
      <c r="N933" s="1">
        <f t="shared" ca="1" si="129"/>
        <v>46064</v>
      </c>
      <c r="O933" s="6">
        <f t="shared" ca="1" si="130"/>
        <v>6</v>
      </c>
      <c r="P933">
        <v>5</v>
      </c>
      <c r="Q933">
        <f t="shared" si="131"/>
        <v>52644</v>
      </c>
      <c r="R933" s="2">
        <f t="shared" si="132"/>
        <v>26322</v>
      </c>
      <c r="S933" s="2" t="str">
        <f t="shared" si="133"/>
        <v xml:space="preserve"> Not Achieved</v>
      </c>
      <c r="T933" s="2" t="str">
        <f t="shared" si="134"/>
        <v>Good</v>
      </c>
      <c r="U933" s="2"/>
    </row>
    <row r="934" spans="1:21" x14ac:dyDescent="0.3">
      <c r="A934">
        <v>933</v>
      </c>
      <c r="B934" t="s">
        <v>1422</v>
      </c>
      <c r="C934" t="str">
        <f t="shared" si="126"/>
        <v>EMP_933</v>
      </c>
      <c r="D934" t="s">
        <v>15</v>
      </c>
      <c r="E934" t="str">
        <f t="shared" si="127"/>
        <v>EMP_933IT</v>
      </c>
      <c r="F934" t="s">
        <v>21</v>
      </c>
      <c r="G934" t="s">
        <v>13</v>
      </c>
      <c r="H934">
        <v>55292</v>
      </c>
      <c r="I934">
        <v>10870</v>
      </c>
      <c r="J934">
        <v>0</v>
      </c>
      <c r="K934">
        <v>0</v>
      </c>
      <c r="L934" s="4" t="s">
        <v>1423</v>
      </c>
      <c r="M934" s="4" t="str">
        <f t="shared" si="128"/>
        <v>12/27/2021</v>
      </c>
      <c r="N934" s="1">
        <f t="shared" ca="1" si="129"/>
        <v>46064</v>
      </c>
      <c r="O934" s="6" t="e">
        <f t="shared" ca="1" si="130"/>
        <v>#VALUE!</v>
      </c>
      <c r="P934">
        <v>2</v>
      </c>
      <c r="Q934">
        <f t="shared" si="131"/>
        <v>66162</v>
      </c>
      <c r="R934" s="2">
        <f t="shared" si="132"/>
        <v>33081</v>
      </c>
      <c r="S934" s="2" t="str">
        <f t="shared" si="133"/>
        <v xml:space="preserve"> Not Achieved</v>
      </c>
      <c r="T934" s="2" t="str">
        <f t="shared" si="134"/>
        <v xml:space="preserve"> Excellent</v>
      </c>
      <c r="U934" s="2"/>
    </row>
    <row r="935" spans="1:21" x14ac:dyDescent="0.3">
      <c r="A935">
        <v>934</v>
      </c>
      <c r="B935" t="s">
        <v>1424</v>
      </c>
      <c r="C935" t="str">
        <f t="shared" si="126"/>
        <v>EMP_934</v>
      </c>
      <c r="D935" t="s">
        <v>11</v>
      </c>
      <c r="E935" t="str">
        <f t="shared" si="127"/>
        <v>EMP_934HR</v>
      </c>
      <c r="F935" t="s">
        <v>12</v>
      </c>
      <c r="G935" t="s">
        <v>19</v>
      </c>
      <c r="H935">
        <v>22802</v>
      </c>
      <c r="I935">
        <v>12348</v>
      </c>
      <c r="J935">
        <v>0</v>
      </c>
      <c r="K935">
        <v>0</v>
      </c>
      <c r="L935" s="4" t="s">
        <v>1425</v>
      </c>
      <c r="M935" s="4" t="str">
        <f t="shared" si="128"/>
        <v>1/15/2022</v>
      </c>
      <c r="N935" s="1">
        <f t="shared" ca="1" si="129"/>
        <v>46064</v>
      </c>
      <c r="O935" s="6" t="e">
        <f t="shared" ca="1" si="130"/>
        <v>#VALUE!</v>
      </c>
      <c r="P935">
        <v>2</v>
      </c>
      <c r="Q935">
        <f t="shared" si="131"/>
        <v>35150</v>
      </c>
      <c r="R935" s="2">
        <f t="shared" si="132"/>
        <v>17575</v>
      </c>
      <c r="S935" s="2" t="str">
        <f t="shared" si="133"/>
        <v xml:space="preserve"> Not Achieved</v>
      </c>
      <c r="T935" s="2" t="str">
        <f t="shared" si="134"/>
        <v>poor</v>
      </c>
      <c r="U935" s="2"/>
    </row>
    <row r="936" spans="1:21" x14ac:dyDescent="0.3">
      <c r="A936">
        <v>935</v>
      </c>
      <c r="B936" t="s">
        <v>1426</v>
      </c>
      <c r="C936" t="str">
        <f t="shared" si="126"/>
        <v>EMP_935</v>
      </c>
      <c r="D936" t="s">
        <v>15</v>
      </c>
      <c r="E936" t="str">
        <f t="shared" si="127"/>
        <v>EMP_935IT</v>
      </c>
      <c r="F936" t="s">
        <v>21</v>
      </c>
      <c r="G936" t="s">
        <v>16</v>
      </c>
      <c r="H936">
        <v>72233</v>
      </c>
      <c r="I936">
        <v>10049</v>
      </c>
      <c r="J936">
        <v>0</v>
      </c>
      <c r="K936">
        <v>0</v>
      </c>
      <c r="L936" s="4">
        <v>43748</v>
      </c>
      <c r="M936" s="4" t="str">
        <f t="shared" si="128"/>
        <v>2019</v>
      </c>
      <c r="N936" s="1">
        <f t="shared" ca="1" si="129"/>
        <v>46064</v>
      </c>
      <c r="O936" s="6">
        <f t="shared" ca="1" si="130"/>
        <v>6</v>
      </c>
      <c r="P936">
        <v>4</v>
      </c>
      <c r="Q936">
        <f t="shared" si="131"/>
        <v>82282</v>
      </c>
      <c r="R936" s="2">
        <f t="shared" si="132"/>
        <v>41141</v>
      </c>
      <c r="S936" s="2" t="str">
        <f t="shared" si="133"/>
        <v xml:space="preserve"> Not Achieved</v>
      </c>
      <c r="T936" s="2" t="str">
        <f t="shared" si="134"/>
        <v xml:space="preserve"> Excellent</v>
      </c>
      <c r="U936" s="2"/>
    </row>
    <row r="937" spans="1:21" x14ac:dyDescent="0.3">
      <c r="A937">
        <v>936</v>
      </c>
      <c r="B937" t="s">
        <v>1427</v>
      </c>
      <c r="C937" t="str">
        <f t="shared" si="126"/>
        <v>EMP_936</v>
      </c>
      <c r="D937" t="s">
        <v>11</v>
      </c>
      <c r="E937" t="str">
        <f t="shared" si="127"/>
        <v>EMP_936Sales</v>
      </c>
      <c r="F937" t="s">
        <v>7</v>
      </c>
      <c r="G937" t="s">
        <v>22</v>
      </c>
      <c r="H937">
        <v>29145</v>
      </c>
      <c r="I937">
        <v>9059</v>
      </c>
      <c r="J937">
        <v>249332</v>
      </c>
      <c r="K937">
        <v>122314</v>
      </c>
      <c r="L937" s="4" t="s">
        <v>1428</v>
      </c>
      <c r="M937" s="4" t="str">
        <f t="shared" si="128"/>
        <v>1/19/2022</v>
      </c>
      <c r="N937" s="1">
        <f t="shared" ca="1" si="129"/>
        <v>46064</v>
      </c>
      <c r="O937" s="6" t="e">
        <f t="shared" ca="1" si="130"/>
        <v>#VALUE!</v>
      </c>
      <c r="P937">
        <v>4</v>
      </c>
      <c r="Q937">
        <f t="shared" si="131"/>
        <v>38204</v>
      </c>
      <c r="R937" s="2">
        <f t="shared" si="132"/>
        <v>19102</v>
      </c>
      <c r="S937" s="2" t="str">
        <f t="shared" si="133"/>
        <v>Achieved</v>
      </c>
      <c r="T937" s="2" t="str">
        <f t="shared" si="134"/>
        <v>poor</v>
      </c>
      <c r="U937" s="2"/>
    </row>
    <row r="938" spans="1:21" x14ac:dyDescent="0.3">
      <c r="A938">
        <v>937</v>
      </c>
      <c r="B938" t="s">
        <v>1429</v>
      </c>
      <c r="C938" t="str">
        <f t="shared" si="126"/>
        <v>EMP_937</v>
      </c>
      <c r="D938" t="s">
        <v>15</v>
      </c>
      <c r="E938" t="str">
        <f t="shared" si="127"/>
        <v>EMP_937IT</v>
      </c>
      <c r="F938" t="s">
        <v>21</v>
      </c>
      <c r="G938" t="s">
        <v>16</v>
      </c>
      <c r="H938">
        <v>29843</v>
      </c>
      <c r="I938">
        <v>6364</v>
      </c>
      <c r="J938">
        <v>0</v>
      </c>
      <c r="K938">
        <v>0</v>
      </c>
      <c r="L938" s="4">
        <v>43355</v>
      </c>
      <c r="M938" s="4" t="str">
        <f t="shared" si="128"/>
        <v>2018</v>
      </c>
      <c r="N938" s="1">
        <f t="shared" ca="1" si="129"/>
        <v>46064</v>
      </c>
      <c r="O938" s="6">
        <f t="shared" ca="1" si="130"/>
        <v>7</v>
      </c>
      <c r="P938">
        <v>5</v>
      </c>
      <c r="Q938">
        <f t="shared" si="131"/>
        <v>36207</v>
      </c>
      <c r="R938" s="2">
        <f t="shared" si="132"/>
        <v>18103.5</v>
      </c>
      <c r="S938" s="2" t="str">
        <f t="shared" si="133"/>
        <v xml:space="preserve"> Not Achieved</v>
      </c>
      <c r="T938" s="2" t="str">
        <f t="shared" si="134"/>
        <v>poor</v>
      </c>
      <c r="U938" s="2"/>
    </row>
    <row r="939" spans="1:21" x14ac:dyDescent="0.3">
      <c r="A939">
        <v>938</v>
      </c>
      <c r="B939" t="s">
        <v>1430</v>
      </c>
      <c r="C939" t="str">
        <f t="shared" si="126"/>
        <v>EMP_938</v>
      </c>
      <c r="D939" t="s">
        <v>15</v>
      </c>
      <c r="E939" t="str">
        <f t="shared" si="127"/>
        <v>EMP_938Sales</v>
      </c>
      <c r="F939" t="s">
        <v>7</v>
      </c>
      <c r="G939" t="s">
        <v>19</v>
      </c>
      <c r="H939">
        <v>29695</v>
      </c>
      <c r="I939">
        <v>6029</v>
      </c>
      <c r="J939">
        <v>295243</v>
      </c>
      <c r="K939">
        <v>111766</v>
      </c>
      <c r="L939" s="4" t="s">
        <v>1431</v>
      </c>
      <c r="M939" s="4" t="str">
        <f t="shared" si="128"/>
        <v>7/13/2020</v>
      </c>
      <c r="N939" s="1">
        <f t="shared" ca="1" si="129"/>
        <v>46064</v>
      </c>
      <c r="O939" s="6" t="e">
        <f t="shared" ca="1" si="130"/>
        <v>#VALUE!</v>
      </c>
      <c r="P939">
        <v>2</v>
      </c>
      <c r="Q939">
        <f t="shared" si="131"/>
        <v>35724</v>
      </c>
      <c r="R939" s="2">
        <f t="shared" si="132"/>
        <v>17862</v>
      </c>
      <c r="S939" s="2" t="str">
        <f t="shared" si="133"/>
        <v>Achieved</v>
      </c>
      <c r="T939" s="2" t="str">
        <f t="shared" si="134"/>
        <v>poor</v>
      </c>
      <c r="U939" s="2"/>
    </row>
    <row r="940" spans="1:21" x14ac:dyDescent="0.3">
      <c r="A940">
        <v>939</v>
      </c>
      <c r="B940" t="s">
        <v>1432</v>
      </c>
      <c r="C940" t="str">
        <f t="shared" si="126"/>
        <v>EMP_939</v>
      </c>
      <c r="D940" t="s">
        <v>11</v>
      </c>
      <c r="E940" t="str">
        <f t="shared" si="127"/>
        <v>EMP_939IT</v>
      </c>
      <c r="F940" t="s">
        <v>21</v>
      </c>
      <c r="G940" t="s">
        <v>13</v>
      </c>
      <c r="H940">
        <v>34133</v>
      </c>
      <c r="I940">
        <v>8626</v>
      </c>
      <c r="J940">
        <v>0</v>
      </c>
      <c r="K940">
        <v>0</v>
      </c>
      <c r="L940" s="4">
        <v>44020</v>
      </c>
      <c r="M940" s="4" t="str">
        <f t="shared" si="128"/>
        <v>2020</v>
      </c>
      <c r="N940" s="1">
        <f t="shared" ca="1" si="129"/>
        <v>46064</v>
      </c>
      <c r="O940" s="6">
        <f t="shared" ca="1" si="130"/>
        <v>5</v>
      </c>
      <c r="P940">
        <v>5</v>
      </c>
      <c r="Q940">
        <f t="shared" si="131"/>
        <v>42759</v>
      </c>
      <c r="R940" s="2">
        <f t="shared" si="132"/>
        <v>21379.5</v>
      </c>
      <c r="S940" s="2" t="str">
        <f t="shared" si="133"/>
        <v xml:space="preserve"> Not Achieved</v>
      </c>
      <c r="T940" s="2" t="str">
        <f t="shared" si="134"/>
        <v>Average</v>
      </c>
      <c r="U940" s="2"/>
    </row>
    <row r="941" spans="1:21" x14ac:dyDescent="0.3">
      <c r="A941">
        <v>940</v>
      </c>
      <c r="B941" t="s">
        <v>1433</v>
      </c>
      <c r="C941" t="str">
        <f t="shared" si="126"/>
        <v>EMP_940</v>
      </c>
      <c r="D941" t="s">
        <v>15</v>
      </c>
      <c r="E941" t="str">
        <f t="shared" si="127"/>
        <v>EMP_940HR</v>
      </c>
      <c r="F941" t="s">
        <v>12</v>
      </c>
      <c r="G941" t="s">
        <v>25</v>
      </c>
      <c r="H941">
        <v>54760</v>
      </c>
      <c r="I941">
        <v>13686</v>
      </c>
      <c r="J941">
        <v>0</v>
      </c>
      <c r="K941">
        <v>0</v>
      </c>
      <c r="L941" s="4" t="s">
        <v>1434</v>
      </c>
      <c r="M941" s="4" t="str">
        <f t="shared" si="128"/>
        <v>7/22/2021</v>
      </c>
      <c r="N941" s="1">
        <f t="shared" ca="1" si="129"/>
        <v>46064</v>
      </c>
      <c r="O941" s="6" t="e">
        <f t="shared" ca="1" si="130"/>
        <v>#VALUE!</v>
      </c>
      <c r="P941">
        <v>1</v>
      </c>
      <c r="Q941">
        <f t="shared" si="131"/>
        <v>68446</v>
      </c>
      <c r="R941" s="2">
        <f t="shared" si="132"/>
        <v>34223</v>
      </c>
      <c r="S941" s="2" t="str">
        <f t="shared" si="133"/>
        <v xml:space="preserve"> Not Achieved</v>
      </c>
      <c r="T941" s="2" t="str">
        <f t="shared" si="134"/>
        <v xml:space="preserve"> Excellent</v>
      </c>
      <c r="U941" s="2"/>
    </row>
    <row r="942" spans="1:21" x14ac:dyDescent="0.3">
      <c r="A942">
        <v>941</v>
      </c>
      <c r="B942" t="s">
        <v>1435</v>
      </c>
      <c r="C942" t="str">
        <f t="shared" si="126"/>
        <v>EMP_941</v>
      </c>
      <c r="D942" t="s">
        <v>11</v>
      </c>
      <c r="E942" t="str">
        <f t="shared" si="127"/>
        <v>EMP_941IT</v>
      </c>
      <c r="F942" t="s">
        <v>21</v>
      </c>
      <c r="G942" t="s">
        <v>16</v>
      </c>
      <c r="H942">
        <v>32242</v>
      </c>
      <c r="I942">
        <v>8203</v>
      </c>
      <c r="J942">
        <v>0</v>
      </c>
      <c r="K942">
        <v>0</v>
      </c>
      <c r="L942" s="4">
        <v>44902</v>
      </c>
      <c r="M942" s="4" t="str">
        <f t="shared" si="128"/>
        <v>2022</v>
      </c>
      <c r="N942" s="1">
        <f t="shared" ca="1" si="129"/>
        <v>46064</v>
      </c>
      <c r="O942" s="6">
        <f t="shared" ca="1" si="130"/>
        <v>3</v>
      </c>
      <c r="P942">
        <v>3</v>
      </c>
      <c r="Q942">
        <f t="shared" si="131"/>
        <v>40445</v>
      </c>
      <c r="R942" s="2">
        <f t="shared" si="132"/>
        <v>20222.5</v>
      </c>
      <c r="S942" s="2" t="str">
        <f t="shared" si="133"/>
        <v xml:space="preserve"> Not Achieved</v>
      </c>
      <c r="T942" s="2" t="str">
        <f t="shared" si="134"/>
        <v>Average</v>
      </c>
      <c r="U942" s="2"/>
    </row>
    <row r="943" spans="1:21" x14ac:dyDescent="0.3">
      <c r="A943">
        <v>942</v>
      </c>
      <c r="B943" t="s">
        <v>1436</v>
      </c>
      <c r="C943" t="str">
        <f t="shared" si="126"/>
        <v>EMP_942</v>
      </c>
      <c r="D943" t="s">
        <v>15</v>
      </c>
      <c r="E943" t="str">
        <f t="shared" si="127"/>
        <v>EMP_942Sales</v>
      </c>
      <c r="F943" t="s">
        <v>7</v>
      </c>
      <c r="G943" t="s">
        <v>22</v>
      </c>
      <c r="H943">
        <v>39938</v>
      </c>
      <c r="I943">
        <v>7630</v>
      </c>
      <c r="J943">
        <v>61351</v>
      </c>
      <c r="K943">
        <v>182057</v>
      </c>
      <c r="L943" s="4">
        <v>44265</v>
      </c>
      <c r="M943" s="4" t="str">
        <f t="shared" si="128"/>
        <v>2021</v>
      </c>
      <c r="N943" s="1">
        <f t="shared" ca="1" si="129"/>
        <v>46064</v>
      </c>
      <c r="O943" s="6">
        <f t="shared" ca="1" si="130"/>
        <v>4</v>
      </c>
      <c r="P943">
        <v>3</v>
      </c>
      <c r="Q943">
        <f t="shared" si="131"/>
        <v>47568</v>
      </c>
      <c r="R943" s="2">
        <f t="shared" si="132"/>
        <v>23784</v>
      </c>
      <c r="S943" s="2" t="str">
        <f t="shared" si="133"/>
        <v xml:space="preserve"> Not Achieved</v>
      </c>
      <c r="T943" s="2" t="str">
        <f t="shared" si="134"/>
        <v>Average</v>
      </c>
      <c r="U943" s="2"/>
    </row>
    <row r="944" spans="1:21" x14ac:dyDescent="0.3">
      <c r="A944">
        <v>943</v>
      </c>
      <c r="B944" t="s">
        <v>1437</v>
      </c>
      <c r="C944" t="str">
        <f t="shared" si="126"/>
        <v>EMP_943</v>
      </c>
      <c r="D944" t="s">
        <v>11</v>
      </c>
      <c r="E944" t="str">
        <f t="shared" si="127"/>
        <v>EMP_943Marketing</v>
      </c>
      <c r="F944" t="s">
        <v>24</v>
      </c>
      <c r="G944" t="s">
        <v>19</v>
      </c>
      <c r="H944">
        <v>45186</v>
      </c>
      <c r="I944">
        <v>6381</v>
      </c>
      <c r="J944">
        <v>0</v>
      </c>
      <c r="K944">
        <v>0</v>
      </c>
      <c r="L944" s="4" t="s">
        <v>1438</v>
      </c>
      <c r="M944" s="4" t="str">
        <f t="shared" si="128"/>
        <v>5/28/2024</v>
      </c>
      <c r="N944" s="1">
        <f t="shared" ca="1" si="129"/>
        <v>46064</v>
      </c>
      <c r="O944" s="6" t="e">
        <f t="shared" ca="1" si="130"/>
        <v>#VALUE!</v>
      </c>
      <c r="P944">
        <v>2</v>
      </c>
      <c r="Q944">
        <f t="shared" si="131"/>
        <v>51567</v>
      </c>
      <c r="R944" s="2">
        <f t="shared" si="132"/>
        <v>25783.5</v>
      </c>
      <c r="S944" s="2" t="str">
        <f t="shared" si="133"/>
        <v xml:space="preserve"> Not Achieved</v>
      </c>
      <c r="T944" s="2" t="str">
        <f t="shared" si="134"/>
        <v>Good</v>
      </c>
      <c r="U944" s="2"/>
    </row>
    <row r="945" spans="1:21" x14ac:dyDescent="0.3">
      <c r="A945">
        <v>944</v>
      </c>
      <c r="B945" t="s">
        <v>1439</v>
      </c>
      <c r="C945" t="str">
        <f t="shared" si="126"/>
        <v>EMP_944</v>
      </c>
      <c r="D945" t="s">
        <v>11</v>
      </c>
      <c r="E945" t="str">
        <f t="shared" si="127"/>
        <v>EMP_944Sales</v>
      </c>
      <c r="F945" t="s">
        <v>7</v>
      </c>
      <c r="G945" t="s">
        <v>16</v>
      </c>
      <c r="H945">
        <v>54148</v>
      </c>
      <c r="I945">
        <v>13252</v>
      </c>
      <c r="J945">
        <v>255958</v>
      </c>
      <c r="K945">
        <v>150445</v>
      </c>
      <c r="L945" s="4">
        <v>44348</v>
      </c>
      <c r="M945" s="4" t="str">
        <f t="shared" si="128"/>
        <v>2021</v>
      </c>
      <c r="N945" s="1">
        <f t="shared" ca="1" si="129"/>
        <v>46064</v>
      </c>
      <c r="O945" s="6">
        <f t="shared" ca="1" si="130"/>
        <v>4</v>
      </c>
      <c r="P945">
        <v>3</v>
      </c>
      <c r="Q945">
        <f t="shared" si="131"/>
        <v>67400</v>
      </c>
      <c r="R945" s="2">
        <f t="shared" si="132"/>
        <v>33700</v>
      </c>
      <c r="S945" s="2" t="str">
        <f t="shared" si="133"/>
        <v>Achieved</v>
      </c>
      <c r="T945" s="2" t="str">
        <f t="shared" si="134"/>
        <v xml:space="preserve"> Excellent</v>
      </c>
      <c r="U945" s="2"/>
    </row>
    <row r="946" spans="1:21" x14ac:dyDescent="0.3">
      <c r="A946">
        <v>945</v>
      </c>
      <c r="B946" t="s">
        <v>1440</v>
      </c>
      <c r="C946" t="str">
        <f t="shared" si="126"/>
        <v>EMP_945</v>
      </c>
      <c r="D946" t="s">
        <v>11</v>
      </c>
      <c r="E946" t="str">
        <f t="shared" si="127"/>
        <v>EMP_945HR</v>
      </c>
      <c r="F946" t="s">
        <v>12</v>
      </c>
      <c r="G946" t="s">
        <v>13</v>
      </c>
      <c r="H946">
        <v>26443</v>
      </c>
      <c r="I946">
        <v>10859</v>
      </c>
      <c r="J946">
        <v>0</v>
      </c>
      <c r="K946">
        <v>0</v>
      </c>
      <c r="L946" s="4" t="s">
        <v>759</v>
      </c>
      <c r="M946" s="4" t="str">
        <f t="shared" si="128"/>
        <v>5/31/2023</v>
      </c>
      <c r="N946" s="1">
        <f t="shared" ca="1" si="129"/>
        <v>46064</v>
      </c>
      <c r="O946" s="6" t="e">
        <f t="shared" ca="1" si="130"/>
        <v>#VALUE!</v>
      </c>
      <c r="P946">
        <v>2</v>
      </c>
      <c r="Q946">
        <f t="shared" si="131"/>
        <v>37302</v>
      </c>
      <c r="R946" s="2">
        <f t="shared" si="132"/>
        <v>18651</v>
      </c>
      <c r="S946" s="2" t="str">
        <f t="shared" si="133"/>
        <v xml:space="preserve"> Not Achieved</v>
      </c>
      <c r="T946" s="2" t="str">
        <f t="shared" si="134"/>
        <v>poor</v>
      </c>
      <c r="U946" s="2"/>
    </row>
    <row r="947" spans="1:21" x14ac:dyDescent="0.3">
      <c r="A947">
        <v>946</v>
      </c>
      <c r="B947" t="s">
        <v>1441</v>
      </c>
      <c r="C947" t="str">
        <f t="shared" si="126"/>
        <v>EMP_946</v>
      </c>
      <c r="D947" t="s">
        <v>11</v>
      </c>
      <c r="E947" t="str">
        <f t="shared" si="127"/>
        <v>EMP_946HR</v>
      </c>
      <c r="F947" t="s">
        <v>12</v>
      </c>
      <c r="G947" t="s">
        <v>25</v>
      </c>
      <c r="H947">
        <v>47910</v>
      </c>
      <c r="I947">
        <v>12373</v>
      </c>
      <c r="J947">
        <v>0</v>
      </c>
      <c r="K947">
        <v>0</v>
      </c>
      <c r="L947" s="4" t="s">
        <v>1442</v>
      </c>
      <c r="M947" s="4" t="str">
        <f t="shared" si="128"/>
        <v>8/24/2020</v>
      </c>
      <c r="N947" s="1">
        <f t="shared" ca="1" si="129"/>
        <v>46064</v>
      </c>
      <c r="O947" s="6" t="e">
        <f t="shared" ca="1" si="130"/>
        <v>#VALUE!</v>
      </c>
      <c r="P947">
        <v>5</v>
      </c>
      <c r="Q947">
        <f t="shared" si="131"/>
        <v>60283</v>
      </c>
      <c r="R947" s="2">
        <f t="shared" si="132"/>
        <v>30141.5</v>
      </c>
      <c r="S947" s="2" t="str">
        <f t="shared" si="133"/>
        <v xml:space="preserve"> Not Achieved</v>
      </c>
      <c r="T947" s="2" t="str">
        <f t="shared" si="134"/>
        <v>Good</v>
      </c>
      <c r="U947" s="2"/>
    </row>
    <row r="948" spans="1:21" x14ac:dyDescent="0.3">
      <c r="A948">
        <v>947</v>
      </c>
      <c r="B948" t="s">
        <v>1443</v>
      </c>
      <c r="C948" t="str">
        <f t="shared" si="126"/>
        <v>EMP_947</v>
      </c>
      <c r="D948" t="s">
        <v>15</v>
      </c>
      <c r="E948" t="str">
        <f t="shared" si="127"/>
        <v>EMP_947IT</v>
      </c>
      <c r="F948" t="s">
        <v>21</v>
      </c>
      <c r="G948" t="s">
        <v>25</v>
      </c>
      <c r="H948">
        <v>40162</v>
      </c>
      <c r="I948">
        <v>8629</v>
      </c>
      <c r="J948">
        <v>0</v>
      </c>
      <c r="K948">
        <v>0</v>
      </c>
      <c r="L948" s="4">
        <v>44267</v>
      </c>
      <c r="M948" s="4" t="str">
        <f t="shared" si="128"/>
        <v>2021</v>
      </c>
      <c r="N948" s="1">
        <f t="shared" ca="1" si="129"/>
        <v>46064</v>
      </c>
      <c r="O948" s="6">
        <f t="shared" ca="1" si="130"/>
        <v>4</v>
      </c>
      <c r="P948">
        <v>4</v>
      </c>
      <c r="Q948">
        <f t="shared" si="131"/>
        <v>48791</v>
      </c>
      <c r="R948" s="2">
        <f t="shared" si="132"/>
        <v>24395.5</v>
      </c>
      <c r="S948" s="2" t="str">
        <f t="shared" si="133"/>
        <v xml:space="preserve"> Not Achieved</v>
      </c>
      <c r="T948" s="2" t="str">
        <f t="shared" si="134"/>
        <v>Good</v>
      </c>
      <c r="U948" s="2"/>
    </row>
    <row r="949" spans="1:21" x14ac:dyDescent="0.3">
      <c r="A949">
        <v>948</v>
      </c>
      <c r="B949" t="s">
        <v>1444</v>
      </c>
      <c r="C949" t="str">
        <f t="shared" si="126"/>
        <v>EMP_948</v>
      </c>
      <c r="D949" t="s">
        <v>11</v>
      </c>
      <c r="E949" t="str">
        <f t="shared" si="127"/>
        <v>EMP_948IT</v>
      </c>
      <c r="F949" t="s">
        <v>21</v>
      </c>
      <c r="G949" t="s">
        <v>13</v>
      </c>
      <c r="H949">
        <v>79644</v>
      </c>
      <c r="I949">
        <v>4843</v>
      </c>
      <c r="J949">
        <v>0</v>
      </c>
      <c r="K949">
        <v>0</v>
      </c>
      <c r="L949" s="4">
        <v>44749</v>
      </c>
      <c r="M949" s="4" t="str">
        <f t="shared" si="128"/>
        <v>2022</v>
      </c>
      <c r="N949" s="1">
        <f t="shared" ca="1" si="129"/>
        <v>46064</v>
      </c>
      <c r="O949" s="6">
        <f t="shared" ca="1" si="130"/>
        <v>3</v>
      </c>
      <c r="P949">
        <v>5</v>
      </c>
      <c r="Q949">
        <f t="shared" si="131"/>
        <v>84487</v>
      </c>
      <c r="R949" s="2">
        <f t="shared" si="132"/>
        <v>42243.5</v>
      </c>
      <c r="S949" s="2" t="str">
        <f t="shared" si="133"/>
        <v xml:space="preserve"> Not Achieved</v>
      </c>
      <c r="T949" s="2" t="str">
        <f t="shared" si="134"/>
        <v xml:space="preserve"> Excellent</v>
      </c>
      <c r="U949" s="2"/>
    </row>
    <row r="950" spans="1:21" x14ac:dyDescent="0.3">
      <c r="A950">
        <v>949</v>
      </c>
      <c r="B950" t="s">
        <v>1445</v>
      </c>
      <c r="C950" t="str">
        <f t="shared" si="126"/>
        <v>EMP_949</v>
      </c>
      <c r="D950" t="s">
        <v>11</v>
      </c>
      <c r="E950" t="str">
        <f t="shared" si="127"/>
        <v>EMP_949IT</v>
      </c>
      <c r="F950" t="s">
        <v>21</v>
      </c>
      <c r="G950" t="s">
        <v>22</v>
      </c>
      <c r="H950">
        <v>59023</v>
      </c>
      <c r="I950">
        <v>11090</v>
      </c>
      <c r="J950">
        <v>0</v>
      </c>
      <c r="K950">
        <v>0</v>
      </c>
      <c r="L950" s="4" t="s">
        <v>1446</v>
      </c>
      <c r="M950" s="4" t="str">
        <f t="shared" si="128"/>
        <v>8/17/2020</v>
      </c>
      <c r="N950" s="1">
        <f t="shared" ca="1" si="129"/>
        <v>46064</v>
      </c>
      <c r="O950" s="6" t="e">
        <f t="shared" ca="1" si="130"/>
        <v>#VALUE!</v>
      </c>
      <c r="P950">
        <v>4</v>
      </c>
      <c r="Q950">
        <f t="shared" si="131"/>
        <v>70113</v>
      </c>
      <c r="R950" s="2">
        <f t="shared" si="132"/>
        <v>35056.5</v>
      </c>
      <c r="S950" s="2" t="str">
        <f t="shared" si="133"/>
        <v xml:space="preserve"> Not Achieved</v>
      </c>
      <c r="T950" s="2" t="str">
        <f t="shared" si="134"/>
        <v xml:space="preserve"> Excellent</v>
      </c>
      <c r="U950" s="2"/>
    </row>
    <row r="951" spans="1:21" x14ac:dyDescent="0.3">
      <c r="A951">
        <v>950</v>
      </c>
      <c r="B951" t="s">
        <v>1447</v>
      </c>
      <c r="C951" t="str">
        <f t="shared" si="126"/>
        <v>EMP_950</v>
      </c>
      <c r="D951" t="s">
        <v>11</v>
      </c>
      <c r="E951" t="str">
        <f t="shared" si="127"/>
        <v>EMP_950Sales</v>
      </c>
      <c r="F951" t="s">
        <v>7</v>
      </c>
      <c r="G951" t="s">
        <v>22</v>
      </c>
      <c r="H951">
        <v>35267</v>
      </c>
      <c r="I951">
        <v>14536</v>
      </c>
      <c r="J951">
        <v>249913</v>
      </c>
      <c r="K951">
        <v>171530</v>
      </c>
      <c r="L951" s="4">
        <v>43810</v>
      </c>
      <c r="M951" s="4" t="str">
        <f t="shared" si="128"/>
        <v>2019</v>
      </c>
      <c r="N951" s="1">
        <f t="shared" ca="1" si="129"/>
        <v>46064</v>
      </c>
      <c r="O951" s="6">
        <f t="shared" ca="1" si="130"/>
        <v>6</v>
      </c>
      <c r="P951">
        <v>3</v>
      </c>
      <c r="Q951">
        <f t="shared" si="131"/>
        <v>49803</v>
      </c>
      <c r="R951" s="2">
        <f t="shared" si="132"/>
        <v>24901.5</v>
      </c>
      <c r="S951" s="2" t="str">
        <f t="shared" si="133"/>
        <v>Achieved</v>
      </c>
      <c r="T951" s="2" t="str">
        <f t="shared" si="134"/>
        <v>Average</v>
      </c>
      <c r="U951" s="2"/>
    </row>
    <row r="952" spans="1:21" x14ac:dyDescent="0.3">
      <c r="A952">
        <v>951</v>
      </c>
      <c r="B952" t="s">
        <v>1448</v>
      </c>
      <c r="C952" t="str">
        <f t="shared" si="126"/>
        <v>EMP_951</v>
      </c>
      <c r="D952" t="s">
        <v>15</v>
      </c>
      <c r="E952" t="str">
        <f t="shared" si="127"/>
        <v>EMP_951Sales</v>
      </c>
      <c r="F952" t="s">
        <v>7</v>
      </c>
      <c r="G952" t="s">
        <v>22</v>
      </c>
      <c r="H952">
        <v>22755</v>
      </c>
      <c r="I952">
        <v>3546</v>
      </c>
      <c r="J952">
        <v>215280</v>
      </c>
      <c r="K952">
        <v>229759</v>
      </c>
      <c r="L952" s="4" t="s">
        <v>1449</v>
      </c>
      <c r="M952" s="4" t="str">
        <f t="shared" si="128"/>
        <v>7/13/2019</v>
      </c>
      <c r="N952" s="1">
        <f t="shared" ca="1" si="129"/>
        <v>46064</v>
      </c>
      <c r="O952" s="6" t="e">
        <f t="shared" ca="1" si="130"/>
        <v>#VALUE!</v>
      </c>
      <c r="P952">
        <v>5</v>
      </c>
      <c r="Q952">
        <f t="shared" si="131"/>
        <v>26301</v>
      </c>
      <c r="R952" s="2">
        <f t="shared" si="132"/>
        <v>13150.5</v>
      </c>
      <c r="S952" s="2" t="str">
        <f t="shared" si="133"/>
        <v xml:space="preserve"> Not Achieved</v>
      </c>
      <c r="T952" s="2" t="str">
        <f t="shared" si="134"/>
        <v>poor</v>
      </c>
      <c r="U952" s="2"/>
    </row>
    <row r="953" spans="1:21" x14ac:dyDescent="0.3">
      <c r="A953">
        <v>952</v>
      </c>
      <c r="B953" t="s">
        <v>1450</v>
      </c>
      <c r="C953" t="str">
        <f t="shared" si="126"/>
        <v>EMP_952</v>
      </c>
      <c r="D953" t="s">
        <v>15</v>
      </c>
      <c r="E953" t="str">
        <f t="shared" si="127"/>
        <v>EMP_952Sales</v>
      </c>
      <c r="F953" t="s">
        <v>7</v>
      </c>
      <c r="G953" t="s">
        <v>19</v>
      </c>
      <c r="H953">
        <v>27307</v>
      </c>
      <c r="I953">
        <v>12473</v>
      </c>
      <c r="J953">
        <v>294349</v>
      </c>
      <c r="K953">
        <v>167858</v>
      </c>
      <c r="L953" s="4" t="s">
        <v>1451</v>
      </c>
      <c r="M953" s="4" t="str">
        <f t="shared" si="128"/>
        <v>5/21/2023</v>
      </c>
      <c r="N953" s="1">
        <f t="shared" ca="1" si="129"/>
        <v>46064</v>
      </c>
      <c r="O953" s="6" t="e">
        <f t="shared" ca="1" si="130"/>
        <v>#VALUE!</v>
      </c>
      <c r="P953">
        <v>5</v>
      </c>
      <c r="Q953">
        <f t="shared" si="131"/>
        <v>39780</v>
      </c>
      <c r="R953" s="2">
        <f t="shared" si="132"/>
        <v>19890</v>
      </c>
      <c r="S953" s="2" t="str">
        <f t="shared" si="133"/>
        <v>Achieved</v>
      </c>
      <c r="T953" s="2" t="str">
        <f t="shared" si="134"/>
        <v>poor</v>
      </c>
      <c r="U953" s="2"/>
    </row>
    <row r="954" spans="1:21" x14ac:dyDescent="0.3">
      <c r="A954">
        <v>953</v>
      </c>
      <c r="B954" t="s">
        <v>1452</v>
      </c>
      <c r="C954" t="str">
        <f t="shared" si="126"/>
        <v>EMP_953</v>
      </c>
      <c r="D954" t="s">
        <v>15</v>
      </c>
      <c r="E954" t="str">
        <f t="shared" si="127"/>
        <v>EMP_953HR</v>
      </c>
      <c r="F954" t="s">
        <v>12</v>
      </c>
      <c r="G954" t="s">
        <v>19</v>
      </c>
      <c r="H954">
        <v>55569</v>
      </c>
      <c r="I954">
        <v>11730</v>
      </c>
      <c r="J954">
        <v>0</v>
      </c>
      <c r="K954">
        <v>0</v>
      </c>
      <c r="L954" s="4" t="s">
        <v>736</v>
      </c>
      <c r="M954" s="4" t="str">
        <f t="shared" si="128"/>
        <v>5/22/2021</v>
      </c>
      <c r="N954" s="1">
        <f t="shared" ca="1" si="129"/>
        <v>46064</v>
      </c>
      <c r="O954" s="6" t="e">
        <f t="shared" ca="1" si="130"/>
        <v>#VALUE!</v>
      </c>
      <c r="P954">
        <v>1</v>
      </c>
      <c r="Q954">
        <f t="shared" si="131"/>
        <v>67299</v>
      </c>
      <c r="R954" s="2">
        <f t="shared" si="132"/>
        <v>33649.5</v>
      </c>
      <c r="S954" s="2" t="str">
        <f t="shared" si="133"/>
        <v xml:space="preserve"> Not Achieved</v>
      </c>
      <c r="T954" s="2" t="str">
        <f t="shared" si="134"/>
        <v xml:space="preserve"> Excellent</v>
      </c>
      <c r="U954" s="2"/>
    </row>
    <row r="955" spans="1:21" x14ac:dyDescent="0.3">
      <c r="A955">
        <v>954</v>
      </c>
      <c r="B955" t="s">
        <v>1453</v>
      </c>
      <c r="C955" t="str">
        <f t="shared" si="126"/>
        <v>EMP_954</v>
      </c>
      <c r="D955" t="s">
        <v>11</v>
      </c>
      <c r="E955" t="str">
        <f t="shared" si="127"/>
        <v>EMP_954IT</v>
      </c>
      <c r="F955" t="s">
        <v>21</v>
      </c>
      <c r="G955" t="s">
        <v>19</v>
      </c>
      <c r="H955">
        <v>38976</v>
      </c>
      <c r="I955">
        <v>6013</v>
      </c>
      <c r="J955">
        <v>0</v>
      </c>
      <c r="K955">
        <v>0</v>
      </c>
      <c r="L955" s="4" t="s">
        <v>1454</v>
      </c>
      <c r="M955" s="4" t="str">
        <f t="shared" si="128"/>
        <v>8/16/2018</v>
      </c>
      <c r="N955" s="1">
        <f t="shared" ca="1" si="129"/>
        <v>46064</v>
      </c>
      <c r="O955" s="6" t="e">
        <f t="shared" ca="1" si="130"/>
        <v>#VALUE!</v>
      </c>
      <c r="P955">
        <v>3</v>
      </c>
      <c r="Q955">
        <f t="shared" si="131"/>
        <v>44989</v>
      </c>
      <c r="R955" s="2">
        <f t="shared" si="132"/>
        <v>22494.5</v>
      </c>
      <c r="S955" s="2" t="str">
        <f t="shared" si="133"/>
        <v xml:space="preserve"> Not Achieved</v>
      </c>
      <c r="T955" s="2" t="str">
        <f t="shared" si="134"/>
        <v>Average</v>
      </c>
      <c r="U955" s="2"/>
    </row>
    <row r="956" spans="1:21" x14ac:dyDescent="0.3">
      <c r="A956">
        <v>955</v>
      </c>
      <c r="B956" t="s">
        <v>1455</v>
      </c>
      <c r="C956" t="str">
        <f t="shared" si="126"/>
        <v>EMP_955</v>
      </c>
      <c r="D956" t="s">
        <v>11</v>
      </c>
      <c r="E956" t="str">
        <f t="shared" si="127"/>
        <v>EMP_955Sales</v>
      </c>
      <c r="F956" t="s">
        <v>7</v>
      </c>
      <c r="G956" t="s">
        <v>22</v>
      </c>
      <c r="H956">
        <v>63514</v>
      </c>
      <c r="I956">
        <v>11712</v>
      </c>
      <c r="J956">
        <v>99915</v>
      </c>
      <c r="K956">
        <v>148968</v>
      </c>
      <c r="L956" s="4" t="s">
        <v>1456</v>
      </c>
      <c r="M956" s="4" t="str">
        <f t="shared" si="128"/>
        <v>1/23/2018</v>
      </c>
      <c r="N956" s="1">
        <f t="shared" ca="1" si="129"/>
        <v>46064</v>
      </c>
      <c r="O956" s="6" t="e">
        <f t="shared" ca="1" si="130"/>
        <v>#VALUE!</v>
      </c>
      <c r="P956">
        <v>5</v>
      </c>
      <c r="Q956">
        <f t="shared" si="131"/>
        <v>75226</v>
      </c>
      <c r="R956" s="2">
        <f t="shared" si="132"/>
        <v>37613</v>
      </c>
      <c r="S956" s="2" t="str">
        <f t="shared" si="133"/>
        <v xml:space="preserve"> Not Achieved</v>
      </c>
      <c r="T956" s="2" t="str">
        <f t="shared" si="134"/>
        <v xml:space="preserve"> Excellent</v>
      </c>
      <c r="U956" s="2"/>
    </row>
    <row r="957" spans="1:21" x14ac:dyDescent="0.3">
      <c r="A957">
        <v>956</v>
      </c>
      <c r="B957" t="s">
        <v>1457</v>
      </c>
      <c r="C957" t="str">
        <f t="shared" si="126"/>
        <v>EMP_956</v>
      </c>
      <c r="D957" t="s">
        <v>15</v>
      </c>
      <c r="E957" t="str">
        <f t="shared" si="127"/>
        <v>EMP_956Marketing</v>
      </c>
      <c r="F957" t="s">
        <v>24</v>
      </c>
      <c r="G957" t="s">
        <v>22</v>
      </c>
      <c r="H957">
        <v>29975</v>
      </c>
      <c r="I957">
        <v>4819</v>
      </c>
      <c r="J957">
        <v>0</v>
      </c>
      <c r="K957">
        <v>0</v>
      </c>
      <c r="L957" s="4" t="s">
        <v>1458</v>
      </c>
      <c r="M957" s="4" t="str">
        <f t="shared" si="128"/>
        <v>11/17/2020</v>
      </c>
      <c r="N957" s="1">
        <f t="shared" ca="1" si="129"/>
        <v>46064</v>
      </c>
      <c r="O957" s="6" t="e">
        <f t="shared" ca="1" si="130"/>
        <v>#VALUE!</v>
      </c>
      <c r="P957">
        <v>1</v>
      </c>
      <c r="Q957">
        <f t="shared" si="131"/>
        <v>34794</v>
      </c>
      <c r="R957" s="2">
        <f t="shared" si="132"/>
        <v>17397</v>
      </c>
      <c r="S957" s="2" t="str">
        <f t="shared" si="133"/>
        <v xml:space="preserve"> Not Achieved</v>
      </c>
      <c r="T957" s="2" t="str">
        <f t="shared" si="134"/>
        <v>poor</v>
      </c>
      <c r="U957" s="2"/>
    </row>
    <row r="958" spans="1:21" x14ac:dyDescent="0.3">
      <c r="A958">
        <v>957</v>
      </c>
      <c r="B958" t="s">
        <v>1459</v>
      </c>
      <c r="C958" t="str">
        <f t="shared" si="126"/>
        <v>EMP_957</v>
      </c>
      <c r="D958" t="s">
        <v>15</v>
      </c>
      <c r="E958" t="str">
        <f t="shared" si="127"/>
        <v>EMP_957IT</v>
      </c>
      <c r="F958" t="s">
        <v>21</v>
      </c>
      <c r="G958" t="s">
        <v>25</v>
      </c>
      <c r="H958">
        <v>21398</v>
      </c>
      <c r="I958">
        <v>10307</v>
      </c>
      <c r="J958">
        <v>0</v>
      </c>
      <c r="K958">
        <v>0</v>
      </c>
      <c r="L958" s="4">
        <v>43771</v>
      </c>
      <c r="M958" s="4" t="str">
        <f t="shared" si="128"/>
        <v>2019</v>
      </c>
      <c r="N958" s="1">
        <f t="shared" ca="1" si="129"/>
        <v>46064</v>
      </c>
      <c r="O958" s="6">
        <f t="shared" ca="1" si="130"/>
        <v>6</v>
      </c>
      <c r="P958">
        <v>1</v>
      </c>
      <c r="Q958">
        <f t="shared" si="131"/>
        <v>31705</v>
      </c>
      <c r="R958" s="2">
        <f t="shared" si="132"/>
        <v>15852.5</v>
      </c>
      <c r="S958" s="2" t="str">
        <f t="shared" si="133"/>
        <v xml:space="preserve"> Not Achieved</v>
      </c>
      <c r="T958" s="2" t="str">
        <f t="shared" si="134"/>
        <v>poor</v>
      </c>
      <c r="U958" s="2"/>
    </row>
    <row r="959" spans="1:21" x14ac:dyDescent="0.3">
      <c r="A959">
        <v>958</v>
      </c>
      <c r="B959" t="s">
        <v>1460</v>
      </c>
      <c r="C959" t="str">
        <f t="shared" si="126"/>
        <v>EMP_958</v>
      </c>
      <c r="D959" t="s">
        <v>15</v>
      </c>
      <c r="E959" t="str">
        <f t="shared" si="127"/>
        <v>EMP_958IT</v>
      </c>
      <c r="F959" t="s">
        <v>21</v>
      </c>
      <c r="G959" t="s">
        <v>25</v>
      </c>
      <c r="H959">
        <v>40561</v>
      </c>
      <c r="I959">
        <v>7532</v>
      </c>
      <c r="J959">
        <v>0</v>
      </c>
      <c r="K959">
        <v>0</v>
      </c>
      <c r="L959" s="4">
        <v>45413</v>
      </c>
      <c r="M959" s="4" t="str">
        <f t="shared" si="128"/>
        <v>2024</v>
      </c>
      <c r="N959" s="1">
        <f t="shared" ca="1" si="129"/>
        <v>46064</v>
      </c>
      <c r="O959" s="6">
        <f t="shared" ca="1" si="130"/>
        <v>1</v>
      </c>
      <c r="P959">
        <v>3</v>
      </c>
      <c r="Q959">
        <f t="shared" si="131"/>
        <v>48093</v>
      </c>
      <c r="R959" s="2">
        <f t="shared" si="132"/>
        <v>24046.5</v>
      </c>
      <c r="S959" s="2" t="str">
        <f t="shared" si="133"/>
        <v xml:space="preserve"> Not Achieved</v>
      </c>
      <c r="T959" s="2" t="str">
        <f t="shared" si="134"/>
        <v>Good</v>
      </c>
      <c r="U959" s="2"/>
    </row>
    <row r="960" spans="1:21" x14ac:dyDescent="0.3">
      <c r="A960">
        <v>959</v>
      </c>
      <c r="B960" t="s">
        <v>1461</v>
      </c>
      <c r="C960" t="str">
        <f t="shared" si="126"/>
        <v>EMP_959</v>
      </c>
      <c r="D960" t="s">
        <v>11</v>
      </c>
      <c r="E960" t="str">
        <f t="shared" si="127"/>
        <v>EMP_959Finance</v>
      </c>
      <c r="F960" t="s">
        <v>18</v>
      </c>
      <c r="G960" t="s">
        <v>22</v>
      </c>
      <c r="H960">
        <v>78968</v>
      </c>
      <c r="I960">
        <v>6991</v>
      </c>
      <c r="J960">
        <v>0</v>
      </c>
      <c r="K960">
        <v>0</v>
      </c>
      <c r="L960" s="4" t="s">
        <v>268</v>
      </c>
      <c r="M960" s="4" t="str">
        <f t="shared" si="128"/>
        <v>1/21/2022</v>
      </c>
      <c r="N960" s="1">
        <f t="shared" ca="1" si="129"/>
        <v>46064</v>
      </c>
      <c r="O960" s="6" t="e">
        <f t="shared" ca="1" si="130"/>
        <v>#VALUE!</v>
      </c>
      <c r="P960">
        <v>4</v>
      </c>
      <c r="Q960">
        <f t="shared" si="131"/>
        <v>85959</v>
      </c>
      <c r="R960" s="2">
        <f t="shared" si="132"/>
        <v>42979.5</v>
      </c>
      <c r="S960" s="2" t="str">
        <f t="shared" si="133"/>
        <v xml:space="preserve"> Not Achieved</v>
      </c>
      <c r="T960" s="2" t="str">
        <f t="shared" si="134"/>
        <v xml:space="preserve"> Excellent</v>
      </c>
      <c r="U960" s="2"/>
    </row>
    <row r="961" spans="1:21" x14ac:dyDescent="0.3">
      <c r="A961">
        <v>960</v>
      </c>
      <c r="B961" t="s">
        <v>1462</v>
      </c>
      <c r="C961" t="str">
        <f t="shared" si="126"/>
        <v>EMP_960</v>
      </c>
      <c r="D961" t="s">
        <v>11</v>
      </c>
      <c r="E961" t="str">
        <f t="shared" si="127"/>
        <v>EMP_960IT</v>
      </c>
      <c r="F961" t="s">
        <v>21</v>
      </c>
      <c r="G961" t="s">
        <v>25</v>
      </c>
      <c r="H961">
        <v>68867</v>
      </c>
      <c r="I961">
        <v>3877</v>
      </c>
      <c r="J961">
        <v>0</v>
      </c>
      <c r="K961">
        <v>0</v>
      </c>
      <c r="L961" s="4" t="s">
        <v>1463</v>
      </c>
      <c r="M961" s="4" t="str">
        <f t="shared" si="128"/>
        <v>1/30/2021</v>
      </c>
      <c r="N961" s="1">
        <f t="shared" ca="1" si="129"/>
        <v>46064</v>
      </c>
      <c r="O961" s="6" t="e">
        <f t="shared" ca="1" si="130"/>
        <v>#VALUE!</v>
      </c>
      <c r="P961">
        <v>3</v>
      </c>
      <c r="Q961">
        <f t="shared" si="131"/>
        <v>72744</v>
      </c>
      <c r="R961" s="2">
        <f t="shared" si="132"/>
        <v>36372</v>
      </c>
      <c r="S961" s="2" t="str">
        <f t="shared" si="133"/>
        <v xml:space="preserve"> Not Achieved</v>
      </c>
      <c r="T961" s="2" t="str">
        <f t="shared" si="134"/>
        <v xml:space="preserve"> Excellent</v>
      </c>
      <c r="U961" s="2"/>
    </row>
    <row r="962" spans="1:21" x14ac:dyDescent="0.3">
      <c r="A962">
        <v>961</v>
      </c>
      <c r="B962" t="s">
        <v>1464</v>
      </c>
      <c r="C962" t="str">
        <f t="shared" si="126"/>
        <v>EMP_961</v>
      </c>
      <c r="D962" t="s">
        <v>11</v>
      </c>
      <c r="E962" t="str">
        <f t="shared" si="127"/>
        <v>EMP_961Sales</v>
      </c>
      <c r="F962" t="s">
        <v>7</v>
      </c>
      <c r="G962" t="s">
        <v>13</v>
      </c>
      <c r="H962">
        <v>38913</v>
      </c>
      <c r="I962">
        <v>11315</v>
      </c>
      <c r="J962">
        <v>228584</v>
      </c>
      <c r="K962">
        <v>199121</v>
      </c>
      <c r="L962" s="4">
        <v>44783</v>
      </c>
      <c r="M962" s="4" t="str">
        <f t="shared" si="128"/>
        <v>2022</v>
      </c>
      <c r="N962" s="1">
        <f t="shared" ca="1" si="129"/>
        <v>46064</v>
      </c>
      <c r="O962" s="6">
        <f t="shared" ca="1" si="130"/>
        <v>3</v>
      </c>
      <c r="P962">
        <v>2</v>
      </c>
      <c r="Q962">
        <f t="shared" si="131"/>
        <v>50228</v>
      </c>
      <c r="R962" s="2">
        <f t="shared" si="132"/>
        <v>25114</v>
      </c>
      <c r="S962" s="2" t="str">
        <f t="shared" si="133"/>
        <v>Achieved</v>
      </c>
      <c r="T962" s="2" t="str">
        <f t="shared" si="134"/>
        <v>Average</v>
      </c>
      <c r="U962" s="2"/>
    </row>
    <row r="963" spans="1:21" x14ac:dyDescent="0.3">
      <c r="A963">
        <v>962</v>
      </c>
      <c r="B963" t="s">
        <v>1465</v>
      </c>
      <c r="C963" t="str">
        <f t="shared" ref="C963:C1026" si="135">UPPER(B963)</f>
        <v>EMP_962</v>
      </c>
      <c r="D963" t="s">
        <v>15</v>
      </c>
      <c r="E963" t="str">
        <f t="shared" ref="E963:E1026" si="136">_xlfn.CONCAT(C963,F963)</f>
        <v>EMP_962IT</v>
      </c>
      <c r="F963" t="s">
        <v>21</v>
      </c>
      <c r="G963" t="s">
        <v>22</v>
      </c>
      <c r="H963">
        <v>46679</v>
      </c>
      <c r="I963">
        <v>10245</v>
      </c>
      <c r="J963">
        <v>0</v>
      </c>
      <c r="K963">
        <v>0</v>
      </c>
      <c r="L963" s="4" t="s">
        <v>1466</v>
      </c>
      <c r="M963" s="4" t="str">
        <f t="shared" ref="M963:M1026" si="137">TEXT(L963,"yyyy")</f>
        <v>8/27/2020</v>
      </c>
      <c r="N963" s="1">
        <f t="shared" ref="N963:N1026" ca="1" si="138">TODAY()</f>
        <v>46064</v>
      </c>
      <c r="O963" s="6" t="e">
        <f t="shared" ref="O963:O1026" ca="1" si="139">DATEDIF(L963, TODAY(), "y")</f>
        <v>#VALUE!</v>
      </c>
      <c r="P963">
        <v>1</v>
      </c>
      <c r="Q963">
        <f t="shared" ref="Q963:Q1026" si="140">SUM(H963,I963)</f>
        <v>56924</v>
      </c>
      <c r="R963" s="2">
        <f t="shared" ref="R963:R1026" si="141">AVERAGE(H963,I963)</f>
        <v>28462</v>
      </c>
      <c r="S963" s="2" t="str">
        <f t="shared" ref="S963:S1026" si="142">IF(J963&gt;K963,"Achieved"," Not Achieved")</f>
        <v xml:space="preserve"> Not Achieved</v>
      </c>
      <c r="T963" s="2" t="str">
        <f t="shared" ref="T963:T1026" si="143">_xlfn.IFS(H963&gt;=50000," Excellent",H963&gt;=40000,"Good",H963&gt;=30000,"Average",H963&lt;30000,"poor")</f>
        <v>Good</v>
      </c>
      <c r="U963" s="2"/>
    </row>
    <row r="964" spans="1:21" x14ac:dyDescent="0.3">
      <c r="A964">
        <v>963</v>
      </c>
      <c r="B964" t="s">
        <v>1467</v>
      </c>
      <c r="C964" t="str">
        <f t="shared" si="135"/>
        <v>EMP_963</v>
      </c>
      <c r="D964" t="s">
        <v>11</v>
      </c>
      <c r="E964" t="str">
        <f t="shared" si="136"/>
        <v>EMP_963Finance</v>
      </c>
      <c r="F964" t="s">
        <v>18</v>
      </c>
      <c r="G964" t="s">
        <v>16</v>
      </c>
      <c r="H964">
        <v>65169</v>
      </c>
      <c r="I964">
        <v>2371</v>
      </c>
      <c r="J964">
        <v>0</v>
      </c>
      <c r="K964">
        <v>0</v>
      </c>
      <c r="L964" s="4" t="s">
        <v>1468</v>
      </c>
      <c r="M964" s="4" t="str">
        <f t="shared" si="137"/>
        <v>8/22/2020</v>
      </c>
      <c r="N964" s="1">
        <f t="shared" ca="1" si="138"/>
        <v>46064</v>
      </c>
      <c r="O964" s="6" t="e">
        <f t="shared" ca="1" si="139"/>
        <v>#VALUE!</v>
      </c>
      <c r="P964">
        <v>3</v>
      </c>
      <c r="Q964">
        <f t="shared" si="140"/>
        <v>67540</v>
      </c>
      <c r="R964" s="2">
        <f t="shared" si="141"/>
        <v>33770</v>
      </c>
      <c r="S964" s="2" t="str">
        <f t="shared" si="142"/>
        <v xml:space="preserve"> Not Achieved</v>
      </c>
      <c r="T964" s="2" t="str">
        <f t="shared" si="143"/>
        <v xml:space="preserve"> Excellent</v>
      </c>
      <c r="U964" s="2"/>
    </row>
    <row r="965" spans="1:21" x14ac:dyDescent="0.3">
      <c r="A965">
        <v>964</v>
      </c>
      <c r="B965" t="s">
        <v>1469</v>
      </c>
      <c r="C965" t="str">
        <f t="shared" si="135"/>
        <v>EMP_964</v>
      </c>
      <c r="D965" t="s">
        <v>15</v>
      </c>
      <c r="E965" t="str">
        <f t="shared" si="136"/>
        <v>EMP_964IT</v>
      </c>
      <c r="F965" t="s">
        <v>21</v>
      </c>
      <c r="G965" t="s">
        <v>16</v>
      </c>
      <c r="H965">
        <v>76875</v>
      </c>
      <c r="I965">
        <v>9994</v>
      </c>
      <c r="J965">
        <v>0</v>
      </c>
      <c r="K965">
        <v>0</v>
      </c>
      <c r="L965" s="4">
        <v>44044</v>
      </c>
      <c r="M965" s="4" t="str">
        <f t="shared" si="137"/>
        <v>2020</v>
      </c>
      <c r="N965" s="1">
        <f t="shared" ca="1" si="138"/>
        <v>46064</v>
      </c>
      <c r="O965" s="6">
        <f t="shared" ca="1" si="139"/>
        <v>5</v>
      </c>
      <c r="P965">
        <v>5</v>
      </c>
      <c r="Q965">
        <f t="shared" si="140"/>
        <v>86869</v>
      </c>
      <c r="R965" s="2">
        <f t="shared" si="141"/>
        <v>43434.5</v>
      </c>
      <c r="S965" s="2" t="str">
        <f t="shared" si="142"/>
        <v xml:space="preserve"> Not Achieved</v>
      </c>
      <c r="T965" s="2" t="str">
        <f t="shared" si="143"/>
        <v xml:space="preserve"> Excellent</v>
      </c>
      <c r="U965" s="2"/>
    </row>
    <row r="966" spans="1:21" x14ac:dyDescent="0.3">
      <c r="A966">
        <v>965</v>
      </c>
      <c r="B966" t="s">
        <v>1470</v>
      </c>
      <c r="C966" t="str">
        <f t="shared" si="135"/>
        <v>EMP_965</v>
      </c>
      <c r="D966" t="s">
        <v>11</v>
      </c>
      <c r="E966" t="str">
        <f t="shared" si="136"/>
        <v>EMP_965IT</v>
      </c>
      <c r="F966" t="s">
        <v>21</v>
      </c>
      <c r="G966" t="s">
        <v>25</v>
      </c>
      <c r="H966">
        <v>28052</v>
      </c>
      <c r="I966">
        <v>5578</v>
      </c>
      <c r="J966">
        <v>0</v>
      </c>
      <c r="K966">
        <v>0</v>
      </c>
      <c r="L966" s="4" t="s">
        <v>1471</v>
      </c>
      <c r="M966" s="4" t="str">
        <f t="shared" si="137"/>
        <v>6/27/2023</v>
      </c>
      <c r="N966" s="1">
        <f t="shared" ca="1" si="138"/>
        <v>46064</v>
      </c>
      <c r="O966" s="6" t="e">
        <f t="shared" ca="1" si="139"/>
        <v>#VALUE!</v>
      </c>
      <c r="P966">
        <v>3</v>
      </c>
      <c r="Q966">
        <f t="shared" si="140"/>
        <v>33630</v>
      </c>
      <c r="R966" s="2">
        <f t="shared" si="141"/>
        <v>16815</v>
      </c>
      <c r="S966" s="2" t="str">
        <f t="shared" si="142"/>
        <v xml:space="preserve"> Not Achieved</v>
      </c>
      <c r="T966" s="2" t="str">
        <f t="shared" si="143"/>
        <v>poor</v>
      </c>
      <c r="U966" s="2"/>
    </row>
    <row r="967" spans="1:21" x14ac:dyDescent="0.3">
      <c r="A967">
        <v>966</v>
      </c>
      <c r="B967" t="s">
        <v>1472</v>
      </c>
      <c r="C967" t="str">
        <f t="shared" si="135"/>
        <v>EMP_966</v>
      </c>
      <c r="D967" t="s">
        <v>11</v>
      </c>
      <c r="E967" t="str">
        <f t="shared" si="136"/>
        <v>EMP_966HR</v>
      </c>
      <c r="F967" t="s">
        <v>12</v>
      </c>
      <c r="G967" t="s">
        <v>25</v>
      </c>
      <c r="H967">
        <v>45476</v>
      </c>
      <c r="I967">
        <v>7580</v>
      </c>
      <c r="J967">
        <v>0</v>
      </c>
      <c r="K967">
        <v>0</v>
      </c>
      <c r="L967" s="4">
        <v>44716</v>
      </c>
      <c r="M967" s="4" t="str">
        <f t="shared" si="137"/>
        <v>2022</v>
      </c>
      <c r="N967" s="1">
        <f t="shared" ca="1" si="138"/>
        <v>46064</v>
      </c>
      <c r="O967" s="6">
        <f t="shared" ca="1" si="139"/>
        <v>3</v>
      </c>
      <c r="P967">
        <v>1</v>
      </c>
      <c r="Q967">
        <f t="shared" si="140"/>
        <v>53056</v>
      </c>
      <c r="R967" s="2">
        <f t="shared" si="141"/>
        <v>26528</v>
      </c>
      <c r="S967" s="2" t="str">
        <f t="shared" si="142"/>
        <v xml:space="preserve"> Not Achieved</v>
      </c>
      <c r="T967" s="2" t="str">
        <f t="shared" si="143"/>
        <v>Good</v>
      </c>
      <c r="U967" s="2"/>
    </row>
    <row r="968" spans="1:21" x14ac:dyDescent="0.3">
      <c r="A968">
        <v>967</v>
      </c>
      <c r="B968" t="s">
        <v>1473</v>
      </c>
      <c r="C968" t="str">
        <f t="shared" si="135"/>
        <v>EMP_967</v>
      </c>
      <c r="D968" t="s">
        <v>15</v>
      </c>
      <c r="E968" t="str">
        <f t="shared" si="136"/>
        <v>EMP_967Marketing</v>
      </c>
      <c r="F968" t="s">
        <v>24</v>
      </c>
      <c r="G968" t="s">
        <v>13</v>
      </c>
      <c r="H968">
        <v>75971</v>
      </c>
      <c r="I968">
        <v>6879</v>
      </c>
      <c r="J968">
        <v>0</v>
      </c>
      <c r="K968">
        <v>0</v>
      </c>
      <c r="L968" s="4">
        <v>43197</v>
      </c>
      <c r="M968" s="4" t="str">
        <f t="shared" si="137"/>
        <v>2018</v>
      </c>
      <c r="N968" s="1">
        <f t="shared" ca="1" si="138"/>
        <v>46064</v>
      </c>
      <c r="O968" s="6">
        <f t="shared" ca="1" si="139"/>
        <v>7</v>
      </c>
      <c r="P968">
        <v>3</v>
      </c>
      <c r="Q968">
        <f t="shared" si="140"/>
        <v>82850</v>
      </c>
      <c r="R968" s="2">
        <f t="shared" si="141"/>
        <v>41425</v>
      </c>
      <c r="S968" s="2" t="str">
        <f t="shared" si="142"/>
        <v xml:space="preserve"> Not Achieved</v>
      </c>
      <c r="T968" s="2" t="str">
        <f t="shared" si="143"/>
        <v xml:space="preserve"> Excellent</v>
      </c>
      <c r="U968" s="2"/>
    </row>
    <row r="969" spans="1:21" x14ac:dyDescent="0.3">
      <c r="A969">
        <v>968</v>
      </c>
      <c r="B969" t="s">
        <v>1474</v>
      </c>
      <c r="C969" t="str">
        <f t="shared" si="135"/>
        <v>EMP_968</v>
      </c>
      <c r="D969" t="s">
        <v>15</v>
      </c>
      <c r="E969" t="str">
        <f t="shared" si="136"/>
        <v>EMP_968IT</v>
      </c>
      <c r="F969" t="s">
        <v>21</v>
      </c>
      <c r="G969" t="s">
        <v>25</v>
      </c>
      <c r="H969">
        <v>32016</v>
      </c>
      <c r="I969">
        <v>10958</v>
      </c>
      <c r="J969">
        <v>0</v>
      </c>
      <c r="K969">
        <v>0</v>
      </c>
      <c r="L969" s="4" t="s">
        <v>1475</v>
      </c>
      <c r="M969" s="4" t="str">
        <f t="shared" si="137"/>
        <v>9/16/2019</v>
      </c>
      <c r="N969" s="1">
        <f t="shared" ca="1" si="138"/>
        <v>46064</v>
      </c>
      <c r="O969" s="6" t="e">
        <f t="shared" ca="1" si="139"/>
        <v>#VALUE!</v>
      </c>
      <c r="P969">
        <v>5</v>
      </c>
      <c r="Q969">
        <f t="shared" si="140"/>
        <v>42974</v>
      </c>
      <c r="R969" s="2">
        <f t="shared" si="141"/>
        <v>21487</v>
      </c>
      <c r="S969" s="2" t="str">
        <f t="shared" si="142"/>
        <v xml:space="preserve"> Not Achieved</v>
      </c>
      <c r="T969" s="2" t="str">
        <f t="shared" si="143"/>
        <v>Average</v>
      </c>
      <c r="U969" s="2"/>
    </row>
    <row r="970" spans="1:21" x14ac:dyDescent="0.3">
      <c r="A970">
        <v>969</v>
      </c>
      <c r="B970" t="s">
        <v>1476</v>
      </c>
      <c r="C970" t="str">
        <f t="shared" si="135"/>
        <v>EMP_969</v>
      </c>
      <c r="D970" t="s">
        <v>15</v>
      </c>
      <c r="E970" t="str">
        <f t="shared" si="136"/>
        <v>EMP_969HR</v>
      </c>
      <c r="F970" t="s">
        <v>12</v>
      </c>
      <c r="G970" t="s">
        <v>25</v>
      </c>
      <c r="H970">
        <v>55948</v>
      </c>
      <c r="I970">
        <v>2609</v>
      </c>
      <c r="J970">
        <v>0</v>
      </c>
      <c r="K970">
        <v>0</v>
      </c>
      <c r="L970" s="4">
        <v>44230</v>
      </c>
      <c r="M970" s="4" t="str">
        <f t="shared" si="137"/>
        <v>2021</v>
      </c>
      <c r="N970" s="1">
        <f t="shared" ca="1" si="138"/>
        <v>46064</v>
      </c>
      <c r="O970" s="6">
        <f t="shared" ca="1" si="139"/>
        <v>5</v>
      </c>
      <c r="P970">
        <v>1</v>
      </c>
      <c r="Q970">
        <f t="shared" si="140"/>
        <v>58557</v>
      </c>
      <c r="R970" s="2">
        <f t="shared" si="141"/>
        <v>29278.5</v>
      </c>
      <c r="S970" s="2" t="str">
        <f t="shared" si="142"/>
        <v xml:space="preserve"> Not Achieved</v>
      </c>
      <c r="T970" s="2" t="str">
        <f t="shared" si="143"/>
        <v xml:space="preserve"> Excellent</v>
      </c>
      <c r="U970" s="2"/>
    </row>
    <row r="971" spans="1:21" x14ac:dyDescent="0.3">
      <c r="A971">
        <v>970</v>
      </c>
      <c r="B971" t="s">
        <v>1477</v>
      </c>
      <c r="C971" t="str">
        <f t="shared" si="135"/>
        <v>EMP_970</v>
      </c>
      <c r="D971" t="s">
        <v>11</v>
      </c>
      <c r="E971" t="str">
        <f t="shared" si="136"/>
        <v>EMP_970Sales</v>
      </c>
      <c r="F971" t="s">
        <v>7</v>
      </c>
      <c r="G971" t="s">
        <v>16</v>
      </c>
      <c r="H971">
        <v>78610</v>
      </c>
      <c r="I971">
        <v>13480</v>
      </c>
      <c r="J971">
        <v>283360</v>
      </c>
      <c r="K971">
        <v>95183</v>
      </c>
      <c r="L971" s="4" t="s">
        <v>1478</v>
      </c>
      <c r="M971" s="4" t="str">
        <f t="shared" si="137"/>
        <v>10/25/2022</v>
      </c>
      <c r="N971" s="1">
        <f t="shared" ca="1" si="138"/>
        <v>46064</v>
      </c>
      <c r="O971" s="6" t="e">
        <f t="shared" ca="1" si="139"/>
        <v>#VALUE!</v>
      </c>
      <c r="P971">
        <v>2</v>
      </c>
      <c r="Q971">
        <f t="shared" si="140"/>
        <v>92090</v>
      </c>
      <c r="R971" s="2">
        <f t="shared" si="141"/>
        <v>46045</v>
      </c>
      <c r="S971" s="2" t="str">
        <f t="shared" si="142"/>
        <v>Achieved</v>
      </c>
      <c r="T971" s="2" t="str">
        <f t="shared" si="143"/>
        <v xml:space="preserve"> Excellent</v>
      </c>
      <c r="U971" s="2"/>
    </row>
    <row r="972" spans="1:21" x14ac:dyDescent="0.3">
      <c r="A972">
        <v>971</v>
      </c>
      <c r="B972" t="s">
        <v>1479</v>
      </c>
      <c r="C972" t="str">
        <f t="shared" si="135"/>
        <v>EMP_971</v>
      </c>
      <c r="D972" t="s">
        <v>11</v>
      </c>
      <c r="E972" t="str">
        <f t="shared" si="136"/>
        <v>EMP_971IT</v>
      </c>
      <c r="F972" t="s">
        <v>21</v>
      </c>
      <c r="G972" t="s">
        <v>25</v>
      </c>
      <c r="H972">
        <v>65599</v>
      </c>
      <c r="I972">
        <v>7730</v>
      </c>
      <c r="J972">
        <v>0</v>
      </c>
      <c r="K972">
        <v>0</v>
      </c>
      <c r="L972" s="4">
        <v>43293</v>
      </c>
      <c r="M972" s="4" t="str">
        <f t="shared" si="137"/>
        <v>2018</v>
      </c>
      <c r="N972" s="1">
        <f t="shared" ca="1" si="138"/>
        <v>46064</v>
      </c>
      <c r="O972" s="6">
        <f t="shared" ca="1" si="139"/>
        <v>7</v>
      </c>
      <c r="P972">
        <v>1</v>
      </c>
      <c r="Q972">
        <f t="shared" si="140"/>
        <v>73329</v>
      </c>
      <c r="R972" s="2">
        <f t="shared" si="141"/>
        <v>36664.5</v>
      </c>
      <c r="S972" s="2" t="str">
        <f t="shared" si="142"/>
        <v xml:space="preserve"> Not Achieved</v>
      </c>
      <c r="T972" s="2" t="str">
        <f t="shared" si="143"/>
        <v xml:space="preserve"> Excellent</v>
      </c>
      <c r="U972" s="2"/>
    </row>
    <row r="973" spans="1:21" x14ac:dyDescent="0.3">
      <c r="A973">
        <v>972</v>
      </c>
      <c r="B973" t="s">
        <v>1480</v>
      </c>
      <c r="C973" t="str">
        <f t="shared" si="135"/>
        <v>EMP_972</v>
      </c>
      <c r="D973" t="s">
        <v>15</v>
      </c>
      <c r="E973" t="str">
        <f t="shared" si="136"/>
        <v>EMP_972HR</v>
      </c>
      <c r="F973" t="s">
        <v>12</v>
      </c>
      <c r="G973" t="s">
        <v>25</v>
      </c>
      <c r="H973">
        <v>62016</v>
      </c>
      <c r="I973">
        <v>7353</v>
      </c>
      <c r="J973">
        <v>0</v>
      </c>
      <c r="K973">
        <v>0</v>
      </c>
      <c r="L973" s="4">
        <v>44510</v>
      </c>
      <c r="M973" s="4" t="str">
        <f t="shared" si="137"/>
        <v>2021</v>
      </c>
      <c r="N973" s="1">
        <f t="shared" ca="1" si="138"/>
        <v>46064</v>
      </c>
      <c r="O973" s="6">
        <f t="shared" ca="1" si="139"/>
        <v>4</v>
      </c>
      <c r="P973">
        <v>3</v>
      </c>
      <c r="Q973">
        <f t="shared" si="140"/>
        <v>69369</v>
      </c>
      <c r="R973" s="2">
        <f t="shared" si="141"/>
        <v>34684.5</v>
      </c>
      <c r="S973" s="2" t="str">
        <f t="shared" si="142"/>
        <v xml:space="preserve"> Not Achieved</v>
      </c>
      <c r="T973" s="2" t="str">
        <f t="shared" si="143"/>
        <v xml:space="preserve"> Excellent</v>
      </c>
      <c r="U973" s="2"/>
    </row>
    <row r="974" spans="1:21" x14ac:dyDescent="0.3">
      <c r="A974">
        <v>973</v>
      </c>
      <c r="B974" t="s">
        <v>1481</v>
      </c>
      <c r="C974" t="str">
        <f t="shared" si="135"/>
        <v>EMP_973</v>
      </c>
      <c r="D974" t="s">
        <v>11</v>
      </c>
      <c r="E974" t="str">
        <f t="shared" si="136"/>
        <v>EMP_973Sales</v>
      </c>
      <c r="F974" t="s">
        <v>7</v>
      </c>
      <c r="G974" t="s">
        <v>22</v>
      </c>
      <c r="H974">
        <v>38047</v>
      </c>
      <c r="I974">
        <v>14939</v>
      </c>
      <c r="J974">
        <v>78713</v>
      </c>
      <c r="K974">
        <v>220263</v>
      </c>
      <c r="L974" s="4">
        <v>44866</v>
      </c>
      <c r="M974" s="4" t="str">
        <f t="shared" si="137"/>
        <v>2022</v>
      </c>
      <c r="N974" s="1">
        <f t="shared" ca="1" si="138"/>
        <v>46064</v>
      </c>
      <c r="O974" s="6">
        <f t="shared" ca="1" si="139"/>
        <v>3</v>
      </c>
      <c r="P974">
        <v>3</v>
      </c>
      <c r="Q974">
        <f t="shared" si="140"/>
        <v>52986</v>
      </c>
      <c r="R974" s="2">
        <f t="shared" si="141"/>
        <v>26493</v>
      </c>
      <c r="S974" s="2" t="str">
        <f t="shared" si="142"/>
        <v xml:space="preserve"> Not Achieved</v>
      </c>
      <c r="T974" s="2" t="str">
        <f t="shared" si="143"/>
        <v>Average</v>
      </c>
      <c r="U974" s="2"/>
    </row>
    <row r="975" spans="1:21" x14ac:dyDescent="0.3">
      <c r="A975">
        <v>974</v>
      </c>
      <c r="B975" t="s">
        <v>1482</v>
      </c>
      <c r="C975" t="str">
        <f t="shared" si="135"/>
        <v>EMP_974</v>
      </c>
      <c r="D975" t="s">
        <v>15</v>
      </c>
      <c r="E975" t="str">
        <f t="shared" si="136"/>
        <v>EMP_974Sales</v>
      </c>
      <c r="F975" t="s">
        <v>7</v>
      </c>
      <c r="G975" t="s">
        <v>19</v>
      </c>
      <c r="H975">
        <v>73949</v>
      </c>
      <c r="I975">
        <v>8918</v>
      </c>
      <c r="J975">
        <v>233229</v>
      </c>
      <c r="K975">
        <v>236071</v>
      </c>
      <c r="L975" s="4">
        <v>44988</v>
      </c>
      <c r="M975" s="4" t="str">
        <f t="shared" si="137"/>
        <v>2023</v>
      </c>
      <c r="N975" s="1">
        <f t="shared" ca="1" si="138"/>
        <v>46064</v>
      </c>
      <c r="O975" s="6">
        <f t="shared" ca="1" si="139"/>
        <v>2</v>
      </c>
      <c r="P975">
        <v>5</v>
      </c>
      <c r="Q975">
        <f t="shared" si="140"/>
        <v>82867</v>
      </c>
      <c r="R975" s="2">
        <f t="shared" si="141"/>
        <v>41433.5</v>
      </c>
      <c r="S975" s="2" t="str">
        <f t="shared" si="142"/>
        <v xml:space="preserve"> Not Achieved</v>
      </c>
      <c r="T975" s="2" t="str">
        <f t="shared" si="143"/>
        <v xml:space="preserve"> Excellent</v>
      </c>
      <c r="U975" s="2"/>
    </row>
    <row r="976" spans="1:21" x14ac:dyDescent="0.3">
      <c r="A976">
        <v>975</v>
      </c>
      <c r="B976" t="s">
        <v>1483</v>
      </c>
      <c r="C976" t="str">
        <f t="shared" si="135"/>
        <v>EMP_975</v>
      </c>
      <c r="D976" t="s">
        <v>15</v>
      </c>
      <c r="E976" t="str">
        <f t="shared" si="136"/>
        <v>EMP_975HR</v>
      </c>
      <c r="F976" t="s">
        <v>12</v>
      </c>
      <c r="G976" t="s">
        <v>13</v>
      </c>
      <c r="H976">
        <v>20778</v>
      </c>
      <c r="I976">
        <v>8976</v>
      </c>
      <c r="J976">
        <v>0</v>
      </c>
      <c r="K976">
        <v>0</v>
      </c>
      <c r="L976" s="4" t="s">
        <v>146</v>
      </c>
      <c r="M976" s="4" t="str">
        <f t="shared" si="137"/>
        <v>11/20/2018</v>
      </c>
      <c r="N976" s="1">
        <f t="shared" ca="1" si="138"/>
        <v>46064</v>
      </c>
      <c r="O976" s="6" t="e">
        <f t="shared" ca="1" si="139"/>
        <v>#VALUE!</v>
      </c>
      <c r="P976">
        <v>2</v>
      </c>
      <c r="Q976">
        <f t="shared" si="140"/>
        <v>29754</v>
      </c>
      <c r="R976" s="2">
        <f t="shared" si="141"/>
        <v>14877</v>
      </c>
      <c r="S976" s="2" t="str">
        <f t="shared" si="142"/>
        <v xml:space="preserve"> Not Achieved</v>
      </c>
      <c r="T976" s="2" t="str">
        <f t="shared" si="143"/>
        <v>poor</v>
      </c>
      <c r="U976" s="2"/>
    </row>
    <row r="977" spans="1:21" x14ac:dyDescent="0.3">
      <c r="A977">
        <v>976</v>
      </c>
      <c r="B977" t="s">
        <v>1484</v>
      </c>
      <c r="C977" t="str">
        <f t="shared" si="135"/>
        <v>EMP_976</v>
      </c>
      <c r="D977" t="s">
        <v>11</v>
      </c>
      <c r="E977" t="str">
        <f t="shared" si="136"/>
        <v>EMP_976Finance</v>
      </c>
      <c r="F977" t="s">
        <v>18</v>
      </c>
      <c r="G977" t="s">
        <v>25</v>
      </c>
      <c r="H977">
        <v>28944</v>
      </c>
      <c r="I977">
        <v>3049</v>
      </c>
      <c r="J977">
        <v>0</v>
      </c>
      <c r="K977">
        <v>0</v>
      </c>
      <c r="L977" s="4" t="s">
        <v>1485</v>
      </c>
      <c r="M977" s="4" t="str">
        <f t="shared" si="137"/>
        <v>9/28/2021</v>
      </c>
      <c r="N977" s="1">
        <f t="shared" ca="1" si="138"/>
        <v>46064</v>
      </c>
      <c r="O977" s="6" t="e">
        <f t="shared" ca="1" si="139"/>
        <v>#VALUE!</v>
      </c>
      <c r="P977">
        <v>5</v>
      </c>
      <c r="Q977">
        <f t="shared" si="140"/>
        <v>31993</v>
      </c>
      <c r="R977" s="2">
        <f t="shared" si="141"/>
        <v>15996.5</v>
      </c>
      <c r="S977" s="2" t="str">
        <f t="shared" si="142"/>
        <v xml:space="preserve"> Not Achieved</v>
      </c>
      <c r="T977" s="2" t="str">
        <f t="shared" si="143"/>
        <v>poor</v>
      </c>
      <c r="U977" s="2"/>
    </row>
    <row r="978" spans="1:21" x14ac:dyDescent="0.3">
      <c r="A978">
        <v>977</v>
      </c>
      <c r="B978" t="s">
        <v>1486</v>
      </c>
      <c r="C978" t="str">
        <f t="shared" si="135"/>
        <v>EMP_977</v>
      </c>
      <c r="D978" t="s">
        <v>15</v>
      </c>
      <c r="E978" t="str">
        <f t="shared" si="136"/>
        <v>EMP_977Finance</v>
      </c>
      <c r="F978" t="s">
        <v>18</v>
      </c>
      <c r="G978" t="s">
        <v>16</v>
      </c>
      <c r="H978">
        <v>27047</v>
      </c>
      <c r="I978">
        <v>8387</v>
      </c>
      <c r="J978">
        <v>0</v>
      </c>
      <c r="K978">
        <v>0</v>
      </c>
      <c r="L978" s="4" t="s">
        <v>1487</v>
      </c>
      <c r="M978" s="4" t="str">
        <f t="shared" si="137"/>
        <v>10/14/2019</v>
      </c>
      <c r="N978" s="1">
        <f t="shared" ca="1" si="138"/>
        <v>46064</v>
      </c>
      <c r="O978" s="6" t="e">
        <f t="shared" ca="1" si="139"/>
        <v>#VALUE!</v>
      </c>
      <c r="P978">
        <v>3</v>
      </c>
      <c r="Q978">
        <f t="shared" si="140"/>
        <v>35434</v>
      </c>
      <c r="R978" s="2">
        <f t="shared" si="141"/>
        <v>17717</v>
      </c>
      <c r="S978" s="2" t="str">
        <f t="shared" si="142"/>
        <v xml:space="preserve"> Not Achieved</v>
      </c>
      <c r="T978" s="2" t="str">
        <f t="shared" si="143"/>
        <v>poor</v>
      </c>
      <c r="U978" s="2"/>
    </row>
    <row r="979" spans="1:21" x14ac:dyDescent="0.3">
      <c r="A979">
        <v>978</v>
      </c>
      <c r="B979" t="s">
        <v>1488</v>
      </c>
      <c r="C979" t="str">
        <f t="shared" si="135"/>
        <v>EMP_978</v>
      </c>
      <c r="D979" t="s">
        <v>15</v>
      </c>
      <c r="E979" t="str">
        <f t="shared" si="136"/>
        <v>EMP_978Marketing</v>
      </c>
      <c r="F979" t="s">
        <v>24</v>
      </c>
      <c r="G979" t="s">
        <v>16</v>
      </c>
      <c r="H979">
        <v>33422</v>
      </c>
      <c r="I979">
        <v>8251</v>
      </c>
      <c r="J979">
        <v>0</v>
      </c>
      <c r="K979">
        <v>0</v>
      </c>
      <c r="L979" s="4" t="s">
        <v>1489</v>
      </c>
      <c r="M979" s="4" t="str">
        <f t="shared" si="137"/>
        <v>11/28/2018</v>
      </c>
      <c r="N979" s="1">
        <f t="shared" ca="1" si="138"/>
        <v>46064</v>
      </c>
      <c r="O979" s="6" t="e">
        <f t="shared" ca="1" si="139"/>
        <v>#VALUE!</v>
      </c>
      <c r="P979">
        <v>2</v>
      </c>
      <c r="Q979">
        <f t="shared" si="140"/>
        <v>41673</v>
      </c>
      <c r="R979" s="2">
        <f t="shared" si="141"/>
        <v>20836.5</v>
      </c>
      <c r="S979" s="2" t="str">
        <f t="shared" si="142"/>
        <v xml:space="preserve"> Not Achieved</v>
      </c>
      <c r="T979" s="2" t="str">
        <f t="shared" si="143"/>
        <v>Average</v>
      </c>
      <c r="U979" s="2"/>
    </row>
    <row r="980" spans="1:21" x14ac:dyDescent="0.3">
      <c r="A980">
        <v>979</v>
      </c>
      <c r="B980" t="s">
        <v>1490</v>
      </c>
      <c r="C980" t="str">
        <f t="shared" si="135"/>
        <v>EMP_979</v>
      </c>
      <c r="D980" t="s">
        <v>15</v>
      </c>
      <c r="E980" t="str">
        <f t="shared" si="136"/>
        <v>EMP_979Finance</v>
      </c>
      <c r="F980" t="s">
        <v>18</v>
      </c>
      <c r="G980" t="s">
        <v>13</v>
      </c>
      <c r="H980">
        <v>70924</v>
      </c>
      <c r="I980">
        <v>10423</v>
      </c>
      <c r="J980">
        <v>0</v>
      </c>
      <c r="K980">
        <v>0</v>
      </c>
      <c r="L980" s="4">
        <v>45327</v>
      </c>
      <c r="M980" s="4" t="str">
        <f t="shared" si="137"/>
        <v>2024</v>
      </c>
      <c r="N980" s="1">
        <f t="shared" ca="1" si="138"/>
        <v>46064</v>
      </c>
      <c r="O980" s="6">
        <f t="shared" ca="1" si="139"/>
        <v>2</v>
      </c>
      <c r="P980">
        <v>1</v>
      </c>
      <c r="Q980">
        <f t="shared" si="140"/>
        <v>81347</v>
      </c>
      <c r="R980" s="2">
        <f t="shared" si="141"/>
        <v>40673.5</v>
      </c>
      <c r="S980" s="2" t="str">
        <f t="shared" si="142"/>
        <v xml:space="preserve"> Not Achieved</v>
      </c>
      <c r="T980" s="2" t="str">
        <f t="shared" si="143"/>
        <v xml:space="preserve"> Excellent</v>
      </c>
      <c r="U980" s="2"/>
    </row>
    <row r="981" spans="1:21" x14ac:dyDescent="0.3">
      <c r="A981">
        <v>980</v>
      </c>
      <c r="B981" t="s">
        <v>1491</v>
      </c>
      <c r="C981" t="str">
        <f t="shared" si="135"/>
        <v>EMP_980</v>
      </c>
      <c r="D981" t="s">
        <v>11</v>
      </c>
      <c r="E981" t="str">
        <f t="shared" si="136"/>
        <v>EMP_980Marketing</v>
      </c>
      <c r="F981" t="s">
        <v>24</v>
      </c>
      <c r="G981" t="s">
        <v>22</v>
      </c>
      <c r="H981">
        <v>49957</v>
      </c>
      <c r="I981">
        <v>10744</v>
      </c>
      <c r="J981">
        <v>0</v>
      </c>
      <c r="K981">
        <v>0</v>
      </c>
      <c r="L981" s="4" t="s">
        <v>1492</v>
      </c>
      <c r="M981" s="4" t="str">
        <f t="shared" si="137"/>
        <v>5/16/2022</v>
      </c>
      <c r="N981" s="1">
        <f t="shared" ca="1" si="138"/>
        <v>46064</v>
      </c>
      <c r="O981" s="6" t="e">
        <f t="shared" ca="1" si="139"/>
        <v>#VALUE!</v>
      </c>
      <c r="P981">
        <v>3</v>
      </c>
      <c r="Q981">
        <f t="shared" si="140"/>
        <v>60701</v>
      </c>
      <c r="R981" s="2">
        <f t="shared" si="141"/>
        <v>30350.5</v>
      </c>
      <c r="S981" s="2" t="str">
        <f t="shared" si="142"/>
        <v xml:space="preserve"> Not Achieved</v>
      </c>
      <c r="T981" s="2" t="str">
        <f t="shared" si="143"/>
        <v>Good</v>
      </c>
      <c r="U981" s="2"/>
    </row>
    <row r="982" spans="1:21" x14ac:dyDescent="0.3">
      <c r="A982">
        <v>981</v>
      </c>
      <c r="B982" t="s">
        <v>1493</v>
      </c>
      <c r="C982" t="str">
        <f t="shared" si="135"/>
        <v>EMP_981</v>
      </c>
      <c r="D982" t="s">
        <v>15</v>
      </c>
      <c r="E982" t="str">
        <f t="shared" si="136"/>
        <v>EMP_981Finance</v>
      </c>
      <c r="F982" t="s">
        <v>18</v>
      </c>
      <c r="G982" t="s">
        <v>22</v>
      </c>
      <c r="H982">
        <v>75682</v>
      </c>
      <c r="I982">
        <v>12163</v>
      </c>
      <c r="J982">
        <v>0</v>
      </c>
      <c r="K982">
        <v>0</v>
      </c>
      <c r="L982" s="4">
        <v>45018</v>
      </c>
      <c r="M982" s="4" t="str">
        <f t="shared" si="137"/>
        <v>2023</v>
      </c>
      <c r="N982" s="1">
        <f t="shared" ca="1" si="138"/>
        <v>46064</v>
      </c>
      <c r="O982" s="6">
        <f t="shared" ca="1" si="139"/>
        <v>2</v>
      </c>
      <c r="P982">
        <v>2</v>
      </c>
      <c r="Q982">
        <f t="shared" si="140"/>
        <v>87845</v>
      </c>
      <c r="R982" s="2">
        <f t="shared" si="141"/>
        <v>43922.5</v>
      </c>
      <c r="S982" s="2" t="str">
        <f t="shared" si="142"/>
        <v xml:space="preserve"> Not Achieved</v>
      </c>
      <c r="T982" s="2" t="str">
        <f t="shared" si="143"/>
        <v xml:space="preserve"> Excellent</v>
      </c>
      <c r="U982" s="2"/>
    </row>
    <row r="983" spans="1:21" x14ac:dyDescent="0.3">
      <c r="A983">
        <v>982</v>
      </c>
      <c r="B983" t="s">
        <v>1494</v>
      </c>
      <c r="C983" t="str">
        <f t="shared" si="135"/>
        <v>EMP_982</v>
      </c>
      <c r="D983" t="s">
        <v>11</v>
      </c>
      <c r="E983" t="str">
        <f t="shared" si="136"/>
        <v>EMP_982Sales</v>
      </c>
      <c r="F983" t="s">
        <v>7</v>
      </c>
      <c r="G983" t="s">
        <v>16</v>
      </c>
      <c r="H983">
        <v>61593</v>
      </c>
      <c r="I983">
        <v>8042</v>
      </c>
      <c r="J983">
        <v>276085</v>
      </c>
      <c r="K983">
        <v>171003</v>
      </c>
      <c r="L983" s="4" t="s">
        <v>591</v>
      </c>
      <c r="M983" s="4" t="str">
        <f t="shared" si="137"/>
        <v>10/27/2024</v>
      </c>
      <c r="N983" s="1">
        <f t="shared" ca="1" si="138"/>
        <v>46064</v>
      </c>
      <c r="O983" s="6" t="e">
        <f t="shared" ca="1" si="139"/>
        <v>#VALUE!</v>
      </c>
      <c r="P983">
        <v>5</v>
      </c>
      <c r="Q983">
        <f t="shared" si="140"/>
        <v>69635</v>
      </c>
      <c r="R983" s="2">
        <f t="shared" si="141"/>
        <v>34817.5</v>
      </c>
      <c r="S983" s="2" t="str">
        <f t="shared" si="142"/>
        <v>Achieved</v>
      </c>
      <c r="T983" s="2" t="str">
        <f t="shared" si="143"/>
        <v xml:space="preserve"> Excellent</v>
      </c>
      <c r="U983" s="2"/>
    </row>
    <row r="984" spans="1:21" x14ac:dyDescent="0.3">
      <c r="A984">
        <v>983</v>
      </c>
      <c r="B984" t="s">
        <v>1495</v>
      </c>
      <c r="C984" t="str">
        <f t="shared" si="135"/>
        <v>EMP_983</v>
      </c>
      <c r="D984" t="s">
        <v>11</v>
      </c>
      <c r="E984" t="str">
        <f t="shared" si="136"/>
        <v>EMP_983Finance</v>
      </c>
      <c r="F984" t="s">
        <v>18</v>
      </c>
      <c r="G984" t="s">
        <v>25</v>
      </c>
      <c r="H984">
        <v>75192</v>
      </c>
      <c r="I984">
        <v>14057</v>
      </c>
      <c r="J984">
        <v>0</v>
      </c>
      <c r="K984">
        <v>0</v>
      </c>
      <c r="L984" s="4" t="s">
        <v>1496</v>
      </c>
      <c r="M984" s="4" t="str">
        <f t="shared" si="137"/>
        <v>7/26/2019</v>
      </c>
      <c r="N984" s="1">
        <f t="shared" ca="1" si="138"/>
        <v>46064</v>
      </c>
      <c r="O984" s="6" t="e">
        <f t="shared" ca="1" si="139"/>
        <v>#VALUE!</v>
      </c>
      <c r="P984">
        <v>4</v>
      </c>
      <c r="Q984">
        <f t="shared" si="140"/>
        <v>89249</v>
      </c>
      <c r="R984" s="2">
        <f t="shared" si="141"/>
        <v>44624.5</v>
      </c>
      <c r="S984" s="2" t="str">
        <f t="shared" si="142"/>
        <v xml:space="preserve"> Not Achieved</v>
      </c>
      <c r="T984" s="2" t="str">
        <f t="shared" si="143"/>
        <v xml:space="preserve"> Excellent</v>
      </c>
      <c r="U984" s="2"/>
    </row>
    <row r="985" spans="1:21" x14ac:dyDescent="0.3">
      <c r="A985">
        <v>984</v>
      </c>
      <c r="B985" t="s">
        <v>1497</v>
      </c>
      <c r="C985" t="str">
        <f t="shared" si="135"/>
        <v>EMP_984</v>
      </c>
      <c r="D985" t="s">
        <v>11</v>
      </c>
      <c r="E985" t="str">
        <f t="shared" si="136"/>
        <v>EMP_984Sales</v>
      </c>
      <c r="F985" t="s">
        <v>7</v>
      </c>
      <c r="G985" t="s">
        <v>22</v>
      </c>
      <c r="H985">
        <v>42077</v>
      </c>
      <c r="I985">
        <v>11109</v>
      </c>
      <c r="J985">
        <v>240361</v>
      </c>
      <c r="K985">
        <v>201196</v>
      </c>
      <c r="L985" s="4" t="s">
        <v>1498</v>
      </c>
      <c r="M985" s="4" t="str">
        <f t="shared" si="137"/>
        <v>9/30/2021</v>
      </c>
      <c r="N985" s="1">
        <f t="shared" ca="1" si="138"/>
        <v>46064</v>
      </c>
      <c r="O985" s="6" t="e">
        <f t="shared" ca="1" si="139"/>
        <v>#VALUE!</v>
      </c>
      <c r="P985">
        <v>3</v>
      </c>
      <c r="Q985">
        <f t="shared" si="140"/>
        <v>53186</v>
      </c>
      <c r="R985" s="2">
        <f t="shared" si="141"/>
        <v>26593</v>
      </c>
      <c r="S985" s="2" t="str">
        <f t="shared" si="142"/>
        <v>Achieved</v>
      </c>
      <c r="T985" s="2" t="str">
        <f t="shared" si="143"/>
        <v>Good</v>
      </c>
      <c r="U985" s="2"/>
    </row>
    <row r="986" spans="1:21" x14ac:dyDescent="0.3">
      <c r="A986">
        <v>985</v>
      </c>
      <c r="B986" t="s">
        <v>1499</v>
      </c>
      <c r="C986" t="str">
        <f t="shared" si="135"/>
        <v>EMP_985</v>
      </c>
      <c r="D986" t="s">
        <v>15</v>
      </c>
      <c r="E986" t="str">
        <f t="shared" si="136"/>
        <v>EMP_985Marketing</v>
      </c>
      <c r="F986" t="s">
        <v>24</v>
      </c>
      <c r="G986" t="s">
        <v>19</v>
      </c>
      <c r="H986">
        <v>71557</v>
      </c>
      <c r="I986">
        <v>2630</v>
      </c>
      <c r="J986">
        <v>0</v>
      </c>
      <c r="K986">
        <v>0</v>
      </c>
      <c r="L986" s="4">
        <v>45537</v>
      </c>
      <c r="M986" s="4" t="str">
        <f t="shared" si="137"/>
        <v>2024</v>
      </c>
      <c r="N986" s="1">
        <f t="shared" ca="1" si="138"/>
        <v>46064</v>
      </c>
      <c r="O986" s="6">
        <f t="shared" ca="1" si="139"/>
        <v>1</v>
      </c>
      <c r="P986">
        <v>4</v>
      </c>
      <c r="Q986">
        <f t="shared" si="140"/>
        <v>74187</v>
      </c>
      <c r="R986" s="2">
        <f t="shared" si="141"/>
        <v>37093.5</v>
      </c>
      <c r="S986" s="2" t="str">
        <f t="shared" si="142"/>
        <v xml:space="preserve"> Not Achieved</v>
      </c>
      <c r="T986" s="2" t="str">
        <f t="shared" si="143"/>
        <v xml:space="preserve"> Excellent</v>
      </c>
      <c r="U986" s="2"/>
    </row>
    <row r="987" spans="1:21" x14ac:dyDescent="0.3">
      <c r="A987">
        <v>986</v>
      </c>
      <c r="B987" t="s">
        <v>1500</v>
      </c>
      <c r="C987" t="str">
        <f t="shared" si="135"/>
        <v>EMP_986</v>
      </c>
      <c r="D987" t="s">
        <v>15</v>
      </c>
      <c r="E987" t="str">
        <f t="shared" si="136"/>
        <v>EMP_986IT</v>
      </c>
      <c r="F987" t="s">
        <v>21</v>
      </c>
      <c r="G987" t="s">
        <v>13</v>
      </c>
      <c r="H987">
        <v>24830</v>
      </c>
      <c r="I987">
        <v>6610</v>
      </c>
      <c r="J987">
        <v>0</v>
      </c>
      <c r="K987">
        <v>0</v>
      </c>
      <c r="L987" s="4" t="s">
        <v>1501</v>
      </c>
      <c r="M987" s="4" t="str">
        <f t="shared" si="137"/>
        <v>2/13/2023</v>
      </c>
      <c r="N987" s="1">
        <f t="shared" ca="1" si="138"/>
        <v>46064</v>
      </c>
      <c r="O987" s="6" t="e">
        <f t="shared" ca="1" si="139"/>
        <v>#VALUE!</v>
      </c>
      <c r="P987">
        <v>4</v>
      </c>
      <c r="Q987">
        <f t="shared" si="140"/>
        <v>31440</v>
      </c>
      <c r="R987" s="2">
        <f t="shared" si="141"/>
        <v>15720</v>
      </c>
      <c r="S987" s="2" t="str">
        <f t="shared" si="142"/>
        <v xml:space="preserve"> Not Achieved</v>
      </c>
      <c r="T987" s="2" t="str">
        <f t="shared" si="143"/>
        <v>poor</v>
      </c>
      <c r="U987" s="2"/>
    </row>
    <row r="988" spans="1:21" x14ac:dyDescent="0.3">
      <c r="A988">
        <v>987</v>
      </c>
      <c r="B988" t="s">
        <v>1502</v>
      </c>
      <c r="C988" t="str">
        <f t="shared" si="135"/>
        <v>EMP_987</v>
      </c>
      <c r="D988" t="s">
        <v>15</v>
      </c>
      <c r="E988" t="str">
        <f t="shared" si="136"/>
        <v>EMP_987HR</v>
      </c>
      <c r="F988" t="s">
        <v>12</v>
      </c>
      <c r="G988" t="s">
        <v>16</v>
      </c>
      <c r="H988">
        <v>77194</v>
      </c>
      <c r="I988">
        <v>12008</v>
      </c>
      <c r="J988">
        <v>0</v>
      </c>
      <c r="K988">
        <v>0</v>
      </c>
      <c r="L988" s="4" t="s">
        <v>1503</v>
      </c>
      <c r="M988" s="4" t="str">
        <f t="shared" si="137"/>
        <v>4/25/2022</v>
      </c>
      <c r="N988" s="1">
        <f t="shared" ca="1" si="138"/>
        <v>46064</v>
      </c>
      <c r="O988" s="6" t="e">
        <f t="shared" ca="1" si="139"/>
        <v>#VALUE!</v>
      </c>
      <c r="P988">
        <v>5</v>
      </c>
      <c r="Q988">
        <f t="shared" si="140"/>
        <v>89202</v>
      </c>
      <c r="R988" s="2">
        <f t="shared" si="141"/>
        <v>44601</v>
      </c>
      <c r="S988" s="2" t="str">
        <f t="shared" si="142"/>
        <v xml:space="preserve"> Not Achieved</v>
      </c>
      <c r="T988" s="2" t="str">
        <f t="shared" si="143"/>
        <v xml:space="preserve"> Excellent</v>
      </c>
      <c r="U988" s="2"/>
    </row>
    <row r="989" spans="1:21" x14ac:dyDescent="0.3">
      <c r="A989">
        <v>988</v>
      </c>
      <c r="B989" t="s">
        <v>1504</v>
      </c>
      <c r="C989" t="str">
        <f t="shared" si="135"/>
        <v>EMP_988</v>
      </c>
      <c r="D989" t="s">
        <v>11</v>
      </c>
      <c r="E989" t="str">
        <f t="shared" si="136"/>
        <v>EMP_988Marketing</v>
      </c>
      <c r="F989" t="s">
        <v>24</v>
      </c>
      <c r="G989" t="s">
        <v>25</v>
      </c>
      <c r="H989">
        <v>70814</v>
      </c>
      <c r="I989">
        <v>10435</v>
      </c>
      <c r="J989">
        <v>0</v>
      </c>
      <c r="K989">
        <v>0</v>
      </c>
      <c r="L989" s="4" t="s">
        <v>1505</v>
      </c>
      <c r="M989" s="4" t="str">
        <f t="shared" si="137"/>
        <v>9/13/2020</v>
      </c>
      <c r="N989" s="1">
        <f t="shared" ca="1" si="138"/>
        <v>46064</v>
      </c>
      <c r="O989" s="6" t="e">
        <f t="shared" ca="1" si="139"/>
        <v>#VALUE!</v>
      </c>
      <c r="P989">
        <v>4</v>
      </c>
      <c r="Q989">
        <f t="shared" si="140"/>
        <v>81249</v>
      </c>
      <c r="R989" s="2">
        <f t="shared" si="141"/>
        <v>40624.5</v>
      </c>
      <c r="S989" s="2" t="str">
        <f t="shared" si="142"/>
        <v xml:space="preserve"> Not Achieved</v>
      </c>
      <c r="T989" s="2" t="str">
        <f t="shared" si="143"/>
        <v xml:space="preserve"> Excellent</v>
      </c>
      <c r="U989" s="2"/>
    </row>
    <row r="990" spans="1:21" x14ac:dyDescent="0.3">
      <c r="A990">
        <v>989</v>
      </c>
      <c r="B990" t="s">
        <v>1506</v>
      </c>
      <c r="C990" t="str">
        <f t="shared" si="135"/>
        <v>EMP_989</v>
      </c>
      <c r="D990" t="s">
        <v>15</v>
      </c>
      <c r="E990" t="str">
        <f t="shared" si="136"/>
        <v>EMP_989Marketing</v>
      </c>
      <c r="F990" t="s">
        <v>24</v>
      </c>
      <c r="G990" t="s">
        <v>22</v>
      </c>
      <c r="H990">
        <v>35190</v>
      </c>
      <c r="I990">
        <v>13323</v>
      </c>
      <c r="J990">
        <v>0</v>
      </c>
      <c r="K990">
        <v>0</v>
      </c>
      <c r="L990" s="4" t="s">
        <v>61</v>
      </c>
      <c r="M990" s="4" t="str">
        <f t="shared" si="137"/>
        <v>9/14/2023</v>
      </c>
      <c r="N990" s="1">
        <f t="shared" ca="1" si="138"/>
        <v>46064</v>
      </c>
      <c r="O990" s="6" t="e">
        <f t="shared" ca="1" si="139"/>
        <v>#VALUE!</v>
      </c>
      <c r="P990">
        <v>5</v>
      </c>
      <c r="Q990">
        <f t="shared" si="140"/>
        <v>48513</v>
      </c>
      <c r="R990" s="2">
        <f t="shared" si="141"/>
        <v>24256.5</v>
      </c>
      <c r="S990" s="2" t="str">
        <f t="shared" si="142"/>
        <v xml:space="preserve"> Not Achieved</v>
      </c>
      <c r="T990" s="2" t="str">
        <f t="shared" si="143"/>
        <v>Average</v>
      </c>
      <c r="U990" s="2"/>
    </row>
    <row r="991" spans="1:21" x14ac:dyDescent="0.3">
      <c r="A991">
        <v>990</v>
      </c>
      <c r="B991" t="s">
        <v>1507</v>
      </c>
      <c r="C991" t="str">
        <f t="shared" si="135"/>
        <v>EMP_990</v>
      </c>
      <c r="D991" t="s">
        <v>11</v>
      </c>
      <c r="E991" t="str">
        <f t="shared" si="136"/>
        <v>EMP_990Marketing</v>
      </c>
      <c r="F991" t="s">
        <v>24</v>
      </c>
      <c r="G991" t="s">
        <v>13</v>
      </c>
      <c r="H991">
        <v>35286</v>
      </c>
      <c r="I991">
        <v>9147</v>
      </c>
      <c r="J991">
        <v>0</v>
      </c>
      <c r="K991">
        <v>0</v>
      </c>
      <c r="L991" s="4">
        <v>43231</v>
      </c>
      <c r="M991" s="4" t="str">
        <f t="shared" si="137"/>
        <v>2018</v>
      </c>
      <c r="N991" s="1">
        <f t="shared" ca="1" si="138"/>
        <v>46064</v>
      </c>
      <c r="O991" s="6">
        <f t="shared" ca="1" si="139"/>
        <v>7</v>
      </c>
      <c r="P991">
        <v>5</v>
      </c>
      <c r="Q991">
        <f t="shared" si="140"/>
        <v>44433</v>
      </c>
      <c r="R991" s="2">
        <f t="shared" si="141"/>
        <v>22216.5</v>
      </c>
      <c r="S991" s="2" t="str">
        <f t="shared" si="142"/>
        <v xml:space="preserve"> Not Achieved</v>
      </c>
      <c r="T991" s="2" t="str">
        <f t="shared" si="143"/>
        <v>Average</v>
      </c>
      <c r="U991" s="2"/>
    </row>
    <row r="992" spans="1:21" x14ac:dyDescent="0.3">
      <c r="A992">
        <v>991</v>
      </c>
      <c r="B992" t="s">
        <v>1508</v>
      </c>
      <c r="C992" t="str">
        <f t="shared" si="135"/>
        <v>EMP_991</v>
      </c>
      <c r="D992" t="s">
        <v>11</v>
      </c>
      <c r="E992" t="str">
        <f t="shared" si="136"/>
        <v>EMP_991Sales</v>
      </c>
      <c r="F992" t="s">
        <v>7</v>
      </c>
      <c r="G992" t="s">
        <v>13</v>
      </c>
      <c r="H992">
        <v>44978</v>
      </c>
      <c r="I992">
        <v>14117</v>
      </c>
      <c r="J992">
        <v>159327</v>
      </c>
      <c r="K992">
        <v>119532</v>
      </c>
      <c r="L992" s="4" t="s">
        <v>1509</v>
      </c>
      <c r="M992" s="4" t="str">
        <f t="shared" si="137"/>
        <v>12/16/2020</v>
      </c>
      <c r="N992" s="1">
        <f t="shared" ca="1" si="138"/>
        <v>46064</v>
      </c>
      <c r="O992" s="6" t="e">
        <f t="shared" ca="1" si="139"/>
        <v>#VALUE!</v>
      </c>
      <c r="P992">
        <v>2</v>
      </c>
      <c r="Q992">
        <f t="shared" si="140"/>
        <v>59095</v>
      </c>
      <c r="R992" s="2">
        <f t="shared" si="141"/>
        <v>29547.5</v>
      </c>
      <c r="S992" s="2" t="str">
        <f t="shared" si="142"/>
        <v>Achieved</v>
      </c>
      <c r="T992" s="2" t="str">
        <f t="shared" si="143"/>
        <v>Good</v>
      </c>
      <c r="U992" s="2"/>
    </row>
    <row r="993" spans="1:21" x14ac:dyDescent="0.3">
      <c r="A993">
        <v>992</v>
      </c>
      <c r="B993" t="s">
        <v>1510</v>
      </c>
      <c r="C993" t="str">
        <f t="shared" si="135"/>
        <v>EMP_992</v>
      </c>
      <c r="D993" t="s">
        <v>15</v>
      </c>
      <c r="E993" t="str">
        <f t="shared" si="136"/>
        <v>EMP_992HR</v>
      </c>
      <c r="F993" t="s">
        <v>12</v>
      </c>
      <c r="G993" t="s">
        <v>25</v>
      </c>
      <c r="H993">
        <v>75273</v>
      </c>
      <c r="I993">
        <v>6357</v>
      </c>
      <c r="J993">
        <v>0</v>
      </c>
      <c r="K993">
        <v>0</v>
      </c>
      <c r="L993" s="4" t="s">
        <v>957</v>
      </c>
      <c r="M993" s="4" t="str">
        <f t="shared" si="137"/>
        <v>12/15/2024</v>
      </c>
      <c r="N993" s="1">
        <f t="shared" ca="1" si="138"/>
        <v>46064</v>
      </c>
      <c r="O993" s="6" t="e">
        <f t="shared" ca="1" si="139"/>
        <v>#VALUE!</v>
      </c>
      <c r="P993">
        <v>2</v>
      </c>
      <c r="Q993">
        <f t="shared" si="140"/>
        <v>81630</v>
      </c>
      <c r="R993" s="2">
        <f t="shared" si="141"/>
        <v>40815</v>
      </c>
      <c r="S993" s="2" t="str">
        <f t="shared" si="142"/>
        <v xml:space="preserve"> Not Achieved</v>
      </c>
      <c r="T993" s="2" t="str">
        <f t="shared" si="143"/>
        <v xml:space="preserve"> Excellent</v>
      </c>
      <c r="U993" s="2"/>
    </row>
    <row r="994" spans="1:21" x14ac:dyDescent="0.3">
      <c r="A994">
        <v>993</v>
      </c>
      <c r="B994" t="s">
        <v>1511</v>
      </c>
      <c r="C994" t="str">
        <f t="shared" si="135"/>
        <v>EMP_993</v>
      </c>
      <c r="D994" t="s">
        <v>11</v>
      </c>
      <c r="E994" t="str">
        <f t="shared" si="136"/>
        <v>EMP_993Sales</v>
      </c>
      <c r="F994" t="s">
        <v>7</v>
      </c>
      <c r="G994" t="s">
        <v>16</v>
      </c>
      <c r="H994">
        <v>32680</v>
      </c>
      <c r="I994">
        <v>3351</v>
      </c>
      <c r="J994">
        <v>99492</v>
      </c>
      <c r="K994">
        <v>190469</v>
      </c>
      <c r="L994" s="4" t="s">
        <v>1509</v>
      </c>
      <c r="M994" s="4" t="str">
        <f t="shared" si="137"/>
        <v>12/16/2020</v>
      </c>
      <c r="N994" s="1">
        <f t="shared" ca="1" si="138"/>
        <v>46064</v>
      </c>
      <c r="O994" s="6" t="e">
        <f t="shared" ca="1" si="139"/>
        <v>#VALUE!</v>
      </c>
      <c r="P994">
        <v>3</v>
      </c>
      <c r="Q994">
        <f t="shared" si="140"/>
        <v>36031</v>
      </c>
      <c r="R994" s="2">
        <f t="shared" si="141"/>
        <v>18015.5</v>
      </c>
      <c r="S994" s="2" t="str">
        <f t="shared" si="142"/>
        <v xml:space="preserve"> Not Achieved</v>
      </c>
      <c r="T994" s="2" t="str">
        <f t="shared" si="143"/>
        <v>Average</v>
      </c>
      <c r="U994" s="2"/>
    </row>
    <row r="995" spans="1:21" x14ac:dyDescent="0.3">
      <c r="A995">
        <v>994</v>
      </c>
      <c r="B995" t="s">
        <v>1512</v>
      </c>
      <c r="C995" t="str">
        <f t="shared" si="135"/>
        <v>EMP_994</v>
      </c>
      <c r="D995" t="s">
        <v>15</v>
      </c>
      <c r="E995" t="str">
        <f t="shared" si="136"/>
        <v>EMP_994Marketing</v>
      </c>
      <c r="F995" t="s">
        <v>24</v>
      </c>
      <c r="G995" t="s">
        <v>19</v>
      </c>
      <c r="H995">
        <v>63595</v>
      </c>
      <c r="I995">
        <v>12413</v>
      </c>
      <c r="J995">
        <v>0</v>
      </c>
      <c r="K995">
        <v>0</v>
      </c>
      <c r="L995" s="4" t="s">
        <v>135</v>
      </c>
      <c r="M995" s="4" t="str">
        <f t="shared" si="137"/>
        <v>3/15/2020</v>
      </c>
      <c r="N995" s="1">
        <f t="shared" ca="1" si="138"/>
        <v>46064</v>
      </c>
      <c r="O995" s="6" t="e">
        <f t="shared" ca="1" si="139"/>
        <v>#VALUE!</v>
      </c>
      <c r="P995">
        <v>5</v>
      </c>
      <c r="Q995">
        <f t="shared" si="140"/>
        <v>76008</v>
      </c>
      <c r="R995" s="2">
        <f t="shared" si="141"/>
        <v>38004</v>
      </c>
      <c r="S995" s="2" t="str">
        <f t="shared" si="142"/>
        <v xml:space="preserve"> Not Achieved</v>
      </c>
      <c r="T995" s="2" t="str">
        <f t="shared" si="143"/>
        <v xml:space="preserve"> Excellent</v>
      </c>
      <c r="U995" s="2"/>
    </row>
    <row r="996" spans="1:21" x14ac:dyDescent="0.3">
      <c r="A996">
        <v>995</v>
      </c>
      <c r="B996" t="s">
        <v>1513</v>
      </c>
      <c r="C996" t="str">
        <f t="shared" si="135"/>
        <v>EMP_995</v>
      </c>
      <c r="D996" t="s">
        <v>11</v>
      </c>
      <c r="E996" t="str">
        <f t="shared" si="136"/>
        <v>EMP_995IT</v>
      </c>
      <c r="F996" t="s">
        <v>21</v>
      </c>
      <c r="G996" t="s">
        <v>19</v>
      </c>
      <c r="H996">
        <v>74783</v>
      </c>
      <c r="I996">
        <v>12714</v>
      </c>
      <c r="J996">
        <v>0</v>
      </c>
      <c r="K996">
        <v>0</v>
      </c>
      <c r="L996" s="4">
        <v>43929</v>
      </c>
      <c r="M996" s="4" t="str">
        <f t="shared" si="137"/>
        <v>2020</v>
      </c>
      <c r="N996" s="1">
        <f t="shared" ca="1" si="138"/>
        <v>46064</v>
      </c>
      <c r="O996" s="6">
        <f t="shared" ca="1" si="139"/>
        <v>5</v>
      </c>
      <c r="P996">
        <v>1</v>
      </c>
      <c r="Q996">
        <f t="shared" si="140"/>
        <v>87497</v>
      </c>
      <c r="R996" s="2">
        <f t="shared" si="141"/>
        <v>43748.5</v>
      </c>
      <c r="S996" s="2" t="str">
        <f t="shared" si="142"/>
        <v xml:space="preserve"> Not Achieved</v>
      </c>
      <c r="T996" s="2" t="str">
        <f t="shared" si="143"/>
        <v xml:space="preserve"> Excellent</v>
      </c>
      <c r="U996" s="2"/>
    </row>
    <row r="997" spans="1:21" x14ac:dyDescent="0.3">
      <c r="A997">
        <v>996</v>
      </c>
      <c r="B997" t="s">
        <v>1514</v>
      </c>
      <c r="C997" t="str">
        <f t="shared" si="135"/>
        <v>EMP_996</v>
      </c>
      <c r="D997" t="s">
        <v>15</v>
      </c>
      <c r="E997" t="str">
        <f t="shared" si="136"/>
        <v>EMP_996Sales</v>
      </c>
      <c r="F997" t="s">
        <v>7</v>
      </c>
      <c r="G997" t="s">
        <v>13</v>
      </c>
      <c r="H997">
        <v>72287</v>
      </c>
      <c r="I997">
        <v>5786</v>
      </c>
      <c r="J997">
        <v>153090</v>
      </c>
      <c r="K997">
        <v>110946</v>
      </c>
      <c r="L997" s="4">
        <v>44476</v>
      </c>
      <c r="M997" s="4" t="str">
        <f t="shared" si="137"/>
        <v>2021</v>
      </c>
      <c r="N997" s="1">
        <f t="shared" ca="1" si="138"/>
        <v>46064</v>
      </c>
      <c r="O997" s="6">
        <f t="shared" ca="1" si="139"/>
        <v>4</v>
      </c>
      <c r="P997">
        <v>4</v>
      </c>
      <c r="Q997">
        <f t="shared" si="140"/>
        <v>78073</v>
      </c>
      <c r="R997" s="2">
        <f t="shared" si="141"/>
        <v>39036.5</v>
      </c>
      <c r="S997" s="2" t="str">
        <f t="shared" si="142"/>
        <v>Achieved</v>
      </c>
      <c r="T997" s="2" t="str">
        <f t="shared" si="143"/>
        <v xml:space="preserve"> Excellent</v>
      </c>
      <c r="U997" s="2"/>
    </row>
    <row r="998" spans="1:21" x14ac:dyDescent="0.3">
      <c r="A998">
        <v>997</v>
      </c>
      <c r="B998" t="s">
        <v>1515</v>
      </c>
      <c r="C998" t="str">
        <f t="shared" si="135"/>
        <v>EMP_997</v>
      </c>
      <c r="D998" t="s">
        <v>15</v>
      </c>
      <c r="E998" t="str">
        <f t="shared" si="136"/>
        <v>EMP_997HR</v>
      </c>
      <c r="F998" t="s">
        <v>12</v>
      </c>
      <c r="G998" t="s">
        <v>22</v>
      </c>
      <c r="H998">
        <v>40282</v>
      </c>
      <c r="I998">
        <v>12835</v>
      </c>
      <c r="J998">
        <v>0</v>
      </c>
      <c r="K998">
        <v>0</v>
      </c>
      <c r="L998" s="4">
        <v>44207</v>
      </c>
      <c r="M998" s="4" t="str">
        <f t="shared" si="137"/>
        <v>2021</v>
      </c>
      <c r="N998" s="1">
        <f t="shared" ca="1" si="138"/>
        <v>46064</v>
      </c>
      <c r="O998" s="6">
        <f t="shared" ca="1" si="139"/>
        <v>5</v>
      </c>
      <c r="P998">
        <v>1</v>
      </c>
      <c r="Q998">
        <f t="shared" si="140"/>
        <v>53117</v>
      </c>
      <c r="R998" s="2">
        <f t="shared" si="141"/>
        <v>26558.5</v>
      </c>
      <c r="S998" s="2" t="str">
        <f t="shared" si="142"/>
        <v xml:space="preserve"> Not Achieved</v>
      </c>
      <c r="T998" s="2" t="str">
        <f t="shared" si="143"/>
        <v>Good</v>
      </c>
      <c r="U998" s="2"/>
    </row>
    <row r="999" spans="1:21" x14ac:dyDescent="0.3">
      <c r="A999">
        <v>998</v>
      </c>
      <c r="B999" t="s">
        <v>1516</v>
      </c>
      <c r="C999" t="str">
        <f t="shared" si="135"/>
        <v>EMP_998</v>
      </c>
      <c r="D999" t="s">
        <v>11</v>
      </c>
      <c r="E999" t="str">
        <f t="shared" si="136"/>
        <v>EMP_998Marketing</v>
      </c>
      <c r="F999" t="s">
        <v>24</v>
      </c>
      <c r="G999" t="s">
        <v>19</v>
      </c>
      <c r="H999">
        <v>46327</v>
      </c>
      <c r="I999">
        <v>2743</v>
      </c>
      <c r="J999">
        <v>0</v>
      </c>
      <c r="K999">
        <v>0</v>
      </c>
      <c r="L999" s="4" t="s">
        <v>1517</v>
      </c>
      <c r="M999" s="4" t="str">
        <f t="shared" si="137"/>
        <v>9/19/2021</v>
      </c>
      <c r="N999" s="1">
        <f t="shared" ca="1" si="138"/>
        <v>46064</v>
      </c>
      <c r="O999" s="6" t="e">
        <f t="shared" ca="1" si="139"/>
        <v>#VALUE!</v>
      </c>
      <c r="P999">
        <v>5</v>
      </c>
      <c r="Q999">
        <f t="shared" si="140"/>
        <v>49070</v>
      </c>
      <c r="R999" s="2">
        <f t="shared" si="141"/>
        <v>24535</v>
      </c>
      <c r="S999" s="2" t="str">
        <f t="shared" si="142"/>
        <v xml:space="preserve"> Not Achieved</v>
      </c>
      <c r="T999" s="2" t="str">
        <f t="shared" si="143"/>
        <v>Good</v>
      </c>
      <c r="U999" s="2"/>
    </row>
    <row r="1000" spans="1:21" x14ac:dyDescent="0.3">
      <c r="A1000">
        <v>999</v>
      </c>
      <c r="B1000" t="s">
        <v>1518</v>
      </c>
      <c r="C1000" t="str">
        <f t="shared" si="135"/>
        <v>EMP_999</v>
      </c>
      <c r="D1000" t="s">
        <v>11</v>
      </c>
      <c r="E1000" t="str">
        <f t="shared" si="136"/>
        <v>EMP_999IT</v>
      </c>
      <c r="F1000" t="s">
        <v>21</v>
      </c>
      <c r="G1000" t="s">
        <v>13</v>
      </c>
      <c r="H1000">
        <v>33017</v>
      </c>
      <c r="I1000">
        <v>10968</v>
      </c>
      <c r="J1000">
        <v>0</v>
      </c>
      <c r="K1000">
        <v>0</v>
      </c>
      <c r="L1000" s="4" t="s">
        <v>1519</v>
      </c>
      <c r="M1000" s="4" t="str">
        <f t="shared" si="137"/>
        <v>12/26/2021</v>
      </c>
      <c r="N1000" s="1">
        <f t="shared" ca="1" si="138"/>
        <v>46064</v>
      </c>
      <c r="O1000" s="6" t="e">
        <f t="shared" ca="1" si="139"/>
        <v>#VALUE!</v>
      </c>
      <c r="P1000">
        <v>1</v>
      </c>
      <c r="Q1000">
        <f t="shared" si="140"/>
        <v>43985</v>
      </c>
      <c r="R1000" s="2">
        <f t="shared" si="141"/>
        <v>21992.5</v>
      </c>
      <c r="S1000" s="2" t="str">
        <f t="shared" si="142"/>
        <v xml:space="preserve"> Not Achieved</v>
      </c>
      <c r="T1000" s="2" t="str">
        <f t="shared" si="143"/>
        <v>Average</v>
      </c>
      <c r="U1000" s="2"/>
    </row>
    <row r="1001" spans="1:21" x14ac:dyDescent="0.3">
      <c r="A1001">
        <v>1000</v>
      </c>
      <c r="B1001" t="s">
        <v>1520</v>
      </c>
      <c r="C1001" t="str">
        <f t="shared" si="135"/>
        <v>EMP_1000</v>
      </c>
      <c r="D1001" t="s">
        <v>11</v>
      </c>
      <c r="E1001" t="str">
        <f t="shared" si="136"/>
        <v>EMP_1000Finance</v>
      </c>
      <c r="F1001" t="s">
        <v>18</v>
      </c>
      <c r="G1001" t="s">
        <v>19</v>
      </c>
      <c r="H1001">
        <v>53517</v>
      </c>
      <c r="I1001">
        <v>13611</v>
      </c>
      <c r="J1001">
        <v>0</v>
      </c>
      <c r="K1001">
        <v>0</v>
      </c>
      <c r="L1001" s="4" t="s">
        <v>1521</v>
      </c>
      <c r="M1001" s="4" t="str">
        <f t="shared" si="137"/>
        <v>8/24/2019</v>
      </c>
      <c r="N1001" s="1">
        <f t="shared" ca="1" si="138"/>
        <v>46064</v>
      </c>
      <c r="O1001" s="6" t="e">
        <f t="shared" ca="1" si="139"/>
        <v>#VALUE!</v>
      </c>
      <c r="P1001">
        <v>2</v>
      </c>
      <c r="Q1001">
        <f t="shared" si="140"/>
        <v>67128</v>
      </c>
      <c r="R1001" s="2">
        <f t="shared" si="141"/>
        <v>33564</v>
      </c>
      <c r="S1001" s="2" t="str">
        <f t="shared" si="142"/>
        <v xml:space="preserve"> Not Achieved</v>
      </c>
      <c r="T1001" s="2" t="str">
        <f t="shared" si="143"/>
        <v xml:space="preserve"> Excellent</v>
      </c>
      <c r="U1001" s="2"/>
    </row>
    <row r="1002" spans="1:21" x14ac:dyDescent="0.3">
      <c r="A1002">
        <v>1001</v>
      </c>
      <c r="B1002" t="s">
        <v>1522</v>
      </c>
      <c r="C1002" t="str">
        <f t="shared" si="135"/>
        <v>EMP_1001</v>
      </c>
      <c r="D1002" t="s">
        <v>11</v>
      </c>
      <c r="E1002" t="str">
        <f t="shared" si="136"/>
        <v>EMP_1001IT</v>
      </c>
      <c r="F1002" t="s">
        <v>21</v>
      </c>
      <c r="G1002" t="s">
        <v>25</v>
      </c>
      <c r="H1002">
        <v>57802</v>
      </c>
      <c r="I1002">
        <v>7807</v>
      </c>
      <c r="J1002">
        <v>0</v>
      </c>
      <c r="K1002">
        <v>0</v>
      </c>
      <c r="L1002" s="4" t="s">
        <v>1523</v>
      </c>
      <c r="M1002" s="4" t="str">
        <f t="shared" si="137"/>
        <v>3/16/2023</v>
      </c>
      <c r="N1002" s="1">
        <f t="shared" ca="1" si="138"/>
        <v>46064</v>
      </c>
      <c r="O1002" s="6" t="e">
        <f t="shared" ca="1" si="139"/>
        <v>#VALUE!</v>
      </c>
      <c r="P1002">
        <v>1</v>
      </c>
      <c r="Q1002">
        <f t="shared" si="140"/>
        <v>65609</v>
      </c>
      <c r="R1002" s="2">
        <f t="shared" si="141"/>
        <v>32804.5</v>
      </c>
      <c r="S1002" s="2" t="str">
        <f t="shared" si="142"/>
        <v xml:space="preserve"> Not Achieved</v>
      </c>
      <c r="T1002" s="2" t="str">
        <f t="shared" si="143"/>
        <v xml:space="preserve"> Excellent</v>
      </c>
      <c r="U1002" s="2"/>
    </row>
    <row r="1003" spans="1:21" x14ac:dyDescent="0.3">
      <c r="A1003">
        <v>1002</v>
      </c>
      <c r="B1003" t="s">
        <v>1524</v>
      </c>
      <c r="C1003" t="str">
        <f t="shared" si="135"/>
        <v>EMP_1002</v>
      </c>
      <c r="D1003" t="s">
        <v>15</v>
      </c>
      <c r="E1003" t="str">
        <f t="shared" si="136"/>
        <v>EMP_1002Marketing</v>
      </c>
      <c r="F1003" t="s">
        <v>24</v>
      </c>
      <c r="G1003" t="s">
        <v>13</v>
      </c>
      <c r="H1003">
        <v>42629</v>
      </c>
      <c r="I1003">
        <v>5412</v>
      </c>
      <c r="J1003">
        <v>0</v>
      </c>
      <c r="K1003">
        <v>0</v>
      </c>
      <c r="L1003" s="4" t="s">
        <v>1525</v>
      </c>
      <c r="M1003" s="4" t="str">
        <f t="shared" si="137"/>
        <v>7/31/2022</v>
      </c>
      <c r="N1003" s="1">
        <f t="shared" ca="1" si="138"/>
        <v>46064</v>
      </c>
      <c r="O1003" s="6" t="e">
        <f t="shared" ca="1" si="139"/>
        <v>#VALUE!</v>
      </c>
      <c r="P1003">
        <v>4</v>
      </c>
      <c r="Q1003">
        <f t="shared" si="140"/>
        <v>48041</v>
      </c>
      <c r="R1003" s="2">
        <f t="shared" si="141"/>
        <v>24020.5</v>
      </c>
      <c r="S1003" s="2" t="str">
        <f t="shared" si="142"/>
        <v xml:space="preserve"> Not Achieved</v>
      </c>
      <c r="T1003" s="2" t="str">
        <f t="shared" si="143"/>
        <v>Good</v>
      </c>
      <c r="U1003" s="2"/>
    </row>
    <row r="1004" spans="1:21" x14ac:dyDescent="0.3">
      <c r="A1004">
        <v>1003</v>
      </c>
      <c r="B1004" t="s">
        <v>1526</v>
      </c>
      <c r="C1004" t="str">
        <f t="shared" si="135"/>
        <v>EMP_1003</v>
      </c>
      <c r="D1004" t="s">
        <v>11</v>
      </c>
      <c r="E1004" t="str">
        <f t="shared" si="136"/>
        <v>EMP_1003Sales</v>
      </c>
      <c r="F1004" t="s">
        <v>7</v>
      </c>
      <c r="G1004" t="s">
        <v>19</v>
      </c>
      <c r="H1004">
        <v>31157</v>
      </c>
      <c r="I1004">
        <v>13518</v>
      </c>
      <c r="J1004">
        <v>100260</v>
      </c>
      <c r="K1004">
        <v>122117</v>
      </c>
      <c r="L1004" s="4">
        <v>43508</v>
      </c>
      <c r="M1004" s="4" t="str">
        <f t="shared" si="137"/>
        <v>2019</v>
      </c>
      <c r="N1004" s="1">
        <f t="shared" ca="1" si="138"/>
        <v>46064</v>
      </c>
      <c r="O1004" s="6">
        <f t="shared" ca="1" si="139"/>
        <v>6</v>
      </c>
      <c r="P1004">
        <v>1</v>
      </c>
      <c r="Q1004">
        <f t="shared" si="140"/>
        <v>44675</v>
      </c>
      <c r="R1004" s="2">
        <f t="shared" si="141"/>
        <v>22337.5</v>
      </c>
      <c r="S1004" s="2" t="str">
        <f t="shared" si="142"/>
        <v xml:space="preserve"> Not Achieved</v>
      </c>
      <c r="T1004" s="2" t="str">
        <f t="shared" si="143"/>
        <v>Average</v>
      </c>
      <c r="U1004" s="2"/>
    </row>
    <row r="1005" spans="1:21" x14ac:dyDescent="0.3">
      <c r="A1005">
        <v>1004</v>
      </c>
      <c r="B1005" t="s">
        <v>1527</v>
      </c>
      <c r="C1005" t="str">
        <f t="shared" si="135"/>
        <v>EMP_1004</v>
      </c>
      <c r="D1005" t="s">
        <v>15</v>
      </c>
      <c r="E1005" t="str">
        <f t="shared" si="136"/>
        <v>EMP_1004Finance</v>
      </c>
      <c r="F1005" t="s">
        <v>18</v>
      </c>
      <c r="G1005" t="s">
        <v>19</v>
      </c>
      <c r="H1005">
        <v>29167</v>
      </c>
      <c r="I1005">
        <v>5556</v>
      </c>
      <c r="J1005">
        <v>0</v>
      </c>
      <c r="K1005">
        <v>0</v>
      </c>
      <c r="L1005" s="4" t="s">
        <v>1528</v>
      </c>
      <c r="M1005" s="4" t="str">
        <f t="shared" si="137"/>
        <v>11/23/2021</v>
      </c>
      <c r="N1005" s="1">
        <f t="shared" ca="1" si="138"/>
        <v>46064</v>
      </c>
      <c r="O1005" s="6" t="e">
        <f t="shared" ca="1" si="139"/>
        <v>#VALUE!</v>
      </c>
      <c r="P1005">
        <v>2</v>
      </c>
      <c r="Q1005">
        <f t="shared" si="140"/>
        <v>34723</v>
      </c>
      <c r="R1005" s="2">
        <f t="shared" si="141"/>
        <v>17361.5</v>
      </c>
      <c r="S1005" s="2" t="str">
        <f t="shared" si="142"/>
        <v xml:space="preserve"> Not Achieved</v>
      </c>
      <c r="T1005" s="2" t="str">
        <f t="shared" si="143"/>
        <v>poor</v>
      </c>
      <c r="U1005" s="2"/>
    </row>
    <row r="1006" spans="1:21" x14ac:dyDescent="0.3">
      <c r="A1006">
        <v>1005</v>
      </c>
      <c r="B1006" t="s">
        <v>1529</v>
      </c>
      <c r="C1006" t="str">
        <f t="shared" si="135"/>
        <v>EMP_1005</v>
      </c>
      <c r="D1006" t="s">
        <v>15</v>
      </c>
      <c r="E1006" t="str">
        <f t="shared" si="136"/>
        <v>EMP_1005Finance</v>
      </c>
      <c r="F1006" t="s">
        <v>18</v>
      </c>
      <c r="G1006" t="s">
        <v>22</v>
      </c>
      <c r="H1006">
        <v>24530</v>
      </c>
      <c r="I1006">
        <v>7247</v>
      </c>
      <c r="J1006">
        <v>0</v>
      </c>
      <c r="K1006">
        <v>0</v>
      </c>
      <c r="L1006" s="4" t="s">
        <v>272</v>
      </c>
      <c r="M1006" s="4" t="str">
        <f t="shared" si="137"/>
        <v>5/17/2022</v>
      </c>
      <c r="N1006" s="1">
        <f t="shared" ca="1" si="138"/>
        <v>46064</v>
      </c>
      <c r="O1006" s="6" t="e">
        <f t="shared" ca="1" si="139"/>
        <v>#VALUE!</v>
      </c>
      <c r="P1006">
        <v>5</v>
      </c>
      <c r="Q1006">
        <f t="shared" si="140"/>
        <v>31777</v>
      </c>
      <c r="R1006" s="2">
        <f t="shared" si="141"/>
        <v>15888.5</v>
      </c>
      <c r="S1006" s="2" t="str">
        <f t="shared" si="142"/>
        <v xml:space="preserve"> Not Achieved</v>
      </c>
      <c r="T1006" s="2" t="str">
        <f t="shared" si="143"/>
        <v>poor</v>
      </c>
      <c r="U1006" s="2"/>
    </row>
    <row r="1007" spans="1:21" x14ac:dyDescent="0.3">
      <c r="A1007">
        <v>1006</v>
      </c>
      <c r="B1007" t="s">
        <v>1530</v>
      </c>
      <c r="C1007" t="str">
        <f t="shared" si="135"/>
        <v>EMP_1006</v>
      </c>
      <c r="D1007" t="s">
        <v>11</v>
      </c>
      <c r="E1007" t="str">
        <f t="shared" si="136"/>
        <v>EMP_1006Finance</v>
      </c>
      <c r="F1007" t="s">
        <v>18</v>
      </c>
      <c r="G1007" t="s">
        <v>16</v>
      </c>
      <c r="H1007">
        <v>26629</v>
      </c>
      <c r="I1007">
        <v>13944</v>
      </c>
      <c r="J1007">
        <v>0</v>
      </c>
      <c r="K1007">
        <v>0</v>
      </c>
      <c r="L1007" s="4">
        <v>43380</v>
      </c>
      <c r="M1007" s="4" t="str">
        <f t="shared" si="137"/>
        <v>2018</v>
      </c>
      <c r="N1007" s="1">
        <f t="shared" ca="1" si="138"/>
        <v>46064</v>
      </c>
      <c r="O1007" s="6">
        <f t="shared" ca="1" si="139"/>
        <v>7</v>
      </c>
      <c r="P1007">
        <v>5</v>
      </c>
      <c r="Q1007">
        <f t="shared" si="140"/>
        <v>40573</v>
      </c>
      <c r="R1007" s="2">
        <f t="shared" si="141"/>
        <v>20286.5</v>
      </c>
      <c r="S1007" s="2" t="str">
        <f t="shared" si="142"/>
        <v xml:space="preserve"> Not Achieved</v>
      </c>
      <c r="T1007" s="2" t="str">
        <f t="shared" si="143"/>
        <v>poor</v>
      </c>
      <c r="U1007" s="2"/>
    </row>
    <row r="1008" spans="1:21" x14ac:dyDescent="0.3">
      <c r="A1008">
        <v>1007</v>
      </c>
      <c r="B1008" t="s">
        <v>1531</v>
      </c>
      <c r="C1008" t="str">
        <f t="shared" si="135"/>
        <v>EMP_1007</v>
      </c>
      <c r="D1008" t="s">
        <v>11</v>
      </c>
      <c r="E1008" t="str">
        <f t="shared" si="136"/>
        <v>EMP_1007IT</v>
      </c>
      <c r="F1008" t="s">
        <v>21</v>
      </c>
      <c r="G1008" t="s">
        <v>13</v>
      </c>
      <c r="H1008">
        <v>24840</v>
      </c>
      <c r="I1008">
        <v>11846</v>
      </c>
      <c r="J1008">
        <v>0</v>
      </c>
      <c r="K1008">
        <v>0</v>
      </c>
      <c r="L1008" s="4">
        <v>45603</v>
      </c>
      <c r="M1008" s="4" t="str">
        <f t="shared" si="137"/>
        <v>2024</v>
      </c>
      <c r="N1008" s="1">
        <f t="shared" ca="1" si="138"/>
        <v>46064</v>
      </c>
      <c r="O1008" s="6">
        <f t="shared" ca="1" si="139"/>
        <v>1</v>
      </c>
      <c r="P1008">
        <v>2</v>
      </c>
      <c r="Q1008">
        <f t="shared" si="140"/>
        <v>36686</v>
      </c>
      <c r="R1008" s="2">
        <f t="shared" si="141"/>
        <v>18343</v>
      </c>
      <c r="S1008" s="2" t="str">
        <f t="shared" si="142"/>
        <v xml:space="preserve"> Not Achieved</v>
      </c>
      <c r="T1008" s="2" t="str">
        <f t="shared" si="143"/>
        <v>poor</v>
      </c>
      <c r="U1008" s="2"/>
    </row>
    <row r="1009" spans="1:21" x14ac:dyDescent="0.3">
      <c r="A1009">
        <v>1008</v>
      </c>
      <c r="B1009" t="s">
        <v>1532</v>
      </c>
      <c r="C1009" t="str">
        <f t="shared" si="135"/>
        <v>EMP_1008</v>
      </c>
      <c r="D1009" t="s">
        <v>15</v>
      </c>
      <c r="E1009" t="str">
        <f t="shared" si="136"/>
        <v>EMP_1008IT</v>
      </c>
      <c r="F1009" t="s">
        <v>21</v>
      </c>
      <c r="G1009" t="s">
        <v>19</v>
      </c>
      <c r="H1009">
        <v>34101</v>
      </c>
      <c r="I1009">
        <v>14584</v>
      </c>
      <c r="J1009">
        <v>0</v>
      </c>
      <c r="K1009">
        <v>0</v>
      </c>
      <c r="L1009" s="4" t="s">
        <v>1533</v>
      </c>
      <c r="M1009" s="4" t="str">
        <f t="shared" si="137"/>
        <v>5/15/2018</v>
      </c>
      <c r="N1009" s="1">
        <f t="shared" ca="1" si="138"/>
        <v>46064</v>
      </c>
      <c r="O1009" s="6" t="e">
        <f t="shared" ca="1" si="139"/>
        <v>#VALUE!</v>
      </c>
      <c r="P1009">
        <v>2</v>
      </c>
      <c r="Q1009">
        <f t="shared" si="140"/>
        <v>48685</v>
      </c>
      <c r="R1009" s="2">
        <f t="shared" si="141"/>
        <v>24342.5</v>
      </c>
      <c r="S1009" s="2" t="str">
        <f t="shared" si="142"/>
        <v xml:space="preserve"> Not Achieved</v>
      </c>
      <c r="T1009" s="2" t="str">
        <f t="shared" si="143"/>
        <v>Average</v>
      </c>
      <c r="U1009" s="2"/>
    </row>
    <row r="1010" spans="1:21" x14ac:dyDescent="0.3">
      <c r="A1010">
        <v>1009</v>
      </c>
      <c r="B1010" t="s">
        <v>1534</v>
      </c>
      <c r="C1010" t="str">
        <f t="shared" si="135"/>
        <v>EMP_1009</v>
      </c>
      <c r="D1010" t="s">
        <v>11</v>
      </c>
      <c r="E1010" t="str">
        <f t="shared" si="136"/>
        <v>EMP_1009HR</v>
      </c>
      <c r="F1010" t="s">
        <v>12</v>
      </c>
      <c r="G1010" t="s">
        <v>25</v>
      </c>
      <c r="H1010">
        <v>27255</v>
      </c>
      <c r="I1010">
        <v>11792</v>
      </c>
      <c r="J1010">
        <v>0</v>
      </c>
      <c r="K1010">
        <v>0</v>
      </c>
      <c r="L1010" s="4">
        <v>43442</v>
      </c>
      <c r="M1010" s="4" t="str">
        <f t="shared" si="137"/>
        <v>2018</v>
      </c>
      <c r="N1010" s="1">
        <f t="shared" ca="1" si="138"/>
        <v>46064</v>
      </c>
      <c r="O1010" s="6">
        <f t="shared" ca="1" si="139"/>
        <v>7</v>
      </c>
      <c r="P1010">
        <v>4</v>
      </c>
      <c r="Q1010">
        <f t="shared" si="140"/>
        <v>39047</v>
      </c>
      <c r="R1010" s="2">
        <f t="shared" si="141"/>
        <v>19523.5</v>
      </c>
      <c r="S1010" s="2" t="str">
        <f t="shared" si="142"/>
        <v xml:space="preserve"> Not Achieved</v>
      </c>
      <c r="T1010" s="2" t="str">
        <f t="shared" si="143"/>
        <v>poor</v>
      </c>
      <c r="U1010" s="2"/>
    </row>
    <row r="1011" spans="1:21" x14ac:dyDescent="0.3">
      <c r="A1011">
        <v>1010</v>
      </c>
      <c r="B1011" t="s">
        <v>1535</v>
      </c>
      <c r="C1011" t="str">
        <f t="shared" si="135"/>
        <v>EMP_1010</v>
      </c>
      <c r="D1011" t="s">
        <v>11</v>
      </c>
      <c r="E1011" t="str">
        <f t="shared" si="136"/>
        <v>EMP_1010HR</v>
      </c>
      <c r="F1011" t="s">
        <v>12</v>
      </c>
      <c r="G1011" t="s">
        <v>16</v>
      </c>
      <c r="H1011">
        <v>29602</v>
      </c>
      <c r="I1011">
        <v>6601</v>
      </c>
      <c r="J1011">
        <v>0</v>
      </c>
      <c r="K1011">
        <v>0</v>
      </c>
      <c r="L1011" s="4" t="s">
        <v>1536</v>
      </c>
      <c r="M1011" s="4" t="str">
        <f t="shared" si="137"/>
        <v>5/13/2024</v>
      </c>
      <c r="N1011" s="1">
        <f t="shared" ca="1" si="138"/>
        <v>46064</v>
      </c>
      <c r="O1011" s="6" t="e">
        <f t="shared" ca="1" si="139"/>
        <v>#VALUE!</v>
      </c>
      <c r="P1011">
        <v>1</v>
      </c>
      <c r="Q1011">
        <f t="shared" si="140"/>
        <v>36203</v>
      </c>
      <c r="R1011" s="2">
        <f t="shared" si="141"/>
        <v>18101.5</v>
      </c>
      <c r="S1011" s="2" t="str">
        <f t="shared" si="142"/>
        <v xml:space="preserve"> Not Achieved</v>
      </c>
      <c r="T1011" s="2" t="str">
        <f t="shared" si="143"/>
        <v>poor</v>
      </c>
      <c r="U1011" s="2"/>
    </row>
    <row r="1012" spans="1:21" x14ac:dyDescent="0.3">
      <c r="A1012">
        <v>1011</v>
      </c>
      <c r="B1012" t="s">
        <v>1537</v>
      </c>
      <c r="C1012" t="str">
        <f t="shared" si="135"/>
        <v>EMP_1011</v>
      </c>
      <c r="D1012" t="s">
        <v>15</v>
      </c>
      <c r="E1012" t="str">
        <f t="shared" si="136"/>
        <v>EMP_1011Marketing</v>
      </c>
      <c r="F1012" t="s">
        <v>24</v>
      </c>
      <c r="G1012" t="s">
        <v>13</v>
      </c>
      <c r="H1012">
        <v>41646</v>
      </c>
      <c r="I1012">
        <v>13287</v>
      </c>
      <c r="J1012">
        <v>0</v>
      </c>
      <c r="K1012">
        <v>0</v>
      </c>
      <c r="L1012" s="4" t="s">
        <v>1538</v>
      </c>
      <c r="M1012" s="4" t="str">
        <f t="shared" si="137"/>
        <v>1/13/2020</v>
      </c>
      <c r="N1012" s="1">
        <f t="shared" ca="1" si="138"/>
        <v>46064</v>
      </c>
      <c r="O1012" s="6" t="e">
        <f t="shared" ca="1" si="139"/>
        <v>#VALUE!</v>
      </c>
      <c r="P1012">
        <v>2</v>
      </c>
      <c r="Q1012">
        <f t="shared" si="140"/>
        <v>54933</v>
      </c>
      <c r="R1012" s="2">
        <f t="shared" si="141"/>
        <v>27466.5</v>
      </c>
      <c r="S1012" s="2" t="str">
        <f t="shared" si="142"/>
        <v xml:space="preserve"> Not Achieved</v>
      </c>
      <c r="T1012" s="2" t="str">
        <f t="shared" si="143"/>
        <v>Good</v>
      </c>
      <c r="U1012" s="2"/>
    </row>
    <row r="1013" spans="1:21" x14ac:dyDescent="0.3">
      <c r="A1013">
        <v>1012</v>
      </c>
      <c r="B1013" t="s">
        <v>1539</v>
      </c>
      <c r="C1013" t="str">
        <f t="shared" si="135"/>
        <v>EMP_1012</v>
      </c>
      <c r="D1013" t="s">
        <v>11</v>
      </c>
      <c r="E1013" t="str">
        <f t="shared" si="136"/>
        <v>EMP_1012HR</v>
      </c>
      <c r="F1013" t="s">
        <v>12</v>
      </c>
      <c r="G1013" t="s">
        <v>13</v>
      </c>
      <c r="H1013">
        <v>74523</v>
      </c>
      <c r="I1013">
        <v>11515</v>
      </c>
      <c r="J1013">
        <v>0</v>
      </c>
      <c r="K1013">
        <v>0</v>
      </c>
      <c r="L1013" s="4">
        <v>45296</v>
      </c>
      <c r="M1013" s="4" t="str">
        <f t="shared" si="137"/>
        <v>2024</v>
      </c>
      <c r="N1013" s="1">
        <f t="shared" ca="1" si="138"/>
        <v>46064</v>
      </c>
      <c r="O1013" s="6">
        <f t="shared" ca="1" si="139"/>
        <v>2</v>
      </c>
      <c r="P1013">
        <v>4</v>
      </c>
      <c r="Q1013">
        <f t="shared" si="140"/>
        <v>86038</v>
      </c>
      <c r="R1013" s="2">
        <f t="shared" si="141"/>
        <v>43019</v>
      </c>
      <c r="S1013" s="2" t="str">
        <f t="shared" si="142"/>
        <v xml:space="preserve"> Not Achieved</v>
      </c>
      <c r="T1013" s="2" t="str">
        <f t="shared" si="143"/>
        <v xml:space="preserve"> Excellent</v>
      </c>
      <c r="U1013" s="2"/>
    </row>
    <row r="1014" spans="1:21" x14ac:dyDescent="0.3">
      <c r="A1014">
        <v>1013</v>
      </c>
      <c r="B1014" t="s">
        <v>1540</v>
      </c>
      <c r="C1014" t="str">
        <f t="shared" si="135"/>
        <v>EMP_1013</v>
      </c>
      <c r="D1014" t="s">
        <v>15</v>
      </c>
      <c r="E1014" t="str">
        <f t="shared" si="136"/>
        <v>EMP_1013HR</v>
      </c>
      <c r="F1014" t="s">
        <v>12</v>
      </c>
      <c r="G1014" t="s">
        <v>13</v>
      </c>
      <c r="H1014">
        <v>72821</v>
      </c>
      <c r="I1014">
        <v>13514</v>
      </c>
      <c r="J1014">
        <v>0</v>
      </c>
      <c r="K1014">
        <v>0</v>
      </c>
      <c r="L1014" s="4" t="s">
        <v>1541</v>
      </c>
      <c r="M1014" s="4" t="str">
        <f t="shared" si="137"/>
        <v>1/29/2020</v>
      </c>
      <c r="N1014" s="1">
        <f t="shared" ca="1" si="138"/>
        <v>46064</v>
      </c>
      <c r="O1014" s="6" t="e">
        <f t="shared" ca="1" si="139"/>
        <v>#VALUE!</v>
      </c>
      <c r="P1014">
        <v>3</v>
      </c>
      <c r="Q1014">
        <f t="shared" si="140"/>
        <v>86335</v>
      </c>
      <c r="R1014" s="2">
        <f t="shared" si="141"/>
        <v>43167.5</v>
      </c>
      <c r="S1014" s="2" t="str">
        <f t="shared" si="142"/>
        <v xml:space="preserve"> Not Achieved</v>
      </c>
      <c r="T1014" s="2" t="str">
        <f t="shared" si="143"/>
        <v xml:space="preserve"> Excellent</v>
      </c>
      <c r="U1014" s="2"/>
    </row>
    <row r="1015" spans="1:21" x14ac:dyDescent="0.3">
      <c r="A1015">
        <v>1014</v>
      </c>
      <c r="B1015" t="s">
        <v>1542</v>
      </c>
      <c r="C1015" t="str">
        <f t="shared" si="135"/>
        <v>EMP_1014</v>
      </c>
      <c r="D1015" t="s">
        <v>11</v>
      </c>
      <c r="E1015" t="str">
        <f t="shared" si="136"/>
        <v>EMP_1014IT</v>
      </c>
      <c r="F1015" t="s">
        <v>21</v>
      </c>
      <c r="G1015" t="s">
        <v>25</v>
      </c>
      <c r="H1015">
        <v>52457</v>
      </c>
      <c r="I1015">
        <v>2165</v>
      </c>
      <c r="J1015">
        <v>0</v>
      </c>
      <c r="K1015">
        <v>0</v>
      </c>
      <c r="L1015" s="4">
        <v>45055</v>
      </c>
      <c r="M1015" s="4" t="str">
        <f t="shared" si="137"/>
        <v>2023</v>
      </c>
      <c r="N1015" s="1">
        <f t="shared" ca="1" si="138"/>
        <v>46064</v>
      </c>
      <c r="O1015" s="6">
        <f t="shared" ca="1" si="139"/>
        <v>2</v>
      </c>
      <c r="P1015">
        <v>2</v>
      </c>
      <c r="Q1015">
        <f t="shared" si="140"/>
        <v>54622</v>
      </c>
      <c r="R1015" s="2">
        <f t="shared" si="141"/>
        <v>27311</v>
      </c>
      <c r="S1015" s="2" t="str">
        <f t="shared" si="142"/>
        <v xml:space="preserve"> Not Achieved</v>
      </c>
      <c r="T1015" s="2" t="str">
        <f t="shared" si="143"/>
        <v xml:space="preserve"> Excellent</v>
      </c>
      <c r="U1015" s="2"/>
    </row>
    <row r="1016" spans="1:21" x14ac:dyDescent="0.3">
      <c r="A1016">
        <v>1015</v>
      </c>
      <c r="B1016" t="s">
        <v>1543</v>
      </c>
      <c r="C1016" t="str">
        <f t="shared" si="135"/>
        <v>EMP_1015</v>
      </c>
      <c r="D1016" t="s">
        <v>11</v>
      </c>
      <c r="E1016" t="str">
        <f t="shared" si="136"/>
        <v>EMP_1015Sales</v>
      </c>
      <c r="F1016" t="s">
        <v>7</v>
      </c>
      <c r="G1016" t="s">
        <v>19</v>
      </c>
      <c r="H1016">
        <v>70545</v>
      </c>
      <c r="I1016">
        <v>4510</v>
      </c>
      <c r="J1016">
        <v>106799</v>
      </c>
      <c r="K1016">
        <v>103226</v>
      </c>
      <c r="L1016" s="4" t="s">
        <v>1544</v>
      </c>
      <c r="M1016" s="4" t="str">
        <f t="shared" si="137"/>
        <v>2/26/2019</v>
      </c>
      <c r="N1016" s="1">
        <f t="shared" ca="1" si="138"/>
        <v>46064</v>
      </c>
      <c r="O1016" s="6" t="e">
        <f t="shared" ca="1" si="139"/>
        <v>#VALUE!</v>
      </c>
      <c r="P1016">
        <v>4</v>
      </c>
      <c r="Q1016">
        <f t="shared" si="140"/>
        <v>75055</v>
      </c>
      <c r="R1016" s="2">
        <f t="shared" si="141"/>
        <v>37527.5</v>
      </c>
      <c r="S1016" s="2" t="str">
        <f t="shared" si="142"/>
        <v>Achieved</v>
      </c>
      <c r="T1016" s="2" t="str">
        <f t="shared" si="143"/>
        <v xml:space="preserve"> Excellent</v>
      </c>
      <c r="U1016" s="2"/>
    </row>
    <row r="1017" spans="1:21" x14ac:dyDescent="0.3">
      <c r="A1017">
        <v>1016</v>
      </c>
      <c r="B1017" t="s">
        <v>1545</v>
      </c>
      <c r="C1017" t="str">
        <f t="shared" si="135"/>
        <v>EMP_1016</v>
      </c>
      <c r="D1017" t="s">
        <v>15</v>
      </c>
      <c r="E1017" t="str">
        <f t="shared" si="136"/>
        <v>EMP_1016Sales</v>
      </c>
      <c r="F1017" t="s">
        <v>7</v>
      </c>
      <c r="G1017" t="s">
        <v>16</v>
      </c>
      <c r="H1017">
        <v>23410</v>
      </c>
      <c r="I1017">
        <v>8952</v>
      </c>
      <c r="J1017">
        <v>232486</v>
      </c>
      <c r="K1017">
        <v>151621</v>
      </c>
      <c r="L1017" s="4">
        <v>44353</v>
      </c>
      <c r="M1017" s="4" t="str">
        <f t="shared" si="137"/>
        <v>2021</v>
      </c>
      <c r="N1017" s="1">
        <f t="shared" ca="1" si="138"/>
        <v>46064</v>
      </c>
      <c r="O1017" s="6">
        <f t="shared" ca="1" si="139"/>
        <v>4</v>
      </c>
      <c r="P1017">
        <v>1</v>
      </c>
      <c r="Q1017">
        <f t="shared" si="140"/>
        <v>32362</v>
      </c>
      <c r="R1017" s="2">
        <f t="shared" si="141"/>
        <v>16181</v>
      </c>
      <c r="S1017" s="2" t="str">
        <f t="shared" si="142"/>
        <v>Achieved</v>
      </c>
      <c r="T1017" s="2" t="str">
        <f t="shared" si="143"/>
        <v>poor</v>
      </c>
      <c r="U1017" s="2"/>
    </row>
    <row r="1018" spans="1:21" x14ac:dyDescent="0.3">
      <c r="A1018">
        <v>1017</v>
      </c>
      <c r="B1018" t="s">
        <v>1546</v>
      </c>
      <c r="C1018" t="str">
        <f t="shared" si="135"/>
        <v>EMP_1017</v>
      </c>
      <c r="D1018" t="s">
        <v>11</v>
      </c>
      <c r="E1018" t="str">
        <f t="shared" si="136"/>
        <v>EMP_1017Sales</v>
      </c>
      <c r="F1018" t="s">
        <v>7</v>
      </c>
      <c r="G1018" t="s">
        <v>16</v>
      </c>
      <c r="H1018">
        <v>72265</v>
      </c>
      <c r="I1018">
        <v>11343</v>
      </c>
      <c r="J1018">
        <v>232827</v>
      </c>
      <c r="K1018">
        <v>120019</v>
      </c>
      <c r="L1018" s="4">
        <v>44086</v>
      </c>
      <c r="M1018" s="4" t="str">
        <f t="shared" si="137"/>
        <v>2020</v>
      </c>
      <c r="N1018" s="1">
        <f t="shared" ca="1" si="138"/>
        <v>46064</v>
      </c>
      <c r="O1018" s="6">
        <f t="shared" ca="1" si="139"/>
        <v>5</v>
      </c>
      <c r="P1018">
        <v>4</v>
      </c>
      <c r="Q1018">
        <f t="shared" si="140"/>
        <v>83608</v>
      </c>
      <c r="R1018" s="2">
        <f t="shared" si="141"/>
        <v>41804</v>
      </c>
      <c r="S1018" s="2" t="str">
        <f t="shared" si="142"/>
        <v>Achieved</v>
      </c>
      <c r="T1018" s="2" t="str">
        <f t="shared" si="143"/>
        <v xml:space="preserve"> Excellent</v>
      </c>
      <c r="U1018" s="2"/>
    </row>
    <row r="1019" spans="1:21" x14ac:dyDescent="0.3">
      <c r="A1019">
        <v>1018</v>
      </c>
      <c r="B1019" t="s">
        <v>1547</v>
      </c>
      <c r="C1019" t="str">
        <f t="shared" si="135"/>
        <v>EMP_1018</v>
      </c>
      <c r="D1019" t="s">
        <v>15</v>
      </c>
      <c r="E1019" t="str">
        <f t="shared" si="136"/>
        <v>EMP_1018Marketing</v>
      </c>
      <c r="F1019" t="s">
        <v>24</v>
      </c>
      <c r="G1019" t="s">
        <v>16</v>
      </c>
      <c r="H1019">
        <v>74950</v>
      </c>
      <c r="I1019">
        <v>5653</v>
      </c>
      <c r="J1019">
        <v>0</v>
      </c>
      <c r="K1019">
        <v>0</v>
      </c>
      <c r="L1019" s="4">
        <v>43987</v>
      </c>
      <c r="M1019" s="4" t="str">
        <f t="shared" si="137"/>
        <v>2020</v>
      </c>
      <c r="N1019" s="1">
        <f t="shared" ca="1" si="138"/>
        <v>46064</v>
      </c>
      <c r="O1019" s="6">
        <f t="shared" ca="1" si="139"/>
        <v>5</v>
      </c>
      <c r="P1019">
        <v>3</v>
      </c>
      <c r="Q1019">
        <f t="shared" si="140"/>
        <v>80603</v>
      </c>
      <c r="R1019" s="2">
        <f t="shared" si="141"/>
        <v>40301.5</v>
      </c>
      <c r="S1019" s="2" t="str">
        <f t="shared" si="142"/>
        <v xml:space="preserve"> Not Achieved</v>
      </c>
      <c r="T1019" s="2" t="str">
        <f t="shared" si="143"/>
        <v xml:space="preserve"> Excellent</v>
      </c>
      <c r="U1019" s="2"/>
    </row>
    <row r="1020" spans="1:21" x14ac:dyDescent="0.3">
      <c r="A1020">
        <v>1019</v>
      </c>
      <c r="B1020" t="s">
        <v>1548</v>
      </c>
      <c r="C1020" t="str">
        <f t="shared" si="135"/>
        <v>EMP_1019</v>
      </c>
      <c r="D1020" t="s">
        <v>11</v>
      </c>
      <c r="E1020" t="str">
        <f t="shared" si="136"/>
        <v>EMP_1019Finance</v>
      </c>
      <c r="F1020" t="s">
        <v>18</v>
      </c>
      <c r="G1020" t="s">
        <v>25</v>
      </c>
      <c r="H1020">
        <v>66301</v>
      </c>
      <c r="I1020">
        <v>9547</v>
      </c>
      <c r="J1020">
        <v>0</v>
      </c>
      <c r="K1020">
        <v>0</v>
      </c>
      <c r="L1020" s="4" t="s">
        <v>1549</v>
      </c>
      <c r="M1020" s="4" t="str">
        <f t="shared" si="137"/>
        <v>3/20/2019</v>
      </c>
      <c r="N1020" s="1">
        <f t="shared" ca="1" si="138"/>
        <v>46064</v>
      </c>
      <c r="O1020" s="6" t="e">
        <f t="shared" ca="1" si="139"/>
        <v>#VALUE!</v>
      </c>
      <c r="P1020">
        <v>2</v>
      </c>
      <c r="Q1020">
        <f t="shared" si="140"/>
        <v>75848</v>
      </c>
      <c r="R1020" s="2">
        <f t="shared" si="141"/>
        <v>37924</v>
      </c>
      <c r="S1020" s="2" t="str">
        <f t="shared" si="142"/>
        <v xml:space="preserve"> Not Achieved</v>
      </c>
      <c r="T1020" s="2" t="str">
        <f t="shared" si="143"/>
        <v xml:space="preserve"> Excellent</v>
      </c>
      <c r="U1020" s="2"/>
    </row>
    <row r="1021" spans="1:21" x14ac:dyDescent="0.3">
      <c r="A1021">
        <v>1020</v>
      </c>
      <c r="B1021" t="s">
        <v>1550</v>
      </c>
      <c r="C1021" t="str">
        <f t="shared" si="135"/>
        <v>EMP_1020</v>
      </c>
      <c r="D1021" t="s">
        <v>15</v>
      </c>
      <c r="E1021" t="str">
        <f t="shared" si="136"/>
        <v>EMP_1020HR</v>
      </c>
      <c r="F1021" t="s">
        <v>12</v>
      </c>
      <c r="G1021" t="s">
        <v>22</v>
      </c>
      <c r="H1021">
        <v>37573</v>
      </c>
      <c r="I1021">
        <v>12171</v>
      </c>
      <c r="J1021">
        <v>0</v>
      </c>
      <c r="K1021">
        <v>0</v>
      </c>
      <c r="L1021" s="4" t="s">
        <v>1551</v>
      </c>
      <c r="M1021" s="4" t="str">
        <f t="shared" si="137"/>
        <v>9/16/2018</v>
      </c>
      <c r="N1021" s="1">
        <f t="shared" ca="1" si="138"/>
        <v>46064</v>
      </c>
      <c r="O1021" s="6" t="e">
        <f t="shared" ca="1" si="139"/>
        <v>#VALUE!</v>
      </c>
      <c r="P1021">
        <v>1</v>
      </c>
      <c r="Q1021">
        <f t="shared" si="140"/>
        <v>49744</v>
      </c>
      <c r="R1021" s="2">
        <f t="shared" si="141"/>
        <v>24872</v>
      </c>
      <c r="S1021" s="2" t="str">
        <f t="shared" si="142"/>
        <v xml:space="preserve"> Not Achieved</v>
      </c>
      <c r="T1021" s="2" t="str">
        <f t="shared" si="143"/>
        <v>Average</v>
      </c>
      <c r="U1021" s="2"/>
    </row>
    <row r="1022" spans="1:21" x14ac:dyDescent="0.3">
      <c r="A1022">
        <v>1021</v>
      </c>
      <c r="B1022" t="s">
        <v>1552</v>
      </c>
      <c r="C1022" t="str">
        <f t="shared" si="135"/>
        <v>EMP_1021</v>
      </c>
      <c r="D1022" t="s">
        <v>11</v>
      </c>
      <c r="E1022" t="str">
        <f t="shared" si="136"/>
        <v>EMP_1021Marketing</v>
      </c>
      <c r="F1022" t="s">
        <v>24</v>
      </c>
      <c r="G1022" t="s">
        <v>22</v>
      </c>
      <c r="H1022">
        <v>46958</v>
      </c>
      <c r="I1022">
        <v>2313</v>
      </c>
      <c r="J1022">
        <v>0</v>
      </c>
      <c r="K1022">
        <v>0</v>
      </c>
      <c r="L1022" s="4" t="s">
        <v>1553</v>
      </c>
      <c r="M1022" s="4" t="str">
        <f t="shared" si="137"/>
        <v>11/22/2018</v>
      </c>
      <c r="N1022" s="1">
        <f t="shared" ca="1" si="138"/>
        <v>46064</v>
      </c>
      <c r="O1022" s="6" t="e">
        <f t="shared" ca="1" si="139"/>
        <v>#VALUE!</v>
      </c>
      <c r="P1022">
        <v>1</v>
      </c>
      <c r="Q1022">
        <f t="shared" si="140"/>
        <v>49271</v>
      </c>
      <c r="R1022" s="2">
        <f t="shared" si="141"/>
        <v>24635.5</v>
      </c>
      <c r="S1022" s="2" t="str">
        <f t="shared" si="142"/>
        <v xml:space="preserve"> Not Achieved</v>
      </c>
      <c r="T1022" s="2" t="str">
        <f t="shared" si="143"/>
        <v>Good</v>
      </c>
      <c r="U1022" s="2"/>
    </row>
    <row r="1023" spans="1:21" x14ac:dyDescent="0.3">
      <c r="A1023">
        <v>1022</v>
      </c>
      <c r="B1023" t="s">
        <v>1554</v>
      </c>
      <c r="C1023" t="str">
        <f t="shared" si="135"/>
        <v>EMP_1022</v>
      </c>
      <c r="D1023" t="s">
        <v>15</v>
      </c>
      <c r="E1023" t="str">
        <f t="shared" si="136"/>
        <v>EMP_1022IT</v>
      </c>
      <c r="F1023" t="s">
        <v>21</v>
      </c>
      <c r="G1023" t="s">
        <v>19</v>
      </c>
      <c r="H1023">
        <v>55543</v>
      </c>
      <c r="I1023">
        <v>11818</v>
      </c>
      <c r="J1023">
        <v>0</v>
      </c>
      <c r="K1023">
        <v>0</v>
      </c>
      <c r="L1023" s="4">
        <v>45143</v>
      </c>
      <c r="M1023" s="4" t="str">
        <f t="shared" si="137"/>
        <v>2023</v>
      </c>
      <c r="N1023" s="1">
        <f t="shared" ca="1" si="138"/>
        <v>46064</v>
      </c>
      <c r="O1023" s="6">
        <f t="shared" ca="1" si="139"/>
        <v>2</v>
      </c>
      <c r="P1023">
        <v>2</v>
      </c>
      <c r="Q1023">
        <f t="shared" si="140"/>
        <v>67361</v>
      </c>
      <c r="R1023" s="2">
        <f t="shared" si="141"/>
        <v>33680.5</v>
      </c>
      <c r="S1023" s="2" t="str">
        <f t="shared" si="142"/>
        <v xml:space="preserve"> Not Achieved</v>
      </c>
      <c r="T1023" s="2" t="str">
        <f t="shared" si="143"/>
        <v xml:space="preserve"> Excellent</v>
      </c>
      <c r="U1023" s="2"/>
    </row>
    <row r="1024" spans="1:21" x14ac:dyDescent="0.3">
      <c r="A1024">
        <v>1023</v>
      </c>
      <c r="B1024" t="s">
        <v>1555</v>
      </c>
      <c r="C1024" t="str">
        <f t="shared" si="135"/>
        <v>EMP_1023</v>
      </c>
      <c r="D1024" t="s">
        <v>15</v>
      </c>
      <c r="E1024" t="str">
        <f t="shared" si="136"/>
        <v>EMP_1023Sales</v>
      </c>
      <c r="F1024" t="s">
        <v>7</v>
      </c>
      <c r="G1024" t="s">
        <v>16</v>
      </c>
      <c r="H1024">
        <v>26072</v>
      </c>
      <c r="I1024">
        <v>14046</v>
      </c>
      <c r="J1024">
        <v>60873</v>
      </c>
      <c r="K1024">
        <v>169063</v>
      </c>
      <c r="L1024" s="4">
        <v>44260</v>
      </c>
      <c r="M1024" s="4" t="str">
        <f t="shared" si="137"/>
        <v>2021</v>
      </c>
      <c r="N1024" s="1">
        <f t="shared" ca="1" si="138"/>
        <v>46064</v>
      </c>
      <c r="O1024" s="6">
        <f t="shared" ca="1" si="139"/>
        <v>4</v>
      </c>
      <c r="P1024">
        <v>3</v>
      </c>
      <c r="Q1024">
        <f t="shared" si="140"/>
        <v>40118</v>
      </c>
      <c r="R1024" s="2">
        <f t="shared" si="141"/>
        <v>20059</v>
      </c>
      <c r="S1024" s="2" t="str">
        <f t="shared" si="142"/>
        <v xml:space="preserve"> Not Achieved</v>
      </c>
      <c r="T1024" s="2" t="str">
        <f t="shared" si="143"/>
        <v>poor</v>
      </c>
      <c r="U1024" s="2"/>
    </row>
    <row r="1025" spans="1:21" x14ac:dyDescent="0.3">
      <c r="A1025">
        <v>1024</v>
      </c>
      <c r="B1025" t="s">
        <v>1556</v>
      </c>
      <c r="C1025" t="str">
        <f t="shared" si="135"/>
        <v>EMP_1024</v>
      </c>
      <c r="D1025" t="s">
        <v>15</v>
      </c>
      <c r="E1025" t="str">
        <f t="shared" si="136"/>
        <v>EMP_1024Finance</v>
      </c>
      <c r="F1025" t="s">
        <v>18</v>
      </c>
      <c r="G1025" t="s">
        <v>13</v>
      </c>
      <c r="H1025">
        <v>68072</v>
      </c>
      <c r="I1025">
        <v>3191</v>
      </c>
      <c r="J1025">
        <v>0</v>
      </c>
      <c r="K1025">
        <v>0</v>
      </c>
      <c r="L1025" s="4" t="s">
        <v>1557</v>
      </c>
      <c r="M1025" s="4" t="str">
        <f t="shared" si="137"/>
        <v>3/17/2019</v>
      </c>
      <c r="N1025" s="1">
        <f t="shared" ca="1" si="138"/>
        <v>46064</v>
      </c>
      <c r="O1025" s="6" t="e">
        <f t="shared" ca="1" si="139"/>
        <v>#VALUE!</v>
      </c>
      <c r="P1025">
        <v>2</v>
      </c>
      <c r="Q1025">
        <f t="shared" si="140"/>
        <v>71263</v>
      </c>
      <c r="R1025" s="2">
        <f t="shared" si="141"/>
        <v>35631.5</v>
      </c>
      <c r="S1025" s="2" t="str">
        <f t="shared" si="142"/>
        <v xml:space="preserve"> Not Achieved</v>
      </c>
      <c r="T1025" s="2" t="str">
        <f t="shared" si="143"/>
        <v xml:space="preserve"> Excellent</v>
      </c>
      <c r="U1025" s="2"/>
    </row>
    <row r="1026" spans="1:21" x14ac:dyDescent="0.3">
      <c r="A1026">
        <v>1025</v>
      </c>
      <c r="B1026" t="s">
        <v>1558</v>
      </c>
      <c r="C1026" t="str">
        <f t="shared" si="135"/>
        <v>EMP_1025</v>
      </c>
      <c r="D1026" t="s">
        <v>11</v>
      </c>
      <c r="E1026" t="str">
        <f t="shared" si="136"/>
        <v>EMP_1025Sales</v>
      </c>
      <c r="F1026" t="s">
        <v>7</v>
      </c>
      <c r="G1026" t="s">
        <v>13</v>
      </c>
      <c r="H1026">
        <v>23612</v>
      </c>
      <c r="I1026">
        <v>7161</v>
      </c>
      <c r="J1026">
        <v>147244</v>
      </c>
      <c r="K1026">
        <v>136898</v>
      </c>
      <c r="L1026" s="4">
        <v>44845</v>
      </c>
      <c r="M1026" s="4" t="str">
        <f t="shared" si="137"/>
        <v>2022</v>
      </c>
      <c r="N1026" s="1">
        <f t="shared" ca="1" si="138"/>
        <v>46064</v>
      </c>
      <c r="O1026" s="6">
        <f t="shared" ca="1" si="139"/>
        <v>3</v>
      </c>
      <c r="P1026">
        <v>5</v>
      </c>
      <c r="Q1026">
        <f t="shared" si="140"/>
        <v>30773</v>
      </c>
      <c r="R1026" s="2">
        <f t="shared" si="141"/>
        <v>15386.5</v>
      </c>
      <c r="S1026" s="2" t="str">
        <f t="shared" si="142"/>
        <v>Achieved</v>
      </c>
      <c r="T1026" s="2" t="str">
        <f t="shared" si="143"/>
        <v>poor</v>
      </c>
      <c r="U1026" s="2"/>
    </row>
    <row r="1027" spans="1:21" x14ac:dyDescent="0.3">
      <c r="A1027">
        <v>1026</v>
      </c>
      <c r="B1027" t="s">
        <v>1559</v>
      </c>
      <c r="C1027" t="str">
        <f t="shared" ref="C1027:C1090" si="144">UPPER(B1027)</f>
        <v>EMP_1026</v>
      </c>
      <c r="D1027" t="s">
        <v>15</v>
      </c>
      <c r="E1027" t="str">
        <f t="shared" ref="E1027:E1090" si="145">_xlfn.CONCAT(C1027,F1027)</f>
        <v>EMP_1026Marketing</v>
      </c>
      <c r="F1027" t="s">
        <v>24</v>
      </c>
      <c r="G1027" t="s">
        <v>25</v>
      </c>
      <c r="H1027">
        <v>59734</v>
      </c>
      <c r="I1027">
        <v>12456</v>
      </c>
      <c r="J1027">
        <v>0</v>
      </c>
      <c r="K1027">
        <v>0</v>
      </c>
      <c r="L1027" s="4" t="s">
        <v>1560</v>
      </c>
      <c r="M1027" s="4" t="str">
        <f t="shared" ref="M1027:M1090" si="146">TEXT(L1027,"yyyy")</f>
        <v>9/22/2023</v>
      </c>
      <c r="N1027" s="1">
        <f t="shared" ref="N1027:N1090" ca="1" si="147">TODAY()</f>
        <v>46064</v>
      </c>
      <c r="O1027" s="6" t="e">
        <f t="shared" ref="O1027:O1090" ca="1" si="148">DATEDIF(L1027, TODAY(), "y")</f>
        <v>#VALUE!</v>
      </c>
      <c r="P1027">
        <v>4</v>
      </c>
      <c r="Q1027">
        <f t="shared" ref="Q1027:Q1090" si="149">SUM(H1027,I1027)</f>
        <v>72190</v>
      </c>
      <c r="R1027" s="2">
        <f t="shared" ref="R1027:R1090" si="150">AVERAGE(H1027,I1027)</f>
        <v>36095</v>
      </c>
      <c r="S1027" s="2" t="str">
        <f t="shared" ref="S1027:S1090" si="151">IF(J1027&gt;K1027,"Achieved"," Not Achieved")</f>
        <v xml:space="preserve"> Not Achieved</v>
      </c>
      <c r="T1027" s="2" t="str">
        <f t="shared" ref="T1027:T1090" si="152">_xlfn.IFS(H1027&gt;=50000," Excellent",H1027&gt;=40000,"Good",H1027&gt;=30000,"Average",H1027&lt;30000,"poor")</f>
        <v xml:space="preserve"> Excellent</v>
      </c>
      <c r="U1027" s="2"/>
    </row>
    <row r="1028" spans="1:21" x14ac:dyDescent="0.3">
      <c r="A1028">
        <v>1027</v>
      </c>
      <c r="B1028" t="s">
        <v>1561</v>
      </c>
      <c r="C1028" t="str">
        <f t="shared" si="144"/>
        <v>EMP_1027</v>
      </c>
      <c r="D1028" t="s">
        <v>15</v>
      </c>
      <c r="E1028" t="str">
        <f t="shared" si="145"/>
        <v>EMP_1027HR</v>
      </c>
      <c r="F1028" t="s">
        <v>12</v>
      </c>
      <c r="G1028" t="s">
        <v>16</v>
      </c>
      <c r="H1028">
        <v>39909</v>
      </c>
      <c r="I1028">
        <v>3810</v>
      </c>
      <c r="J1028">
        <v>0</v>
      </c>
      <c r="K1028">
        <v>0</v>
      </c>
      <c r="L1028" s="4" t="s">
        <v>1562</v>
      </c>
      <c r="M1028" s="4" t="str">
        <f t="shared" si="146"/>
        <v>7/30/2021</v>
      </c>
      <c r="N1028" s="1">
        <f t="shared" ca="1" si="147"/>
        <v>46064</v>
      </c>
      <c r="O1028" s="6" t="e">
        <f t="shared" ca="1" si="148"/>
        <v>#VALUE!</v>
      </c>
      <c r="P1028">
        <v>3</v>
      </c>
      <c r="Q1028">
        <f t="shared" si="149"/>
        <v>43719</v>
      </c>
      <c r="R1028" s="2">
        <f t="shared" si="150"/>
        <v>21859.5</v>
      </c>
      <c r="S1028" s="2" t="str">
        <f t="shared" si="151"/>
        <v xml:space="preserve"> Not Achieved</v>
      </c>
      <c r="T1028" s="2" t="str">
        <f t="shared" si="152"/>
        <v>Average</v>
      </c>
      <c r="U1028" s="2"/>
    </row>
    <row r="1029" spans="1:21" x14ac:dyDescent="0.3">
      <c r="A1029">
        <v>1028</v>
      </c>
      <c r="B1029" t="s">
        <v>1563</v>
      </c>
      <c r="C1029" t="str">
        <f t="shared" si="144"/>
        <v>EMP_1028</v>
      </c>
      <c r="D1029" t="s">
        <v>15</v>
      </c>
      <c r="E1029" t="str">
        <f t="shared" si="145"/>
        <v>EMP_1028Finance</v>
      </c>
      <c r="F1029" t="s">
        <v>18</v>
      </c>
      <c r="G1029" t="s">
        <v>25</v>
      </c>
      <c r="H1029">
        <v>78448</v>
      </c>
      <c r="I1029">
        <v>6489</v>
      </c>
      <c r="J1029">
        <v>0</v>
      </c>
      <c r="K1029">
        <v>0</v>
      </c>
      <c r="L1029" s="4">
        <v>44443</v>
      </c>
      <c r="M1029" s="4" t="str">
        <f t="shared" si="146"/>
        <v>2021</v>
      </c>
      <c r="N1029" s="1">
        <f t="shared" ca="1" si="147"/>
        <v>46064</v>
      </c>
      <c r="O1029" s="6">
        <f t="shared" ca="1" si="148"/>
        <v>4</v>
      </c>
      <c r="P1029">
        <v>5</v>
      </c>
      <c r="Q1029">
        <f t="shared" si="149"/>
        <v>84937</v>
      </c>
      <c r="R1029" s="2">
        <f t="shared" si="150"/>
        <v>42468.5</v>
      </c>
      <c r="S1029" s="2" t="str">
        <f t="shared" si="151"/>
        <v xml:space="preserve"> Not Achieved</v>
      </c>
      <c r="T1029" s="2" t="str">
        <f t="shared" si="152"/>
        <v xml:space="preserve"> Excellent</v>
      </c>
      <c r="U1029" s="2"/>
    </row>
    <row r="1030" spans="1:21" x14ac:dyDescent="0.3">
      <c r="A1030">
        <v>1029</v>
      </c>
      <c r="B1030" t="s">
        <v>1564</v>
      </c>
      <c r="C1030" t="str">
        <f t="shared" si="144"/>
        <v>EMP_1029</v>
      </c>
      <c r="D1030" t="s">
        <v>11</v>
      </c>
      <c r="E1030" t="str">
        <f t="shared" si="145"/>
        <v>EMP_1029Finance</v>
      </c>
      <c r="F1030" t="s">
        <v>18</v>
      </c>
      <c r="G1030" t="s">
        <v>16</v>
      </c>
      <c r="H1030">
        <v>51936</v>
      </c>
      <c r="I1030">
        <v>13860</v>
      </c>
      <c r="J1030">
        <v>0</v>
      </c>
      <c r="K1030">
        <v>0</v>
      </c>
      <c r="L1030" s="4" t="s">
        <v>1565</v>
      </c>
      <c r="M1030" s="4" t="str">
        <f t="shared" si="146"/>
        <v>11/13/2023</v>
      </c>
      <c r="N1030" s="1">
        <f t="shared" ca="1" si="147"/>
        <v>46064</v>
      </c>
      <c r="O1030" s="6" t="e">
        <f t="shared" ca="1" si="148"/>
        <v>#VALUE!</v>
      </c>
      <c r="P1030">
        <v>3</v>
      </c>
      <c r="Q1030">
        <f t="shared" si="149"/>
        <v>65796</v>
      </c>
      <c r="R1030" s="2">
        <f t="shared" si="150"/>
        <v>32898</v>
      </c>
      <c r="S1030" s="2" t="str">
        <f t="shared" si="151"/>
        <v xml:space="preserve"> Not Achieved</v>
      </c>
      <c r="T1030" s="2" t="str">
        <f t="shared" si="152"/>
        <v xml:space="preserve"> Excellent</v>
      </c>
      <c r="U1030" s="2"/>
    </row>
    <row r="1031" spans="1:21" x14ac:dyDescent="0.3">
      <c r="A1031">
        <v>1030</v>
      </c>
      <c r="B1031" t="s">
        <v>1566</v>
      </c>
      <c r="C1031" t="str">
        <f t="shared" si="144"/>
        <v>EMP_1030</v>
      </c>
      <c r="D1031" t="s">
        <v>11</v>
      </c>
      <c r="E1031" t="str">
        <f t="shared" si="145"/>
        <v>EMP_1030Finance</v>
      </c>
      <c r="F1031" t="s">
        <v>18</v>
      </c>
      <c r="G1031" t="s">
        <v>25</v>
      </c>
      <c r="H1031">
        <v>58232</v>
      </c>
      <c r="I1031">
        <v>12895</v>
      </c>
      <c r="J1031">
        <v>0</v>
      </c>
      <c r="K1031">
        <v>0</v>
      </c>
      <c r="L1031" s="4" t="s">
        <v>1567</v>
      </c>
      <c r="M1031" s="4" t="str">
        <f t="shared" si="146"/>
        <v>4/17/2023</v>
      </c>
      <c r="N1031" s="1">
        <f t="shared" ca="1" si="147"/>
        <v>46064</v>
      </c>
      <c r="O1031" s="6" t="e">
        <f t="shared" ca="1" si="148"/>
        <v>#VALUE!</v>
      </c>
      <c r="P1031">
        <v>4</v>
      </c>
      <c r="Q1031">
        <f t="shared" si="149"/>
        <v>71127</v>
      </c>
      <c r="R1031" s="2">
        <f t="shared" si="150"/>
        <v>35563.5</v>
      </c>
      <c r="S1031" s="2" t="str">
        <f t="shared" si="151"/>
        <v xml:space="preserve"> Not Achieved</v>
      </c>
      <c r="T1031" s="2" t="str">
        <f t="shared" si="152"/>
        <v xml:space="preserve"> Excellent</v>
      </c>
      <c r="U1031" s="2"/>
    </row>
    <row r="1032" spans="1:21" x14ac:dyDescent="0.3">
      <c r="A1032">
        <v>1031</v>
      </c>
      <c r="B1032" t="s">
        <v>1568</v>
      </c>
      <c r="C1032" t="str">
        <f t="shared" si="144"/>
        <v>EMP_1031</v>
      </c>
      <c r="D1032" t="s">
        <v>11</v>
      </c>
      <c r="E1032" t="str">
        <f t="shared" si="145"/>
        <v>EMP_1031Marketing</v>
      </c>
      <c r="F1032" t="s">
        <v>24</v>
      </c>
      <c r="G1032" t="s">
        <v>22</v>
      </c>
      <c r="H1032">
        <v>73857</v>
      </c>
      <c r="I1032">
        <v>3161</v>
      </c>
      <c r="J1032">
        <v>0</v>
      </c>
      <c r="K1032">
        <v>0</v>
      </c>
      <c r="L1032" s="4" t="s">
        <v>442</v>
      </c>
      <c r="M1032" s="4" t="str">
        <f t="shared" si="146"/>
        <v>2/16/2019</v>
      </c>
      <c r="N1032" s="1">
        <f t="shared" ca="1" si="147"/>
        <v>46064</v>
      </c>
      <c r="O1032" s="6" t="e">
        <f t="shared" ca="1" si="148"/>
        <v>#VALUE!</v>
      </c>
      <c r="P1032">
        <v>4</v>
      </c>
      <c r="Q1032">
        <f t="shared" si="149"/>
        <v>77018</v>
      </c>
      <c r="R1032" s="2">
        <f t="shared" si="150"/>
        <v>38509</v>
      </c>
      <c r="S1032" s="2" t="str">
        <f t="shared" si="151"/>
        <v xml:space="preserve"> Not Achieved</v>
      </c>
      <c r="T1032" s="2" t="str">
        <f t="shared" si="152"/>
        <v xml:space="preserve"> Excellent</v>
      </c>
      <c r="U1032" s="2"/>
    </row>
    <row r="1033" spans="1:21" x14ac:dyDescent="0.3">
      <c r="A1033">
        <v>1032</v>
      </c>
      <c r="B1033" t="s">
        <v>1569</v>
      </c>
      <c r="C1033" t="str">
        <f t="shared" si="144"/>
        <v>EMP_1032</v>
      </c>
      <c r="D1033" t="s">
        <v>11</v>
      </c>
      <c r="E1033" t="str">
        <f t="shared" si="145"/>
        <v>EMP_1032Marketing</v>
      </c>
      <c r="F1033" t="s">
        <v>24</v>
      </c>
      <c r="G1033" t="s">
        <v>22</v>
      </c>
      <c r="H1033">
        <v>65998</v>
      </c>
      <c r="I1033">
        <v>7879</v>
      </c>
      <c r="J1033">
        <v>0</v>
      </c>
      <c r="K1033">
        <v>0</v>
      </c>
      <c r="L1033" s="4" t="s">
        <v>1570</v>
      </c>
      <c r="M1033" s="4" t="str">
        <f t="shared" si="146"/>
        <v>2/14/2024</v>
      </c>
      <c r="N1033" s="1">
        <f t="shared" ca="1" si="147"/>
        <v>46064</v>
      </c>
      <c r="O1033" s="6" t="e">
        <f t="shared" ca="1" si="148"/>
        <v>#VALUE!</v>
      </c>
      <c r="P1033">
        <v>5</v>
      </c>
      <c r="Q1033">
        <f t="shared" si="149"/>
        <v>73877</v>
      </c>
      <c r="R1033" s="2">
        <f t="shared" si="150"/>
        <v>36938.5</v>
      </c>
      <c r="S1033" s="2" t="str">
        <f t="shared" si="151"/>
        <v xml:space="preserve"> Not Achieved</v>
      </c>
      <c r="T1033" s="2" t="str">
        <f t="shared" si="152"/>
        <v xml:space="preserve"> Excellent</v>
      </c>
      <c r="U1033" s="2"/>
    </row>
    <row r="1034" spans="1:21" x14ac:dyDescent="0.3">
      <c r="A1034">
        <v>1033</v>
      </c>
      <c r="B1034" t="s">
        <v>1571</v>
      </c>
      <c r="C1034" t="str">
        <f t="shared" si="144"/>
        <v>EMP_1033</v>
      </c>
      <c r="D1034" t="s">
        <v>15</v>
      </c>
      <c r="E1034" t="str">
        <f t="shared" si="145"/>
        <v>EMP_1033IT</v>
      </c>
      <c r="F1034" t="s">
        <v>21</v>
      </c>
      <c r="G1034" t="s">
        <v>22</v>
      </c>
      <c r="H1034">
        <v>37661</v>
      </c>
      <c r="I1034">
        <v>9961</v>
      </c>
      <c r="J1034">
        <v>0</v>
      </c>
      <c r="K1034">
        <v>0</v>
      </c>
      <c r="L1034" s="4" t="s">
        <v>161</v>
      </c>
      <c r="M1034" s="4" t="str">
        <f t="shared" si="146"/>
        <v>8/17/2021</v>
      </c>
      <c r="N1034" s="1">
        <f t="shared" ca="1" si="147"/>
        <v>46064</v>
      </c>
      <c r="O1034" s="6" t="e">
        <f t="shared" ca="1" si="148"/>
        <v>#VALUE!</v>
      </c>
      <c r="P1034">
        <v>2</v>
      </c>
      <c r="Q1034">
        <f t="shared" si="149"/>
        <v>47622</v>
      </c>
      <c r="R1034" s="2">
        <f t="shared" si="150"/>
        <v>23811</v>
      </c>
      <c r="S1034" s="2" t="str">
        <f t="shared" si="151"/>
        <v xml:space="preserve"> Not Achieved</v>
      </c>
      <c r="T1034" s="2" t="str">
        <f t="shared" si="152"/>
        <v>Average</v>
      </c>
      <c r="U1034" s="2"/>
    </row>
    <row r="1035" spans="1:21" x14ac:dyDescent="0.3">
      <c r="A1035">
        <v>1034</v>
      </c>
      <c r="B1035" t="s">
        <v>1572</v>
      </c>
      <c r="C1035" t="str">
        <f t="shared" si="144"/>
        <v>EMP_1034</v>
      </c>
      <c r="D1035" t="s">
        <v>11</v>
      </c>
      <c r="E1035" t="str">
        <f t="shared" si="145"/>
        <v>EMP_1034HR</v>
      </c>
      <c r="F1035" t="s">
        <v>12</v>
      </c>
      <c r="G1035" t="s">
        <v>19</v>
      </c>
      <c r="H1035">
        <v>70254</v>
      </c>
      <c r="I1035">
        <v>9320</v>
      </c>
      <c r="J1035">
        <v>0</v>
      </c>
      <c r="K1035">
        <v>0</v>
      </c>
      <c r="L1035" s="4">
        <v>44962</v>
      </c>
      <c r="M1035" s="4" t="str">
        <f t="shared" si="146"/>
        <v>2023</v>
      </c>
      <c r="N1035" s="1">
        <f t="shared" ca="1" si="147"/>
        <v>46064</v>
      </c>
      <c r="O1035" s="6">
        <f t="shared" ca="1" si="148"/>
        <v>3</v>
      </c>
      <c r="P1035">
        <v>4</v>
      </c>
      <c r="Q1035">
        <f t="shared" si="149"/>
        <v>79574</v>
      </c>
      <c r="R1035" s="2">
        <f t="shared" si="150"/>
        <v>39787</v>
      </c>
      <c r="S1035" s="2" t="str">
        <f t="shared" si="151"/>
        <v xml:space="preserve"> Not Achieved</v>
      </c>
      <c r="T1035" s="2" t="str">
        <f t="shared" si="152"/>
        <v xml:space="preserve"> Excellent</v>
      </c>
      <c r="U1035" s="2"/>
    </row>
    <row r="1036" spans="1:21" x14ac:dyDescent="0.3">
      <c r="A1036">
        <v>1035</v>
      </c>
      <c r="B1036" t="s">
        <v>1573</v>
      </c>
      <c r="C1036" t="str">
        <f t="shared" si="144"/>
        <v>EMP_1035</v>
      </c>
      <c r="D1036" t="s">
        <v>15</v>
      </c>
      <c r="E1036" t="str">
        <f t="shared" si="145"/>
        <v>EMP_1035IT</v>
      </c>
      <c r="F1036" t="s">
        <v>21</v>
      </c>
      <c r="G1036" t="s">
        <v>13</v>
      </c>
      <c r="H1036">
        <v>59062</v>
      </c>
      <c r="I1036">
        <v>3678</v>
      </c>
      <c r="J1036">
        <v>0</v>
      </c>
      <c r="K1036">
        <v>0</v>
      </c>
      <c r="L1036" s="4">
        <v>44110</v>
      </c>
      <c r="M1036" s="4" t="str">
        <f t="shared" si="146"/>
        <v>2020</v>
      </c>
      <c r="N1036" s="1">
        <f t="shared" ca="1" si="147"/>
        <v>46064</v>
      </c>
      <c r="O1036" s="6">
        <f t="shared" ca="1" si="148"/>
        <v>5</v>
      </c>
      <c r="P1036">
        <v>4</v>
      </c>
      <c r="Q1036">
        <f t="shared" si="149"/>
        <v>62740</v>
      </c>
      <c r="R1036" s="2">
        <f t="shared" si="150"/>
        <v>31370</v>
      </c>
      <c r="S1036" s="2" t="str">
        <f t="shared" si="151"/>
        <v xml:space="preserve"> Not Achieved</v>
      </c>
      <c r="T1036" s="2" t="str">
        <f t="shared" si="152"/>
        <v xml:space="preserve"> Excellent</v>
      </c>
      <c r="U1036" s="2"/>
    </row>
    <row r="1037" spans="1:21" x14ac:dyDescent="0.3">
      <c r="A1037">
        <v>1036</v>
      </c>
      <c r="B1037" t="s">
        <v>1574</v>
      </c>
      <c r="C1037" t="str">
        <f t="shared" si="144"/>
        <v>EMP_1036</v>
      </c>
      <c r="D1037" t="s">
        <v>11</v>
      </c>
      <c r="E1037" t="str">
        <f t="shared" si="145"/>
        <v>EMP_1036Finance</v>
      </c>
      <c r="F1037" t="s">
        <v>18</v>
      </c>
      <c r="G1037" t="s">
        <v>13</v>
      </c>
      <c r="H1037">
        <v>67012</v>
      </c>
      <c r="I1037">
        <v>5736</v>
      </c>
      <c r="J1037">
        <v>0</v>
      </c>
      <c r="K1037">
        <v>0</v>
      </c>
      <c r="L1037" s="4">
        <v>45447</v>
      </c>
      <c r="M1037" s="4" t="str">
        <f t="shared" si="146"/>
        <v>2024</v>
      </c>
      <c r="N1037" s="1">
        <f t="shared" ca="1" si="147"/>
        <v>46064</v>
      </c>
      <c r="O1037" s="6">
        <f t="shared" ca="1" si="148"/>
        <v>1</v>
      </c>
      <c r="P1037">
        <v>1</v>
      </c>
      <c r="Q1037">
        <f t="shared" si="149"/>
        <v>72748</v>
      </c>
      <c r="R1037" s="2">
        <f t="shared" si="150"/>
        <v>36374</v>
      </c>
      <c r="S1037" s="2" t="str">
        <f t="shared" si="151"/>
        <v xml:space="preserve"> Not Achieved</v>
      </c>
      <c r="T1037" s="2" t="str">
        <f t="shared" si="152"/>
        <v xml:space="preserve"> Excellent</v>
      </c>
      <c r="U1037" s="2"/>
    </row>
    <row r="1038" spans="1:21" x14ac:dyDescent="0.3">
      <c r="A1038">
        <v>1037</v>
      </c>
      <c r="B1038" t="s">
        <v>1575</v>
      </c>
      <c r="C1038" t="str">
        <f t="shared" si="144"/>
        <v>EMP_1037</v>
      </c>
      <c r="D1038" t="s">
        <v>15</v>
      </c>
      <c r="E1038" t="str">
        <f t="shared" si="145"/>
        <v>EMP_1037IT</v>
      </c>
      <c r="F1038" t="s">
        <v>21</v>
      </c>
      <c r="G1038" t="s">
        <v>13</v>
      </c>
      <c r="H1038">
        <v>24683</v>
      </c>
      <c r="I1038">
        <v>8414</v>
      </c>
      <c r="J1038">
        <v>0</v>
      </c>
      <c r="K1038">
        <v>0</v>
      </c>
      <c r="L1038" s="4" t="s">
        <v>1434</v>
      </c>
      <c r="M1038" s="4" t="str">
        <f t="shared" si="146"/>
        <v>7/22/2021</v>
      </c>
      <c r="N1038" s="1">
        <f t="shared" ca="1" si="147"/>
        <v>46064</v>
      </c>
      <c r="O1038" s="6" t="e">
        <f t="shared" ca="1" si="148"/>
        <v>#VALUE!</v>
      </c>
      <c r="P1038">
        <v>3</v>
      </c>
      <c r="Q1038">
        <f t="shared" si="149"/>
        <v>33097</v>
      </c>
      <c r="R1038" s="2">
        <f t="shared" si="150"/>
        <v>16548.5</v>
      </c>
      <c r="S1038" s="2" t="str">
        <f t="shared" si="151"/>
        <v xml:space="preserve"> Not Achieved</v>
      </c>
      <c r="T1038" s="2" t="str">
        <f t="shared" si="152"/>
        <v>poor</v>
      </c>
      <c r="U1038" s="2"/>
    </row>
    <row r="1039" spans="1:21" x14ac:dyDescent="0.3">
      <c r="A1039">
        <v>1038</v>
      </c>
      <c r="B1039" t="s">
        <v>1576</v>
      </c>
      <c r="C1039" t="str">
        <f t="shared" si="144"/>
        <v>EMP_1038</v>
      </c>
      <c r="D1039" t="s">
        <v>11</v>
      </c>
      <c r="E1039" t="str">
        <f t="shared" si="145"/>
        <v>EMP_1038IT</v>
      </c>
      <c r="F1039" t="s">
        <v>21</v>
      </c>
      <c r="G1039" t="s">
        <v>13</v>
      </c>
      <c r="H1039">
        <v>22231</v>
      </c>
      <c r="I1039">
        <v>9346</v>
      </c>
      <c r="J1039">
        <v>0</v>
      </c>
      <c r="K1039">
        <v>0</v>
      </c>
      <c r="L1039" s="4" t="s">
        <v>1577</v>
      </c>
      <c r="M1039" s="4" t="str">
        <f t="shared" si="146"/>
        <v>8/28/2022</v>
      </c>
      <c r="N1039" s="1">
        <f t="shared" ca="1" si="147"/>
        <v>46064</v>
      </c>
      <c r="O1039" s="6" t="e">
        <f t="shared" ca="1" si="148"/>
        <v>#VALUE!</v>
      </c>
      <c r="P1039">
        <v>3</v>
      </c>
      <c r="Q1039">
        <f t="shared" si="149"/>
        <v>31577</v>
      </c>
      <c r="R1039" s="2">
        <f t="shared" si="150"/>
        <v>15788.5</v>
      </c>
      <c r="S1039" s="2" t="str">
        <f t="shared" si="151"/>
        <v xml:space="preserve"> Not Achieved</v>
      </c>
      <c r="T1039" s="2" t="str">
        <f t="shared" si="152"/>
        <v>poor</v>
      </c>
      <c r="U1039" s="2"/>
    </row>
    <row r="1040" spans="1:21" x14ac:dyDescent="0.3">
      <c r="A1040">
        <v>1039</v>
      </c>
      <c r="B1040" t="s">
        <v>1578</v>
      </c>
      <c r="C1040" t="str">
        <f t="shared" si="144"/>
        <v>EMP_1039</v>
      </c>
      <c r="D1040" t="s">
        <v>11</v>
      </c>
      <c r="E1040" t="str">
        <f t="shared" si="145"/>
        <v>EMP_1039Marketing</v>
      </c>
      <c r="F1040" t="s">
        <v>24</v>
      </c>
      <c r="G1040" t="s">
        <v>22</v>
      </c>
      <c r="H1040">
        <v>64763</v>
      </c>
      <c r="I1040">
        <v>3148</v>
      </c>
      <c r="J1040">
        <v>0</v>
      </c>
      <c r="K1040">
        <v>0</v>
      </c>
      <c r="L1040" s="4">
        <v>44078</v>
      </c>
      <c r="M1040" s="4" t="str">
        <f t="shared" si="146"/>
        <v>2020</v>
      </c>
      <c r="N1040" s="1">
        <f t="shared" ca="1" si="147"/>
        <v>46064</v>
      </c>
      <c r="O1040" s="6">
        <f t="shared" ca="1" si="148"/>
        <v>5</v>
      </c>
      <c r="P1040">
        <v>3</v>
      </c>
      <c r="Q1040">
        <f t="shared" si="149"/>
        <v>67911</v>
      </c>
      <c r="R1040" s="2">
        <f t="shared" si="150"/>
        <v>33955.5</v>
      </c>
      <c r="S1040" s="2" t="str">
        <f t="shared" si="151"/>
        <v xml:space="preserve"> Not Achieved</v>
      </c>
      <c r="T1040" s="2" t="str">
        <f t="shared" si="152"/>
        <v xml:space="preserve"> Excellent</v>
      </c>
      <c r="U1040" s="2"/>
    </row>
    <row r="1041" spans="1:21" x14ac:dyDescent="0.3">
      <c r="A1041">
        <v>1040</v>
      </c>
      <c r="B1041" t="s">
        <v>1579</v>
      </c>
      <c r="C1041" t="str">
        <f t="shared" si="144"/>
        <v>EMP_1040</v>
      </c>
      <c r="D1041" t="s">
        <v>11</v>
      </c>
      <c r="E1041" t="str">
        <f t="shared" si="145"/>
        <v>EMP_1040Finance</v>
      </c>
      <c r="F1041" t="s">
        <v>18</v>
      </c>
      <c r="G1041" t="s">
        <v>22</v>
      </c>
      <c r="H1041">
        <v>44350</v>
      </c>
      <c r="I1041">
        <v>13586</v>
      </c>
      <c r="J1041">
        <v>0</v>
      </c>
      <c r="K1041">
        <v>0</v>
      </c>
      <c r="L1041" s="4" t="s">
        <v>1580</v>
      </c>
      <c r="M1041" s="4" t="str">
        <f t="shared" si="146"/>
        <v>9/28/2022</v>
      </c>
      <c r="N1041" s="1">
        <f t="shared" ca="1" si="147"/>
        <v>46064</v>
      </c>
      <c r="O1041" s="6" t="e">
        <f t="shared" ca="1" si="148"/>
        <v>#VALUE!</v>
      </c>
      <c r="P1041">
        <v>4</v>
      </c>
      <c r="Q1041">
        <f t="shared" si="149"/>
        <v>57936</v>
      </c>
      <c r="R1041" s="2">
        <f t="shared" si="150"/>
        <v>28968</v>
      </c>
      <c r="S1041" s="2" t="str">
        <f t="shared" si="151"/>
        <v xml:space="preserve"> Not Achieved</v>
      </c>
      <c r="T1041" s="2" t="str">
        <f t="shared" si="152"/>
        <v>Good</v>
      </c>
      <c r="U1041" s="2"/>
    </row>
    <row r="1042" spans="1:21" x14ac:dyDescent="0.3">
      <c r="A1042">
        <v>1041</v>
      </c>
      <c r="B1042" t="s">
        <v>1581</v>
      </c>
      <c r="C1042" t="str">
        <f t="shared" si="144"/>
        <v>EMP_1041</v>
      </c>
      <c r="D1042" t="s">
        <v>11</v>
      </c>
      <c r="E1042" t="str">
        <f t="shared" si="145"/>
        <v>EMP_1041IT</v>
      </c>
      <c r="F1042" t="s">
        <v>21</v>
      </c>
      <c r="G1042" t="s">
        <v>16</v>
      </c>
      <c r="H1042">
        <v>42822</v>
      </c>
      <c r="I1042">
        <v>9407</v>
      </c>
      <c r="J1042">
        <v>0</v>
      </c>
      <c r="K1042">
        <v>0</v>
      </c>
      <c r="L1042" s="4" t="s">
        <v>1064</v>
      </c>
      <c r="M1042" s="4" t="str">
        <f t="shared" si="146"/>
        <v>10/29/2018</v>
      </c>
      <c r="N1042" s="1">
        <f t="shared" ca="1" si="147"/>
        <v>46064</v>
      </c>
      <c r="O1042" s="6" t="e">
        <f t="shared" ca="1" si="148"/>
        <v>#VALUE!</v>
      </c>
      <c r="P1042">
        <v>3</v>
      </c>
      <c r="Q1042">
        <f t="shared" si="149"/>
        <v>52229</v>
      </c>
      <c r="R1042" s="2">
        <f t="shared" si="150"/>
        <v>26114.5</v>
      </c>
      <c r="S1042" s="2" t="str">
        <f t="shared" si="151"/>
        <v xml:space="preserve"> Not Achieved</v>
      </c>
      <c r="T1042" s="2" t="str">
        <f t="shared" si="152"/>
        <v>Good</v>
      </c>
      <c r="U1042" s="2"/>
    </row>
    <row r="1043" spans="1:21" x14ac:dyDescent="0.3">
      <c r="A1043">
        <v>1042</v>
      </c>
      <c r="B1043" t="s">
        <v>1582</v>
      </c>
      <c r="C1043" t="str">
        <f t="shared" si="144"/>
        <v>EMP_1042</v>
      </c>
      <c r="D1043" t="s">
        <v>11</v>
      </c>
      <c r="E1043" t="str">
        <f t="shared" si="145"/>
        <v>EMP_1042HR</v>
      </c>
      <c r="F1043" t="s">
        <v>12</v>
      </c>
      <c r="G1043" t="s">
        <v>25</v>
      </c>
      <c r="H1043">
        <v>72897</v>
      </c>
      <c r="I1043">
        <v>14257</v>
      </c>
      <c r="J1043">
        <v>0</v>
      </c>
      <c r="K1043">
        <v>0</v>
      </c>
      <c r="L1043" s="4">
        <v>44105</v>
      </c>
      <c r="M1043" s="4" t="str">
        <f t="shared" si="146"/>
        <v>2020</v>
      </c>
      <c r="N1043" s="1">
        <f t="shared" ca="1" si="147"/>
        <v>46064</v>
      </c>
      <c r="O1043" s="6">
        <f t="shared" ca="1" si="148"/>
        <v>5</v>
      </c>
      <c r="P1043">
        <v>2</v>
      </c>
      <c r="Q1043">
        <f t="shared" si="149"/>
        <v>87154</v>
      </c>
      <c r="R1043" s="2">
        <f t="shared" si="150"/>
        <v>43577</v>
      </c>
      <c r="S1043" s="2" t="str">
        <f t="shared" si="151"/>
        <v xml:space="preserve"> Not Achieved</v>
      </c>
      <c r="T1043" s="2" t="str">
        <f t="shared" si="152"/>
        <v xml:space="preserve"> Excellent</v>
      </c>
      <c r="U1043" s="2"/>
    </row>
    <row r="1044" spans="1:21" x14ac:dyDescent="0.3">
      <c r="A1044">
        <v>1043</v>
      </c>
      <c r="B1044" t="s">
        <v>1583</v>
      </c>
      <c r="C1044" t="str">
        <f t="shared" si="144"/>
        <v>EMP_1043</v>
      </c>
      <c r="D1044" t="s">
        <v>11</v>
      </c>
      <c r="E1044" t="str">
        <f t="shared" si="145"/>
        <v>EMP_1043Marketing</v>
      </c>
      <c r="F1044" t="s">
        <v>24</v>
      </c>
      <c r="G1044" t="s">
        <v>13</v>
      </c>
      <c r="H1044">
        <v>59822</v>
      </c>
      <c r="I1044">
        <v>13979</v>
      </c>
      <c r="J1044">
        <v>0</v>
      </c>
      <c r="K1044">
        <v>0</v>
      </c>
      <c r="L1044" s="4">
        <v>45325</v>
      </c>
      <c r="M1044" s="4" t="str">
        <f t="shared" si="146"/>
        <v>2024</v>
      </c>
      <c r="N1044" s="1">
        <f t="shared" ca="1" si="147"/>
        <v>46064</v>
      </c>
      <c r="O1044" s="6">
        <f t="shared" ca="1" si="148"/>
        <v>2</v>
      </c>
      <c r="P1044">
        <v>1</v>
      </c>
      <c r="Q1044">
        <f t="shared" si="149"/>
        <v>73801</v>
      </c>
      <c r="R1044" s="2">
        <f t="shared" si="150"/>
        <v>36900.5</v>
      </c>
      <c r="S1044" s="2" t="str">
        <f t="shared" si="151"/>
        <v xml:space="preserve"> Not Achieved</v>
      </c>
      <c r="T1044" s="2" t="str">
        <f t="shared" si="152"/>
        <v xml:space="preserve"> Excellent</v>
      </c>
      <c r="U1044" s="2"/>
    </row>
    <row r="1045" spans="1:21" x14ac:dyDescent="0.3">
      <c r="A1045">
        <v>1044</v>
      </c>
      <c r="B1045" t="s">
        <v>1584</v>
      </c>
      <c r="C1045" t="str">
        <f t="shared" si="144"/>
        <v>EMP_1044</v>
      </c>
      <c r="D1045" t="s">
        <v>11</v>
      </c>
      <c r="E1045" t="str">
        <f t="shared" si="145"/>
        <v>EMP_1044Finance</v>
      </c>
      <c r="F1045" t="s">
        <v>18</v>
      </c>
      <c r="G1045" t="s">
        <v>25</v>
      </c>
      <c r="H1045">
        <v>74222</v>
      </c>
      <c r="I1045">
        <v>7629</v>
      </c>
      <c r="J1045">
        <v>0</v>
      </c>
      <c r="K1045">
        <v>0</v>
      </c>
      <c r="L1045" s="4">
        <v>44567</v>
      </c>
      <c r="M1045" s="4" t="str">
        <f t="shared" si="146"/>
        <v>2022</v>
      </c>
      <c r="N1045" s="1">
        <f t="shared" ca="1" si="147"/>
        <v>46064</v>
      </c>
      <c r="O1045" s="6">
        <f t="shared" ca="1" si="148"/>
        <v>4</v>
      </c>
      <c r="P1045">
        <v>3</v>
      </c>
      <c r="Q1045">
        <f t="shared" si="149"/>
        <v>81851</v>
      </c>
      <c r="R1045" s="2">
        <f t="shared" si="150"/>
        <v>40925.5</v>
      </c>
      <c r="S1045" s="2" t="str">
        <f t="shared" si="151"/>
        <v xml:space="preserve"> Not Achieved</v>
      </c>
      <c r="T1045" s="2" t="str">
        <f t="shared" si="152"/>
        <v xml:space="preserve"> Excellent</v>
      </c>
      <c r="U1045" s="2"/>
    </row>
    <row r="1046" spans="1:21" x14ac:dyDescent="0.3">
      <c r="A1046">
        <v>1045</v>
      </c>
      <c r="B1046" t="s">
        <v>1585</v>
      </c>
      <c r="C1046" t="str">
        <f t="shared" si="144"/>
        <v>EMP_1045</v>
      </c>
      <c r="D1046" t="s">
        <v>11</v>
      </c>
      <c r="E1046" t="str">
        <f t="shared" si="145"/>
        <v>EMP_1045Sales</v>
      </c>
      <c r="F1046" t="s">
        <v>7</v>
      </c>
      <c r="G1046" t="s">
        <v>16</v>
      </c>
      <c r="H1046">
        <v>25619</v>
      </c>
      <c r="I1046">
        <v>4252</v>
      </c>
      <c r="J1046">
        <v>244150</v>
      </c>
      <c r="K1046">
        <v>185181</v>
      </c>
      <c r="L1046" s="4">
        <v>44684</v>
      </c>
      <c r="M1046" s="4" t="str">
        <f t="shared" si="146"/>
        <v>2022</v>
      </c>
      <c r="N1046" s="1">
        <f t="shared" ca="1" si="147"/>
        <v>46064</v>
      </c>
      <c r="O1046" s="6">
        <f t="shared" ca="1" si="148"/>
        <v>3</v>
      </c>
      <c r="P1046">
        <v>1</v>
      </c>
      <c r="Q1046">
        <f t="shared" si="149"/>
        <v>29871</v>
      </c>
      <c r="R1046" s="2">
        <f t="shared" si="150"/>
        <v>14935.5</v>
      </c>
      <c r="S1046" s="2" t="str">
        <f t="shared" si="151"/>
        <v>Achieved</v>
      </c>
      <c r="T1046" s="2" t="str">
        <f t="shared" si="152"/>
        <v>poor</v>
      </c>
      <c r="U1046" s="2"/>
    </row>
    <row r="1047" spans="1:21" x14ac:dyDescent="0.3">
      <c r="A1047">
        <v>1046</v>
      </c>
      <c r="B1047" t="s">
        <v>1586</v>
      </c>
      <c r="C1047" t="str">
        <f t="shared" si="144"/>
        <v>EMP_1046</v>
      </c>
      <c r="D1047" t="s">
        <v>15</v>
      </c>
      <c r="E1047" t="str">
        <f t="shared" si="145"/>
        <v>EMP_1046Sales</v>
      </c>
      <c r="F1047" t="s">
        <v>7</v>
      </c>
      <c r="G1047" t="s">
        <v>16</v>
      </c>
      <c r="H1047">
        <v>75557</v>
      </c>
      <c r="I1047">
        <v>4553</v>
      </c>
      <c r="J1047">
        <v>199597</v>
      </c>
      <c r="K1047">
        <v>102072</v>
      </c>
      <c r="L1047" s="4">
        <v>43319</v>
      </c>
      <c r="M1047" s="4" t="str">
        <f t="shared" si="146"/>
        <v>2018</v>
      </c>
      <c r="N1047" s="1">
        <f t="shared" ca="1" si="147"/>
        <v>46064</v>
      </c>
      <c r="O1047" s="6">
        <f t="shared" ca="1" si="148"/>
        <v>7</v>
      </c>
      <c r="P1047">
        <v>2</v>
      </c>
      <c r="Q1047">
        <f t="shared" si="149"/>
        <v>80110</v>
      </c>
      <c r="R1047" s="2">
        <f t="shared" si="150"/>
        <v>40055</v>
      </c>
      <c r="S1047" s="2" t="str">
        <f t="shared" si="151"/>
        <v>Achieved</v>
      </c>
      <c r="T1047" s="2" t="str">
        <f t="shared" si="152"/>
        <v xml:space="preserve"> Excellent</v>
      </c>
      <c r="U1047" s="2"/>
    </row>
    <row r="1048" spans="1:21" x14ac:dyDescent="0.3">
      <c r="A1048">
        <v>1047</v>
      </c>
      <c r="B1048" t="s">
        <v>1587</v>
      </c>
      <c r="C1048" t="str">
        <f t="shared" si="144"/>
        <v>EMP_1047</v>
      </c>
      <c r="D1048" t="s">
        <v>15</v>
      </c>
      <c r="E1048" t="str">
        <f t="shared" si="145"/>
        <v>EMP_1047Sales</v>
      </c>
      <c r="F1048" t="s">
        <v>7</v>
      </c>
      <c r="G1048" t="s">
        <v>25</v>
      </c>
      <c r="H1048">
        <v>79348</v>
      </c>
      <c r="I1048">
        <v>14128</v>
      </c>
      <c r="J1048">
        <v>195204</v>
      </c>
      <c r="K1048">
        <v>242531</v>
      </c>
      <c r="L1048" s="4" t="s">
        <v>1588</v>
      </c>
      <c r="M1048" s="4" t="str">
        <f t="shared" si="146"/>
        <v>9/22/2018</v>
      </c>
      <c r="N1048" s="1">
        <f t="shared" ca="1" si="147"/>
        <v>46064</v>
      </c>
      <c r="O1048" s="6" t="e">
        <f t="shared" ca="1" si="148"/>
        <v>#VALUE!</v>
      </c>
      <c r="P1048">
        <v>5</v>
      </c>
      <c r="Q1048">
        <f t="shared" si="149"/>
        <v>93476</v>
      </c>
      <c r="R1048" s="2">
        <f t="shared" si="150"/>
        <v>46738</v>
      </c>
      <c r="S1048" s="2" t="str">
        <f t="shared" si="151"/>
        <v xml:space="preserve"> Not Achieved</v>
      </c>
      <c r="T1048" s="2" t="str">
        <f t="shared" si="152"/>
        <v xml:space="preserve"> Excellent</v>
      </c>
      <c r="U1048" s="2"/>
    </row>
    <row r="1049" spans="1:21" x14ac:dyDescent="0.3">
      <c r="A1049">
        <v>1048</v>
      </c>
      <c r="B1049" t="s">
        <v>1589</v>
      </c>
      <c r="C1049" t="str">
        <f t="shared" si="144"/>
        <v>EMP_1048</v>
      </c>
      <c r="D1049" t="s">
        <v>11</v>
      </c>
      <c r="E1049" t="str">
        <f t="shared" si="145"/>
        <v>EMP_1048HR</v>
      </c>
      <c r="F1049" t="s">
        <v>12</v>
      </c>
      <c r="G1049" t="s">
        <v>13</v>
      </c>
      <c r="H1049">
        <v>30438</v>
      </c>
      <c r="I1049">
        <v>7173</v>
      </c>
      <c r="J1049">
        <v>0</v>
      </c>
      <c r="K1049">
        <v>0</v>
      </c>
      <c r="L1049" s="4" t="s">
        <v>1590</v>
      </c>
      <c r="M1049" s="4" t="str">
        <f t="shared" si="146"/>
        <v>8/26/2021</v>
      </c>
      <c r="N1049" s="1">
        <f t="shared" ca="1" si="147"/>
        <v>46064</v>
      </c>
      <c r="O1049" s="6" t="e">
        <f t="shared" ca="1" si="148"/>
        <v>#VALUE!</v>
      </c>
      <c r="P1049">
        <v>3</v>
      </c>
      <c r="Q1049">
        <f t="shared" si="149"/>
        <v>37611</v>
      </c>
      <c r="R1049" s="2">
        <f t="shared" si="150"/>
        <v>18805.5</v>
      </c>
      <c r="S1049" s="2" t="str">
        <f t="shared" si="151"/>
        <v xml:space="preserve"> Not Achieved</v>
      </c>
      <c r="T1049" s="2" t="str">
        <f t="shared" si="152"/>
        <v>Average</v>
      </c>
      <c r="U1049" s="2"/>
    </row>
    <row r="1050" spans="1:21" x14ac:dyDescent="0.3">
      <c r="A1050">
        <v>1049</v>
      </c>
      <c r="B1050" t="s">
        <v>1591</v>
      </c>
      <c r="C1050" t="str">
        <f t="shared" si="144"/>
        <v>EMP_1049</v>
      </c>
      <c r="D1050" t="s">
        <v>11</v>
      </c>
      <c r="E1050" t="str">
        <f t="shared" si="145"/>
        <v>EMP_1049IT</v>
      </c>
      <c r="F1050" t="s">
        <v>21</v>
      </c>
      <c r="G1050" t="s">
        <v>16</v>
      </c>
      <c r="H1050">
        <v>64212</v>
      </c>
      <c r="I1050">
        <v>9664</v>
      </c>
      <c r="J1050">
        <v>0</v>
      </c>
      <c r="K1050">
        <v>0</v>
      </c>
      <c r="L1050" s="4" t="s">
        <v>613</v>
      </c>
      <c r="M1050" s="4" t="str">
        <f t="shared" si="146"/>
        <v>2/24/2019</v>
      </c>
      <c r="N1050" s="1">
        <f t="shared" ca="1" si="147"/>
        <v>46064</v>
      </c>
      <c r="O1050" s="6" t="e">
        <f t="shared" ca="1" si="148"/>
        <v>#VALUE!</v>
      </c>
      <c r="P1050">
        <v>5</v>
      </c>
      <c r="Q1050">
        <f t="shared" si="149"/>
        <v>73876</v>
      </c>
      <c r="R1050" s="2">
        <f t="shared" si="150"/>
        <v>36938</v>
      </c>
      <c r="S1050" s="2" t="str">
        <f t="shared" si="151"/>
        <v xml:space="preserve"> Not Achieved</v>
      </c>
      <c r="T1050" s="2" t="str">
        <f t="shared" si="152"/>
        <v xml:space="preserve"> Excellent</v>
      </c>
      <c r="U1050" s="2"/>
    </row>
    <row r="1051" spans="1:21" x14ac:dyDescent="0.3">
      <c r="A1051">
        <v>1050</v>
      </c>
      <c r="B1051" t="s">
        <v>1592</v>
      </c>
      <c r="C1051" t="str">
        <f t="shared" si="144"/>
        <v>EMP_1050</v>
      </c>
      <c r="D1051" t="s">
        <v>11</v>
      </c>
      <c r="E1051" t="str">
        <f t="shared" si="145"/>
        <v>EMP_1050Finance</v>
      </c>
      <c r="F1051" t="s">
        <v>18</v>
      </c>
      <c r="G1051" t="s">
        <v>22</v>
      </c>
      <c r="H1051">
        <v>36004</v>
      </c>
      <c r="I1051">
        <v>10536</v>
      </c>
      <c r="J1051">
        <v>0</v>
      </c>
      <c r="K1051">
        <v>0</v>
      </c>
      <c r="L1051" s="4" t="s">
        <v>1577</v>
      </c>
      <c r="M1051" s="4" t="str">
        <f t="shared" si="146"/>
        <v>8/28/2022</v>
      </c>
      <c r="N1051" s="1">
        <f t="shared" ca="1" si="147"/>
        <v>46064</v>
      </c>
      <c r="O1051" s="6" t="e">
        <f t="shared" ca="1" si="148"/>
        <v>#VALUE!</v>
      </c>
      <c r="P1051">
        <v>1</v>
      </c>
      <c r="Q1051">
        <f t="shared" si="149"/>
        <v>46540</v>
      </c>
      <c r="R1051" s="2">
        <f t="shared" si="150"/>
        <v>23270</v>
      </c>
      <c r="S1051" s="2" t="str">
        <f t="shared" si="151"/>
        <v xml:space="preserve"> Not Achieved</v>
      </c>
      <c r="T1051" s="2" t="str">
        <f t="shared" si="152"/>
        <v>Average</v>
      </c>
      <c r="U1051" s="2"/>
    </row>
    <row r="1052" spans="1:21" x14ac:dyDescent="0.3">
      <c r="A1052">
        <v>1051</v>
      </c>
      <c r="B1052" t="s">
        <v>1593</v>
      </c>
      <c r="C1052" t="str">
        <f t="shared" si="144"/>
        <v>EMP_1051</v>
      </c>
      <c r="D1052" t="s">
        <v>15</v>
      </c>
      <c r="E1052" t="str">
        <f t="shared" si="145"/>
        <v>EMP_1051HR</v>
      </c>
      <c r="F1052" t="s">
        <v>12</v>
      </c>
      <c r="G1052" t="s">
        <v>25</v>
      </c>
      <c r="H1052">
        <v>59060</v>
      </c>
      <c r="I1052">
        <v>11700</v>
      </c>
      <c r="J1052">
        <v>0</v>
      </c>
      <c r="K1052">
        <v>0</v>
      </c>
      <c r="L1052" s="4" t="s">
        <v>1594</v>
      </c>
      <c r="M1052" s="4" t="str">
        <f t="shared" si="146"/>
        <v>1/19/2024</v>
      </c>
      <c r="N1052" s="1">
        <f t="shared" ca="1" si="147"/>
        <v>46064</v>
      </c>
      <c r="O1052" s="6" t="e">
        <f t="shared" ca="1" si="148"/>
        <v>#VALUE!</v>
      </c>
      <c r="P1052">
        <v>2</v>
      </c>
      <c r="Q1052">
        <f t="shared" si="149"/>
        <v>70760</v>
      </c>
      <c r="R1052" s="2">
        <f t="shared" si="150"/>
        <v>35380</v>
      </c>
      <c r="S1052" s="2" t="str">
        <f t="shared" si="151"/>
        <v xml:space="preserve"> Not Achieved</v>
      </c>
      <c r="T1052" s="2" t="str">
        <f t="shared" si="152"/>
        <v xml:space="preserve"> Excellent</v>
      </c>
      <c r="U1052" s="2"/>
    </row>
    <row r="1053" spans="1:21" x14ac:dyDescent="0.3">
      <c r="A1053">
        <v>1052</v>
      </c>
      <c r="B1053" t="s">
        <v>1595</v>
      </c>
      <c r="C1053" t="str">
        <f t="shared" si="144"/>
        <v>EMP_1052</v>
      </c>
      <c r="D1053" t="s">
        <v>11</v>
      </c>
      <c r="E1053" t="str">
        <f t="shared" si="145"/>
        <v>EMP_1052IT</v>
      </c>
      <c r="F1053" t="s">
        <v>21</v>
      </c>
      <c r="G1053" t="s">
        <v>13</v>
      </c>
      <c r="H1053">
        <v>72002</v>
      </c>
      <c r="I1053">
        <v>6180</v>
      </c>
      <c r="J1053">
        <v>0</v>
      </c>
      <c r="K1053">
        <v>0</v>
      </c>
      <c r="L1053" s="4" t="s">
        <v>1596</v>
      </c>
      <c r="M1053" s="4" t="str">
        <f t="shared" si="146"/>
        <v>9/24/2024</v>
      </c>
      <c r="N1053" s="1">
        <f t="shared" ca="1" si="147"/>
        <v>46064</v>
      </c>
      <c r="O1053" s="6" t="e">
        <f t="shared" ca="1" si="148"/>
        <v>#VALUE!</v>
      </c>
      <c r="P1053">
        <v>2</v>
      </c>
      <c r="Q1053">
        <f t="shared" si="149"/>
        <v>78182</v>
      </c>
      <c r="R1053" s="2">
        <f t="shared" si="150"/>
        <v>39091</v>
      </c>
      <c r="S1053" s="2" t="str">
        <f t="shared" si="151"/>
        <v xml:space="preserve"> Not Achieved</v>
      </c>
      <c r="T1053" s="2" t="str">
        <f t="shared" si="152"/>
        <v xml:space="preserve"> Excellent</v>
      </c>
      <c r="U1053" s="2"/>
    </row>
    <row r="1054" spans="1:21" x14ac:dyDescent="0.3">
      <c r="A1054">
        <v>1053</v>
      </c>
      <c r="B1054" t="s">
        <v>1597</v>
      </c>
      <c r="C1054" t="str">
        <f t="shared" si="144"/>
        <v>EMP_1053</v>
      </c>
      <c r="D1054" t="s">
        <v>11</v>
      </c>
      <c r="E1054" t="str">
        <f t="shared" si="145"/>
        <v>EMP_1053Sales</v>
      </c>
      <c r="F1054" t="s">
        <v>7</v>
      </c>
      <c r="G1054" t="s">
        <v>16</v>
      </c>
      <c r="H1054">
        <v>41646</v>
      </c>
      <c r="I1054">
        <v>2932</v>
      </c>
      <c r="J1054">
        <v>255068</v>
      </c>
      <c r="K1054">
        <v>156490</v>
      </c>
      <c r="L1054" s="4" t="s">
        <v>1598</v>
      </c>
      <c r="M1054" s="4" t="str">
        <f t="shared" si="146"/>
        <v>3/31/2020</v>
      </c>
      <c r="N1054" s="1">
        <f t="shared" ca="1" si="147"/>
        <v>46064</v>
      </c>
      <c r="O1054" s="6" t="e">
        <f t="shared" ca="1" si="148"/>
        <v>#VALUE!</v>
      </c>
      <c r="P1054">
        <v>1</v>
      </c>
      <c r="Q1054">
        <f t="shared" si="149"/>
        <v>44578</v>
      </c>
      <c r="R1054" s="2">
        <f t="shared" si="150"/>
        <v>22289</v>
      </c>
      <c r="S1054" s="2" t="str">
        <f t="shared" si="151"/>
        <v>Achieved</v>
      </c>
      <c r="T1054" s="2" t="str">
        <f t="shared" si="152"/>
        <v>Good</v>
      </c>
      <c r="U1054" s="2"/>
    </row>
    <row r="1055" spans="1:21" x14ac:dyDescent="0.3">
      <c r="A1055">
        <v>1054</v>
      </c>
      <c r="B1055" t="s">
        <v>1599</v>
      </c>
      <c r="C1055" t="str">
        <f t="shared" si="144"/>
        <v>EMP_1054</v>
      </c>
      <c r="D1055" t="s">
        <v>11</v>
      </c>
      <c r="E1055" t="str">
        <f t="shared" si="145"/>
        <v>EMP_1054Sales</v>
      </c>
      <c r="F1055" t="s">
        <v>7</v>
      </c>
      <c r="G1055" t="s">
        <v>25</v>
      </c>
      <c r="H1055">
        <v>46982</v>
      </c>
      <c r="I1055">
        <v>5160</v>
      </c>
      <c r="J1055">
        <v>276997</v>
      </c>
      <c r="K1055">
        <v>196097</v>
      </c>
      <c r="L1055" s="4">
        <v>44690</v>
      </c>
      <c r="M1055" s="4" t="str">
        <f t="shared" si="146"/>
        <v>2022</v>
      </c>
      <c r="N1055" s="1">
        <f t="shared" ca="1" si="147"/>
        <v>46064</v>
      </c>
      <c r="O1055" s="6">
        <f t="shared" ca="1" si="148"/>
        <v>3</v>
      </c>
      <c r="P1055">
        <v>3</v>
      </c>
      <c r="Q1055">
        <f t="shared" si="149"/>
        <v>52142</v>
      </c>
      <c r="R1055" s="2">
        <f t="shared" si="150"/>
        <v>26071</v>
      </c>
      <c r="S1055" s="2" t="str">
        <f t="shared" si="151"/>
        <v>Achieved</v>
      </c>
      <c r="T1055" s="2" t="str">
        <f t="shared" si="152"/>
        <v>Good</v>
      </c>
      <c r="U1055" s="2"/>
    </row>
    <row r="1056" spans="1:21" x14ac:dyDescent="0.3">
      <c r="A1056">
        <v>1055</v>
      </c>
      <c r="B1056" t="s">
        <v>1600</v>
      </c>
      <c r="C1056" t="str">
        <f t="shared" si="144"/>
        <v>EMP_1055</v>
      </c>
      <c r="D1056" t="s">
        <v>11</v>
      </c>
      <c r="E1056" t="str">
        <f t="shared" si="145"/>
        <v>EMP_1055Sales</v>
      </c>
      <c r="F1056" t="s">
        <v>7</v>
      </c>
      <c r="G1056" t="s">
        <v>25</v>
      </c>
      <c r="H1056">
        <v>61324</v>
      </c>
      <c r="I1056">
        <v>2710</v>
      </c>
      <c r="J1056">
        <v>232409</v>
      </c>
      <c r="K1056">
        <v>146489</v>
      </c>
      <c r="L1056" s="4">
        <v>45323</v>
      </c>
      <c r="M1056" s="4" t="str">
        <f t="shared" si="146"/>
        <v>2024</v>
      </c>
      <c r="N1056" s="1">
        <f t="shared" ca="1" si="147"/>
        <v>46064</v>
      </c>
      <c r="O1056" s="6">
        <f t="shared" ca="1" si="148"/>
        <v>2</v>
      </c>
      <c r="P1056">
        <v>5</v>
      </c>
      <c r="Q1056">
        <f t="shared" si="149"/>
        <v>64034</v>
      </c>
      <c r="R1056" s="2">
        <f t="shared" si="150"/>
        <v>32017</v>
      </c>
      <c r="S1056" s="2" t="str">
        <f t="shared" si="151"/>
        <v>Achieved</v>
      </c>
      <c r="T1056" s="2" t="str">
        <f t="shared" si="152"/>
        <v xml:space="preserve"> Excellent</v>
      </c>
      <c r="U1056" s="2"/>
    </row>
    <row r="1057" spans="1:21" x14ac:dyDescent="0.3">
      <c r="A1057">
        <v>1056</v>
      </c>
      <c r="B1057" t="s">
        <v>1601</v>
      </c>
      <c r="C1057" t="str">
        <f t="shared" si="144"/>
        <v>EMP_1056</v>
      </c>
      <c r="D1057" t="s">
        <v>15</v>
      </c>
      <c r="E1057" t="str">
        <f t="shared" si="145"/>
        <v>EMP_1056Sales</v>
      </c>
      <c r="F1057" t="s">
        <v>7</v>
      </c>
      <c r="G1057" t="s">
        <v>22</v>
      </c>
      <c r="H1057">
        <v>40346</v>
      </c>
      <c r="I1057">
        <v>13633</v>
      </c>
      <c r="J1057">
        <v>206432</v>
      </c>
      <c r="K1057">
        <v>182382</v>
      </c>
      <c r="L1057" s="4">
        <v>44901</v>
      </c>
      <c r="M1057" s="4" t="str">
        <f t="shared" si="146"/>
        <v>2022</v>
      </c>
      <c r="N1057" s="1">
        <f t="shared" ca="1" si="147"/>
        <v>46064</v>
      </c>
      <c r="O1057" s="6">
        <f t="shared" ca="1" si="148"/>
        <v>3</v>
      </c>
      <c r="P1057">
        <v>1</v>
      </c>
      <c r="Q1057">
        <f t="shared" si="149"/>
        <v>53979</v>
      </c>
      <c r="R1057" s="2">
        <f t="shared" si="150"/>
        <v>26989.5</v>
      </c>
      <c r="S1057" s="2" t="str">
        <f t="shared" si="151"/>
        <v>Achieved</v>
      </c>
      <c r="T1057" s="2" t="str">
        <f t="shared" si="152"/>
        <v>Good</v>
      </c>
      <c r="U1057" s="2"/>
    </row>
    <row r="1058" spans="1:21" x14ac:dyDescent="0.3">
      <c r="A1058">
        <v>1057</v>
      </c>
      <c r="B1058" t="s">
        <v>1602</v>
      </c>
      <c r="C1058" t="str">
        <f t="shared" si="144"/>
        <v>EMP_1057</v>
      </c>
      <c r="D1058" t="s">
        <v>15</v>
      </c>
      <c r="E1058" t="str">
        <f t="shared" si="145"/>
        <v>EMP_1057Finance</v>
      </c>
      <c r="F1058" t="s">
        <v>18</v>
      </c>
      <c r="G1058" t="s">
        <v>25</v>
      </c>
      <c r="H1058">
        <v>23205</v>
      </c>
      <c r="I1058">
        <v>6631</v>
      </c>
      <c r="J1058">
        <v>0</v>
      </c>
      <c r="K1058">
        <v>0</v>
      </c>
      <c r="L1058" s="4" t="s">
        <v>1418</v>
      </c>
      <c r="M1058" s="4" t="str">
        <f t="shared" si="146"/>
        <v>1/25/2019</v>
      </c>
      <c r="N1058" s="1">
        <f t="shared" ca="1" si="147"/>
        <v>46064</v>
      </c>
      <c r="O1058" s="6" t="e">
        <f t="shared" ca="1" si="148"/>
        <v>#VALUE!</v>
      </c>
      <c r="P1058">
        <v>3</v>
      </c>
      <c r="Q1058">
        <f t="shared" si="149"/>
        <v>29836</v>
      </c>
      <c r="R1058" s="2">
        <f t="shared" si="150"/>
        <v>14918</v>
      </c>
      <c r="S1058" s="2" t="str">
        <f t="shared" si="151"/>
        <v xml:space="preserve"> Not Achieved</v>
      </c>
      <c r="T1058" s="2" t="str">
        <f t="shared" si="152"/>
        <v>poor</v>
      </c>
      <c r="U1058" s="2"/>
    </row>
    <row r="1059" spans="1:21" x14ac:dyDescent="0.3">
      <c r="A1059">
        <v>1058</v>
      </c>
      <c r="B1059" t="s">
        <v>1603</v>
      </c>
      <c r="C1059" t="str">
        <f t="shared" si="144"/>
        <v>EMP_1058</v>
      </c>
      <c r="D1059" t="s">
        <v>15</v>
      </c>
      <c r="E1059" t="str">
        <f t="shared" si="145"/>
        <v>EMP_1058Marketing</v>
      </c>
      <c r="F1059" t="s">
        <v>24</v>
      </c>
      <c r="G1059" t="s">
        <v>19</v>
      </c>
      <c r="H1059">
        <v>51303</v>
      </c>
      <c r="I1059">
        <v>2468</v>
      </c>
      <c r="J1059">
        <v>0</v>
      </c>
      <c r="K1059">
        <v>0</v>
      </c>
      <c r="L1059" s="4">
        <v>44624</v>
      </c>
      <c r="M1059" s="4" t="str">
        <f t="shared" si="146"/>
        <v>2022</v>
      </c>
      <c r="N1059" s="1">
        <f t="shared" ca="1" si="147"/>
        <v>46064</v>
      </c>
      <c r="O1059" s="6">
        <f t="shared" ca="1" si="148"/>
        <v>3</v>
      </c>
      <c r="P1059">
        <v>4</v>
      </c>
      <c r="Q1059">
        <f t="shared" si="149"/>
        <v>53771</v>
      </c>
      <c r="R1059" s="2">
        <f t="shared" si="150"/>
        <v>26885.5</v>
      </c>
      <c r="S1059" s="2" t="str">
        <f t="shared" si="151"/>
        <v xml:space="preserve"> Not Achieved</v>
      </c>
      <c r="T1059" s="2" t="str">
        <f t="shared" si="152"/>
        <v xml:space="preserve"> Excellent</v>
      </c>
      <c r="U1059" s="2"/>
    </row>
    <row r="1060" spans="1:21" x14ac:dyDescent="0.3">
      <c r="A1060">
        <v>1059</v>
      </c>
      <c r="B1060" t="s">
        <v>1604</v>
      </c>
      <c r="C1060" t="str">
        <f t="shared" si="144"/>
        <v>EMP_1059</v>
      </c>
      <c r="D1060" t="s">
        <v>11</v>
      </c>
      <c r="E1060" t="str">
        <f t="shared" si="145"/>
        <v>EMP_1059Marketing</v>
      </c>
      <c r="F1060" t="s">
        <v>24</v>
      </c>
      <c r="G1060" t="s">
        <v>13</v>
      </c>
      <c r="H1060">
        <v>45238</v>
      </c>
      <c r="I1060">
        <v>3122</v>
      </c>
      <c r="J1060">
        <v>0</v>
      </c>
      <c r="K1060">
        <v>0</v>
      </c>
      <c r="L1060" s="4" t="s">
        <v>1605</v>
      </c>
      <c r="M1060" s="4" t="str">
        <f t="shared" si="146"/>
        <v>12/24/2018</v>
      </c>
      <c r="N1060" s="1">
        <f t="shared" ca="1" si="147"/>
        <v>46064</v>
      </c>
      <c r="O1060" s="6" t="e">
        <f t="shared" ca="1" si="148"/>
        <v>#VALUE!</v>
      </c>
      <c r="P1060">
        <v>1</v>
      </c>
      <c r="Q1060">
        <f t="shared" si="149"/>
        <v>48360</v>
      </c>
      <c r="R1060" s="2">
        <f t="shared" si="150"/>
        <v>24180</v>
      </c>
      <c r="S1060" s="2" t="str">
        <f t="shared" si="151"/>
        <v xml:space="preserve"> Not Achieved</v>
      </c>
      <c r="T1060" s="2" t="str">
        <f t="shared" si="152"/>
        <v>Good</v>
      </c>
      <c r="U1060" s="2"/>
    </row>
    <row r="1061" spans="1:21" x14ac:dyDescent="0.3">
      <c r="A1061">
        <v>1060</v>
      </c>
      <c r="B1061" t="s">
        <v>1606</v>
      </c>
      <c r="C1061" t="str">
        <f t="shared" si="144"/>
        <v>EMP_1060</v>
      </c>
      <c r="D1061" t="s">
        <v>15</v>
      </c>
      <c r="E1061" t="str">
        <f t="shared" si="145"/>
        <v>EMP_1060Sales</v>
      </c>
      <c r="F1061" t="s">
        <v>7</v>
      </c>
      <c r="G1061" t="s">
        <v>16</v>
      </c>
      <c r="H1061">
        <v>57726</v>
      </c>
      <c r="I1061">
        <v>10783</v>
      </c>
      <c r="J1061">
        <v>51970</v>
      </c>
      <c r="K1061">
        <v>92106</v>
      </c>
      <c r="L1061" s="4">
        <v>44441</v>
      </c>
      <c r="M1061" s="4" t="str">
        <f t="shared" si="146"/>
        <v>2021</v>
      </c>
      <c r="N1061" s="1">
        <f t="shared" ca="1" si="147"/>
        <v>46064</v>
      </c>
      <c r="O1061" s="6">
        <f t="shared" ca="1" si="148"/>
        <v>4</v>
      </c>
      <c r="P1061">
        <v>3</v>
      </c>
      <c r="Q1061">
        <f t="shared" si="149"/>
        <v>68509</v>
      </c>
      <c r="R1061" s="2">
        <f t="shared" si="150"/>
        <v>34254.5</v>
      </c>
      <c r="S1061" s="2" t="str">
        <f t="shared" si="151"/>
        <v xml:space="preserve"> Not Achieved</v>
      </c>
      <c r="T1061" s="2" t="str">
        <f t="shared" si="152"/>
        <v xml:space="preserve"> Excellent</v>
      </c>
      <c r="U1061" s="2"/>
    </row>
    <row r="1062" spans="1:21" x14ac:dyDescent="0.3">
      <c r="A1062">
        <v>1061</v>
      </c>
      <c r="B1062" t="s">
        <v>1607</v>
      </c>
      <c r="C1062" t="str">
        <f t="shared" si="144"/>
        <v>EMP_1061</v>
      </c>
      <c r="D1062" t="s">
        <v>11</v>
      </c>
      <c r="E1062" t="str">
        <f t="shared" si="145"/>
        <v>EMP_1061HR</v>
      </c>
      <c r="F1062" t="s">
        <v>12</v>
      </c>
      <c r="G1062" t="s">
        <v>16</v>
      </c>
      <c r="H1062">
        <v>47214</v>
      </c>
      <c r="I1062">
        <v>14631</v>
      </c>
      <c r="J1062">
        <v>0</v>
      </c>
      <c r="K1062">
        <v>0</v>
      </c>
      <c r="L1062" s="4">
        <v>44811</v>
      </c>
      <c r="M1062" s="4" t="str">
        <f t="shared" si="146"/>
        <v>2022</v>
      </c>
      <c r="N1062" s="1">
        <f t="shared" ca="1" si="147"/>
        <v>46064</v>
      </c>
      <c r="O1062" s="6">
        <f t="shared" ca="1" si="148"/>
        <v>3</v>
      </c>
      <c r="P1062">
        <v>4</v>
      </c>
      <c r="Q1062">
        <f t="shared" si="149"/>
        <v>61845</v>
      </c>
      <c r="R1062" s="2">
        <f t="shared" si="150"/>
        <v>30922.5</v>
      </c>
      <c r="S1062" s="2" t="str">
        <f t="shared" si="151"/>
        <v xml:space="preserve"> Not Achieved</v>
      </c>
      <c r="T1062" s="2" t="str">
        <f t="shared" si="152"/>
        <v>Good</v>
      </c>
      <c r="U1062" s="2"/>
    </row>
    <row r="1063" spans="1:21" x14ac:dyDescent="0.3">
      <c r="A1063">
        <v>1062</v>
      </c>
      <c r="B1063" t="s">
        <v>1608</v>
      </c>
      <c r="C1063" t="str">
        <f t="shared" si="144"/>
        <v>EMP_1062</v>
      </c>
      <c r="D1063" t="s">
        <v>15</v>
      </c>
      <c r="E1063" t="str">
        <f t="shared" si="145"/>
        <v>EMP_1062HR</v>
      </c>
      <c r="F1063" t="s">
        <v>12</v>
      </c>
      <c r="G1063" t="s">
        <v>16</v>
      </c>
      <c r="H1063">
        <v>28298</v>
      </c>
      <c r="I1063">
        <v>14343</v>
      </c>
      <c r="J1063">
        <v>0</v>
      </c>
      <c r="K1063">
        <v>0</v>
      </c>
      <c r="L1063" s="4" t="s">
        <v>1609</v>
      </c>
      <c r="M1063" s="4" t="str">
        <f t="shared" si="146"/>
        <v>12/25/2020</v>
      </c>
      <c r="N1063" s="1">
        <f t="shared" ca="1" si="147"/>
        <v>46064</v>
      </c>
      <c r="O1063" s="6" t="e">
        <f t="shared" ca="1" si="148"/>
        <v>#VALUE!</v>
      </c>
      <c r="P1063">
        <v>3</v>
      </c>
      <c r="Q1063">
        <f t="shared" si="149"/>
        <v>42641</v>
      </c>
      <c r="R1063" s="2">
        <f t="shared" si="150"/>
        <v>21320.5</v>
      </c>
      <c r="S1063" s="2" t="str">
        <f t="shared" si="151"/>
        <v xml:space="preserve"> Not Achieved</v>
      </c>
      <c r="T1063" s="2" t="str">
        <f t="shared" si="152"/>
        <v>poor</v>
      </c>
      <c r="U1063" s="2"/>
    </row>
    <row r="1064" spans="1:21" x14ac:dyDescent="0.3">
      <c r="A1064">
        <v>1063</v>
      </c>
      <c r="B1064" t="s">
        <v>1610</v>
      </c>
      <c r="C1064" t="str">
        <f t="shared" si="144"/>
        <v>EMP_1063</v>
      </c>
      <c r="D1064" t="s">
        <v>11</v>
      </c>
      <c r="E1064" t="str">
        <f t="shared" si="145"/>
        <v>EMP_1063HR</v>
      </c>
      <c r="F1064" t="s">
        <v>12</v>
      </c>
      <c r="G1064" t="s">
        <v>25</v>
      </c>
      <c r="H1064">
        <v>44956</v>
      </c>
      <c r="I1064">
        <v>3010</v>
      </c>
      <c r="J1064">
        <v>0</v>
      </c>
      <c r="K1064">
        <v>0</v>
      </c>
      <c r="L1064" s="4" t="s">
        <v>1611</v>
      </c>
      <c r="M1064" s="4" t="str">
        <f t="shared" si="146"/>
        <v>8/29/2019</v>
      </c>
      <c r="N1064" s="1">
        <f t="shared" ca="1" si="147"/>
        <v>46064</v>
      </c>
      <c r="O1064" s="6" t="e">
        <f t="shared" ca="1" si="148"/>
        <v>#VALUE!</v>
      </c>
      <c r="P1064">
        <v>5</v>
      </c>
      <c r="Q1064">
        <f t="shared" si="149"/>
        <v>47966</v>
      </c>
      <c r="R1064" s="2">
        <f t="shared" si="150"/>
        <v>23983</v>
      </c>
      <c r="S1064" s="2" t="str">
        <f t="shared" si="151"/>
        <v xml:space="preserve"> Not Achieved</v>
      </c>
      <c r="T1064" s="2" t="str">
        <f t="shared" si="152"/>
        <v>Good</v>
      </c>
      <c r="U1064" s="2"/>
    </row>
    <row r="1065" spans="1:21" x14ac:dyDescent="0.3">
      <c r="A1065">
        <v>1064</v>
      </c>
      <c r="B1065" t="s">
        <v>1612</v>
      </c>
      <c r="C1065" t="str">
        <f t="shared" si="144"/>
        <v>EMP_1064</v>
      </c>
      <c r="D1065" t="s">
        <v>11</v>
      </c>
      <c r="E1065" t="str">
        <f t="shared" si="145"/>
        <v>EMP_1064Sales</v>
      </c>
      <c r="F1065" t="s">
        <v>7</v>
      </c>
      <c r="G1065" t="s">
        <v>25</v>
      </c>
      <c r="H1065">
        <v>25855</v>
      </c>
      <c r="I1065">
        <v>9286</v>
      </c>
      <c r="J1065">
        <v>209312</v>
      </c>
      <c r="K1065">
        <v>246525</v>
      </c>
      <c r="L1065" s="4">
        <v>43101</v>
      </c>
      <c r="M1065" s="4" t="str">
        <f t="shared" si="146"/>
        <v>2018</v>
      </c>
      <c r="N1065" s="1">
        <f t="shared" ca="1" si="147"/>
        <v>46064</v>
      </c>
      <c r="O1065" s="6">
        <f t="shared" ca="1" si="148"/>
        <v>8</v>
      </c>
      <c r="P1065">
        <v>5</v>
      </c>
      <c r="Q1065">
        <f t="shared" si="149"/>
        <v>35141</v>
      </c>
      <c r="R1065" s="2">
        <f t="shared" si="150"/>
        <v>17570.5</v>
      </c>
      <c r="S1065" s="2" t="str">
        <f t="shared" si="151"/>
        <v xml:space="preserve"> Not Achieved</v>
      </c>
      <c r="T1065" s="2" t="str">
        <f t="shared" si="152"/>
        <v>poor</v>
      </c>
      <c r="U1065" s="2"/>
    </row>
    <row r="1066" spans="1:21" x14ac:dyDescent="0.3">
      <c r="A1066">
        <v>1065</v>
      </c>
      <c r="B1066" t="s">
        <v>1613</v>
      </c>
      <c r="C1066" t="str">
        <f t="shared" si="144"/>
        <v>EMP_1065</v>
      </c>
      <c r="D1066" t="s">
        <v>15</v>
      </c>
      <c r="E1066" t="str">
        <f t="shared" si="145"/>
        <v>EMP_1065Marketing</v>
      </c>
      <c r="F1066" t="s">
        <v>24</v>
      </c>
      <c r="G1066" t="s">
        <v>13</v>
      </c>
      <c r="H1066">
        <v>77894</v>
      </c>
      <c r="I1066">
        <v>13407</v>
      </c>
      <c r="J1066">
        <v>0</v>
      </c>
      <c r="K1066">
        <v>0</v>
      </c>
      <c r="L1066" s="4" t="s">
        <v>1614</v>
      </c>
      <c r="M1066" s="4" t="str">
        <f t="shared" si="146"/>
        <v>12/26/2023</v>
      </c>
      <c r="N1066" s="1">
        <f t="shared" ca="1" si="147"/>
        <v>46064</v>
      </c>
      <c r="O1066" s="6" t="e">
        <f t="shared" ca="1" si="148"/>
        <v>#VALUE!</v>
      </c>
      <c r="P1066">
        <v>2</v>
      </c>
      <c r="Q1066">
        <f t="shared" si="149"/>
        <v>91301</v>
      </c>
      <c r="R1066" s="2">
        <f t="shared" si="150"/>
        <v>45650.5</v>
      </c>
      <c r="S1066" s="2" t="str">
        <f t="shared" si="151"/>
        <v xml:space="preserve"> Not Achieved</v>
      </c>
      <c r="T1066" s="2" t="str">
        <f t="shared" si="152"/>
        <v xml:space="preserve"> Excellent</v>
      </c>
      <c r="U1066" s="2"/>
    </row>
    <row r="1067" spans="1:21" x14ac:dyDescent="0.3">
      <c r="A1067">
        <v>1066</v>
      </c>
      <c r="B1067" t="s">
        <v>1615</v>
      </c>
      <c r="C1067" t="str">
        <f t="shared" si="144"/>
        <v>EMP_1066</v>
      </c>
      <c r="D1067" t="s">
        <v>15</v>
      </c>
      <c r="E1067" t="str">
        <f t="shared" si="145"/>
        <v>EMP_1066IT</v>
      </c>
      <c r="F1067" t="s">
        <v>21</v>
      </c>
      <c r="G1067" t="s">
        <v>22</v>
      </c>
      <c r="H1067">
        <v>43837</v>
      </c>
      <c r="I1067">
        <v>10708</v>
      </c>
      <c r="J1067">
        <v>0</v>
      </c>
      <c r="K1067">
        <v>0</v>
      </c>
      <c r="L1067" s="4" t="s">
        <v>1509</v>
      </c>
      <c r="M1067" s="4" t="str">
        <f t="shared" si="146"/>
        <v>12/16/2020</v>
      </c>
      <c r="N1067" s="1">
        <f t="shared" ca="1" si="147"/>
        <v>46064</v>
      </c>
      <c r="O1067" s="6" t="e">
        <f t="shared" ca="1" si="148"/>
        <v>#VALUE!</v>
      </c>
      <c r="P1067">
        <v>5</v>
      </c>
      <c r="Q1067">
        <f t="shared" si="149"/>
        <v>54545</v>
      </c>
      <c r="R1067" s="2">
        <f t="shared" si="150"/>
        <v>27272.5</v>
      </c>
      <c r="S1067" s="2" t="str">
        <f t="shared" si="151"/>
        <v xml:space="preserve"> Not Achieved</v>
      </c>
      <c r="T1067" s="2" t="str">
        <f t="shared" si="152"/>
        <v>Good</v>
      </c>
      <c r="U1067" s="2"/>
    </row>
    <row r="1068" spans="1:21" x14ac:dyDescent="0.3">
      <c r="A1068">
        <v>1067</v>
      </c>
      <c r="B1068" t="s">
        <v>1616</v>
      </c>
      <c r="C1068" t="str">
        <f t="shared" si="144"/>
        <v>EMP_1067</v>
      </c>
      <c r="D1068" t="s">
        <v>15</v>
      </c>
      <c r="E1068" t="str">
        <f t="shared" si="145"/>
        <v>EMP_1067Sales</v>
      </c>
      <c r="F1068" t="s">
        <v>7</v>
      </c>
      <c r="G1068" t="s">
        <v>16</v>
      </c>
      <c r="H1068">
        <v>58452</v>
      </c>
      <c r="I1068">
        <v>8953</v>
      </c>
      <c r="J1068">
        <v>268846</v>
      </c>
      <c r="K1068">
        <v>177077</v>
      </c>
      <c r="L1068" s="4">
        <v>44047</v>
      </c>
      <c r="M1068" s="4" t="str">
        <f t="shared" si="146"/>
        <v>2020</v>
      </c>
      <c r="N1068" s="1">
        <f t="shared" ca="1" si="147"/>
        <v>46064</v>
      </c>
      <c r="O1068" s="6">
        <f t="shared" ca="1" si="148"/>
        <v>5</v>
      </c>
      <c r="P1068">
        <v>5</v>
      </c>
      <c r="Q1068">
        <f t="shared" si="149"/>
        <v>67405</v>
      </c>
      <c r="R1068" s="2">
        <f t="shared" si="150"/>
        <v>33702.5</v>
      </c>
      <c r="S1068" s="2" t="str">
        <f t="shared" si="151"/>
        <v>Achieved</v>
      </c>
      <c r="T1068" s="2" t="str">
        <f t="shared" si="152"/>
        <v xml:space="preserve"> Excellent</v>
      </c>
      <c r="U1068" s="2"/>
    </row>
    <row r="1069" spans="1:21" x14ac:dyDescent="0.3">
      <c r="A1069">
        <v>1068</v>
      </c>
      <c r="B1069" t="s">
        <v>1617</v>
      </c>
      <c r="C1069" t="str">
        <f t="shared" si="144"/>
        <v>EMP_1068</v>
      </c>
      <c r="D1069" t="s">
        <v>15</v>
      </c>
      <c r="E1069" t="str">
        <f t="shared" si="145"/>
        <v>EMP_1068Sales</v>
      </c>
      <c r="F1069" t="s">
        <v>7</v>
      </c>
      <c r="G1069" t="s">
        <v>19</v>
      </c>
      <c r="H1069">
        <v>76764</v>
      </c>
      <c r="I1069">
        <v>12307</v>
      </c>
      <c r="J1069">
        <v>231494</v>
      </c>
      <c r="K1069">
        <v>200434</v>
      </c>
      <c r="L1069" s="4" t="s">
        <v>1618</v>
      </c>
      <c r="M1069" s="4" t="str">
        <f t="shared" si="146"/>
        <v>4/15/2022</v>
      </c>
      <c r="N1069" s="1">
        <f t="shared" ca="1" si="147"/>
        <v>46064</v>
      </c>
      <c r="O1069" s="6" t="e">
        <f t="shared" ca="1" si="148"/>
        <v>#VALUE!</v>
      </c>
      <c r="P1069">
        <v>5</v>
      </c>
      <c r="Q1069">
        <f t="shared" si="149"/>
        <v>89071</v>
      </c>
      <c r="R1069" s="2">
        <f t="shared" si="150"/>
        <v>44535.5</v>
      </c>
      <c r="S1069" s="2" t="str">
        <f t="shared" si="151"/>
        <v>Achieved</v>
      </c>
      <c r="T1069" s="2" t="str">
        <f t="shared" si="152"/>
        <v xml:space="preserve"> Excellent</v>
      </c>
      <c r="U1069" s="2"/>
    </row>
    <row r="1070" spans="1:21" x14ac:dyDescent="0.3">
      <c r="A1070">
        <v>1069</v>
      </c>
      <c r="B1070" t="s">
        <v>1619</v>
      </c>
      <c r="C1070" t="str">
        <f t="shared" si="144"/>
        <v>EMP_1069</v>
      </c>
      <c r="D1070" t="s">
        <v>11</v>
      </c>
      <c r="E1070" t="str">
        <f t="shared" si="145"/>
        <v>EMP_1069Marketing</v>
      </c>
      <c r="F1070" t="s">
        <v>24</v>
      </c>
      <c r="G1070" t="s">
        <v>22</v>
      </c>
      <c r="H1070">
        <v>48461</v>
      </c>
      <c r="I1070">
        <v>8695</v>
      </c>
      <c r="J1070">
        <v>0</v>
      </c>
      <c r="K1070">
        <v>0</v>
      </c>
      <c r="L1070" s="4" t="s">
        <v>140</v>
      </c>
      <c r="M1070" s="4" t="str">
        <f t="shared" si="146"/>
        <v>12/20/2024</v>
      </c>
      <c r="N1070" s="1">
        <f t="shared" ca="1" si="147"/>
        <v>46064</v>
      </c>
      <c r="O1070" s="6" t="e">
        <f t="shared" ca="1" si="148"/>
        <v>#VALUE!</v>
      </c>
      <c r="P1070">
        <v>2</v>
      </c>
      <c r="Q1070">
        <f t="shared" si="149"/>
        <v>57156</v>
      </c>
      <c r="R1070" s="2">
        <f t="shared" si="150"/>
        <v>28578</v>
      </c>
      <c r="S1070" s="2" t="str">
        <f t="shared" si="151"/>
        <v xml:space="preserve"> Not Achieved</v>
      </c>
      <c r="T1070" s="2" t="str">
        <f t="shared" si="152"/>
        <v>Good</v>
      </c>
      <c r="U1070" s="2"/>
    </row>
    <row r="1071" spans="1:21" x14ac:dyDescent="0.3">
      <c r="A1071">
        <v>1070</v>
      </c>
      <c r="B1071" t="s">
        <v>1620</v>
      </c>
      <c r="C1071" t="str">
        <f t="shared" si="144"/>
        <v>EMP_1070</v>
      </c>
      <c r="D1071" t="s">
        <v>15</v>
      </c>
      <c r="E1071" t="str">
        <f t="shared" si="145"/>
        <v>EMP_1070HR</v>
      </c>
      <c r="F1071" t="s">
        <v>12</v>
      </c>
      <c r="G1071" t="s">
        <v>19</v>
      </c>
      <c r="H1071">
        <v>35271</v>
      </c>
      <c r="I1071">
        <v>3837</v>
      </c>
      <c r="J1071">
        <v>0</v>
      </c>
      <c r="K1071">
        <v>0</v>
      </c>
      <c r="L1071" s="4">
        <v>43559</v>
      </c>
      <c r="M1071" s="4" t="str">
        <f t="shared" si="146"/>
        <v>2019</v>
      </c>
      <c r="N1071" s="1">
        <f t="shared" ca="1" si="147"/>
        <v>46064</v>
      </c>
      <c r="O1071" s="6">
        <f t="shared" ca="1" si="148"/>
        <v>6</v>
      </c>
      <c r="P1071">
        <v>1</v>
      </c>
      <c r="Q1071">
        <f t="shared" si="149"/>
        <v>39108</v>
      </c>
      <c r="R1071" s="2">
        <f t="shared" si="150"/>
        <v>19554</v>
      </c>
      <c r="S1071" s="2" t="str">
        <f t="shared" si="151"/>
        <v xml:space="preserve"> Not Achieved</v>
      </c>
      <c r="T1071" s="2" t="str">
        <f t="shared" si="152"/>
        <v>Average</v>
      </c>
      <c r="U1071" s="2"/>
    </row>
    <row r="1072" spans="1:21" x14ac:dyDescent="0.3">
      <c r="A1072">
        <v>1071</v>
      </c>
      <c r="B1072" t="s">
        <v>1621</v>
      </c>
      <c r="C1072" t="str">
        <f t="shared" si="144"/>
        <v>EMP_1071</v>
      </c>
      <c r="D1072" t="s">
        <v>15</v>
      </c>
      <c r="E1072" t="str">
        <f t="shared" si="145"/>
        <v>EMP_1071Sales</v>
      </c>
      <c r="F1072" t="s">
        <v>7</v>
      </c>
      <c r="G1072" t="s">
        <v>19</v>
      </c>
      <c r="H1072">
        <v>33807</v>
      </c>
      <c r="I1072">
        <v>9224</v>
      </c>
      <c r="J1072">
        <v>148142</v>
      </c>
      <c r="K1072">
        <v>199953</v>
      </c>
      <c r="L1072" s="4">
        <v>43534</v>
      </c>
      <c r="M1072" s="4" t="str">
        <f t="shared" si="146"/>
        <v>2019</v>
      </c>
      <c r="N1072" s="1">
        <f t="shared" ca="1" si="147"/>
        <v>46064</v>
      </c>
      <c r="O1072" s="6">
        <f t="shared" ca="1" si="148"/>
        <v>6</v>
      </c>
      <c r="P1072">
        <v>1</v>
      </c>
      <c r="Q1072">
        <f t="shared" si="149"/>
        <v>43031</v>
      </c>
      <c r="R1072" s="2">
        <f t="shared" si="150"/>
        <v>21515.5</v>
      </c>
      <c r="S1072" s="2" t="str">
        <f t="shared" si="151"/>
        <v xml:space="preserve"> Not Achieved</v>
      </c>
      <c r="T1072" s="2" t="str">
        <f t="shared" si="152"/>
        <v>Average</v>
      </c>
      <c r="U1072" s="2"/>
    </row>
    <row r="1073" spans="1:21" x14ac:dyDescent="0.3">
      <c r="A1073">
        <v>1072</v>
      </c>
      <c r="B1073" t="s">
        <v>1622</v>
      </c>
      <c r="C1073" t="str">
        <f t="shared" si="144"/>
        <v>EMP_1072</v>
      </c>
      <c r="D1073" t="s">
        <v>11</v>
      </c>
      <c r="E1073" t="str">
        <f t="shared" si="145"/>
        <v>EMP_1072HR</v>
      </c>
      <c r="F1073" t="s">
        <v>12</v>
      </c>
      <c r="G1073" t="s">
        <v>19</v>
      </c>
      <c r="H1073">
        <v>50494</v>
      </c>
      <c r="I1073">
        <v>2067</v>
      </c>
      <c r="J1073">
        <v>0</v>
      </c>
      <c r="K1073">
        <v>0</v>
      </c>
      <c r="L1073" s="4" t="s">
        <v>1623</v>
      </c>
      <c r="M1073" s="4" t="str">
        <f t="shared" si="146"/>
        <v>7/29/2021</v>
      </c>
      <c r="N1073" s="1">
        <f t="shared" ca="1" si="147"/>
        <v>46064</v>
      </c>
      <c r="O1073" s="6" t="e">
        <f t="shared" ca="1" si="148"/>
        <v>#VALUE!</v>
      </c>
      <c r="P1073">
        <v>4</v>
      </c>
      <c r="Q1073">
        <f t="shared" si="149"/>
        <v>52561</v>
      </c>
      <c r="R1073" s="2">
        <f t="shared" si="150"/>
        <v>26280.5</v>
      </c>
      <c r="S1073" s="2" t="str">
        <f t="shared" si="151"/>
        <v xml:space="preserve"> Not Achieved</v>
      </c>
      <c r="T1073" s="2" t="str">
        <f t="shared" si="152"/>
        <v xml:space="preserve"> Excellent</v>
      </c>
      <c r="U1073" s="2"/>
    </row>
    <row r="1074" spans="1:21" x14ac:dyDescent="0.3">
      <c r="A1074">
        <v>1073</v>
      </c>
      <c r="B1074" t="s">
        <v>1624</v>
      </c>
      <c r="C1074" t="str">
        <f t="shared" si="144"/>
        <v>EMP_1073</v>
      </c>
      <c r="D1074" t="s">
        <v>11</v>
      </c>
      <c r="E1074" t="str">
        <f t="shared" si="145"/>
        <v>EMP_1073Marketing</v>
      </c>
      <c r="F1074" t="s">
        <v>24</v>
      </c>
      <c r="G1074" t="s">
        <v>19</v>
      </c>
      <c r="H1074">
        <v>32604</v>
      </c>
      <c r="I1074">
        <v>7396</v>
      </c>
      <c r="J1074">
        <v>0</v>
      </c>
      <c r="K1074">
        <v>0</v>
      </c>
      <c r="L1074" s="4" t="s">
        <v>397</v>
      </c>
      <c r="M1074" s="4" t="str">
        <f t="shared" si="146"/>
        <v>2/17/2024</v>
      </c>
      <c r="N1074" s="1">
        <f t="shared" ca="1" si="147"/>
        <v>46064</v>
      </c>
      <c r="O1074" s="6" t="e">
        <f t="shared" ca="1" si="148"/>
        <v>#VALUE!</v>
      </c>
      <c r="P1074">
        <v>3</v>
      </c>
      <c r="Q1074">
        <f t="shared" si="149"/>
        <v>40000</v>
      </c>
      <c r="R1074" s="2">
        <f t="shared" si="150"/>
        <v>20000</v>
      </c>
      <c r="S1074" s="2" t="str">
        <f t="shared" si="151"/>
        <v xml:space="preserve"> Not Achieved</v>
      </c>
      <c r="T1074" s="2" t="str">
        <f t="shared" si="152"/>
        <v>Average</v>
      </c>
      <c r="U1074" s="2"/>
    </row>
    <row r="1075" spans="1:21" x14ac:dyDescent="0.3">
      <c r="A1075">
        <v>1074</v>
      </c>
      <c r="B1075" t="s">
        <v>1625</v>
      </c>
      <c r="C1075" t="str">
        <f t="shared" si="144"/>
        <v>EMP_1074</v>
      </c>
      <c r="D1075" t="s">
        <v>15</v>
      </c>
      <c r="E1075" t="str">
        <f t="shared" si="145"/>
        <v>EMP_1074Sales</v>
      </c>
      <c r="F1075" t="s">
        <v>7</v>
      </c>
      <c r="G1075" t="s">
        <v>19</v>
      </c>
      <c r="H1075">
        <v>39050</v>
      </c>
      <c r="I1075">
        <v>7688</v>
      </c>
      <c r="J1075">
        <v>216911</v>
      </c>
      <c r="K1075">
        <v>234267</v>
      </c>
      <c r="L1075" s="4">
        <v>44167</v>
      </c>
      <c r="M1075" s="4" t="str">
        <f t="shared" si="146"/>
        <v>2020</v>
      </c>
      <c r="N1075" s="1">
        <f t="shared" ca="1" si="147"/>
        <v>46064</v>
      </c>
      <c r="O1075" s="6">
        <f t="shared" ca="1" si="148"/>
        <v>5</v>
      </c>
      <c r="P1075">
        <v>3</v>
      </c>
      <c r="Q1075">
        <f t="shared" si="149"/>
        <v>46738</v>
      </c>
      <c r="R1075" s="2">
        <f t="shared" si="150"/>
        <v>23369</v>
      </c>
      <c r="S1075" s="2" t="str">
        <f t="shared" si="151"/>
        <v xml:space="preserve"> Not Achieved</v>
      </c>
      <c r="T1075" s="2" t="str">
        <f t="shared" si="152"/>
        <v>Average</v>
      </c>
      <c r="U1075" s="2"/>
    </row>
    <row r="1076" spans="1:21" x14ac:dyDescent="0.3">
      <c r="A1076">
        <v>1075</v>
      </c>
      <c r="B1076" t="s">
        <v>1626</v>
      </c>
      <c r="C1076" t="str">
        <f t="shared" si="144"/>
        <v>EMP_1075</v>
      </c>
      <c r="D1076" t="s">
        <v>11</v>
      </c>
      <c r="E1076" t="str">
        <f t="shared" si="145"/>
        <v>EMP_1075Sales</v>
      </c>
      <c r="F1076" t="s">
        <v>7</v>
      </c>
      <c r="G1076" t="s">
        <v>13</v>
      </c>
      <c r="H1076">
        <v>44193</v>
      </c>
      <c r="I1076">
        <v>4969</v>
      </c>
      <c r="J1076">
        <v>216328</v>
      </c>
      <c r="K1076">
        <v>125357</v>
      </c>
      <c r="L1076" s="4" t="s">
        <v>1627</v>
      </c>
      <c r="M1076" s="4" t="str">
        <f t="shared" si="146"/>
        <v>11/15/2021</v>
      </c>
      <c r="N1076" s="1">
        <f t="shared" ca="1" si="147"/>
        <v>46064</v>
      </c>
      <c r="O1076" s="6" t="e">
        <f t="shared" ca="1" si="148"/>
        <v>#VALUE!</v>
      </c>
      <c r="P1076">
        <v>1</v>
      </c>
      <c r="Q1076">
        <f t="shared" si="149"/>
        <v>49162</v>
      </c>
      <c r="R1076" s="2">
        <f t="shared" si="150"/>
        <v>24581</v>
      </c>
      <c r="S1076" s="2" t="str">
        <f t="shared" si="151"/>
        <v>Achieved</v>
      </c>
      <c r="T1076" s="2" t="str">
        <f t="shared" si="152"/>
        <v>Good</v>
      </c>
      <c r="U1076" s="2"/>
    </row>
    <row r="1077" spans="1:21" x14ac:dyDescent="0.3">
      <c r="A1077">
        <v>1076</v>
      </c>
      <c r="B1077" t="s">
        <v>1628</v>
      </c>
      <c r="C1077" t="str">
        <f t="shared" si="144"/>
        <v>EMP_1076</v>
      </c>
      <c r="D1077" t="s">
        <v>11</v>
      </c>
      <c r="E1077" t="str">
        <f t="shared" si="145"/>
        <v>EMP_1076HR</v>
      </c>
      <c r="F1077" t="s">
        <v>12</v>
      </c>
      <c r="G1077" t="s">
        <v>16</v>
      </c>
      <c r="H1077">
        <v>53354</v>
      </c>
      <c r="I1077">
        <v>2390</v>
      </c>
      <c r="J1077">
        <v>0</v>
      </c>
      <c r="K1077">
        <v>0</v>
      </c>
      <c r="L1077" s="4">
        <v>43770</v>
      </c>
      <c r="M1077" s="4" t="str">
        <f t="shared" si="146"/>
        <v>2019</v>
      </c>
      <c r="N1077" s="1">
        <f t="shared" ca="1" si="147"/>
        <v>46064</v>
      </c>
      <c r="O1077" s="6">
        <f t="shared" ca="1" si="148"/>
        <v>6</v>
      </c>
      <c r="P1077">
        <v>2</v>
      </c>
      <c r="Q1077">
        <f t="shared" si="149"/>
        <v>55744</v>
      </c>
      <c r="R1077" s="2">
        <f t="shared" si="150"/>
        <v>27872</v>
      </c>
      <c r="S1077" s="2" t="str">
        <f t="shared" si="151"/>
        <v xml:space="preserve"> Not Achieved</v>
      </c>
      <c r="T1077" s="2" t="str">
        <f t="shared" si="152"/>
        <v xml:space="preserve"> Excellent</v>
      </c>
      <c r="U1077" s="2"/>
    </row>
    <row r="1078" spans="1:21" x14ac:dyDescent="0.3">
      <c r="A1078">
        <v>1077</v>
      </c>
      <c r="B1078" t="s">
        <v>1629</v>
      </c>
      <c r="C1078" t="str">
        <f t="shared" si="144"/>
        <v>EMP_1077</v>
      </c>
      <c r="D1078" t="s">
        <v>11</v>
      </c>
      <c r="E1078" t="str">
        <f t="shared" si="145"/>
        <v>EMP_1077IT</v>
      </c>
      <c r="F1078" t="s">
        <v>21</v>
      </c>
      <c r="G1078" t="s">
        <v>19</v>
      </c>
      <c r="H1078">
        <v>49174</v>
      </c>
      <c r="I1078">
        <v>4034</v>
      </c>
      <c r="J1078">
        <v>0</v>
      </c>
      <c r="K1078">
        <v>0</v>
      </c>
      <c r="L1078" s="4" t="s">
        <v>1630</v>
      </c>
      <c r="M1078" s="4" t="str">
        <f t="shared" si="146"/>
        <v>7/24/2021</v>
      </c>
      <c r="N1078" s="1">
        <f t="shared" ca="1" si="147"/>
        <v>46064</v>
      </c>
      <c r="O1078" s="6" t="e">
        <f t="shared" ca="1" si="148"/>
        <v>#VALUE!</v>
      </c>
      <c r="P1078">
        <v>2</v>
      </c>
      <c r="Q1078">
        <f t="shared" si="149"/>
        <v>53208</v>
      </c>
      <c r="R1078" s="2">
        <f t="shared" si="150"/>
        <v>26604</v>
      </c>
      <c r="S1078" s="2" t="str">
        <f t="shared" si="151"/>
        <v xml:space="preserve"> Not Achieved</v>
      </c>
      <c r="T1078" s="2" t="str">
        <f t="shared" si="152"/>
        <v>Good</v>
      </c>
      <c r="U1078" s="2"/>
    </row>
    <row r="1079" spans="1:21" x14ac:dyDescent="0.3">
      <c r="A1079">
        <v>1078</v>
      </c>
      <c r="B1079" t="s">
        <v>1631</v>
      </c>
      <c r="C1079" t="str">
        <f t="shared" si="144"/>
        <v>EMP_1078</v>
      </c>
      <c r="D1079" t="s">
        <v>11</v>
      </c>
      <c r="E1079" t="str">
        <f t="shared" si="145"/>
        <v>EMP_1078HR</v>
      </c>
      <c r="F1079" t="s">
        <v>12</v>
      </c>
      <c r="G1079" t="s">
        <v>19</v>
      </c>
      <c r="H1079">
        <v>64504</v>
      </c>
      <c r="I1079">
        <v>9731</v>
      </c>
      <c r="J1079">
        <v>0</v>
      </c>
      <c r="K1079">
        <v>0</v>
      </c>
      <c r="L1079" s="4">
        <v>43557</v>
      </c>
      <c r="M1079" s="4" t="str">
        <f t="shared" si="146"/>
        <v>2019</v>
      </c>
      <c r="N1079" s="1">
        <f t="shared" ca="1" si="147"/>
        <v>46064</v>
      </c>
      <c r="O1079" s="6">
        <f t="shared" ca="1" si="148"/>
        <v>6</v>
      </c>
      <c r="P1079">
        <v>4</v>
      </c>
      <c r="Q1079">
        <f t="shared" si="149"/>
        <v>74235</v>
      </c>
      <c r="R1079" s="2">
        <f t="shared" si="150"/>
        <v>37117.5</v>
      </c>
      <c r="S1079" s="2" t="str">
        <f t="shared" si="151"/>
        <v xml:space="preserve"> Not Achieved</v>
      </c>
      <c r="T1079" s="2" t="str">
        <f t="shared" si="152"/>
        <v xml:space="preserve"> Excellent</v>
      </c>
      <c r="U1079" s="2"/>
    </row>
    <row r="1080" spans="1:21" x14ac:dyDescent="0.3">
      <c r="A1080">
        <v>1079</v>
      </c>
      <c r="B1080" t="s">
        <v>1632</v>
      </c>
      <c r="C1080" t="str">
        <f t="shared" si="144"/>
        <v>EMP_1079</v>
      </c>
      <c r="D1080" t="s">
        <v>15</v>
      </c>
      <c r="E1080" t="str">
        <f t="shared" si="145"/>
        <v>EMP_1079IT</v>
      </c>
      <c r="F1080" t="s">
        <v>21</v>
      </c>
      <c r="G1080" t="s">
        <v>25</v>
      </c>
      <c r="H1080">
        <v>36611</v>
      </c>
      <c r="I1080">
        <v>8005</v>
      </c>
      <c r="J1080">
        <v>0</v>
      </c>
      <c r="K1080">
        <v>0</v>
      </c>
      <c r="L1080" s="4" t="s">
        <v>1633</v>
      </c>
      <c r="M1080" s="4" t="str">
        <f t="shared" si="146"/>
        <v>10/26/2019</v>
      </c>
      <c r="N1080" s="1">
        <f t="shared" ca="1" si="147"/>
        <v>46064</v>
      </c>
      <c r="O1080" s="6" t="e">
        <f t="shared" ca="1" si="148"/>
        <v>#VALUE!</v>
      </c>
      <c r="P1080">
        <v>4</v>
      </c>
      <c r="Q1080">
        <f t="shared" si="149"/>
        <v>44616</v>
      </c>
      <c r="R1080" s="2">
        <f t="shared" si="150"/>
        <v>22308</v>
      </c>
      <c r="S1080" s="2" t="str">
        <f t="shared" si="151"/>
        <v xml:space="preserve"> Not Achieved</v>
      </c>
      <c r="T1080" s="2" t="str">
        <f t="shared" si="152"/>
        <v>Average</v>
      </c>
      <c r="U1080" s="2"/>
    </row>
    <row r="1081" spans="1:21" x14ac:dyDescent="0.3">
      <c r="A1081">
        <v>1080</v>
      </c>
      <c r="B1081" t="s">
        <v>1634</v>
      </c>
      <c r="C1081" t="str">
        <f t="shared" si="144"/>
        <v>EMP_1080</v>
      </c>
      <c r="D1081" t="s">
        <v>15</v>
      </c>
      <c r="E1081" t="str">
        <f t="shared" si="145"/>
        <v>EMP_1080Marketing</v>
      </c>
      <c r="F1081" t="s">
        <v>24</v>
      </c>
      <c r="G1081" t="s">
        <v>19</v>
      </c>
      <c r="H1081">
        <v>62101</v>
      </c>
      <c r="I1081">
        <v>5218</v>
      </c>
      <c r="J1081">
        <v>0</v>
      </c>
      <c r="K1081">
        <v>0</v>
      </c>
      <c r="L1081" s="4" t="s">
        <v>85</v>
      </c>
      <c r="M1081" s="4" t="str">
        <f t="shared" si="146"/>
        <v>11/23/2024</v>
      </c>
      <c r="N1081" s="1">
        <f t="shared" ca="1" si="147"/>
        <v>46064</v>
      </c>
      <c r="O1081" s="6" t="e">
        <f t="shared" ca="1" si="148"/>
        <v>#VALUE!</v>
      </c>
      <c r="P1081">
        <v>5</v>
      </c>
      <c r="Q1081">
        <f t="shared" si="149"/>
        <v>67319</v>
      </c>
      <c r="R1081" s="2">
        <f t="shared" si="150"/>
        <v>33659.5</v>
      </c>
      <c r="S1081" s="2" t="str">
        <f t="shared" si="151"/>
        <v xml:space="preserve"> Not Achieved</v>
      </c>
      <c r="T1081" s="2" t="str">
        <f t="shared" si="152"/>
        <v xml:space="preserve"> Excellent</v>
      </c>
      <c r="U1081" s="2"/>
    </row>
    <row r="1082" spans="1:21" x14ac:dyDescent="0.3">
      <c r="A1082">
        <v>1081</v>
      </c>
      <c r="B1082" t="s">
        <v>1635</v>
      </c>
      <c r="C1082" t="str">
        <f t="shared" si="144"/>
        <v>EMP_1081</v>
      </c>
      <c r="D1082" t="s">
        <v>11</v>
      </c>
      <c r="E1082" t="str">
        <f t="shared" si="145"/>
        <v>EMP_1081Finance</v>
      </c>
      <c r="F1082" t="s">
        <v>18</v>
      </c>
      <c r="G1082" t="s">
        <v>16</v>
      </c>
      <c r="H1082">
        <v>62110</v>
      </c>
      <c r="I1082">
        <v>8157</v>
      </c>
      <c r="J1082">
        <v>0</v>
      </c>
      <c r="K1082">
        <v>0</v>
      </c>
      <c r="L1082" s="4">
        <v>45627</v>
      </c>
      <c r="M1082" s="4" t="str">
        <f t="shared" si="146"/>
        <v>2024</v>
      </c>
      <c r="N1082" s="1">
        <f t="shared" ca="1" si="147"/>
        <v>46064</v>
      </c>
      <c r="O1082" s="6">
        <f t="shared" ca="1" si="148"/>
        <v>1</v>
      </c>
      <c r="P1082">
        <v>4</v>
      </c>
      <c r="Q1082">
        <f t="shared" si="149"/>
        <v>70267</v>
      </c>
      <c r="R1082" s="2">
        <f t="shared" si="150"/>
        <v>35133.5</v>
      </c>
      <c r="S1082" s="2" t="str">
        <f t="shared" si="151"/>
        <v xml:space="preserve"> Not Achieved</v>
      </c>
      <c r="T1082" s="2" t="str">
        <f t="shared" si="152"/>
        <v xml:space="preserve"> Excellent</v>
      </c>
      <c r="U1082" s="2"/>
    </row>
    <row r="1083" spans="1:21" x14ac:dyDescent="0.3">
      <c r="A1083">
        <v>1082</v>
      </c>
      <c r="B1083" t="s">
        <v>1636</v>
      </c>
      <c r="C1083" t="str">
        <f t="shared" si="144"/>
        <v>EMP_1082</v>
      </c>
      <c r="D1083" t="s">
        <v>11</v>
      </c>
      <c r="E1083" t="str">
        <f t="shared" si="145"/>
        <v>EMP_1082IT</v>
      </c>
      <c r="F1083" t="s">
        <v>21</v>
      </c>
      <c r="G1083" t="s">
        <v>13</v>
      </c>
      <c r="H1083">
        <v>70553</v>
      </c>
      <c r="I1083">
        <v>11640</v>
      </c>
      <c r="J1083">
        <v>0</v>
      </c>
      <c r="K1083">
        <v>0</v>
      </c>
      <c r="L1083" s="4">
        <v>44966</v>
      </c>
      <c r="M1083" s="4" t="str">
        <f t="shared" si="146"/>
        <v>2023</v>
      </c>
      <c r="N1083" s="1">
        <f t="shared" ca="1" si="147"/>
        <v>46064</v>
      </c>
      <c r="O1083" s="6">
        <f t="shared" ca="1" si="148"/>
        <v>3</v>
      </c>
      <c r="P1083">
        <v>5</v>
      </c>
      <c r="Q1083">
        <f t="shared" si="149"/>
        <v>82193</v>
      </c>
      <c r="R1083" s="2">
        <f t="shared" si="150"/>
        <v>41096.5</v>
      </c>
      <c r="S1083" s="2" t="str">
        <f t="shared" si="151"/>
        <v xml:space="preserve"> Not Achieved</v>
      </c>
      <c r="T1083" s="2" t="str">
        <f t="shared" si="152"/>
        <v xml:space="preserve"> Excellent</v>
      </c>
      <c r="U1083" s="2"/>
    </row>
    <row r="1084" spans="1:21" x14ac:dyDescent="0.3">
      <c r="A1084">
        <v>1083</v>
      </c>
      <c r="B1084" t="s">
        <v>1637</v>
      </c>
      <c r="C1084" t="str">
        <f t="shared" si="144"/>
        <v>EMP_1083</v>
      </c>
      <c r="D1084" t="s">
        <v>11</v>
      </c>
      <c r="E1084" t="str">
        <f t="shared" si="145"/>
        <v>EMP_1083HR</v>
      </c>
      <c r="F1084" t="s">
        <v>12</v>
      </c>
      <c r="G1084" t="s">
        <v>16</v>
      </c>
      <c r="H1084">
        <v>29634</v>
      </c>
      <c r="I1084">
        <v>11675</v>
      </c>
      <c r="J1084">
        <v>0</v>
      </c>
      <c r="K1084">
        <v>0</v>
      </c>
      <c r="L1084" s="4" t="s">
        <v>1638</v>
      </c>
      <c r="M1084" s="4" t="str">
        <f t="shared" si="146"/>
        <v>10/25/2018</v>
      </c>
      <c r="N1084" s="1">
        <f t="shared" ca="1" si="147"/>
        <v>46064</v>
      </c>
      <c r="O1084" s="6" t="e">
        <f t="shared" ca="1" si="148"/>
        <v>#VALUE!</v>
      </c>
      <c r="P1084">
        <v>1</v>
      </c>
      <c r="Q1084">
        <f t="shared" si="149"/>
        <v>41309</v>
      </c>
      <c r="R1084" s="2">
        <f t="shared" si="150"/>
        <v>20654.5</v>
      </c>
      <c r="S1084" s="2" t="str">
        <f t="shared" si="151"/>
        <v xml:space="preserve"> Not Achieved</v>
      </c>
      <c r="T1084" s="2" t="str">
        <f t="shared" si="152"/>
        <v>poor</v>
      </c>
      <c r="U1084" s="2"/>
    </row>
    <row r="1085" spans="1:21" x14ac:dyDescent="0.3">
      <c r="A1085">
        <v>1084</v>
      </c>
      <c r="B1085" t="s">
        <v>1639</v>
      </c>
      <c r="C1085" t="str">
        <f t="shared" si="144"/>
        <v>EMP_1084</v>
      </c>
      <c r="D1085" t="s">
        <v>11</v>
      </c>
      <c r="E1085" t="str">
        <f t="shared" si="145"/>
        <v>EMP_1084HR</v>
      </c>
      <c r="F1085" t="s">
        <v>12</v>
      </c>
      <c r="G1085" t="s">
        <v>22</v>
      </c>
      <c r="H1085">
        <v>31665</v>
      </c>
      <c r="I1085">
        <v>4106</v>
      </c>
      <c r="J1085">
        <v>0</v>
      </c>
      <c r="K1085">
        <v>0</v>
      </c>
      <c r="L1085" s="4" t="s">
        <v>1640</v>
      </c>
      <c r="M1085" s="4" t="str">
        <f t="shared" si="146"/>
        <v>3/27/2019</v>
      </c>
      <c r="N1085" s="1">
        <f t="shared" ca="1" si="147"/>
        <v>46064</v>
      </c>
      <c r="O1085" s="6" t="e">
        <f t="shared" ca="1" si="148"/>
        <v>#VALUE!</v>
      </c>
      <c r="P1085">
        <v>4</v>
      </c>
      <c r="Q1085">
        <f t="shared" si="149"/>
        <v>35771</v>
      </c>
      <c r="R1085" s="2">
        <f t="shared" si="150"/>
        <v>17885.5</v>
      </c>
      <c r="S1085" s="2" t="str">
        <f t="shared" si="151"/>
        <v xml:space="preserve"> Not Achieved</v>
      </c>
      <c r="T1085" s="2" t="str">
        <f t="shared" si="152"/>
        <v>Average</v>
      </c>
      <c r="U1085" s="2"/>
    </row>
    <row r="1086" spans="1:21" x14ac:dyDescent="0.3">
      <c r="A1086">
        <v>1085</v>
      </c>
      <c r="B1086" t="s">
        <v>1641</v>
      </c>
      <c r="C1086" t="str">
        <f t="shared" si="144"/>
        <v>EMP_1085</v>
      </c>
      <c r="D1086" t="s">
        <v>15</v>
      </c>
      <c r="E1086" t="str">
        <f t="shared" si="145"/>
        <v>EMP_1085Finance</v>
      </c>
      <c r="F1086" t="s">
        <v>18</v>
      </c>
      <c r="G1086" t="s">
        <v>25</v>
      </c>
      <c r="H1086">
        <v>33476</v>
      </c>
      <c r="I1086">
        <v>10266</v>
      </c>
      <c r="J1086">
        <v>0</v>
      </c>
      <c r="K1086">
        <v>0</v>
      </c>
      <c r="L1086" s="4">
        <v>44812</v>
      </c>
      <c r="M1086" s="4" t="str">
        <f t="shared" si="146"/>
        <v>2022</v>
      </c>
      <c r="N1086" s="1">
        <f t="shared" ca="1" si="147"/>
        <v>46064</v>
      </c>
      <c r="O1086" s="6">
        <f t="shared" ca="1" si="148"/>
        <v>3</v>
      </c>
      <c r="P1086">
        <v>4</v>
      </c>
      <c r="Q1086">
        <f t="shared" si="149"/>
        <v>43742</v>
      </c>
      <c r="R1086" s="2">
        <f t="shared" si="150"/>
        <v>21871</v>
      </c>
      <c r="S1086" s="2" t="str">
        <f t="shared" si="151"/>
        <v xml:space="preserve"> Not Achieved</v>
      </c>
      <c r="T1086" s="2" t="str">
        <f t="shared" si="152"/>
        <v>Average</v>
      </c>
      <c r="U1086" s="2"/>
    </row>
    <row r="1087" spans="1:21" x14ac:dyDescent="0.3">
      <c r="A1087">
        <v>1086</v>
      </c>
      <c r="B1087" t="s">
        <v>1642</v>
      </c>
      <c r="C1087" t="str">
        <f t="shared" si="144"/>
        <v>EMP_1086</v>
      </c>
      <c r="D1087" t="s">
        <v>15</v>
      </c>
      <c r="E1087" t="str">
        <f t="shared" si="145"/>
        <v>EMP_1086Finance</v>
      </c>
      <c r="F1087" t="s">
        <v>18</v>
      </c>
      <c r="G1087" t="s">
        <v>25</v>
      </c>
      <c r="H1087">
        <v>42062</v>
      </c>
      <c r="I1087">
        <v>9442</v>
      </c>
      <c r="J1087">
        <v>0</v>
      </c>
      <c r="K1087">
        <v>0</v>
      </c>
      <c r="L1087" s="4" t="s">
        <v>1643</v>
      </c>
      <c r="M1087" s="4" t="str">
        <f t="shared" si="146"/>
        <v>3/13/2018</v>
      </c>
      <c r="N1087" s="1">
        <f t="shared" ca="1" si="147"/>
        <v>46064</v>
      </c>
      <c r="O1087" s="6" t="e">
        <f t="shared" ca="1" si="148"/>
        <v>#VALUE!</v>
      </c>
      <c r="P1087">
        <v>2</v>
      </c>
      <c r="Q1087">
        <f t="shared" si="149"/>
        <v>51504</v>
      </c>
      <c r="R1087" s="2">
        <f t="shared" si="150"/>
        <v>25752</v>
      </c>
      <c r="S1087" s="2" t="str">
        <f t="shared" si="151"/>
        <v xml:space="preserve"> Not Achieved</v>
      </c>
      <c r="T1087" s="2" t="str">
        <f t="shared" si="152"/>
        <v>Good</v>
      </c>
      <c r="U1087" s="2"/>
    </row>
    <row r="1088" spans="1:21" x14ac:dyDescent="0.3">
      <c r="A1088">
        <v>1087</v>
      </c>
      <c r="B1088" t="s">
        <v>1644</v>
      </c>
      <c r="C1088" t="str">
        <f t="shared" si="144"/>
        <v>EMP_1087</v>
      </c>
      <c r="D1088" t="s">
        <v>15</v>
      </c>
      <c r="E1088" t="str">
        <f t="shared" si="145"/>
        <v>EMP_1087IT</v>
      </c>
      <c r="F1088" t="s">
        <v>21</v>
      </c>
      <c r="G1088" t="s">
        <v>16</v>
      </c>
      <c r="H1088">
        <v>48228</v>
      </c>
      <c r="I1088">
        <v>9072</v>
      </c>
      <c r="J1088">
        <v>0</v>
      </c>
      <c r="K1088">
        <v>0</v>
      </c>
      <c r="L1088" s="4" t="s">
        <v>1645</v>
      </c>
      <c r="M1088" s="4" t="str">
        <f t="shared" si="146"/>
        <v>10/16/2019</v>
      </c>
      <c r="N1088" s="1">
        <f t="shared" ca="1" si="147"/>
        <v>46064</v>
      </c>
      <c r="O1088" s="6" t="e">
        <f t="shared" ca="1" si="148"/>
        <v>#VALUE!</v>
      </c>
      <c r="P1088">
        <v>4</v>
      </c>
      <c r="Q1088">
        <f t="shared" si="149"/>
        <v>57300</v>
      </c>
      <c r="R1088" s="2">
        <f t="shared" si="150"/>
        <v>28650</v>
      </c>
      <c r="S1088" s="2" t="str">
        <f t="shared" si="151"/>
        <v xml:space="preserve"> Not Achieved</v>
      </c>
      <c r="T1088" s="2" t="str">
        <f t="shared" si="152"/>
        <v>Good</v>
      </c>
      <c r="U1088" s="2"/>
    </row>
    <row r="1089" spans="1:21" x14ac:dyDescent="0.3">
      <c r="A1089">
        <v>1088</v>
      </c>
      <c r="B1089" t="s">
        <v>1646</v>
      </c>
      <c r="C1089" t="str">
        <f t="shared" si="144"/>
        <v>EMP_1088</v>
      </c>
      <c r="D1089" t="s">
        <v>11</v>
      </c>
      <c r="E1089" t="str">
        <f t="shared" si="145"/>
        <v>EMP_1088Finance</v>
      </c>
      <c r="F1089" t="s">
        <v>18</v>
      </c>
      <c r="G1089" t="s">
        <v>22</v>
      </c>
      <c r="H1089">
        <v>79819</v>
      </c>
      <c r="I1089">
        <v>6950</v>
      </c>
      <c r="J1089">
        <v>0</v>
      </c>
      <c r="K1089">
        <v>0</v>
      </c>
      <c r="L1089" s="4">
        <v>43748</v>
      </c>
      <c r="M1089" s="4" t="str">
        <f t="shared" si="146"/>
        <v>2019</v>
      </c>
      <c r="N1089" s="1">
        <f t="shared" ca="1" si="147"/>
        <v>46064</v>
      </c>
      <c r="O1089" s="6">
        <f t="shared" ca="1" si="148"/>
        <v>6</v>
      </c>
      <c r="P1089">
        <v>1</v>
      </c>
      <c r="Q1089">
        <f t="shared" si="149"/>
        <v>86769</v>
      </c>
      <c r="R1089" s="2">
        <f t="shared" si="150"/>
        <v>43384.5</v>
      </c>
      <c r="S1089" s="2" t="str">
        <f t="shared" si="151"/>
        <v xml:space="preserve"> Not Achieved</v>
      </c>
      <c r="T1089" s="2" t="str">
        <f t="shared" si="152"/>
        <v xml:space="preserve"> Excellent</v>
      </c>
      <c r="U1089" s="2"/>
    </row>
    <row r="1090" spans="1:21" x14ac:dyDescent="0.3">
      <c r="A1090">
        <v>1089</v>
      </c>
      <c r="B1090" t="s">
        <v>1647</v>
      </c>
      <c r="C1090" t="str">
        <f t="shared" si="144"/>
        <v>EMP_1089</v>
      </c>
      <c r="D1090" t="s">
        <v>15</v>
      </c>
      <c r="E1090" t="str">
        <f t="shared" si="145"/>
        <v>EMP_1089HR</v>
      </c>
      <c r="F1090" t="s">
        <v>12</v>
      </c>
      <c r="G1090" t="s">
        <v>16</v>
      </c>
      <c r="H1090">
        <v>23967</v>
      </c>
      <c r="I1090">
        <v>7246</v>
      </c>
      <c r="J1090">
        <v>0</v>
      </c>
      <c r="K1090">
        <v>0</v>
      </c>
      <c r="L1090" s="4" t="s">
        <v>1045</v>
      </c>
      <c r="M1090" s="4" t="str">
        <f t="shared" si="146"/>
        <v>12/17/2024</v>
      </c>
      <c r="N1090" s="1">
        <f t="shared" ca="1" si="147"/>
        <v>46064</v>
      </c>
      <c r="O1090" s="6" t="e">
        <f t="shared" ca="1" si="148"/>
        <v>#VALUE!</v>
      </c>
      <c r="P1090">
        <v>2</v>
      </c>
      <c r="Q1090">
        <f t="shared" si="149"/>
        <v>31213</v>
      </c>
      <c r="R1090" s="2">
        <f t="shared" si="150"/>
        <v>15606.5</v>
      </c>
      <c r="S1090" s="2" t="str">
        <f t="shared" si="151"/>
        <v xml:space="preserve"> Not Achieved</v>
      </c>
      <c r="T1090" s="2" t="str">
        <f t="shared" si="152"/>
        <v>poor</v>
      </c>
      <c r="U1090" s="2"/>
    </row>
    <row r="1091" spans="1:21" x14ac:dyDescent="0.3">
      <c r="A1091">
        <v>1090</v>
      </c>
      <c r="B1091" t="s">
        <v>1648</v>
      </c>
      <c r="C1091" t="str">
        <f t="shared" ref="C1091:C1154" si="153">UPPER(B1091)</f>
        <v>EMP_1090</v>
      </c>
      <c r="D1091" t="s">
        <v>15</v>
      </c>
      <c r="E1091" t="str">
        <f t="shared" ref="E1091:E1154" si="154">_xlfn.CONCAT(C1091,F1091)</f>
        <v>EMP_1090Marketing</v>
      </c>
      <c r="F1091" t="s">
        <v>24</v>
      </c>
      <c r="G1091" t="s">
        <v>16</v>
      </c>
      <c r="H1091">
        <v>79837</v>
      </c>
      <c r="I1091">
        <v>3648</v>
      </c>
      <c r="J1091">
        <v>0</v>
      </c>
      <c r="K1091">
        <v>0</v>
      </c>
      <c r="L1091" s="4" t="s">
        <v>1052</v>
      </c>
      <c r="M1091" s="4" t="str">
        <f t="shared" ref="M1091:M1154" si="155">TEXT(L1091,"yyyy")</f>
        <v>7/25/2023</v>
      </c>
      <c r="N1091" s="1">
        <f t="shared" ref="N1091:N1154" ca="1" si="156">TODAY()</f>
        <v>46064</v>
      </c>
      <c r="O1091" s="6" t="e">
        <f t="shared" ref="O1091:O1154" ca="1" si="157">DATEDIF(L1091, TODAY(), "y")</f>
        <v>#VALUE!</v>
      </c>
      <c r="P1091">
        <v>3</v>
      </c>
      <c r="Q1091">
        <f t="shared" ref="Q1091:Q1154" si="158">SUM(H1091,I1091)</f>
        <v>83485</v>
      </c>
      <c r="R1091" s="2">
        <f t="shared" ref="R1091:R1154" si="159">AVERAGE(H1091,I1091)</f>
        <v>41742.5</v>
      </c>
      <c r="S1091" s="2" t="str">
        <f t="shared" ref="S1091:S1154" si="160">IF(J1091&gt;K1091,"Achieved"," Not Achieved")</f>
        <v xml:space="preserve"> Not Achieved</v>
      </c>
      <c r="T1091" s="2" t="str">
        <f t="shared" ref="T1091:T1154" si="161">_xlfn.IFS(H1091&gt;=50000," Excellent",H1091&gt;=40000,"Good",H1091&gt;=30000,"Average",H1091&lt;30000,"poor")</f>
        <v xml:space="preserve"> Excellent</v>
      </c>
      <c r="U1091" s="2"/>
    </row>
    <row r="1092" spans="1:21" x14ac:dyDescent="0.3">
      <c r="A1092">
        <v>1091</v>
      </c>
      <c r="B1092" t="s">
        <v>1649</v>
      </c>
      <c r="C1092" t="str">
        <f t="shared" si="153"/>
        <v>EMP_1091</v>
      </c>
      <c r="D1092" t="s">
        <v>11</v>
      </c>
      <c r="E1092" t="str">
        <f t="shared" si="154"/>
        <v>EMP_1091HR</v>
      </c>
      <c r="F1092" t="s">
        <v>12</v>
      </c>
      <c r="G1092" t="s">
        <v>25</v>
      </c>
      <c r="H1092">
        <v>27259</v>
      </c>
      <c r="I1092">
        <v>13145</v>
      </c>
      <c r="J1092">
        <v>0</v>
      </c>
      <c r="K1092">
        <v>0</v>
      </c>
      <c r="L1092" s="4">
        <v>45055</v>
      </c>
      <c r="M1092" s="4" t="str">
        <f t="shared" si="155"/>
        <v>2023</v>
      </c>
      <c r="N1092" s="1">
        <f t="shared" ca="1" si="156"/>
        <v>46064</v>
      </c>
      <c r="O1092" s="6">
        <f t="shared" ca="1" si="157"/>
        <v>2</v>
      </c>
      <c r="P1092">
        <v>4</v>
      </c>
      <c r="Q1092">
        <f t="shared" si="158"/>
        <v>40404</v>
      </c>
      <c r="R1092" s="2">
        <f t="shared" si="159"/>
        <v>20202</v>
      </c>
      <c r="S1092" s="2" t="str">
        <f t="shared" si="160"/>
        <v xml:space="preserve"> Not Achieved</v>
      </c>
      <c r="T1092" s="2" t="str">
        <f t="shared" si="161"/>
        <v>poor</v>
      </c>
      <c r="U1092" s="2"/>
    </row>
    <row r="1093" spans="1:21" x14ac:dyDescent="0.3">
      <c r="A1093">
        <v>1092</v>
      </c>
      <c r="B1093" t="s">
        <v>1650</v>
      </c>
      <c r="C1093" t="str">
        <f t="shared" si="153"/>
        <v>EMP_1092</v>
      </c>
      <c r="D1093" t="s">
        <v>15</v>
      </c>
      <c r="E1093" t="str">
        <f t="shared" si="154"/>
        <v>EMP_1092Marketing</v>
      </c>
      <c r="F1093" t="s">
        <v>24</v>
      </c>
      <c r="G1093" t="s">
        <v>19</v>
      </c>
      <c r="H1093">
        <v>24015</v>
      </c>
      <c r="I1093">
        <v>9403</v>
      </c>
      <c r="J1093">
        <v>0</v>
      </c>
      <c r="K1093">
        <v>0</v>
      </c>
      <c r="L1093" s="4" t="s">
        <v>1651</v>
      </c>
      <c r="M1093" s="4" t="str">
        <f t="shared" si="155"/>
        <v>8/27/2023</v>
      </c>
      <c r="N1093" s="1">
        <f t="shared" ca="1" si="156"/>
        <v>46064</v>
      </c>
      <c r="O1093" s="6" t="e">
        <f t="shared" ca="1" si="157"/>
        <v>#VALUE!</v>
      </c>
      <c r="P1093">
        <v>4</v>
      </c>
      <c r="Q1093">
        <f t="shared" si="158"/>
        <v>33418</v>
      </c>
      <c r="R1093" s="2">
        <f t="shared" si="159"/>
        <v>16709</v>
      </c>
      <c r="S1093" s="2" t="str">
        <f t="shared" si="160"/>
        <v xml:space="preserve"> Not Achieved</v>
      </c>
      <c r="T1093" s="2" t="str">
        <f t="shared" si="161"/>
        <v>poor</v>
      </c>
      <c r="U1093" s="2"/>
    </row>
    <row r="1094" spans="1:21" x14ac:dyDescent="0.3">
      <c r="A1094">
        <v>1093</v>
      </c>
      <c r="B1094" t="s">
        <v>1652</v>
      </c>
      <c r="C1094" t="str">
        <f t="shared" si="153"/>
        <v>EMP_1093</v>
      </c>
      <c r="D1094" t="s">
        <v>15</v>
      </c>
      <c r="E1094" t="str">
        <f t="shared" si="154"/>
        <v>EMP_1093Marketing</v>
      </c>
      <c r="F1094" t="s">
        <v>24</v>
      </c>
      <c r="G1094" t="s">
        <v>19</v>
      </c>
      <c r="H1094">
        <v>30605</v>
      </c>
      <c r="I1094">
        <v>7646</v>
      </c>
      <c r="J1094">
        <v>0</v>
      </c>
      <c r="K1094">
        <v>0</v>
      </c>
      <c r="L1094" s="4" t="s">
        <v>433</v>
      </c>
      <c r="M1094" s="4" t="str">
        <f t="shared" si="155"/>
        <v>9/17/2018</v>
      </c>
      <c r="N1094" s="1">
        <f t="shared" ca="1" si="156"/>
        <v>46064</v>
      </c>
      <c r="O1094" s="6" t="e">
        <f t="shared" ca="1" si="157"/>
        <v>#VALUE!</v>
      </c>
      <c r="P1094">
        <v>2</v>
      </c>
      <c r="Q1094">
        <f t="shared" si="158"/>
        <v>38251</v>
      </c>
      <c r="R1094" s="2">
        <f t="shared" si="159"/>
        <v>19125.5</v>
      </c>
      <c r="S1094" s="2" t="str">
        <f t="shared" si="160"/>
        <v xml:space="preserve"> Not Achieved</v>
      </c>
      <c r="T1094" s="2" t="str">
        <f t="shared" si="161"/>
        <v>Average</v>
      </c>
      <c r="U1094" s="2"/>
    </row>
    <row r="1095" spans="1:21" x14ac:dyDescent="0.3">
      <c r="A1095">
        <v>1094</v>
      </c>
      <c r="B1095" t="s">
        <v>1653</v>
      </c>
      <c r="C1095" t="str">
        <f t="shared" si="153"/>
        <v>EMP_1094</v>
      </c>
      <c r="D1095" t="s">
        <v>15</v>
      </c>
      <c r="E1095" t="str">
        <f t="shared" si="154"/>
        <v>EMP_1094IT</v>
      </c>
      <c r="F1095" t="s">
        <v>21</v>
      </c>
      <c r="G1095" t="s">
        <v>13</v>
      </c>
      <c r="H1095">
        <v>26055</v>
      </c>
      <c r="I1095">
        <v>10018</v>
      </c>
      <c r="J1095">
        <v>0</v>
      </c>
      <c r="K1095">
        <v>0</v>
      </c>
      <c r="L1095" s="4" t="s">
        <v>1654</v>
      </c>
      <c r="M1095" s="4" t="str">
        <f t="shared" si="155"/>
        <v>5/28/2021</v>
      </c>
      <c r="N1095" s="1">
        <f t="shared" ca="1" si="156"/>
        <v>46064</v>
      </c>
      <c r="O1095" s="6" t="e">
        <f t="shared" ca="1" si="157"/>
        <v>#VALUE!</v>
      </c>
      <c r="P1095">
        <v>2</v>
      </c>
      <c r="Q1095">
        <f t="shared" si="158"/>
        <v>36073</v>
      </c>
      <c r="R1095" s="2">
        <f t="shared" si="159"/>
        <v>18036.5</v>
      </c>
      <c r="S1095" s="2" t="str">
        <f t="shared" si="160"/>
        <v xml:space="preserve"> Not Achieved</v>
      </c>
      <c r="T1095" s="2" t="str">
        <f t="shared" si="161"/>
        <v>poor</v>
      </c>
      <c r="U1095" s="2"/>
    </row>
    <row r="1096" spans="1:21" x14ac:dyDescent="0.3">
      <c r="A1096">
        <v>1095</v>
      </c>
      <c r="B1096" t="s">
        <v>1655</v>
      </c>
      <c r="C1096" t="str">
        <f t="shared" si="153"/>
        <v>EMP_1095</v>
      </c>
      <c r="D1096" t="s">
        <v>11</v>
      </c>
      <c r="E1096" t="str">
        <f t="shared" si="154"/>
        <v>EMP_1095Sales</v>
      </c>
      <c r="F1096" t="s">
        <v>7</v>
      </c>
      <c r="G1096" t="s">
        <v>13</v>
      </c>
      <c r="H1096">
        <v>68694</v>
      </c>
      <c r="I1096">
        <v>5964</v>
      </c>
      <c r="J1096">
        <v>52951</v>
      </c>
      <c r="K1096">
        <v>186593</v>
      </c>
      <c r="L1096" s="4" t="s">
        <v>1656</v>
      </c>
      <c r="M1096" s="4" t="str">
        <f t="shared" si="155"/>
        <v>2/27/2022</v>
      </c>
      <c r="N1096" s="1">
        <f t="shared" ca="1" si="156"/>
        <v>46064</v>
      </c>
      <c r="O1096" s="6" t="e">
        <f t="shared" ca="1" si="157"/>
        <v>#VALUE!</v>
      </c>
      <c r="P1096">
        <v>2</v>
      </c>
      <c r="Q1096">
        <f t="shared" si="158"/>
        <v>74658</v>
      </c>
      <c r="R1096" s="2">
        <f t="shared" si="159"/>
        <v>37329</v>
      </c>
      <c r="S1096" s="2" t="str">
        <f t="shared" si="160"/>
        <v xml:space="preserve"> Not Achieved</v>
      </c>
      <c r="T1096" s="2" t="str">
        <f t="shared" si="161"/>
        <v xml:space="preserve"> Excellent</v>
      </c>
      <c r="U1096" s="2"/>
    </row>
    <row r="1097" spans="1:21" x14ac:dyDescent="0.3">
      <c r="A1097">
        <v>1096</v>
      </c>
      <c r="B1097" t="s">
        <v>1657</v>
      </c>
      <c r="C1097" t="str">
        <f t="shared" si="153"/>
        <v>EMP_1096</v>
      </c>
      <c r="D1097" t="s">
        <v>11</v>
      </c>
      <c r="E1097" t="str">
        <f t="shared" si="154"/>
        <v>EMP_1096HR</v>
      </c>
      <c r="F1097" t="s">
        <v>12</v>
      </c>
      <c r="G1097" t="s">
        <v>19</v>
      </c>
      <c r="H1097">
        <v>34214</v>
      </c>
      <c r="I1097">
        <v>10542</v>
      </c>
      <c r="J1097">
        <v>0</v>
      </c>
      <c r="K1097">
        <v>0</v>
      </c>
      <c r="L1097" s="4">
        <v>45171</v>
      </c>
      <c r="M1097" s="4" t="str">
        <f t="shared" si="155"/>
        <v>2023</v>
      </c>
      <c r="N1097" s="1">
        <f t="shared" ca="1" si="156"/>
        <v>46064</v>
      </c>
      <c r="O1097" s="6">
        <f t="shared" ca="1" si="157"/>
        <v>2</v>
      </c>
      <c r="P1097">
        <v>4</v>
      </c>
      <c r="Q1097">
        <f t="shared" si="158"/>
        <v>44756</v>
      </c>
      <c r="R1097" s="2">
        <f t="shared" si="159"/>
        <v>22378</v>
      </c>
      <c r="S1097" s="2" t="str">
        <f t="shared" si="160"/>
        <v xml:space="preserve"> Not Achieved</v>
      </c>
      <c r="T1097" s="2" t="str">
        <f t="shared" si="161"/>
        <v>Average</v>
      </c>
      <c r="U1097" s="2"/>
    </row>
    <row r="1098" spans="1:21" x14ac:dyDescent="0.3">
      <c r="A1098">
        <v>1097</v>
      </c>
      <c r="B1098" t="s">
        <v>1658</v>
      </c>
      <c r="C1098" t="str">
        <f t="shared" si="153"/>
        <v>EMP_1097</v>
      </c>
      <c r="D1098" t="s">
        <v>11</v>
      </c>
      <c r="E1098" t="str">
        <f t="shared" si="154"/>
        <v>EMP_1097HR</v>
      </c>
      <c r="F1098" t="s">
        <v>12</v>
      </c>
      <c r="G1098" t="s">
        <v>16</v>
      </c>
      <c r="H1098">
        <v>70528</v>
      </c>
      <c r="I1098">
        <v>10231</v>
      </c>
      <c r="J1098">
        <v>0</v>
      </c>
      <c r="K1098">
        <v>0</v>
      </c>
      <c r="L1098" s="4">
        <v>43773</v>
      </c>
      <c r="M1098" s="4" t="str">
        <f t="shared" si="155"/>
        <v>2019</v>
      </c>
      <c r="N1098" s="1">
        <f t="shared" ca="1" si="156"/>
        <v>46064</v>
      </c>
      <c r="O1098" s="6">
        <f t="shared" ca="1" si="157"/>
        <v>6</v>
      </c>
      <c r="P1098">
        <v>5</v>
      </c>
      <c r="Q1098">
        <f t="shared" si="158"/>
        <v>80759</v>
      </c>
      <c r="R1098" s="2">
        <f t="shared" si="159"/>
        <v>40379.5</v>
      </c>
      <c r="S1098" s="2" t="str">
        <f t="shared" si="160"/>
        <v xml:space="preserve"> Not Achieved</v>
      </c>
      <c r="T1098" s="2" t="str">
        <f t="shared" si="161"/>
        <v xml:space="preserve"> Excellent</v>
      </c>
      <c r="U1098" s="2"/>
    </row>
    <row r="1099" spans="1:21" x14ac:dyDescent="0.3">
      <c r="A1099">
        <v>1098</v>
      </c>
      <c r="B1099" t="s">
        <v>1659</v>
      </c>
      <c r="C1099" t="str">
        <f t="shared" si="153"/>
        <v>EMP_1098</v>
      </c>
      <c r="D1099" t="s">
        <v>15</v>
      </c>
      <c r="E1099" t="str">
        <f t="shared" si="154"/>
        <v>EMP_1098HR</v>
      </c>
      <c r="F1099" t="s">
        <v>12</v>
      </c>
      <c r="G1099" t="s">
        <v>19</v>
      </c>
      <c r="H1099">
        <v>52019</v>
      </c>
      <c r="I1099">
        <v>14976</v>
      </c>
      <c r="J1099">
        <v>0</v>
      </c>
      <c r="K1099">
        <v>0</v>
      </c>
      <c r="L1099" s="4" t="s">
        <v>1660</v>
      </c>
      <c r="M1099" s="4" t="str">
        <f t="shared" si="155"/>
        <v>9/24/2022</v>
      </c>
      <c r="N1099" s="1">
        <f t="shared" ca="1" si="156"/>
        <v>46064</v>
      </c>
      <c r="O1099" s="6" t="e">
        <f t="shared" ca="1" si="157"/>
        <v>#VALUE!</v>
      </c>
      <c r="P1099">
        <v>3</v>
      </c>
      <c r="Q1099">
        <f t="shared" si="158"/>
        <v>66995</v>
      </c>
      <c r="R1099" s="2">
        <f t="shared" si="159"/>
        <v>33497.5</v>
      </c>
      <c r="S1099" s="2" t="str">
        <f t="shared" si="160"/>
        <v xml:space="preserve"> Not Achieved</v>
      </c>
      <c r="T1099" s="2" t="str">
        <f t="shared" si="161"/>
        <v xml:space="preserve"> Excellent</v>
      </c>
      <c r="U1099" s="2"/>
    </row>
    <row r="1100" spans="1:21" x14ac:dyDescent="0.3">
      <c r="A1100">
        <v>1099</v>
      </c>
      <c r="B1100" t="s">
        <v>1661</v>
      </c>
      <c r="C1100" t="str">
        <f t="shared" si="153"/>
        <v>EMP_1099</v>
      </c>
      <c r="D1100" t="s">
        <v>11</v>
      </c>
      <c r="E1100" t="str">
        <f t="shared" si="154"/>
        <v>EMP_1099HR</v>
      </c>
      <c r="F1100" t="s">
        <v>12</v>
      </c>
      <c r="G1100" t="s">
        <v>13</v>
      </c>
      <c r="H1100">
        <v>44635</v>
      </c>
      <c r="I1100">
        <v>13675</v>
      </c>
      <c r="J1100">
        <v>0</v>
      </c>
      <c r="K1100">
        <v>0</v>
      </c>
      <c r="L1100" s="4" t="s">
        <v>1662</v>
      </c>
      <c r="M1100" s="4" t="str">
        <f t="shared" si="155"/>
        <v>8/25/2018</v>
      </c>
      <c r="N1100" s="1">
        <f t="shared" ca="1" si="156"/>
        <v>46064</v>
      </c>
      <c r="O1100" s="6" t="e">
        <f t="shared" ca="1" si="157"/>
        <v>#VALUE!</v>
      </c>
      <c r="P1100">
        <v>5</v>
      </c>
      <c r="Q1100">
        <f t="shared" si="158"/>
        <v>58310</v>
      </c>
      <c r="R1100" s="2">
        <f t="shared" si="159"/>
        <v>29155</v>
      </c>
      <c r="S1100" s="2" t="str">
        <f t="shared" si="160"/>
        <v xml:space="preserve"> Not Achieved</v>
      </c>
      <c r="T1100" s="2" t="str">
        <f t="shared" si="161"/>
        <v>Good</v>
      </c>
      <c r="U1100" s="2"/>
    </row>
    <row r="1101" spans="1:21" x14ac:dyDescent="0.3">
      <c r="A1101">
        <v>1100</v>
      </c>
      <c r="B1101" t="s">
        <v>1663</v>
      </c>
      <c r="C1101" t="str">
        <f t="shared" si="153"/>
        <v>EMP_1100</v>
      </c>
      <c r="D1101" t="s">
        <v>15</v>
      </c>
      <c r="E1101" t="str">
        <f t="shared" si="154"/>
        <v>EMP_1100HR</v>
      </c>
      <c r="F1101" t="s">
        <v>12</v>
      </c>
      <c r="G1101" t="s">
        <v>19</v>
      </c>
      <c r="H1101">
        <v>58862</v>
      </c>
      <c r="I1101">
        <v>7238</v>
      </c>
      <c r="J1101">
        <v>0</v>
      </c>
      <c r="K1101">
        <v>0</v>
      </c>
      <c r="L1101" s="4" t="s">
        <v>1664</v>
      </c>
      <c r="M1101" s="4" t="str">
        <f t="shared" si="155"/>
        <v>7/23/2023</v>
      </c>
      <c r="N1101" s="1">
        <f t="shared" ca="1" si="156"/>
        <v>46064</v>
      </c>
      <c r="O1101" s="6" t="e">
        <f t="shared" ca="1" si="157"/>
        <v>#VALUE!</v>
      </c>
      <c r="P1101">
        <v>5</v>
      </c>
      <c r="Q1101">
        <f t="shared" si="158"/>
        <v>66100</v>
      </c>
      <c r="R1101" s="2">
        <f t="shared" si="159"/>
        <v>33050</v>
      </c>
      <c r="S1101" s="2" t="str">
        <f t="shared" si="160"/>
        <v xml:space="preserve"> Not Achieved</v>
      </c>
      <c r="T1101" s="2" t="str">
        <f t="shared" si="161"/>
        <v xml:space="preserve"> Excellent</v>
      </c>
      <c r="U1101" s="2"/>
    </row>
    <row r="1102" spans="1:21" x14ac:dyDescent="0.3">
      <c r="A1102">
        <v>1101</v>
      </c>
      <c r="B1102" t="s">
        <v>1665</v>
      </c>
      <c r="C1102" t="str">
        <f t="shared" si="153"/>
        <v>EMP_1101</v>
      </c>
      <c r="D1102" t="s">
        <v>11</v>
      </c>
      <c r="E1102" t="str">
        <f t="shared" si="154"/>
        <v>EMP_1101Sales</v>
      </c>
      <c r="F1102" t="s">
        <v>7</v>
      </c>
      <c r="G1102" t="s">
        <v>19</v>
      </c>
      <c r="H1102">
        <v>26481</v>
      </c>
      <c r="I1102">
        <v>4655</v>
      </c>
      <c r="J1102">
        <v>257138</v>
      </c>
      <c r="K1102">
        <v>201644</v>
      </c>
      <c r="L1102" s="4">
        <v>44328</v>
      </c>
      <c r="M1102" s="4" t="str">
        <f t="shared" si="155"/>
        <v>2021</v>
      </c>
      <c r="N1102" s="1">
        <f t="shared" ca="1" si="156"/>
        <v>46064</v>
      </c>
      <c r="O1102" s="6">
        <f t="shared" ca="1" si="157"/>
        <v>4</v>
      </c>
      <c r="P1102">
        <v>2</v>
      </c>
      <c r="Q1102">
        <f t="shared" si="158"/>
        <v>31136</v>
      </c>
      <c r="R1102" s="2">
        <f t="shared" si="159"/>
        <v>15568</v>
      </c>
      <c r="S1102" s="2" t="str">
        <f t="shared" si="160"/>
        <v>Achieved</v>
      </c>
      <c r="T1102" s="2" t="str">
        <f t="shared" si="161"/>
        <v>poor</v>
      </c>
      <c r="U1102" s="2"/>
    </row>
    <row r="1103" spans="1:21" x14ac:dyDescent="0.3">
      <c r="A1103">
        <v>1102</v>
      </c>
      <c r="B1103" t="s">
        <v>1666</v>
      </c>
      <c r="C1103" t="str">
        <f t="shared" si="153"/>
        <v>EMP_1102</v>
      </c>
      <c r="D1103" t="s">
        <v>15</v>
      </c>
      <c r="E1103" t="str">
        <f t="shared" si="154"/>
        <v>EMP_1102IT</v>
      </c>
      <c r="F1103" t="s">
        <v>21</v>
      </c>
      <c r="G1103" t="s">
        <v>13</v>
      </c>
      <c r="H1103">
        <v>32245</v>
      </c>
      <c r="I1103">
        <v>3405</v>
      </c>
      <c r="J1103">
        <v>0</v>
      </c>
      <c r="K1103">
        <v>0</v>
      </c>
      <c r="L1103" s="4">
        <v>43839</v>
      </c>
      <c r="M1103" s="4" t="str">
        <f t="shared" si="155"/>
        <v>2020</v>
      </c>
      <c r="N1103" s="1">
        <f t="shared" ca="1" si="156"/>
        <v>46064</v>
      </c>
      <c r="O1103" s="6">
        <f t="shared" ca="1" si="157"/>
        <v>6</v>
      </c>
      <c r="P1103">
        <v>2</v>
      </c>
      <c r="Q1103">
        <f t="shared" si="158"/>
        <v>35650</v>
      </c>
      <c r="R1103" s="2">
        <f t="shared" si="159"/>
        <v>17825</v>
      </c>
      <c r="S1103" s="2" t="str">
        <f t="shared" si="160"/>
        <v xml:space="preserve"> Not Achieved</v>
      </c>
      <c r="T1103" s="2" t="str">
        <f t="shared" si="161"/>
        <v>Average</v>
      </c>
      <c r="U1103" s="2"/>
    </row>
    <row r="1104" spans="1:21" x14ac:dyDescent="0.3">
      <c r="A1104">
        <v>1103</v>
      </c>
      <c r="B1104" t="s">
        <v>1667</v>
      </c>
      <c r="C1104" t="str">
        <f t="shared" si="153"/>
        <v>EMP_1103</v>
      </c>
      <c r="D1104" t="s">
        <v>11</v>
      </c>
      <c r="E1104" t="str">
        <f t="shared" si="154"/>
        <v>EMP_1103Finance</v>
      </c>
      <c r="F1104" t="s">
        <v>18</v>
      </c>
      <c r="G1104" t="s">
        <v>19</v>
      </c>
      <c r="H1104">
        <v>37773</v>
      </c>
      <c r="I1104">
        <v>12705</v>
      </c>
      <c r="J1104">
        <v>0</v>
      </c>
      <c r="K1104">
        <v>0</v>
      </c>
      <c r="L1104" s="4" t="s">
        <v>356</v>
      </c>
      <c r="M1104" s="4" t="str">
        <f t="shared" si="155"/>
        <v>6/25/2023</v>
      </c>
      <c r="N1104" s="1">
        <f t="shared" ca="1" si="156"/>
        <v>46064</v>
      </c>
      <c r="O1104" s="6" t="e">
        <f t="shared" ca="1" si="157"/>
        <v>#VALUE!</v>
      </c>
      <c r="P1104">
        <v>3</v>
      </c>
      <c r="Q1104">
        <f t="shared" si="158"/>
        <v>50478</v>
      </c>
      <c r="R1104" s="2">
        <f t="shared" si="159"/>
        <v>25239</v>
      </c>
      <c r="S1104" s="2" t="str">
        <f t="shared" si="160"/>
        <v xml:space="preserve"> Not Achieved</v>
      </c>
      <c r="T1104" s="2" t="str">
        <f t="shared" si="161"/>
        <v>Average</v>
      </c>
      <c r="U1104" s="2"/>
    </row>
    <row r="1105" spans="1:21" x14ac:dyDescent="0.3">
      <c r="A1105">
        <v>1104</v>
      </c>
      <c r="B1105" t="s">
        <v>1668</v>
      </c>
      <c r="C1105" t="str">
        <f t="shared" si="153"/>
        <v>EMP_1104</v>
      </c>
      <c r="D1105" t="s">
        <v>15</v>
      </c>
      <c r="E1105" t="str">
        <f t="shared" si="154"/>
        <v>EMP_1104Sales</v>
      </c>
      <c r="F1105" t="s">
        <v>7</v>
      </c>
      <c r="G1105" t="s">
        <v>16</v>
      </c>
      <c r="H1105">
        <v>41866</v>
      </c>
      <c r="I1105">
        <v>14693</v>
      </c>
      <c r="J1105">
        <v>51471</v>
      </c>
      <c r="K1105">
        <v>196562</v>
      </c>
      <c r="L1105" s="4">
        <v>43506</v>
      </c>
      <c r="M1105" s="4" t="str">
        <f t="shared" si="155"/>
        <v>2019</v>
      </c>
      <c r="N1105" s="1">
        <f t="shared" ca="1" si="156"/>
        <v>46064</v>
      </c>
      <c r="O1105" s="6">
        <f t="shared" ca="1" si="157"/>
        <v>7</v>
      </c>
      <c r="P1105">
        <v>5</v>
      </c>
      <c r="Q1105">
        <f t="shared" si="158"/>
        <v>56559</v>
      </c>
      <c r="R1105" s="2">
        <f t="shared" si="159"/>
        <v>28279.5</v>
      </c>
      <c r="S1105" s="2" t="str">
        <f t="shared" si="160"/>
        <v xml:space="preserve"> Not Achieved</v>
      </c>
      <c r="T1105" s="2" t="str">
        <f t="shared" si="161"/>
        <v>Good</v>
      </c>
      <c r="U1105" s="2"/>
    </row>
    <row r="1106" spans="1:21" x14ac:dyDescent="0.3">
      <c r="A1106">
        <v>1105</v>
      </c>
      <c r="B1106" t="s">
        <v>1669</v>
      </c>
      <c r="C1106" t="str">
        <f t="shared" si="153"/>
        <v>EMP_1105</v>
      </c>
      <c r="D1106" t="s">
        <v>15</v>
      </c>
      <c r="E1106" t="str">
        <f t="shared" si="154"/>
        <v>EMP_1105Marketing</v>
      </c>
      <c r="F1106" t="s">
        <v>24</v>
      </c>
      <c r="G1106" t="s">
        <v>16</v>
      </c>
      <c r="H1106">
        <v>29538</v>
      </c>
      <c r="I1106">
        <v>10882</v>
      </c>
      <c r="J1106">
        <v>0</v>
      </c>
      <c r="K1106">
        <v>0</v>
      </c>
      <c r="L1106" s="4">
        <v>44143</v>
      </c>
      <c r="M1106" s="4" t="str">
        <f t="shared" si="155"/>
        <v>2020</v>
      </c>
      <c r="N1106" s="1">
        <f t="shared" ca="1" si="156"/>
        <v>46064</v>
      </c>
      <c r="O1106" s="6">
        <f t="shared" ca="1" si="157"/>
        <v>5</v>
      </c>
      <c r="P1106">
        <v>1</v>
      </c>
      <c r="Q1106">
        <f t="shared" si="158"/>
        <v>40420</v>
      </c>
      <c r="R1106" s="2">
        <f t="shared" si="159"/>
        <v>20210</v>
      </c>
      <c r="S1106" s="2" t="str">
        <f t="shared" si="160"/>
        <v xml:space="preserve"> Not Achieved</v>
      </c>
      <c r="T1106" s="2" t="str">
        <f t="shared" si="161"/>
        <v>poor</v>
      </c>
      <c r="U1106" s="2"/>
    </row>
    <row r="1107" spans="1:21" x14ac:dyDescent="0.3">
      <c r="A1107">
        <v>1106</v>
      </c>
      <c r="B1107" t="s">
        <v>1670</v>
      </c>
      <c r="C1107" t="str">
        <f t="shared" si="153"/>
        <v>EMP_1106</v>
      </c>
      <c r="D1107" t="s">
        <v>15</v>
      </c>
      <c r="E1107" t="str">
        <f t="shared" si="154"/>
        <v>EMP_1106IT</v>
      </c>
      <c r="F1107" t="s">
        <v>21</v>
      </c>
      <c r="G1107" t="s">
        <v>13</v>
      </c>
      <c r="H1107">
        <v>65959</v>
      </c>
      <c r="I1107">
        <v>6334</v>
      </c>
      <c r="J1107">
        <v>0</v>
      </c>
      <c r="K1107">
        <v>0</v>
      </c>
      <c r="L1107" s="4" t="s">
        <v>1671</v>
      </c>
      <c r="M1107" s="4" t="str">
        <f t="shared" si="155"/>
        <v>4/14/2019</v>
      </c>
      <c r="N1107" s="1">
        <f t="shared" ca="1" si="156"/>
        <v>46064</v>
      </c>
      <c r="O1107" s="6" t="e">
        <f t="shared" ca="1" si="157"/>
        <v>#VALUE!</v>
      </c>
      <c r="P1107">
        <v>1</v>
      </c>
      <c r="Q1107">
        <f t="shared" si="158"/>
        <v>72293</v>
      </c>
      <c r="R1107" s="2">
        <f t="shared" si="159"/>
        <v>36146.5</v>
      </c>
      <c r="S1107" s="2" t="str">
        <f t="shared" si="160"/>
        <v xml:space="preserve"> Not Achieved</v>
      </c>
      <c r="T1107" s="2" t="str">
        <f t="shared" si="161"/>
        <v xml:space="preserve"> Excellent</v>
      </c>
      <c r="U1107" s="2"/>
    </row>
    <row r="1108" spans="1:21" x14ac:dyDescent="0.3">
      <c r="A1108">
        <v>1107</v>
      </c>
      <c r="B1108" t="s">
        <v>1672</v>
      </c>
      <c r="C1108" t="str">
        <f t="shared" si="153"/>
        <v>EMP_1107</v>
      </c>
      <c r="D1108" t="s">
        <v>11</v>
      </c>
      <c r="E1108" t="str">
        <f t="shared" si="154"/>
        <v>EMP_1107Sales</v>
      </c>
      <c r="F1108" t="s">
        <v>7</v>
      </c>
      <c r="G1108" t="s">
        <v>19</v>
      </c>
      <c r="H1108">
        <v>75307</v>
      </c>
      <c r="I1108">
        <v>2051</v>
      </c>
      <c r="J1108">
        <v>245874</v>
      </c>
      <c r="K1108">
        <v>198783</v>
      </c>
      <c r="L1108" s="4" t="s">
        <v>829</v>
      </c>
      <c r="M1108" s="4" t="str">
        <f t="shared" si="155"/>
        <v>6/18/2020</v>
      </c>
      <c r="N1108" s="1">
        <f t="shared" ca="1" si="156"/>
        <v>46064</v>
      </c>
      <c r="O1108" s="6" t="e">
        <f t="shared" ca="1" si="157"/>
        <v>#VALUE!</v>
      </c>
      <c r="P1108">
        <v>1</v>
      </c>
      <c r="Q1108">
        <f t="shared" si="158"/>
        <v>77358</v>
      </c>
      <c r="R1108" s="2">
        <f t="shared" si="159"/>
        <v>38679</v>
      </c>
      <c r="S1108" s="2" t="str">
        <f t="shared" si="160"/>
        <v>Achieved</v>
      </c>
      <c r="T1108" s="2" t="str">
        <f t="shared" si="161"/>
        <v xml:space="preserve"> Excellent</v>
      </c>
      <c r="U1108" s="2"/>
    </row>
    <row r="1109" spans="1:21" x14ac:dyDescent="0.3">
      <c r="A1109">
        <v>1108</v>
      </c>
      <c r="B1109" t="s">
        <v>1673</v>
      </c>
      <c r="C1109" t="str">
        <f t="shared" si="153"/>
        <v>EMP_1108</v>
      </c>
      <c r="D1109" t="s">
        <v>11</v>
      </c>
      <c r="E1109" t="str">
        <f t="shared" si="154"/>
        <v>EMP_1108Finance</v>
      </c>
      <c r="F1109" t="s">
        <v>18</v>
      </c>
      <c r="G1109" t="s">
        <v>19</v>
      </c>
      <c r="H1109">
        <v>62499</v>
      </c>
      <c r="I1109">
        <v>5265</v>
      </c>
      <c r="J1109">
        <v>0</v>
      </c>
      <c r="K1109">
        <v>0</v>
      </c>
      <c r="L1109" s="4" t="s">
        <v>1674</v>
      </c>
      <c r="M1109" s="4" t="str">
        <f t="shared" si="155"/>
        <v>9/28/2019</v>
      </c>
      <c r="N1109" s="1">
        <f t="shared" ca="1" si="156"/>
        <v>46064</v>
      </c>
      <c r="O1109" s="6" t="e">
        <f t="shared" ca="1" si="157"/>
        <v>#VALUE!</v>
      </c>
      <c r="P1109">
        <v>5</v>
      </c>
      <c r="Q1109">
        <f t="shared" si="158"/>
        <v>67764</v>
      </c>
      <c r="R1109" s="2">
        <f t="shared" si="159"/>
        <v>33882</v>
      </c>
      <c r="S1109" s="2" t="str">
        <f t="shared" si="160"/>
        <v xml:space="preserve"> Not Achieved</v>
      </c>
      <c r="T1109" s="2" t="str">
        <f t="shared" si="161"/>
        <v xml:space="preserve"> Excellent</v>
      </c>
      <c r="U1109" s="2"/>
    </row>
    <row r="1110" spans="1:21" x14ac:dyDescent="0.3">
      <c r="A1110">
        <v>1109</v>
      </c>
      <c r="B1110" t="s">
        <v>1675</v>
      </c>
      <c r="C1110" t="str">
        <f t="shared" si="153"/>
        <v>EMP_1109</v>
      </c>
      <c r="D1110" t="s">
        <v>11</v>
      </c>
      <c r="E1110" t="str">
        <f t="shared" si="154"/>
        <v>EMP_1109IT</v>
      </c>
      <c r="F1110" t="s">
        <v>21</v>
      </c>
      <c r="G1110" t="s">
        <v>19</v>
      </c>
      <c r="H1110">
        <v>71256</v>
      </c>
      <c r="I1110">
        <v>3699</v>
      </c>
      <c r="J1110">
        <v>0</v>
      </c>
      <c r="K1110">
        <v>0</v>
      </c>
      <c r="L1110" s="4" t="s">
        <v>105</v>
      </c>
      <c r="M1110" s="4" t="str">
        <f t="shared" si="155"/>
        <v>11/28/2019</v>
      </c>
      <c r="N1110" s="1">
        <f t="shared" ca="1" si="156"/>
        <v>46064</v>
      </c>
      <c r="O1110" s="6" t="e">
        <f t="shared" ca="1" si="157"/>
        <v>#VALUE!</v>
      </c>
      <c r="P1110">
        <v>2</v>
      </c>
      <c r="Q1110">
        <f t="shared" si="158"/>
        <v>74955</v>
      </c>
      <c r="R1110" s="2">
        <f t="shared" si="159"/>
        <v>37477.5</v>
      </c>
      <c r="S1110" s="2" t="str">
        <f t="shared" si="160"/>
        <v xml:space="preserve"> Not Achieved</v>
      </c>
      <c r="T1110" s="2" t="str">
        <f t="shared" si="161"/>
        <v xml:space="preserve"> Excellent</v>
      </c>
      <c r="U1110" s="2"/>
    </row>
    <row r="1111" spans="1:21" x14ac:dyDescent="0.3">
      <c r="A1111">
        <v>1110</v>
      </c>
      <c r="B1111" t="s">
        <v>1676</v>
      </c>
      <c r="C1111" t="str">
        <f t="shared" si="153"/>
        <v>EMP_1110</v>
      </c>
      <c r="D1111" t="s">
        <v>11</v>
      </c>
      <c r="E1111" t="str">
        <f t="shared" si="154"/>
        <v>EMP_1110Finance</v>
      </c>
      <c r="F1111" t="s">
        <v>18</v>
      </c>
      <c r="G1111" t="s">
        <v>16</v>
      </c>
      <c r="H1111">
        <v>35815</v>
      </c>
      <c r="I1111">
        <v>10752</v>
      </c>
      <c r="J1111">
        <v>0</v>
      </c>
      <c r="K1111">
        <v>0</v>
      </c>
      <c r="L1111" s="4">
        <v>44046</v>
      </c>
      <c r="M1111" s="4" t="str">
        <f t="shared" si="155"/>
        <v>2020</v>
      </c>
      <c r="N1111" s="1">
        <f t="shared" ca="1" si="156"/>
        <v>46064</v>
      </c>
      <c r="O1111" s="6">
        <f t="shared" ca="1" si="157"/>
        <v>5</v>
      </c>
      <c r="P1111">
        <v>4</v>
      </c>
      <c r="Q1111">
        <f t="shared" si="158"/>
        <v>46567</v>
      </c>
      <c r="R1111" s="2">
        <f t="shared" si="159"/>
        <v>23283.5</v>
      </c>
      <c r="S1111" s="2" t="str">
        <f t="shared" si="160"/>
        <v xml:space="preserve"> Not Achieved</v>
      </c>
      <c r="T1111" s="2" t="str">
        <f t="shared" si="161"/>
        <v>Average</v>
      </c>
      <c r="U1111" s="2"/>
    </row>
    <row r="1112" spans="1:21" x14ac:dyDescent="0.3">
      <c r="A1112">
        <v>1111</v>
      </c>
      <c r="B1112" t="s">
        <v>1677</v>
      </c>
      <c r="C1112" t="str">
        <f t="shared" si="153"/>
        <v>EMP_1111</v>
      </c>
      <c r="D1112" t="s">
        <v>11</v>
      </c>
      <c r="E1112" t="str">
        <f t="shared" si="154"/>
        <v>EMP_1111Finance</v>
      </c>
      <c r="F1112" t="s">
        <v>18</v>
      </c>
      <c r="G1112" t="s">
        <v>22</v>
      </c>
      <c r="H1112">
        <v>50564</v>
      </c>
      <c r="I1112">
        <v>2931</v>
      </c>
      <c r="J1112">
        <v>0</v>
      </c>
      <c r="K1112">
        <v>0</v>
      </c>
      <c r="L1112" s="4" t="s">
        <v>1678</v>
      </c>
      <c r="M1112" s="4" t="str">
        <f t="shared" si="155"/>
        <v>6/19/2023</v>
      </c>
      <c r="N1112" s="1">
        <f t="shared" ca="1" si="156"/>
        <v>46064</v>
      </c>
      <c r="O1112" s="6" t="e">
        <f t="shared" ca="1" si="157"/>
        <v>#VALUE!</v>
      </c>
      <c r="P1112">
        <v>4</v>
      </c>
      <c r="Q1112">
        <f t="shared" si="158"/>
        <v>53495</v>
      </c>
      <c r="R1112" s="2">
        <f t="shared" si="159"/>
        <v>26747.5</v>
      </c>
      <c r="S1112" s="2" t="str">
        <f t="shared" si="160"/>
        <v xml:space="preserve"> Not Achieved</v>
      </c>
      <c r="T1112" s="2" t="str">
        <f t="shared" si="161"/>
        <v xml:space="preserve"> Excellent</v>
      </c>
      <c r="U1112" s="2"/>
    </row>
    <row r="1113" spans="1:21" x14ac:dyDescent="0.3">
      <c r="A1113">
        <v>1112</v>
      </c>
      <c r="B1113" t="s">
        <v>1679</v>
      </c>
      <c r="C1113" t="str">
        <f t="shared" si="153"/>
        <v>EMP_1112</v>
      </c>
      <c r="D1113" t="s">
        <v>11</v>
      </c>
      <c r="E1113" t="str">
        <f t="shared" si="154"/>
        <v>EMP_1112IT</v>
      </c>
      <c r="F1113" t="s">
        <v>21</v>
      </c>
      <c r="G1113" t="s">
        <v>13</v>
      </c>
      <c r="H1113">
        <v>78782</v>
      </c>
      <c r="I1113">
        <v>3365</v>
      </c>
      <c r="J1113">
        <v>0</v>
      </c>
      <c r="K1113">
        <v>0</v>
      </c>
      <c r="L1113" s="4" t="s">
        <v>1680</v>
      </c>
      <c r="M1113" s="4" t="str">
        <f t="shared" si="155"/>
        <v>2/28/2024</v>
      </c>
      <c r="N1113" s="1">
        <f t="shared" ca="1" si="156"/>
        <v>46064</v>
      </c>
      <c r="O1113" s="6" t="e">
        <f t="shared" ca="1" si="157"/>
        <v>#VALUE!</v>
      </c>
      <c r="P1113">
        <v>4</v>
      </c>
      <c r="Q1113">
        <f t="shared" si="158"/>
        <v>82147</v>
      </c>
      <c r="R1113" s="2">
        <f t="shared" si="159"/>
        <v>41073.5</v>
      </c>
      <c r="S1113" s="2" t="str">
        <f t="shared" si="160"/>
        <v xml:space="preserve"> Not Achieved</v>
      </c>
      <c r="T1113" s="2" t="str">
        <f t="shared" si="161"/>
        <v xml:space="preserve"> Excellent</v>
      </c>
      <c r="U1113" s="2"/>
    </row>
    <row r="1114" spans="1:21" x14ac:dyDescent="0.3">
      <c r="A1114">
        <v>1113</v>
      </c>
      <c r="B1114" t="s">
        <v>1681</v>
      </c>
      <c r="C1114" t="str">
        <f t="shared" si="153"/>
        <v>EMP_1113</v>
      </c>
      <c r="D1114" t="s">
        <v>15</v>
      </c>
      <c r="E1114" t="str">
        <f t="shared" si="154"/>
        <v>EMP_1113Marketing</v>
      </c>
      <c r="F1114" t="s">
        <v>24</v>
      </c>
      <c r="G1114" t="s">
        <v>22</v>
      </c>
      <c r="H1114">
        <v>64828</v>
      </c>
      <c r="I1114">
        <v>8988</v>
      </c>
      <c r="J1114">
        <v>0</v>
      </c>
      <c r="K1114">
        <v>0</v>
      </c>
      <c r="L1114" s="4">
        <v>44603</v>
      </c>
      <c r="M1114" s="4" t="str">
        <f t="shared" si="155"/>
        <v>2022</v>
      </c>
      <c r="N1114" s="1">
        <f t="shared" ca="1" si="156"/>
        <v>46064</v>
      </c>
      <c r="O1114" s="6">
        <f t="shared" ca="1" si="157"/>
        <v>4</v>
      </c>
      <c r="P1114">
        <v>2</v>
      </c>
      <c r="Q1114">
        <f t="shared" si="158"/>
        <v>73816</v>
      </c>
      <c r="R1114" s="2">
        <f t="shared" si="159"/>
        <v>36908</v>
      </c>
      <c r="S1114" s="2" t="str">
        <f t="shared" si="160"/>
        <v xml:space="preserve"> Not Achieved</v>
      </c>
      <c r="T1114" s="2" t="str">
        <f t="shared" si="161"/>
        <v xml:space="preserve"> Excellent</v>
      </c>
      <c r="U1114" s="2"/>
    </row>
    <row r="1115" spans="1:21" x14ac:dyDescent="0.3">
      <c r="A1115">
        <v>1114</v>
      </c>
      <c r="B1115" t="s">
        <v>1682</v>
      </c>
      <c r="C1115" t="str">
        <f t="shared" si="153"/>
        <v>EMP_1114</v>
      </c>
      <c r="D1115" t="s">
        <v>11</v>
      </c>
      <c r="E1115" t="str">
        <f t="shared" si="154"/>
        <v>EMP_1114Marketing</v>
      </c>
      <c r="F1115" t="s">
        <v>24</v>
      </c>
      <c r="G1115" t="s">
        <v>25</v>
      </c>
      <c r="H1115">
        <v>58864</v>
      </c>
      <c r="I1115">
        <v>12113</v>
      </c>
      <c r="J1115">
        <v>0</v>
      </c>
      <c r="K1115">
        <v>0</v>
      </c>
      <c r="L1115" s="4" t="s">
        <v>1683</v>
      </c>
      <c r="M1115" s="4" t="str">
        <f t="shared" si="155"/>
        <v>12/16/2018</v>
      </c>
      <c r="N1115" s="1">
        <f t="shared" ca="1" si="156"/>
        <v>46064</v>
      </c>
      <c r="O1115" s="6" t="e">
        <f t="shared" ca="1" si="157"/>
        <v>#VALUE!</v>
      </c>
      <c r="P1115">
        <v>3</v>
      </c>
      <c r="Q1115">
        <f t="shared" si="158"/>
        <v>70977</v>
      </c>
      <c r="R1115" s="2">
        <f t="shared" si="159"/>
        <v>35488.5</v>
      </c>
      <c r="S1115" s="2" t="str">
        <f t="shared" si="160"/>
        <v xml:space="preserve"> Not Achieved</v>
      </c>
      <c r="T1115" s="2" t="str">
        <f t="shared" si="161"/>
        <v xml:space="preserve"> Excellent</v>
      </c>
      <c r="U1115" s="2"/>
    </row>
    <row r="1116" spans="1:21" x14ac:dyDescent="0.3">
      <c r="A1116">
        <v>1115</v>
      </c>
      <c r="B1116" t="s">
        <v>1684</v>
      </c>
      <c r="C1116" t="str">
        <f t="shared" si="153"/>
        <v>EMP_1115</v>
      </c>
      <c r="D1116" t="s">
        <v>15</v>
      </c>
      <c r="E1116" t="str">
        <f t="shared" si="154"/>
        <v>EMP_1115Finance</v>
      </c>
      <c r="F1116" t="s">
        <v>18</v>
      </c>
      <c r="G1116" t="s">
        <v>16</v>
      </c>
      <c r="H1116">
        <v>21580</v>
      </c>
      <c r="I1116">
        <v>13993</v>
      </c>
      <c r="J1116">
        <v>0</v>
      </c>
      <c r="K1116">
        <v>0</v>
      </c>
      <c r="L1116" s="4" t="s">
        <v>1685</v>
      </c>
      <c r="M1116" s="4" t="str">
        <f t="shared" si="155"/>
        <v>11/18/2019</v>
      </c>
      <c r="N1116" s="1">
        <f t="shared" ca="1" si="156"/>
        <v>46064</v>
      </c>
      <c r="O1116" s="6" t="e">
        <f t="shared" ca="1" si="157"/>
        <v>#VALUE!</v>
      </c>
      <c r="P1116">
        <v>3</v>
      </c>
      <c r="Q1116">
        <f t="shared" si="158"/>
        <v>35573</v>
      </c>
      <c r="R1116" s="2">
        <f t="shared" si="159"/>
        <v>17786.5</v>
      </c>
      <c r="S1116" s="2" t="str">
        <f t="shared" si="160"/>
        <v xml:space="preserve"> Not Achieved</v>
      </c>
      <c r="T1116" s="2" t="str">
        <f t="shared" si="161"/>
        <v>poor</v>
      </c>
      <c r="U1116" s="2"/>
    </row>
    <row r="1117" spans="1:21" x14ac:dyDescent="0.3">
      <c r="A1117">
        <v>1116</v>
      </c>
      <c r="B1117" t="s">
        <v>1686</v>
      </c>
      <c r="C1117" t="str">
        <f t="shared" si="153"/>
        <v>EMP_1116</v>
      </c>
      <c r="D1117" t="s">
        <v>11</v>
      </c>
      <c r="E1117" t="str">
        <f t="shared" si="154"/>
        <v>EMP_1116IT</v>
      </c>
      <c r="F1117" t="s">
        <v>21</v>
      </c>
      <c r="G1117" t="s">
        <v>19</v>
      </c>
      <c r="H1117">
        <v>29300</v>
      </c>
      <c r="I1117">
        <v>14416</v>
      </c>
      <c r="J1117">
        <v>0</v>
      </c>
      <c r="K1117">
        <v>0</v>
      </c>
      <c r="L1117" s="4" t="s">
        <v>1130</v>
      </c>
      <c r="M1117" s="4" t="str">
        <f t="shared" si="155"/>
        <v>6/22/2018</v>
      </c>
      <c r="N1117" s="1">
        <f t="shared" ca="1" si="156"/>
        <v>46064</v>
      </c>
      <c r="O1117" s="6" t="e">
        <f t="shared" ca="1" si="157"/>
        <v>#VALUE!</v>
      </c>
      <c r="P1117">
        <v>3</v>
      </c>
      <c r="Q1117">
        <f t="shared" si="158"/>
        <v>43716</v>
      </c>
      <c r="R1117" s="2">
        <f t="shared" si="159"/>
        <v>21858</v>
      </c>
      <c r="S1117" s="2" t="str">
        <f t="shared" si="160"/>
        <v xml:space="preserve"> Not Achieved</v>
      </c>
      <c r="T1117" s="2" t="str">
        <f t="shared" si="161"/>
        <v>poor</v>
      </c>
      <c r="U1117" s="2"/>
    </row>
    <row r="1118" spans="1:21" x14ac:dyDescent="0.3">
      <c r="A1118">
        <v>1117</v>
      </c>
      <c r="B1118" t="s">
        <v>1687</v>
      </c>
      <c r="C1118" t="str">
        <f t="shared" si="153"/>
        <v>EMP_1117</v>
      </c>
      <c r="D1118" t="s">
        <v>11</v>
      </c>
      <c r="E1118" t="str">
        <f t="shared" si="154"/>
        <v>EMP_1117Sales</v>
      </c>
      <c r="F1118" t="s">
        <v>7</v>
      </c>
      <c r="G1118" t="s">
        <v>13</v>
      </c>
      <c r="H1118">
        <v>46028</v>
      </c>
      <c r="I1118">
        <v>3160</v>
      </c>
      <c r="J1118">
        <v>221922</v>
      </c>
      <c r="K1118">
        <v>183545</v>
      </c>
      <c r="L1118" s="4" t="s">
        <v>364</v>
      </c>
      <c r="M1118" s="4" t="str">
        <f t="shared" si="155"/>
        <v>3/17/2022</v>
      </c>
      <c r="N1118" s="1">
        <f t="shared" ca="1" si="156"/>
        <v>46064</v>
      </c>
      <c r="O1118" s="6" t="e">
        <f t="shared" ca="1" si="157"/>
        <v>#VALUE!</v>
      </c>
      <c r="P1118">
        <v>1</v>
      </c>
      <c r="Q1118">
        <f t="shared" si="158"/>
        <v>49188</v>
      </c>
      <c r="R1118" s="2">
        <f t="shared" si="159"/>
        <v>24594</v>
      </c>
      <c r="S1118" s="2" t="str">
        <f t="shared" si="160"/>
        <v>Achieved</v>
      </c>
      <c r="T1118" s="2" t="str">
        <f t="shared" si="161"/>
        <v>Good</v>
      </c>
      <c r="U1118" s="2"/>
    </row>
    <row r="1119" spans="1:21" x14ac:dyDescent="0.3">
      <c r="A1119">
        <v>1118</v>
      </c>
      <c r="B1119" t="s">
        <v>1688</v>
      </c>
      <c r="C1119" t="str">
        <f t="shared" si="153"/>
        <v>EMP_1118</v>
      </c>
      <c r="D1119" t="s">
        <v>11</v>
      </c>
      <c r="E1119" t="str">
        <f t="shared" si="154"/>
        <v>EMP_1118IT</v>
      </c>
      <c r="F1119" t="s">
        <v>21</v>
      </c>
      <c r="G1119" t="s">
        <v>25</v>
      </c>
      <c r="H1119">
        <v>46919</v>
      </c>
      <c r="I1119">
        <v>7435</v>
      </c>
      <c r="J1119">
        <v>0</v>
      </c>
      <c r="K1119">
        <v>0</v>
      </c>
      <c r="L1119" s="4" t="s">
        <v>1689</v>
      </c>
      <c r="M1119" s="4" t="str">
        <f t="shared" si="155"/>
        <v>9/22/2024</v>
      </c>
      <c r="N1119" s="1">
        <f t="shared" ca="1" si="156"/>
        <v>46064</v>
      </c>
      <c r="O1119" s="6" t="e">
        <f t="shared" ca="1" si="157"/>
        <v>#VALUE!</v>
      </c>
      <c r="P1119">
        <v>2</v>
      </c>
      <c r="Q1119">
        <f t="shared" si="158"/>
        <v>54354</v>
      </c>
      <c r="R1119" s="2">
        <f t="shared" si="159"/>
        <v>27177</v>
      </c>
      <c r="S1119" s="2" t="str">
        <f t="shared" si="160"/>
        <v xml:space="preserve"> Not Achieved</v>
      </c>
      <c r="T1119" s="2" t="str">
        <f t="shared" si="161"/>
        <v>Good</v>
      </c>
      <c r="U1119" s="2"/>
    </row>
    <row r="1120" spans="1:21" x14ac:dyDescent="0.3">
      <c r="A1120">
        <v>1119</v>
      </c>
      <c r="B1120" t="s">
        <v>1690</v>
      </c>
      <c r="C1120" t="str">
        <f t="shared" si="153"/>
        <v>EMP_1119</v>
      </c>
      <c r="D1120" t="s">
        <v>11</v>
      </c>
      <c r="E1120" t="str">
        <f t="shared" si="154"/>
        <v>EMP_1119Marketing</v>
      </c>
      <c r="F1120" t="s">
        <v>24</v>
      </c>
      <c r="G1120" t="s">
        <v>16</v>
      </c>
      <c r="H1120">
        <v>76345</v>
      </c>
      <c r="I1120">
        <v>7091</v>
      </c>
      <c r="J1120">
        <v>0</v>
      </c>
      <c r="K1120">
        <v>0</v>
      </c>
      <c r="L1120" s="4" t="s">
        <v>1691</v>
      </c>
      <c r="M1120" s="4" t="str">
        <f t="shared" si="155"/>
        <v>3/22/2022</v>
      </c>
      <c r="N1120" s="1">
        <f t="shared" ca="1" si="156"/>
        <v>46064</v>
      </c>
      <c r="O1120" s="6" t="e">
        <f t="shared" ca="1" si="157"/>
        <v>#VALUE!</v>
      </c>
      <c r="P1120">
        <v>3</v>
      </c>
      <c r="Q1120">
        <f t="shared" si="158"/>
        <v>83436</v>
      </c>
      <c r="R1120" s="2">
        <f t="shared" si="159"/>
        <v>41718</v>
      </c>
      <c r="S1120" s="2" t="str">
        <f t="shared" si="160"/>
        <v xml:space="preserve"> Not Achieved</v>
      </c>
      <c r="T1120" s="2" t="str">
        <f t="shared" si="161"/>
        <v xml:space="preserve"> Excellent</v>
      </c>
      <c r="U1120" s="2"/>
    </row>
    <row r="1121" spans="1:21" x14ac:dyDescent="0.3">
      <c r="A1121">
        <v>1120</v>
      </c>
      <c r="B1121" t="s">
        <v>1692</v>
      </c>
      <c r="C1121" t="str">
        <f t="shared" si="153"/>
        <v>EMP_1120</v>
      </c>
      <c r="D1121" t="s">
        <v>11</v>
      </c>
      <c r="E1121" t="str">
        <f t="shared" si="154"/>
        <v>EMP_1120Sales</v>
      </c>
      <c r="F1121" t="s">
        <v>7</v>
      </c>
      <c r="G1121" t="s">
        <v>16</v>
      </c>
      <c r="H1121">
        <v>53974</v>
      </c>
      <c r="I1121">
        <v>2103</v>
      </c>
      <c r="J1121">
        <v>140346</v>
      </c>
      <c r="K1121">
        <v>166515</v>
      </c>
      <c r="L1121" s="4">
        <v>44047</v>
      </c>
      <c r="M1121" s="4" t="str">
        <f t="shared" si="155"/>
        <v>2020</v>
      </c>
      <c r="N1121" s="1">
        <f t="shared" ca="1" si="156"/>
        <v>46064</v>
      </c>
      <c r="O1121" s="6">
        <f t="shared" ca="1" si="157"/>
        <v>5</v>
      </c>
      <c r="P1121">
        <v>4</v>
      </c>
      <c r="Q1121">
        <f t="shared" si="158"/>
        <v>56077</v>
      </c>
      <c r="R1121" s="2">
        <f t="shared" si="159"/>
        <v>28038.5</v>
      </c>
      <c r="S1121" s="2" t="str">
        <f t="shared" si="160"/>
        <v xml:space="preserve"> Not Achieved</v>
      </c>
      <c r="T1121" s="2" t="str">
        <f t="shared" si="161"/>
        <v xml:space="preserve"> Excellent</v>
      </c>
      <c r="U1121" s="2"/>
    </row>
    <row r="1122" spans="1:21" x14ac:dyDescent="0.3">
      <c r="A1122">
        <v>1121</v>
      </c>
      <c r="B1122" t="s">
        <v>1693</v>
      </c>
      <c r="C1122" t="str">
        <f t="shared" si="153"/>
        <v>EMP_1121</v>
      </c>
      <c r="D1122" t="s">
        <v>11</v>
      </c>
      <c r="E1122" t="str">
        <f t="shared" si="154"/>
        <v>EMP_1121IT</v>
      </c>
      <c r="F1122" t="s">
        <v>21</v>
      </c>
      <c r="G1122" t="s">
        <v>13</v>
      </c>
      <c r="H1122">
        <v>77308</v>
      </c>
      <c r="I1122">
        <v>11052</v>
      </c>
      <c r="J1122">
        <v>0</v>
      </c>
      <c r="K1122">
        <v>0</v>
      </c>
      <c r="L1122" s="4" t="s">
        <v>1694</v>
      </c>
      <c r="M1122" s="4" t="str">
        <f t="shared" si="155"/>
        <v>6/29/2021</v>
      </c>
      <c r="N1122" s="1">
        <f t="shared" ca="1" si="156"/>
        <v>46064</v>
      </c>
      <c r="O1122" s="6" t="e">
        <f t="shared" ca="1" si="157"/>
        <v>#VALUE!</v>
      </c>
      <c r="P1122">
        <v>4</v>
      </c>
      <c r="Q1122">
        <f t="shared" si="158"/>
        <v>88360</v>
      </c>
      <c r="R1122" s="2">
        <f t="shared" si="159"/>
        <v>44180</v>
      </c>
      <c r="S1122" s="2" t="str">
        <f t="shared" si="160"/>
        <v xml:space="preserve"> Not Achieved</v>
      </c>
      <c r="T1122" s="2" t="str">
        <f t="shared" si="161"/>
        <v xml:space="preserve"> Excellent</v>
      </c>
      <c r="U1122" s="2"/>
    </row>
    <row r="1123" spans="1:21" x14ac:dyDescent="0.3">
      <c r="A1123">
        <v>1122</v>
      </c>
      <c r="B1123" t="s">
        <v>1695</v>
      </c>
      <c r="C1123" t="str">
        <f t="shared" si="153"/>
        <v>EMP_1122</v>
      </c>
      <c r="D1123" t="s">
        <v>11</v>
      </c>
      <c r="E1123" t="str">
        <f t="shared" si="154"/>
        <v>EMP_1122Marketing</v>
      </c>
      <c r="F1123" t="s">
        <v>24</v>
      </c>
      <c r="G1123" t="s">
        <v>13</v>
      </c>
      <c r="H1123">
        <v>64179</v>
      </c>
      <c r="I1123">
        <v>14817</v>
      </c>
      <c r="J1123">
        <v>0</v>
      </c>
      <c r="K1123">
        <v>0</v>
      </c>
      <c r="L1123" s="4" t="s">
        <v>1696</v>
      </c>
      <c r="M1123" s="4" t="str">
        <f t="shared" si="155"/>
        <v>2/13/2022</v>
      </c>
      <c r="N1123" s="1">
        <f t="shared" ca="1" si="156"/>
        <v>46064</v>
      </c>
      <c r="O1123" s="6" t="e">
        <f t="shared" ca="1" si="157"/>
        <v>#VALUE!</v>
      </c>
      <c r="P1123">
        <v>3</v>
      </c>
      <c r="Q1123">
        <f t="shared" si="158"/>
        <v>78996</v>
      </c>
      <c r="R1123" s="2">
        <f t="shared" si="159"/>
        <v>39498</v>
      </c>
      <c r="S1123" s="2" t="str">
        <f t="shared" si="160"/>
        <v xml:space="preserve"> Not Achieved</v>
      </c>
      <c r="T1123" s="2" t="str">
        <f t="shared" si="161"/>
        <v xml:space="preserve"> Excellent</v>
      </c>
      <c r="U1123" s="2"/>
    </row>
    <row r="1124" spans="1:21" x14ac:dyDescent="0.3">
      <c r="A1124">
        <v>1123</v>
      </c>
      <c r="B1124" t="s">
        <v>1697</v>
      </c>
      <c r="C1124" t="str">
        <f t="shared" si="153"/>
        <v>EMP_1123</v>
      </c>
      <c r="D1124" t="s">
        <v>15</v>
      </c>
      <c r="E1124" t="str">
        <f t="shared" si="154"/>
        <v>EMP_1123Sales</v>
      </c>
      <c r="F1124" t="s">
        <v>7</v>
      </c>
      <c r="G1124" t="s">
        <v>19</v>
      </c>
      <c r="H1124">
        <v>58674</v>
      </c>
      <c r="I1124">
        <v>3355</v>
      </c>
      <c r="J1124">
        <v>61962</v>
      </c>
      <c r="K1124">
        <v>147929</v>
      </c>
      <c r="L1124" s="4" t="s">
        <v>1698</v>
      </c>
      <c r="M1124" s="4" t="str">
        <f t="shared" si="155"/>
        <v>2/22/2019</v>
      </c>
      <c r="N1124" s="1">
        <f t="shared" ca="1" si="156"/>
        <v>46064</v>
      </c>
      <c r="O1124" s="6" t="e">
        <f t="shared" ca="1" si="157"/>
        <v>#VALUE!</v>
      </c>
      <c r="P1124">
        <v>4</v>
      </c>
      <c r="Q1124">
        <f t="shared" si="158"/>
        <v>62029</v>
      </c>
      <c r="R1124" s="2">
        <f t="shared" si="159"/>
        <v>31014.5</v>
      </c>
      <c r="S1124" s="2" t="str">
        <f t="shared" si="160"/>
        <v xml:space="preserve"> Not Achieved</v>
      </c>
      <c r="T1124" s="2" t="str">
        <f t="shared" si="161"/>
        <v xml:space="preserve"> Excellent</v>
      </c>
      <c r="U1124" s="2"/>
    </row>
    <row r="1125" spans="1:21" x14ac:dyDescent="0.3">
      <c r="A1125">
        <v>1124</v>
      </c>
      <c r="B1125" t="s">
        <v>1699</v>
      </c>
      <c r="C1125" t="str">
        <f t="shared" si="153"/>
        <v>EMP_1124</v>
      </c>
      <c r="D1125" t="s">
        <v>15</v>
      </c>
      <c r="E1125" t="str">
        <f t="shared" si="154"/>
        <v>EMP_1124Marketing</v>
      </c>
      <c r="F1125" t="s">
        <v>24</v>
      </c>
      <c r="G1125" t="s">
        <v>16</v>
      </c>
      <c r="H1125">
        <v>78117</v>
      </c>
      <c r="I1125">
        <v>5967</v>
      </c>
      <c r="J1125">
        <v>0</v>
      </c>
      <c r="K1125">
        <v>0</v>
      </c>
      <c r="L1125" s="4" t="s">
        <v>1700</v>
      </c>
      <c r="M1125" s="4" t="str">
        <f t="shared" si="155"/>
        <v>5/15/2022</v>
      </c>
      <c r="N1125" s="1">
        <f t="shared" ca="1" si="156"/>
        <v>46064</v>
      </c>
      <c r="O1125" s="6" t="e">
        <f t="shared" ca="1" si="157"/>
        <v>#VALUE!</v>
      </c>
      <c r="P1125">
        <v>4</v>
      </c>
      <c r="Q1125">
        <f t="shared" si="158"/>
        <v>84084</v>
      </c>
      <c r="R1125" s="2">
        <f t="shared" si="159"/>
        <v>42042</v>
      </c>
      <c r="S1125" s="2" t="str">
        <f t="shared" si="160"/>
        <v xml:space="preserve"> Not Achieved</v>
      </c>
      <c r="T1125" s="2" t="str">
        <f t="shared" si="161"/>
        <v xml:space="preserve"> Excellent</v>
      </c>
      <c r="U1125" s="2"/>
    </row>
    <row r="1126" spans="1:21" x14ac:dyDescent="0.3">
      <c r="A1126">
        <v>1125</v>
      </c>
      <c r="B1126" t="s">
        <v>1701</v>
      </c>
      <c r="C1126" t="str">
        <f t="shared" si="153"/>
        <v>EMP_1125</v>
      </c>
      <c r="D1126" t="s">
        <v>11</v>
      </c>
      <c r="E1126" t="str">
        <f t="shared" si="154"/>
        <v>EMP_1125HR</v>
      </c>
      <c r="F1126" t="s">
        <v>12</v>
      </c>
      <c r="G1126" t="s">
        <v>22</v>
      </c>
      <c r="H1126">
        <v>34699</v>
      </c>
      <c r="I1126">
        <v>5362</v>
      </c>
      <c r="J1126">
        <v>0</v>
      </c>
      <c r="K1126">
        <v>0</v>
      </c>
      <c r="L1126" s="4" t="s">
        <v>347</v>
      </c>
      <c r="M1126" s="4" t="str">
        <f t="shared" si="155"/>
        <v>8/21/2024</v>
      </c>
      <c r="N1126" s="1">
        <f t="shared" ca="1" si="156"/>
        <v>46064</v>
      </c>
      <c r="O1126" s="6" t="e">
        <f t="shared" ca="1" si="157"/>
        <v>#VALUE!</v>
      </c>
      <c r="P1126">
        <v>5</v>
      </c>
      <c r="Q1126">
        <f t="shared" si="158"/>
        <v>40061</v>
      </c>
      <c r="R1126" s="2">
        <f t="shared" si="159"/>
        <v>20030.5</v>
      </c>
      <c r="S1126" s="2" t="str">
        <f t="shared" si="160"/>
        <v xml:space="preserve"> Not Achieved</v>
      </c>
      <c r="T1126" s="2" t="str">
        <f t="shared" si="161"/>
        <v>Average</v>
      </c>
      <c r="U1126" s="2"/>
    </row>
    <row r="1127" spans="1:21" x14ac:dyDescent="0.3">
      <c r="A1127">
        <v>1126</v>
      </c>
      <c r="B1127" t="s">
        <v>1702</v>
      </c>
      <c r="C1127" t="str">
        <f t="shared" si="153"/>
        <v>EMP_1126</v>
      </c>
      <c r="D1127" t="s">
        <v>15</v>
      </c>
      <c r="E1127" t="str">
        <f t="shared" si="154"/>
        <v>EMP_1126Finance</v>
      </c>
      <c r="F1127" t="s">
        <v>18</v>
      </c>
      <c r="G1127" t="s">
        <v>22</v>
      </c>
      <c r="H1127">
        <v>27499</v>
      </c>
      <c r="I1127">
        <v>11042</v>
      </c>
      <c r="J1127">
        <v>0</v>
      </c>
      <c r="K1127">
        <v>0</v>
      </c>
      <c r="L1127" s="4" t="s">
        <v>120</v>
      </c>
      <c r="M1127" s="4" t="str">
        <f t="shared" si="155"/>
        <v>8/30/2024</v>
      </c>
      <c r="N1127" s="1">
        <f t="shared" ca="1" si="156"/>
        <v>46064</v>
      </c>
      <c r="O1127" s="6" t="e">
        <f t="shared" ca="1" si="157"/>
        <v>#VALUE!</v>
      </c>
      <c r="P1127">
        <v>3</v>
      </c>
      <c r="Q1127">
        <f t="shared" si="158"/>
        <v>38541</v>
      </c>
      <c r="R1127" s="2">
        <f t="shared" si="159"/>
        <v>19270.5</v>
      </c>
      <c r="S1127" s="2" t="str">
        <f t="shared" si="160"/>
        <v xml:space="preserve"> Not Achieved</v>
      </c>
      <c r="T1127" s="2" t="str">
        <f t="shared" si="161"/>
        <v>poor</v>
      </c>
      <c r="U1127" s="2"/>
    </row>
    <row r="1128" spans="1:21" x14ac:dyDescent="0.3">
      <c r="A1128">
        <v>1127</v>
      </c>
      <c r="B1128" t="s">
        <v>1703</v>
      </c>
      <c r="C1128" t="str">
        <f t="shared" si="153"/>
        <v>EMP_1127</v>
      </c>
      <c r="D1128" t="s">
        <v>11</v>
      </c>
      <c r="E1128" t="str">
        <f t="shared" si="154"/>
        <v>EMP_1127HR</v>
      </c>
      <c r="F1128" t="s">
        <v>12</v>
      </c>
      <c r="G1128" t="s">
        <v>22</v>
      </c>
      <c r="H1128">
        <v>74332</v>
      </c>
      <c r="I1128">
        <v>6662</v>
      </c>
      <c r="J1128">
        <v>0</v>
      </c>
      <c r="K1128">
        <v>0</v>
      </c>
      <c r="L1128" s="4" t="s">
        <v>1704</v>
      </c>
      <c r="M1128" s="4" t="str">
        <f t="shared" si="155"/>
        <v>12/24/2021</v>
      </c>
      <c r="N1128" s="1">
        <f t="shared" ca="1" si="156"/>
        <v>46064</v>
      </c>
      <c r="O1128" s="6" t="e">
        <f t="shared" ca="1" si="157"/>
        <v>#VALUE!</v>
      </c>
      <c r="P1128">
        <v>3</v>
      </c>
      <c r="Q1128">
        <f t="shared" si="158"/>
        <v>80994</v>
      </c>
      <c r="R1128" s="2">
        <f t="shared" si="159"/>
        <v>40497</v>
      </c>
      <c r="S1128" s="2" t="str">
        <f t="shared" si="160"/>
        <v xml:space="preserve"> Not Achieved</v>
      </c>
      <c r="T1128" s="2" t="str">
        <f t="shared" si="161"/>
        <v xml:space="preserve"> Excellent</v>
      </c>
      <c r="U1128" s="2"/>
    </row>
    <row r="1129" spans="1:21" x14ac:dyDescent="0.3">
      <c r="A1129">
        <v>1128</v>
      </c>
      <c r="B1129" t="s">
        <v>1705</v>
      </c>
      <c r="C1129" t="str">
        <f t="shared" si="153"/>
        <v>EMP_1128</v>
      </c>
      <c r="D1129" t="s">
        <v>11</v>
      </c>
      <c r="E1129" t="str">
        <f t="shared" si="154"/>
        <v>EMP_1128Sales</v>
      </c>
      <c r="F1129" t="s">
        <v>7</v>
      </c>
      <c r="G1129" t="s">
        <v>16</v>
      </c>
      <c r="H1129">
        <v>23438</v>
      </c>
      <c r="I1129">
        <v>9164</v>
      </c>
      <c r="J1129">
        <v>264737</v>
      </c>
      <c r="K1129">
        <v>233754</v>
      </c>
      <c r="L1129" s="4">
        <v>44199</v>
      </c>
      <c r="M1129" s="4" t="str">
        <f t="shared" si="155"/>
        <v>2021</v>
      </c>
      <c r="N1129" s="1">
        <f t="shared" ca="1" si="156"/>
        <v>46064</v>
      </c>
      <c r="O1129" s="6">
        <f t="shared" ca="1" si="157"/>
        <v>5</v>
      </c>
      <c r="P1129">
        <v>3</v>
      </c>
      <c r="Q1129">
        <f t="shared" si="158"/>
        <v>32602</v>
      </c>
      <c r="R1129" s="2">
        <f t="shared" si="159"/>
        <v>16301</v>
      </c>
      <c r="S1129" s="2" t="str">
        <f t="shared" si="160"/>
        <v>Achieved</v>
      </c>
      <c r="T1129" s="2" t="str">
        <f t="shared" si="161"/>
        <v>poor</v>
      </c>
      <c r="U1129" s="2"/>
    </row>
    <row r="1130" spans="1:21" x14ac:dyDescent="0.3">
      <c r="A1130">
        <v>1129</v>
      </c>
      <c r="B1130" t="s">
        <v>1706</v>
      </c>
      <c r="C1130" t="str">
        <f t="shared" si="153"/>
        <v>EMP_1129</v>
      </c>
      <c r="D1130" t="s">
        <v>11</v>
      </c>
      <c r="E1130" t="str">
        <f t="shared" si="154"/>
        <v>EMP_1129HR</v>
      </c>
      <c r="F1130" t="s">
        <v>12</v>
      </c>
      <c r="G1130" t="s">
        <v>22</v>
      </c>
      <c r="H1130">
        <v>63087</v>
      </c>
      <c r="I1130">
        <v>7000</v>
      </c>
      <c r="J1130">
        <v>0</v>
      </c>
      <c r="K1130">
        <v>0</v>
      </c>
      <c r="L1130" s="4" t="s">
        <v>1707</v>
      </c>
      <c r="M1130" s="4" t="str">
        <f t="shared" si="155"/>
        <v>5/19/2023</v>
      </c>
      <c r="N1130" s="1">
        <f t="shared" ca="1" si="156"/>
        <v>46064</v>
      </c>
      <c r="O1130" s="6" t="e">
        <f t="shared" ca="1" si="157"/>
        <v>#VALUE!</v>
      </c>
      <c r="P1130">
        <v>5</v>
      </c>
      <c r="Q1130">
        <f t="shared" si="158"/>
        <v>70087</v>
      </c>
      <c r="R1130" s="2">
        <f t="shared" si="159"/>
        <v>35043.5</v>
      </c>
      <c r="S1130" s="2" t="str">
        <f t="shared" si="160"/>
        <v xml:space="preserve"> Not Achieved</v>
      </c>
      <c r="T1130" s="2" t="str">
        <f t="shared" si="161"/>
        <v xml:space="preserve"> Excellent</v>
      </c>
      <c r="U1130" s="2"/>
    </row>
    <row r="1131" spans="1:21" x14ac:dyDescent="0.3">
      <c r="A1131">
        <v>1130</v>
      </c>
      <c r="B1131" t="s">
        <v>1708</v>
      </c>
      <c r="C1131" t="str">
        <f t="shared" si="153"/>
        <v>EMP_1130</v>
      </c>
      <c r="D1131" t="s">
        <v>15</v>
      </c>
      <c r="E1131" t="str">
        <f t="shared" si="154"/>
        <v>EMP_1130Finance</v>
      </c>
      <c r="F1131" t="s">
        <v>18</v>
      </c>
      <c r="G1131" t="s">
        <v>22</v>
      </c>
      <c r="H1131">
        <v>56845</v>
      </c>
      <c r="I1131">
        <v>8718</v>
      </c>
      <c r="J1131">
        <v>0</v>
      </c>
      <c r="K1131">
        <v>0</v>
      </c>
      <c r="L1131" s="4" t="s">
        <v>137</v>
      </c>
      <c r="M1131" s="4" t="str">
        <f t="shared" si="155"/>
        <v>4/20/2020</v>
      </c>
      <c r="N1131" s="1">
        <f t="shared" ca="1" si="156"/>
        <v>46064</v>
      </c>
      <c r="O1131" s="6" t="e">
        <f t="shared" ca="1" si="157"/>
        <v>#VALUE!</v>
      </c>
      <c r="P1131">
        <v>2</v>
      </c>
      <c r="Q1131">
        <f t="shared" si="158"/>
        <v>65563</v>
      </c>
      <c r="R1131" s="2">
        <f t="shared" si="159"/>
        <v>32781.5</v>
      </c>
      <c r="S1131" s="2" t="str">
        <f t="shared" si="160"/>
        <v xml:space="preserve"> Not Achieved</v>
      </c>
      <c r="T1131" s="2" t="str">
        <f t="shared" si="161"/>
        <v xml:space="preserve"> Excellent</v>
      </c>
      <c r="U1131" s="2"/>
    </row>
    <row r="1132" spans="1:21" x14ac:dyDescent="0.3">
      <c r="A1132">
        <v>1131</v>
      </c>
      <c r="B1132" t="s">
        <v>1709</v>
      </c>
      <c r="C1132" t="str">
        <f t="shared" si="153"/>
        <v>EMP_1131</v>
      </c>
      <c r="D1132" t="s">
        <v>11</v>
      </c>
      <c r="E1132" t="str">
        <f t="shared" si="154"/>
        <v>EMP_1131Finance</v>
      </c>
      <c r="F1132" t="s">
        <v>18</v>
      </c>
      <c r="G1132" t="s">
        <v>13</v>
      </c>
      <c r="H1132">
        <v>20834</v>
      </c>
      <c r="I1132">
        <v>3015</v>
      </c>
      <c r="J1132">
        <v>0</v>
      </c>
      <c r="K1132">
        <v>0</v>
      </c>
      <c r="L1132" s="4">
        <v>44898</v>
      </c>
      <c r="M1132" s="4" t="str">
        <f t="shared" si="155"/>
        <v>2022</v>
      </c>
      <c r="N1132" s="1">
        <f t="shared" ca="1" si="156"/>
        <v>46064</v>
      </c>
      <c r="O1132" s="6">
        <f t="shared" ca="1" si="157"/>
        <v>3</v>
      </c>
      <c r="P1132">
        <v>2</v>
      </c>
      <c r="Q1132">
        <f t="shared" si="158"/>
        <v>23849</v>
      </c>
      <c r="R1132" s="2">
        <f t="shared" si="159"/>
        <v>11924.5</v>
      </c>
      <c r="S1132" s="2" t="str">
        <f t="shared" si="160"/>
        <v xml:space="preserve"> Not Achieved</v>
      </c>
      <c r="T1132" s="2" t="str">
        <f t="shared" si="161"/>
        <v>poor</v>
      </c>
      <c r="U1132" s="2"/>
    </row>
    <row r="1133" spans="1:21" x14ac:dyDescent="0.3">
      <c r="A1133">
        <v>1132</v>
      </c>
      <c r="B1133" t="s">
        <v>1710</v>
      </c>
      <c r="C1133" t="str">
        <f t="shared" si="153"/>
        <v>EMP_1132</v>
      </c>
      <c r="D1133" t="s">
        <v>11</v>
      </c>
      <c r="E1133" t="str">
        <f t="shared" si="154"/>
        <v>EMP_1132IT</v>
      </c>
      <c r="F1133" t="s">
        <v>21</v>
      </c>
      <c r="G1133" t="s">
        <v>16</v>
      </c>
      <c r="H1133">
        <v>76737</v>
      </c>
      <c r="I1133">
        <v>7875</v>
      </c>
      <c r="J1133">
        <v>0</v>
      </c>
      <c r="K1133">
        <v>0</v>
      </c>
      <c r="L1133" s="4">
        <v>43586</v>
      </c>
      <c r="M1133" s="4" t="str">
        <f t="shared" si="155"/>
        <v>2019</v>
      </c>
      <c r="N1133" s="1">
        <f t="shared" ca="1" si="156"/>
        <v>46064</v>
      </c>
      <c r="O1133" s="6">
        <f t="shared" ca="1" si="157"/>
        <v>6</v>
      </c>
      <c r="P1133">
        <v>3</v>
      </c>
      <c r="Q1133">
        <f t="shared" si="158"/>
        <v>84612</v>
      </c>
      <c r="R1133" s="2">
        <f t="shared" si="159"/>
        <v>42306</v>
      </c>
      <c r="S1133" s="2" t="str">
        <f t="shared" si="160"/>
        <v xml:space="preserve"> Not Achieved</v>
      </c>
      <c r="T1133" s="2" t="str">
        <f t="shared" si="161"/>
        <v xml:space="preserve"> Excellent</v>
      </c>
      <c r="U1133" s="2"/>
    </row>
    <row r="1134" spans="1:21" x14ac:dyDescent="0.3">
      <c r="A1134">
        <v>1133</v>
      </c>
      <c r="B1134" t="s">
        <v>1711</v>
      </c>
      <c r="C1134" t="str">
        <f t="shared" si="153"/>
        <v>EMP_1133</v>
      </c>
      <c r="D1134" t="s">
        <v>11</v>
      </c>
      <c r="E1134" t="str">
        <f t="shared" si="154"/>
        <v>EMP_1133Sales</v>
      </c>
      <c r="F1134" t="s">
        <v>7</v>
      </c>
      <c r="G1134" t="s">
        <v>19</v>
      </c>
      <c r="H1134">
        <v>38528</v>
      </c>
      <c r="I1134">
        <v>11908</v>
      </c>
      <c r="J1134">
        <v>192845</v>
      </c>
      <c r="K1134">
        <v>165896</v>
      </c>
      <c r="L1134" s="4">
        <v>43500</v>
      </c>
      <c r="M1134" s="4" t="str">
        <f t="shared" si="155"/>
        <v>2019</v>
      </c>
      <c r="N1134" s="1">
        <f t="shared" ca="1" si="156"/>
        <v>46064</v>
      </c>
      <c r="O1134" s="6">
        <f t="shared" ca="1" si="157"/>
        <v>7</v>
      </c>
      <c r="P1134">
        <v>1</v>
      </c>
      <c r="Q1134">
        <f t="shared" si="158"/>
        <v>50436</v>
      </c>
      <c r="R1134" s="2">
        <f t="shared" si="159"/>
        <v>25218</v>
      </c>
      <c r="S1134" s="2" t="str">
        <f t="shared" si="160"/>
        <v>Achieved</v>
      </c>
      <c r="T1134" s="2" t="str">
        <f t="shared" si="161"/>
        <v>Average</v>
      </c>
      <c r="U1134" s="2"/>
    </row>
    <row r="1135" spans="1:21" x14ac:dyDescent="0.3">
      <c r="A1135">
        <v>1134</v>
      </c>
      <c r="B1135" t="s">
        <v>1712</v>
      </c>
      <c r="C1135" t="str">
        <f t="shared" si="153"/>
        <v>EMP_1134</v>
      </c>
      <c r="D1135" t="s">
        <v>11</v>
      </c>
      <c r="E1135" t="str">
        <f t="shared" si="154"/>
        <v>EMP_1134Marketing</v>
      </c>
      <c r="F1135" t="s">
        <v>24</v>
      </c>
      <c r="G1135" t="s">
        <v>25</v>
      </c>
      <c r="H1135">
        <v>52140</v>
      </c>
      <c r="I1135">
        <v>6821</v>
      </c>
      <c r="J1135">
        <v>0</v>
      </c>
      <c r="K1135">
        <v>0</v>
      </c>
      <c r="L1135" s="4" t="s">
        <v>1713</v>
      </c>
      <c r="M1135" s="4" t="str">
        <f t="shared" si="155"/>
        <v>12/22/2018</v>
      </c>
      <c r="N1135" s="1">
        <f t="shared" ca="1" si="156"/>
        <v>46064</v>
      </c>
      <c r="O1135" s="6" t="e">
        <f t="shared" ca="1" si="157"/>
        <v>#VALUE!</v>
      </c>
      <c r="P1135">
        <v>5</v>
      </c>
      <c r="Q1135">
        <f t="shared" si="158"/>
        <v>58961</v>
      </c>
      <c r="R1135" s="2">
        <f t="shared" si="159"/>
        <v>29480.5</v>
      </c>
      <c r="S1135" s="2" t="str">
        <f t="shared" si="160"/>
        <v xml:space="preserve"> Not Achieved</v>
      </c>
      <c r="T1135" s="2" t="str">
        <f t="shared" si="161"/>
        <v xml:space="preserve"> Excellent</v>
      </c>
      <c r="U1135" s="2"/>
    </row>
    <row r="1136" spans="1:21" x14ac:dyDescent="0.3">
      <c r="A1136">
        <v>1135</v>
      </c>
      <c r="B1136" t="s">
        <v>1714</v>
      </c>
      <c r="C1136" t="str">
        <f t="shared" si="153"/>
        <v>EMP_1135</v>
      </c>
      <c r="D1136" t="s">
        <v>11</v>
      </c>
      <c r="E1136" t="str">
        <f t="shared" si="154"/>
        <v>EMP_1135IT</v>
      </c>
      <c r="F1136" t="s">
        <v>21</v>
      </c>
      <c r="G1136" t="s">
        <v>22</v>
      </c>
      <c r="H1136">
        <v>58144</v>
      </c>
      <c r="I1136">
        <v>9203</v>
      </c>
      <c r="J1136">
        <v>0</v>
      </c>
      <c r="K1136">
        <v>0</v>
      </c>
      <c r="L1136" s="4">
        <v>43225</v>
      </c>
      <c r="M1136" s="4" t="str">
        <f t="shared" si="155"/>
        <v>2018</v>
      </c>
      <c r="N1136" s="1">
        <f t="shared" ca="1" si="156"/>
        <v>46064</v>
      </c>
      <c r="O1136" s="6">
        <f t="shared" ca="1" si="157"/>
        <v>7</v>
      </c>
      <c r="P1136">
        <v>3</v>
      </c>
      <c r="Q1136">
        <f t="shared" si="158"/>
        <v>67347</v>
      </c>
      <c r="R1136" s="2">
        <f t="shared" si="159"/>
        <v>33673.5</v>
      </c>
      <c r="S1136" s="2" t="str">
        <f t="shared" si="160"/>
        <v xml:space="preserve"> Not Achieved</v>
      </c>
      <c r="T1136" s="2" t="str">
        <f t="shared" si="161"/>
        <v xml:space="preserve"> Excellent</v>
      </c>
      <c r="U1136" s="2"/>
    </row>
    <row r="1137" spans="1:21" x14ac:dyDescent="0.3">
      <c r="A1137">
        <v>1136</v>
      </c>
      <c r="B1137" t="s">
        <v>1715</v>
      </c>
      <c r="C1137" t="str">
        <f t="shared" si="153"/>
        <v>EMP_1136</v>
      </c>
      <c r="D1137" t="s">
        <v>11</v>
      </c>
      <c r="E1137" t="str">
        <f t="shared" si="154"/>
        <v>EMP_1136Finance</v>
      </c>
      <c r="F1137" t="s">
        <v>18</v>
      </c>
      <c r="G1137" t="s">
        <v>13</v>
      </c>
      <c r="H1137">
        <v>40538</v>
      </c>
      <c r="I1137">
        <v>4754</v>
      </c>
      <c r="J1137">
        <v>0</v>
      </c>
      <c r="K1137">
        <v>0</v>
      </c>
      <c r="L1137" s="4" t="s">
        <v>1716</v>
      </c>
      <c r="M1137" s="4" t="str">
        <f t="shared" si="155"/>
        <v>6/17/2018</v>
      </c>
      <c r="N1137" s="1">
        <f t="shared" ca="1" si="156"/>
        <v>46064</v>
      </c>
      <c r="O1137" s="6" t="e">
        <f t="shared" ca="1" si="157"/>
        <v>#VALUE!</v>
      </c>
      <c r="P1137">
        <v>2</v>
      </c>
      <c r="Q1137">
        <f t="shared" si="158"/>
        <v>45292</v>
      </c>
      <c r="R1137" s="2">
        <f t="shared" si="159"/>
        <v>22646</v>
      </c>
      <c r="S1137" s="2" t="str">
        <f t="shared" si="160"/>
        <v xml:space="preserve"> Not Achieved</v>
      </c>
      <c r="T1137" s="2" t="str">
        <f t="shared" si="161"/>
        <v>Good</v>
      </c>
      <c r="U1137" s="2"/>
    </row>
    <row r="1138" spans="1:21" x14ac:dyDescent="0.3">
      <c r="A1138">
        <v>1137</v>
      </c>
      <c r="B1138" t="s">
        <v>1717</v>
      </c>
      <c r="C1138" t="str">
        <f t="shared" si="153"/>
        <v>EMP_1137</v>
      </c>
      <c r="D1138" t="s">
        <v>15</v>
      </c>
      <c r="E1138" t="str">
        <f t="shared" si="154"/>
        <v>EMP_1137Sales</v>
      </c>
      <c r="F1138" t="s">
        <v>7</v>
      </c>
      <c r="G1138" t="s">
        <v>19</v>
      </c>
      <c r="H1138">
        <v>65107</v>
      </c>
      <c r="I1138">
        <v>5058</v>
      </c>
      <c r="J1138">
        <v>154425</v>
      </c>
      <c r="K1138">
        <v>157760</v>
      </c>
      <c r="L1138" s="4">
        <v>43192</v>
      </c>
      <c r="M1138" s="4" t="str">
        <f t="shared" si="155"/>
        <v>2018</v>
      </c>
      <c r="N1138" s="1">
        <f t="shared" ca="1" si="156"/>
        <v>46064</v>
      </c>
      <c r="O1138" s="6">
        <f t="shared" ca="1" si="157"/>
        <v>7</v>
      </c>
      <c r="P1138">
        <v>4</v>
      </c>
      <c r="Q1138">
        <f t="shared" si="158"/>
        <v>70165</v>
      </c>
      <c r="R1138" s="2">
        <f t="shared" si="159"/>
        <v>35082.5</v>
      </c>
      <c r="S1138" s="2" t="str">
        <f t="shared" si="160"/>
        <v xml:space="preserve"> Not Achieved</v>
      </c>
      <c r="T1138" s="2" t="str">
        <f t="shared" si="161"/>
        <v xml:space="preserve"> Excellent</v>
      </c>
      <c r="U1138" s="2"/>
    </row>
    <row r="1139" spans="1:21" x14ac:dyDescent="0.3">
      <c r="A1139">
        <v>1138</v>
      </c>
      <c r="B1139" t="s">
        <v>1718</v>
      </c>
      <c r="C1139" t="str">
        <f t="shared" si="153"/>
        <v>EMP_1138</v>
      </c>
      <c r="D1139" t="s">
        <v>15</v>
      </c>
      <c r="E1139" t="str">
        <f t="shared" si="154"/>
        <v>EMP_1138HR</v>
      </c>
      <c r="F1139" t="s">
        <v>12</v>
      </c>
      <c r="G1139" t="s">
        <v>13</v>
      </c>
      <c r="H1139">
        <v>59391</v>
      </c>
      <c r="I1139">
        <v>4081</v>
      </c>
      <c r="J1139">
        <v>0</v>
      </c>
      <c r="K1139">
        <v>0</v>
      </c>
      <c r="L1139" s="4">
        <v>44288</v>
      </c>
      <c r="M1139" s="4" t="str">
        <f t="shared" si="155"/>
        <v>2021</v>
      </c>
      <c r="N1139" s="1">
        <f t="shared" ca="1" si="156"/>
        <v>46064</v>
      </c>
      <c r="O1139" s="6">
        <f t="shared" ca="1" si="157"/>
        <v>4</v>
      </c>
      <c r="P1139">
        <v>1</v>
      </c>
      <c r="Q1139">
        <f t="shared" si="158"/>
        <v>63472</v>
      </c>
      <c r="R1139" s="2">
        <f t="shared" si="159"/>
        <v>31736</v>
      </c>
      <c r="S1139" s="2" t="str">
        <f t="shared" si="160"/>
        <v xml:space="preserve"> Not Achieved</v>
      </c>
      <c r="T1139" s="2" t="str">
        <f t="shared" si="161"/>
        <v xml:space="preserve"> Excellent</v>
      </c>
      <c r="U1139" s="2"/>
    </row>
    <row r="1140" spans="1:21" x14ac:dyDescent="0.3">
      <c r="A1140">
        <v>1139</v>
      </c>
      <c r="B1140" t="s">
        <v>1719</v>
      </c>
      <c r="C1140" t="str">
        <f t="shared" si="153"/>
        <v>EMP_1139</v>
      </c>
      <c r="D1140" t="s">
        <v>11</v>
      </c>
      <c r="E1140" t="str">
        <f t="shared" si="154"/>
        <v>EMP_1139Sales</v>
      </c>
      <c r="F1140" t="s">
        <v>7</v>
      </c>
      <c r="G1140" t="s">
        <v>19</v>
      </c>
      <c r="H1140">
        <v>51756</v>
      </c>
      <c r="I1140">
        <v>2226</v>
      </c>
      <c r="J1140">
        <v>134044</v>
      </c>
      <c r="K1140">
        <v>94209</v>
      </c>
      <c r="L1140" s="4" t="s">
        <v>711</v>
      </c>
      <c r="M1140" s="4" t="str">
        <f t="shared" si="155"/>
        <v>10/21/2018</v>
      </c>
      <c r="N1140" s="1">
        <f t="shared" ca="1" si="156"/>
        <v>46064</v>
      </c>
      <c r="O1140" s="6" t="e">
        <f t="shared" ca="1" si="157"/>
        <v>#VALUE!</v>
      </c>
      <c r="P1140">
        <v>3</v>
      </c>
      <c r="Q1140">
        <f t="shared" si="158"/>
        <v>53982</v>
      </c>
      <c r="R1140" s="2">
        <f t="shared" si="159"/>
        <v>26991</v>
      </c>
      <c r="S1140" s="2" t="str">
        <f t="shared" si="160"/>
        <v>Achieved</v>
      </c>
      <c r="T1140" s="2" t="str">
        <f t="shared" si="161"/>
        <v xml:space="preserve"> Excellent</v>
      </c>
      <c r="U1140" s="2"/>
    </row>
    <row r="1141" spans="1:21" x14ac:dyDescent="0.3">
      <c r="A1141">
        <v>1140</v>
      </c>
      <c r="B1141" t="s">
        <v>1720</v>
      </c>
      <c r="C1141" t="str">
        <f t="shared" si="153"/>
        <v>EMP_1140</v>
      </c>
      <c r="D1141" t="s">
        <v>11</v>
      </c>
      <c r="E1141" t="str">
        <f t="shared" si="154"/>
        <v>EMP_1140Finance</v>
      </c>
      <c r="F1141" t="s">
        <v>18</v>
      </c>
      <c r="G1141" t="s">
        <v>22</v>
      </c>
      <c r="H1141">
        <v>47406</v>
      </c>
      <c r="I1141">
        <v>8034</v>
      </c>
      <c r="J1141">
        <v>0</v>
      </c>
      <c r="K1141">
        <v>0</v>
      </c>
      <c r="L1141" s="4" t="s">
        <v>376</v>
      </c>
      <c r="M1141" s="4" t="str">
        <f t="shared" si="155"/>
        <v>3/28/2018</v>
      </c>
      <c r="N1141" s="1">
        <f t="shared" ca="1" si="156"/>
        <v>46064</v>
      </c>
      <c r="O1141" s="6" t="e">
        <f t="shared" ca="1" si="157"/>
        <v>#VALUE!</v>
      </c>
      <c r="P1141">
        <v>1</v>
      </c>
      <c r="Q1141">
        <f t="shared" si="158"/>
        <v>55440</v>
      </c>
      <c r="R1141" s="2">
        <f t="shared" si="159"/>
        <v>27720</v>
      </c>
      <c r="S1141" s="2" t="str">
        <f t="shared" si="160"/>
        <v xml:space="preserve"> Not Achieved</v>
      </c>
      <c r="T1141" s="2" t="str">
        <f t="shared" si="161"/>
        <v>Good</v>
      </c>
      <c r="U1141" s="2"/>
    </row>
    <row r="1142" spans="1:21" x14ac:dyDescent="0.3">
      <c r="A1142">
        <v>1141</v>
      </c>
      <c r="B1142" t="s">
        <v>1721</v>
      </c>
      <c r="C1142" t="str">
        <f t="shared" si="153"/>
        <v>EMP_1141</v>
      </c>
      <c r="D1142" t="s">
        <v>15</v>
      </c>
      <c r="E1142" t="str">
        <f t="shared" si="154"/>
        <v>EMP_1141Sales</v>
      </c>
      <c r="F1142" t="s">
        <v>7</v>
      </c>
      <c r="G1142" t="s">
        <v>25</v>
      </c>
      <c r="H1142">
        <v>21241</v>
      </c>
      <c r="I1142">
        <v>9186</v>
      </c>
      <c r="J1142">
        <v>269867</v>
      </c>
      <c r="K1142">
        <v>98845</v>
      </c>
      <c r="L1142" s="4">
        <v>45509</v>
      </c>
      <c r="M1142" s="4" t="str">
        <f t="shared" si="155"/>
        <v>2024</v>
      </c>
      <c r="N1142" s="1">
        <f t="shared" ca="1" si="156"/>
        <v>46064</v>
      </c>
      <c r="O1142" s="6">
        <f t="shared" ca="1" si="157"/>
        <v>1</v>
      </c>
      <c r="P1142">
        <v>2</v>
      </c>
      <c r="Q1142">
        <f t="shared" si="158"/>
        <v>30427</v>
      </c>
      <c r="R1142" s="2">
        <f t="shared" si="159"/>
        <v>15213.5</v>
      </c>
      <c r="S1142" s="2" t="str">
        <f t="shared" si="160"/>
        <v>Achieved</v>
      </c>
      <c r="T1142" s="2" t="str">
        <f t="shared" si="161"/>
        <v>poor</v>
      </c>
      <c r="U1142" s="2"/>
    </row>
    <row r="1143" spans="1:21" x14ac:dyDescent="0.3">
      <c r="A1143">
        <v>1142</v>
      </c>
      <c r="B1143" t="s">
        <v>1722</v>
      </c>
      <c r="C1143" t="str">
        <f t="shared" si="153"/>
        <v>EMP_1142</v>
      </c>
      <c r="D1143" t="s">
        <v>11</v>
      </c>
      <c r="E1143" t="str">
        <f t="shared" si="154"/>
        <v>EMP_1142Finance</v>
      </c>
      <c r="F1143" t="s">
        <v>18</v>
      </c>
      <c r="G1143" t="s">
        <v>19</v>
      </c>
      <c r="H1143">
        <v>25707</v>
      </c>
      <c r="I1143">
        <v>10389</v>
      </c>
      <c r="J1143">
        <v>0</v>
      </c>
      <c r="K1143">
        <v>0</v>
      </c>
      <c r="L1143" s="4" t="s">
        <v>1723</v>
      </c>
      <c r="M1143" s="4" t="str">
        <f t="shared" si="155"/>
        <v>3/24/2024</v>
      </c>
      <c r="N1143" s="1">
        <f t="shared" ca="1" si="156"/>
        <v>46064</v>
      </c>
      <c r="O1143" s="6" t="e">
        <f t="shared" ca="1" si="157"/>
        <v>#VALUE!</v>
      </c>
      <c r="P1143">
        <v>5</v>
      </c>
      <c r="Q1143">
        <f t="shared" si="158"/>
        <v>36096</v>
      </c>
      <c r="R1143" s="2">
        <f t="shared" si="159"/>
        <v>18048</v>
      </c>
      <c r="S1143" s="2" t="str">
        <f t="shared" si="160"/>
        <v xml:space="preserve"> Not Achieved</v>
      </c>
      <c r="T1143" s="2" t="str">
        <f t="shared" si="161"/>
        <v>poor</v>
      </c>
      <c r="U1143" s="2"/>
    </row>
    <row r="1144" spans="1:21" x14ac:dyDescent="0.3">
      <c r="A1144">
        <v>1143</v>
      </c>
      <c r="B1144" t="s">
        <v>1724</v>
      </c>
      <c r="C1144" t="str">
        <f t="shared" si="153"/>
        <v>EMP_1143</v>
      </c>
      <c r="D1144" t="s">
        <v>15</v>
      </c>
      <c r="E1144" t="str">
        <f t="shared" si="154"/>
        <v>EMP_1143HR</v>
      </c>
      <c r="F1144" t="s">
        <v>12</v>
      </c>
      <c r="G1144" t="s">
        <v>25</v>
      </c>
      <c r="H1144">
        <v>65935</v>
      </c>
      <c r="I1144">
        <v>2131</v>
      </c>
      <c r="J1144">
        <v>0</v>
      </c>
      <c r="K1144">
        <v>0</v>
      </c>
      <c r="L1144" s="4" t="s">
        <v>1725</v>
      </c>
      <c r="M1144" s="4" t="str">
        <f t="shared" si="155"/>
        <v>9/19/2022</v>
      </c>
      <c r="N1144" s="1">
        <f t="shared" ca="1" si="156"/>
        <v>46064</v>
      </c>
      <c r="O1144" s="6" t="e">
        <f t="shared" ca="1" si="157"/>
        <v>#VALUE!</v>
      </c>
      <c r="P1144">
        <v>3</v>
      </c>
      <c r="Q1144">
        <f t="shared" si="158"/>
        <v>68066</v>
      </c>
      <c r="R1144" s="2">
        <f t="shared" si="159"/>
        <v>34033</v>
      </c>
      <c r="S1144" s="2" t="str">
        <f t="shared" si="160"/>
        <v xml:space="preserve"> Not Achieved</v>
      </c>
      <c r="T1144" s="2" t="str">
        <f t="shared" si="161"/>
        <v xml:space="preserve"> Excellent</v>
      </c>
      <c r="U1144" s="2"/>
    </row>
    <row r="1145" spans="1:21" x14ac:dyDescent="0.3">
      <c r="A1145">
        <v>1144</v>
      </c>
      <c r="B1145" t="s">
        <v>1726</v>
      </c>
      <c r="C1145" t="str">
        <f t="shared" si="153"/>
        <v>EMP_1144</v>
      </c>
      <c r="D1145" t="s">
        <v>15</v>
      </c>
      <c r="E1145" t="str">
        <f t="shared" si="154"/>
        <v>EMP_1144Marketing</v>
      </c>
      <c r="F1145" t="s">
        <v>24</v>
      </c>
      <c r="G1145" t="s">
        <v>25</v>
      </c>
      <c r="H1145">
        <v>64083</v>
      </c>
      <c r="I1145">
        <v>4092</v>
      </c>
      <c r="J1145">
        <v>0</v>
      </c>
      <c r="K1145">
        <v>0</v>
      </c>
      <c r="L1145" s="4" t="s">
        <v>1288</v>
      </c>
      <c r="M1145" s="4" t="str">
        <f t="shared" si="155"/>
        <v>11/24/2020</v>
      </c>
      <c r="N1145" s="1">
        <f t="shared" ca="1" si="156"/>
        <v>46064</v>
      </c>
      <c r="O1145" s="6" t="e">
        <f t="shared" ca="1" si="157"/>
        <v>#VALUE!</v>
      </c>
      <c r="P1145">
        <v>3</v>
      </c>
      <c r="Q1145">
        <f t="shared" si="158"/>
        <v>68175</v>
      </c>
      <c r="R1145" s="2">
        <f t="shared" si="159"/>
        <v>34087.5</v>
      </c>
      <c r="S1145" s="2" t="str">
        <f t="shared" si="160"/>
        <v xml:space="preserve"> Not Achieved</v>
      </c>
      <c r="T1145" s="2" t="str">
        <f t="shared" si="161"/>
        <v xml:space="preserve"> Excellent</v>
      </c>
      <c r="U1145" s="2"/>
    </row>
    <row r="1146" spans="1:21" x14ac:dyDescent="0.3">
      <c r="A1146">
        <v>1145</v>
      </c>
      <c r="B1146" t="s">
        <v>1727</v>
      </c>
      <c r="C1146" t="str">
        <f t="shared" si="153"/>
        <v>EMP_1145</v>
      </c>
      <c r="D1146" t="s">
        <v>15</v>
      </c>
      <c r="E1146" t="str">
        <f t="shared" si="154"/>
        <v>EMP_1145IT</v>
      </c>
      <c r="F1146" t="s">
        <v>21</v>
      </c>
      <c r="G1146" t="s">
        <v>22</v>
      </c>
      <c r="H1146">
        <v>58899</v>
      </c>
      <c r="I1146">
        <v>2565</v>
      </c>
      <c r="J1146">
        <v>0</v>
      </c>
      <c r="K1146">
        <v>0</v>
      </c>
      <c r="L1146" s="4" t="s">
        <v>1728</v>
      </c>
      <c r="M1146" s="4" t="str">
        <f t="shared" si="155"/>
        <v>11/30/2023</v>
      </c>
      <c r="N1146" s="1">
        <f t="shared" ca="1" si="156"/>
        <v>46064</v>
      </c>
      <c r="O1146" s="6" t="e">
        <f t="shared" ca="1" si="157"/>
        <v>#VALUE!</v>
      </c>
      <c r="P1146">
        <v>1</v>
      </c>
      <c r="Q1146">
        <f t="shared" si="158"/>
        <v>61464</v>
      </c>
      <c r="R1146" s="2">
        <f t="shared" si="159"/>
        <v>30732</v>
      </c>
      <c r="S1146" s="2" t="str">
        <f t="shared" si="160"/>
        <v xml:space="preserve"> Not Achieved</v>
      </c>
      <c r="T1146" s="2" t="str">
        <f t="shared" si="161"/>
        <v xml:space="preserve"> Excellent</v>
      </c>
      <c r="U1146" s="2"/>
    </row>
    <row r="1147" spans="1:21" x14ac:dyDescent="0.3">
      <c r="A1147">
        <v>1146</v>
      </c>
      <c r="B1147" t="s">
        <v>1729</v>
      </c>
      <c r="C1147" t="str">
        <f t="shared" si="153"/>
        <v>EMP_1146</v>
      </c>
      <c r="D1147" t="s">
        <v>11</v>
      </c>
      <c r="E1147" t="str">
        <f t="shared" si="154"/>
        <v>EMP_1146Finance</v>
      </c>
      <c r="F1147" t="s">
        <v>18</v>
      </c>
      <c r="G1147" t="s">
        <v>19</v>
      </c>
      <c r="H1147">
        <v>39545</v>
      </c>
      <c r="I1147">
        <v>5333</v>
      </c>
      <c r="J1147">
        <v>0</v>
      </c>
      <c r="K1147">
        <v>0</v>
      </c>
      <c r="L1147" s="4" t="s">
        <v>1565</v>
      </c>
      <c r="M1147" s="4" t="str">
        <f t="shared" si="155"/>
        <v>11/13/2023</v>
      </c>
      <c r="N1147" s="1">
        <f t="shared" ca="1" si="156"/>
        <v>46064</v>
      </c>
      <c r="O1147" s="6" t="e">
        <f t="shared" ca="1" si="157"/>
        <v>#VALUE!</v>
      </c>
      <c r="P1147">
        <v>2</v>
      </c>
      <c r="Q1147">
        <f t="shared" si="158"/>
        <v>44878</v>
      </c>
      <c r="R1147" s="2">
        <f t="shared" si="159"/>
        <v>22439</v>
      </c>
      <c r="S1147" s="2" t="str">
        <f t="shared" si="160"/>
        <v xml:space="preserve"> Not Achieved</v>
      </c>
      <c r="T1147" s="2" t="str">
        <f t="shared" si="161"/>
        <v>Average</v>
      </c>
      <c r="U1147" s="2"/>
    </row>
    <row r="1148" spans="1:21" x14ac:dyDescent="0.3">
      <c r="A1148">
        <v>1147</v>
      </c>
      <c r="B1148" t="s">
        <v>1730</v>
      </c>
      <c r="C1148" t="str">
        <f t="shared" si="153"/>
        <v>EMP_1147</v>
      </c>
      <c r="D1148" t="s">
        <v>15</v>
      </c>
      <c r="E1148" t="str">
        <f t="shared" si="154"/>
        <v>EMP_1147Marketing</v>
      </c>
      <c r="F1148" t="s">
        <v>24</v>
      </c>
      <c r="G1148" t="s">
        <v>19</v>
      </c>
      <c r="H1148">
        <v>59749</v>
      </c>
      <c r="I1148">
        <v>10993</v>
      </c>
      <c r="J1148">
        <v>0</v>
      </c>
      <c r="K1148">
        <v>0</v>
      </c>
      <c r="L1148" s="4" t="s">
        <v>1731</v>
      </c>
      <c r="M1148" s="4" t="str">
        <f t="shared" si="155"/>
        <v>1/15/2020</v>
      </c>
      <c r="N1148" s="1">
        <f t="shared" ca="1" si="156"/>
        <v>46064</v>
      </c>
      <c r="O1148" s="6" t="e">
        <f t="shared" ca="1" si="157"/>
        <v>#VALUE!</v>
      </c>
      <c r="P1148">
        <v>3</v>
      </c>
      <c r="Q1148">
        <f t="shared" si="158"/>
        <v>70742</v>
      </c>
      <c r="R1148" s="2">
        <f t="shared" si="159"/>
        <v>35371</v>
      </c>
      <c r="S1148" s="2" t="str">
        <f t="shared" si="160"/>
        <v xml:space="preserve"> Not Achieved</v>
      </c>
      <c r="T1148" s="2" t="str">
        <f t="shared" si="161"/>
        <v xml:space="preserve"> Excellent</v>
      </c>
      <c r="U1148" s="2"/>
    </row>
    <row r="1149" spans="1:21" x14ac:dyDescent="0.3">
      <c r="A1149">
        <v>1148</v>
      </c>
      <c r="B1149" t="s">
        <v>1732</v>
      </c>
      <c r="C1149" t="str">
        <f t="shared" si="153"/>
        <v>EMP_1148</v>
      </c>
      <c r="D1149" t="s">
        <v>11</v>
      </c>
      <c r="E1149" t="str">
        <f t="shared" si="154"/>
        <v>EMP_1148HR</v>
      </c>
      <c r="F1149" t="s">
        <v>12</v>
      </c>
      <c r="G1149" t="s">
        <v>16</v>
      </c>
      <c r="H1149">
        <v>52319</v>
      </c>
      <c r="I1149">
        <v>3658</v>
      </c>
      <c r="J1149">
        <v>0</v>
      </c>
      <c r="K1149">
        <v>0</v>
      </c>
      <c r="L1149" s="4" t="s">
        <v>1733</v>
      </c>
      <c r="M1149" s="4" t="str">
        <f t="shared" si="155"/>
        <v>7/13/2018</v>
      </c>
      <c r="N1149" s="1">
        <f t="shared" ca="1" si="156"/>
        <v>46064</v>
      </c>
      <c r="O1149" s="6" t="e">
        <f t="shared" ca="1" si="157"/>
        <v>#VALUE!</v>
      </c>
      <c r="P1149">
        <v>1</v>
      </c>
      <c r="Q1149">
        <f t="shared" si="158"/>
        <v>55977</v>
      </c>
      <c r="R1149" s="2">
        <f t="shared" si="159"/>
        <v>27988.5</v>
      </c>
      <c r="S1149" s="2" t="str">
        <f t="shared" si="160"/>
        <v xml:space="preserve"> Not Achieved</v>
      </c>
      <c r="T1149" s="2" t="str">
        <f t="shared" si="161"/>
        <v xml:space="preserve"> Excellent</v>
      </c>
      <c r="U1149" s="2"/>
    </row>
    <row r="1150" spans="1:21" x14ac:dyDescent="0.3">
      <c r="A1150">
        <v>1149</v>
      </c>
      <c r="B1150" t="s">
        <v>1734</v>
      </c>
      <c r="C1150" t="str">
        <f t="shared" si="153"/>
        <v>EMP_1149</v>
      </c>
      <c r="D1150" t="s">
        <v>11</v>
      </c>
      <c r="E1150" t="str">
        <f t="shared" si="154"/>
        <v>EMP_1149Finance</v>
      </c>
      <c r="F1150" t="s">
        <v>18</v>
      </c>
      <c r="G1150" t="s">
        <v>19</v>
      </c>
      <c r="H1150">
        <v>39931</v>
      </c>
      <c r="I1150">
        <v>7696</v>
      </c>
      <c r="J1150">
        <v>0</v>
      </c>
      <c r="K1150">
        <v>0</v>
      </c>
      <c r="L1150" s="4">
        <v>44959</v>
      </c>
      <c r="M1150" s="4" t="str">
        <f t="shared" si="155"/>
        <v>2023</v>
      </c>
      <c r="N1150" s="1">
        <f t="shared" ca="1" si="156"/>
        <v>46064</v>
      </c>
      <c r="O1150" s="6">
        <f t="shared" ca="1" si="157"/>
        <v>3</v>
      </c>
      <c r="P1150">
        <v>1</v>
      </c>
      <c r="Q1150">
        <f t="shared" si="158"/>
        <v>47627</v>
      </c>
      <c r="R1150" s="2">
        <f t="shared" si="159"/>
        <v>23813.5</v>
      </c>
      <c r="S1150" s="2" t="str">
        <f t="shared" si="160"/>
        <v xml:space="preserve"> Not Achieved</v>
      </c>
      <c r="T1150" s="2" t="str">
        <f t="shared" si="161"/>
        <v>Average</v>
      </c>
      <c r="U1150" s="2"/>
    </row>
    <row r="1151" spans="1:21" x14ac:dyDescent="0.3">
      <c r="A1151">
        <v>1150</v>
      </c>
      <c r="B1151" t="s">
        <v>1735</v>
      </c>
      <c r="C1151" t="str">
        <f t="shared" si="153"/>
        <v>EMP_1150</v>
      </c>
      <c r="D1151" t="s">
        <v>15</v>
      </c>
      <c r="E1151" t="str">
        <f t="shared" si="154"/>
        <v>EMP_1150HR</v>
      </c>
      <c r="F1151" t="s">
        <v>12</v>
      </c>
      <c r="G1151" t="s">
        <v>25</v>
      </c>
      <c r="H1151">
        <v>30467</v>
      </c>
      <c r="I1151">
        <v>10274</v>
      </c>
      <c r="J1151">
        <v>0</v>
      </c>
      <c r="K1151">
        <v>0</v>
      </c>
      <c r="L1151" s="4">
        <v>43680</v>
      </c>
      <c r="M1151" s="4" t="str">
        <f t="shared" si="155"/>
        <v>2019</v>
      </c>
      <c r="N1151" s="1">
        <f t="shared" ca="1" si="156"/>
        <v>46064</v>
      </c>
      <c r="O1151" s="6">
        <f t="shared" ca="1" si="157"/>
        <v>6</v>
      </c>
      <c r="P1151">
        <v>1</v>
      </c>
      <c r="Q1151">
        <f t="shared" si="158"/>
        <v>40741</v>
      </c>
      <c r="R1151" s="2">
        <f t="shared" si="159"/>
        <v>20370.5</v>
      </c>
      <c r="S1151" s="2" t="str">
        <f t="shared" si="160"/>
        <v xml:space="preserve"> Not Achieved</v>
      </c>
      <c r="T1151" s="2" t="str">
        <f t="shared" si="161"/>
        <v>Average</v>
      </c>
      <c r="U1151" s="2"/>
    </row>
    <row r="1152" spans="1:21" x14ac:dyDescent="0.3">
      <c r="A1152">
        <v>1151</v>
      </c>
      <c r="B1152" t="s">
        <v>1736</v>
      </c>
      <c r="C1152" t="str">
        <f t="shared" si="153"/>
        <v>EMP_1151</v>
      </c>
      <c r="D1152" t="s">
        <v>15</v>
      </c>
      <c r="E1152" t="str">
        <f t="shared" si="154"/>
        <v>EMP_1151Marketing</v>
      </c>
      <c r="F1152" t="s">
        <v>24</v>
      </c>
      <c r="G1152" t="s">
        <v>16</v>
      </c>
      <c r="H1152">
        <v>43329</v>
      </c>
      <c r="I1152">
        <v>8181</v>
      </c>
      <c r="J1152">
        <v>0</v>
      </c>
      <c r="K1152">
        <v>0</v>
      </c>
      <c r="L1152" s="4" t="s">
        <v>1737</v>
      </c>
      <c r="M1152" s="4" t="str">
        <f t="shared" si="155"/>
        <v>2/21/2021</v>
      </c>
      <c r="N1152" s="1">
        <f t="shared" ca="1" si="156"/>
        <v>46064</v>
      </c>
      <c r="O1152" s="6" t="e">
        <f t="shared" ca="1" si="157"/>
        <v>#VALUE!</v>
      </c>
      <c r="P1152">
        <v>5</v>
      </c>
      <c r="Q1152">
        <f t="shared" si="158"/>
        <v>51510</v>
      </c>
      <c r="R1152" s="2">
        <f t="shared" si="159"/>
        <v>25755</v>
      </c>
      <c r="S1152" s="2" t="str">
        <f t="shared" si="160"/>
        <v xml:space="preserve"> Not Achieved</v>
      </c>
      <c r="T1152" s="2" t="str">
        <f t="shared" si="161"/>
        <v>Good</v>
      </c>
      <c r="U1152" s="2"/>
    </row>
    <row r="1153" spans="1:21" x14ac:dyDescent="0.3">
      <c r="A1153">
        <v>1152</v>
      </c>
      <c r="B1153" t="s">
        <v>1738</v>
      </c>
      <c r="C1153" t="str">
        <f t="shared" si="153"/>
        <v>EMP_1152</v>
      </c>
      <c r="D1153" t="s">
        <v>15</v>
      </c>
      <c r="E1153" t="str">
        <f t="shared" si="154"/>
        <v>EMP_1152Sales</v>
      </c>
      <c r="F1153" t="s">
        <v>7</v>
      </c>
      <c r="G1153" t="s">
        <v>22</v>
      </c>
      <c r="H1153">
        <v>23117</v>
      </c>
      <c r="I1153">
        <v>6044</v>
      </c>
      <c r="J1153">
        <v>279254</v>
      </c>
      <c r="K1153">
        <v>206881</v>
      </c>
      <c r="L1153" s="4">
        <v>43104</v>
      </c>
      <c r="M1153" s="4" t="str">
        <f t="shared" si="155"/>
        <v>2018</v>
      </c>
      <c r="N1153" s="1">
        <f t="shared" ca="1" si="156"/>
        <v>46064</v>
      </c>
      <c r="O1153" s="6">
        <f t="shared" ca="1" si="157"/>
        <v>8</v>
      </c>
      <c r="P1153">
        <v>3</v>
      </c>
      <c r="Q1153">
        <f t="shared" si="158"/>
        <v>29161</v>
      </c>
      <c r="R1153" s="2">
        <f t="shared" si="159"/>
        <v>14580.5</v>
      </c>
      <c r="S1153" s="2" t="str">
        <f t="shared" si="160"/>
        <v>Achieved</v>
      </c>
      <c r="T1153" s="2" t="str">
        <f t="shared" si="161"/>
        <v>poor</v>
      </c>
      <c r="U1153" s="2"/>
    </row>
    <row r="1154" spans="1:21" x14ac:dyDescent="0.3">
      <c r="A1154">
        <v>1153</v>
      </c>
      <c r="B1154" t="s">
        <v>1739</v>
      </c>
      <c r="C1154" t="str">
        <f t="shared" si="153"/>
        <v>EMP_1153</v>
      </c>
      <c r="D1154" t="s">
        <v>15</v>
      </c>
      <c r="E1154" t="str">
        <f t="shared" si="154"/>
        <v>EMP_1153Marketing</v>
      </c>
      <c r="F1154" t="s">
        <v>24</v>
      </c>
      <c r="G1154" t="s">
        <v>19</v>
      </c>
      <c r="H1154">
        <v>79537</v>
      </c>
      <c r="I1154">
        <v>6964</v>
      </c>
      <c r="J1154">
        <v>0</v>
      </c>
      <c r="K1154">
        <v>0</v>
      </c>
      <c r="L1154" s="4">
        <v>43955</v>
      </c>
      <c r="M1154" s="4" t="str">
        <f t="shared" si="155"/>
        <v>2020</v>
      </c>
      <c r="N1154" s="1">
        <f t="shared" ca="1" si="156"/>
        <v>46064</v>
      </c>
      <c r="O1154" s="6">
        <f t="shared" ca="1" si="157"/>
        <v>5</v>
      </c>
      <c r="P1154">
        <v>1</v>
      </c>
      <c r="Q1154">
        <f t="shared" si="158"/>
        <v>86501</v>
      </c>
      <c r="R1154" s="2">
        <f t="shared" si="159"/>
        <v>43250.5</v>
      </c>
      <c r="S1154" s="2" t="str">
        <f t="shared" si="160"/>
        <v xml:space="preserve"> Not Achieved</v>
      </c>
      <c r="T1154" s="2" t="str">
        <f t="shared" si="161"/>
        <v xml:space="preserve"> Excellent</v>
      </c>
      <c r="U1154" s="2"/>
    </row>
    <row r="1155" spans="1:21" x14ac:dyDescent="0.3">
      <c r="A1155">
        <v>1154</v>
      </c>
      <c r="B1155" t="s">
        <v>1740</v>
      </c>
      <c r="C1155" t="str">
        <f t="shared" ref="C1155:C1218" si="162">UPPER(B1155)</f>
        <v>EMP_1154</v>
      </c>
      <c r="D1155" t="s">
        <v>15</v>
      </c>
      <c r="E1155" t="str">
        <f t="shared" ref="E1155:E1218" si="163">_xlfn.CONCAT(C1155,F1155)</f>
        <v>EMP_1154Finance</v>
      </c>
      <c r="F1155" t="s">
        <v>18</v>
      </c>
      <c r="G1155" t="s">
        <v>22</v>
      </c>
      <c r="H1155">
        <v>47054</v>
      </c>
      <c r="I1155">
        <v>6013</v>
      </c>
      <c r="J1155">
        <v>0</v>
      </c>
      <c r="K1155">
        <v>0</v>
      </c>
      <c r="L1155" s="4">
        <v>45174</v>
      </c>
      <c r="M1155" s="4" t="str">
        <f t="shared" ref="M1155:M1218" si="164">TEXT(L1155,"yyyy")</f>
        <v>2023</v>
      </c>
      <c r="N1155" s="1">
        <f t="shared" ref="N1155:N1218" ca="1" si="165">TODAY()</f>
        <v>46064</v>
      </c>
      <c r="O1155" s="6">
        <f t="shared" ref="O1155:O1218" ca="1" si="166">DATEDIF(L1155, TODAY(), "y")</f>
        <v>2</v>
      </c>
      <c r="P1155">
        <v>2</v>
      </c>
      <c r="Q1155">
        <f t="shared" ref="Q1155:Q1218" si="167">SUM(H1155,I1155)</f>
        <v>53067</v>
      </c>
      <c r="R1155" s="2">
        <f t="shared" ref="R1155:R1218" si="168">AVERAGE(H1155,I1155)</f>
        <v>26533.5</v>
      </c>
      <c r="S1155" s="2" t="str">
        <f t="shared" ref="S1155:S1218" si="169">IF(J1155&gt;K1155,"Achieved"," Not Achieved")</f>
        <v xml:space="preserve"> Not Achieved</v>
      </c>
      <c r="T1155" s="2" t="str">
        <f t="shared" ref="T1155:T1218" si="170">_xlfn.IFS(H1155&gt;=50000," Excellent",H1155&gt;=40000,"Good",H1155&gt;=30000,"Average",H1155&lt;30000,"poor")</f>
        <v>Good</v>
      </c>
      <c r="U1155" s="2"/>
    </row>
    <row r="1156" spans="1:21" x14ac:dyDescent="0.3">
      <c r="A1156">
        <v>1155</v>
      </c>
      <c r="B1156" t="s">
        <v>1741</v>
      </c>
      <c r="C1156" t="str">
        <f t="shared" si="162"/>
        <v>EMP_1155</v>
      </c>
      <c r="D1156" t="s">
        <v>15</v>
      </c>
      <c r="E1156" t="str">
        <f t="shared" si="163"/>
        <v>EMP_1155IT</v>
      </c>
      <c r="F1156" t="s">
        <v>21</v>
      </c>
      <c r="G1156" t="s">
        <v>13</v>
      </c>
      <c r="H1156">
        <v>21280</v>
      </c>
      <c r="I1156">
        <v>7303</v>
      </c>
      <c r="J1156">
        <v>0</v>
      </c>
      <c r="K1156">
        <v>0</v>
      </c>
      <c r="L1156" s="4" t="s">
        <v>740</v>
      </c>
      <c r="M1156" s="4" t="str">
        <f t="shared" si="164"/>
        <v>9/23/2024</v>
      </c>
      <c r="N1156" s="1">
        <f t="shared" ca="1" si="165"/>
        <v>46064</v>
      </c>
      <c r="O1156" s="6" t="e">
        <f t="shared" ca="1" si="166"/>
        <v>#VALUE!</v>
      </c>
      <c r="P1156">
        <v>1</v>
      </c>
      <c r="Q1156">
        <f t="shared" si="167"/>
        <v>28583</v>
      </c>
      <c r="R1156" s="2">
        <f t="shared" si="168"/>
        <v>14291.5</v>
      </c>
      <c r="S1156" s="2" t="str">
        <f t="shared" si="169"/>
        <v xml:space="preserve"> Not Achieved</v>
      </c>
      <c r="T1156" s="2" t="str">
        <f t="shared" si="170"/>
        <v>poor</v>
      </c>
      <c r="U1156" s="2"/>
    </row>
    <row r="1157" spans="1:21" x14ac:dyDescent="0.3">
      <c r="A1157">
        <v>1156</v>
      </c>
      <c r="B1157" t="s">
        <v>1742</v>
      </c>
      <c r="C1157" t="str">
        <f t="shared" si="162"/>
        <v>EMP_1156</v>
      </c>
      <c r="D1157" t="s">
        <v>15</v>
      </c>
      <c r="E1157" t="str">
        <f t="shared" si="163"/>
        <v>EMP_1156Finance</v>
      </c>
      <c r="F1157" t="s">
        <v>18</v>
      </c>
      <c r="G1157" t="s">
        <v>16</v>
      </c>
      <c r="H1157">
        <v>44095</v>
      </c>
      <c r="I1157">
        <v>9941</v>
      </c>
      <c r="J1157">
        <v>0</v>
      </c>
      <c r="K1157">
        <v>0</v>
      </c>
      <c r="L1157" s="4">
        <v>45108</v>
      </c>
      <c r="M1157" s="4" t="str">
        <f t="shared" si="164"/>
        <v>2023</v>
      </c>
      <c r="N1157" s="1">
        <f t="shared" ca="1" si="165"/>
        <v>46064</v>
      </c>
      <c r="O1157" s="6">
        <f t="shared" ca="1" si="166"/>
        <v>2</v>
      </c>
      <c r="P1157">
        <v>1</v>
      </c>
      <c r="Q1157">
        <f t="shared" si="167"/>
        <v>54036</v>
      </c>
      <c r="R1157" s="2">
        <f t="shared" si="168"/>
        <v>27018</v>
      </c>
      <c r="S1157" s="2" t="str">
        <f t="shared" si="169"/>
        <v xml:space="preserve"> Not Achieved</v>
      </c>
      <c r="T1157" s="2" t="str">
        <f t="shared" si="170"/>
        <v>Good</v>
      </c>
      <c r="U1157" s="2"/>
    </row>
    <row r="1158" spans="1:21" x14ac:dyDescent="0.3">
      <c r="A1158">
        <v>1157</v>
      </c>
      <c r="B1158" t="s">
        <v>1743</v>
      </c>
      <c r="C1158" t="str">
        <f t="shared" si="162"/>
        <v>EMP_1157</v>
      </c>
      <c r="D1158" t="s">
        <v>15</v>
      </c>
      <c r="E1158" t="str">
        <f t="shared" si="163"/>
        <v>EMP_1157IT</v>
      </c>
      <c r="F1158" t="s">
        <v>21</v>
      </c>
      <c r="G1158" t="s">
        <v>19</v>
      </c>
      <c r="H1158">
        <v>39046</v>
      </c>
      <c r="I1158">
        <v>13786</v>
      </c>
      <c r="J1158">
        <v>0</v>
      </c>
      <c r="K1158">
        <v>0</v>
      </c>
      <c r="L1158" s="4" t="s">
        <v>232</v>
      </c>
      <c r="M1158" s="4" t="str">
        <f t="shared" si="164"/>
        <v>5/23/2022</v>
      </c>
      <c r="N1158" s="1">
        <f t="shared" ca="1" si="165"/>
        <v>46064</v>
      </c>
      <c r="O1158" s="6" t="e">
        <f t="shared" ca="1" si="166"/>
        <v>#VALUE!</v>
      </c>
      <c r="P1158">
        <v>2</v>
      </c>
      <c r="Q1158">
        <f t="shared" si="167"/>
        <v>52832</v>
      </c>
      <c r="R1158" s="2">
        <f t="shared" si="168"/>
        <v>26416</v>
      </c>
      <c r="S1158" s="2" t="str">
        <f t="shared" si="169"/>
        <v xml:space="preserve"> Not Achieved</v>
      </c>
      <c r="T1158" s="2" t="str">
        <f t="shared" si="170"/>
        <v>Average</v>
      </c>
      <c r="U1158" s="2"/>
    </row>
    <row r="1159" spans="1:21" x14ac:dyDescent="0.3">
      <c r="A1159">
        <v>1158</v>
      </c>
      <c r="B1159" t="s">
        <v>1744</v>
      </c>
      <c r="C1159" t="str">
        <f t="shared" si="162"/>
        <v>EMP_1158</v>
      </c>
      <c r="D1159" t="s">
        <v>15</v>
      </c>
      <c r="E1159" t="str">
        <f t="shared" si="163"/>
        <v>EMP_1158Marketing</v>
      </c>
      <c r="F1159" t="s">
        <v>24</v>
      </c>
      <c r="G1159" t="s">
        <v>19</v>
      </c>
      <c r="H1159">
        <v>43436</v>
      </c>
      <c r="I1159">
        <v>13564</v>
      </c>
      <c r="J1159">
        <v>0</v>
      </c>
      <c r="K1159">
        <v>0</v>
      </c>
      <c r="L1159" s="4">
        <v>43223</v>
      </c>
      <c r="M1159" s="4" t="str">
        <f t="shared" si="164"/>
        <v>2018</v>
      </c>
      <c r="N1159" s="1">
        <f t="shared" ca="1" si="165"/>
        <v>46064</v>
      </c>
      <c r="O1159" s="6">
        <f t="shared" ca="1" si="166"/>
        <v>7</v>
      </c>
      <c r="P1159">
        <v>4</v>
      </c>
      <c r="Q1159">
        <f t="shared" si="167"/>
        <v>57000</v>
      </c>
      <c r="R1159" s="2">
        <f t="shared" si="168"/>
        <v>28500</v>
      </c>
      <c r="S1159" s="2" t="str">
        <f t="shared" si="169"/>
        <v xml:space="preserve"> Not Achieved</v>
      </c>
      <c r="T1159" s="2" t="str">
        <f t="shared" si="170"/>
        <v>Good</v>
      </c>
      <c r="U1159" s="2"/>
    </row>
    <row r="1160" spans="1:21" x14ac:dyDescent="0.3">
      <c r="A1160">
        <v>1159</v>
      </c>
      <c r="B1160" t="s">
        <v>1745</v>
      </c>
      <c r="C1160" t="str">
        <f t="shared" si="162"/>
        <v>EMP_1159</v>
      </c>
      <c r="D1160" t="s">
        <v>11</v>
      </c>
      <c r="E1160" t="str">
        <f t="shared" si="163"/>
        <v>EMP_1159Sales</v>
      </c>
      <c r="F1160" t="s">
        <v>7</v>
      </c>
      <c r="G1160" t="s">
        <v>25</v>
      </c>
      <c r="H1160">
        <v>68568</v>
      </c>
      <c r="I1160">
        <v>7957</v>
      </c>
      <c r="J1160">
        <v>223768</v>
      </c>
      <c r="K1160">
        <v>170111</v>
      </c>
      <c r="L1160" s="4" t="s">
        <v>1746</v>
      </c>
      <c r="M1160" s="4" t="str">
        <f t="shared" si="164"/>
        <v>8/28/2021</v>
      </c>
      <c r="N1160" s="1">
        <f t="shared" ca="1" si="165"/>
        <v>46064</v>
      </c>
      <c r="O1160" s="6" t="e">
        <f t="shared" ca="1" si="166"/>
        <v>#VALUE!</v>
      </c>
      <c r="P1160">
        <v>1</v>
      </c>
      <c r="Q1160">
        <f t="shared" si="167"/>
        <v>76525</v>
      </c>
      <c r="R1160" s="2">
        <f t="shared" si="168"/>
        <v>38262.5</v>
      </c>
      <c r="S1160" s="2" t="str">
        <f t="shared" si="169"/>
        <v>Achieved</v>
      </c>
      <c r="T1160" s="2" t="str">
        <f t="shared" si="170"/>
        <v xml:space="preserve"> Excellent</v>
      </c>
      <c r="U1160" s="2"/>
    </row>
    <row r="1161" spans="1:21" x14ac:dyDescent="0.3">
      <c r="A1161">
        <v>1160</v>
      </c>
      <c r="B1161" t="s">
        <v>1747</v>
      </c>
      <c r="C1161" t="str">
        <f t="shared" si="162"/>
        <v>EMP_1160</v>
      </c>
      <c r="D1161" t="s">
        <v>11</v>
      </c>
      <c r="E1161" t="str">
        <f t="shared" si="163"/>
        <v>EMP_1160Sales</v>
      </c>
      <c r="F1161" t="s">
        <v>7</v>
      </c>
      <c r="G1161" t="s">
        <v>16</v>
      </c>
      <c r="H1161">
        <v>25819</v>
      </c>
      <c r="I1161">
        <v>10949</v>
      </c>
      <c r="J1161">
        <v>287415</v>
      </c>
      <c r="K1161">
        <v>165024</v>
      </c>
      <c r="L1161" s="4" t="s">
        <v>1748</v>
      </c>
      <c r="M1161" s="4" t="str">
        <f t="shared" si="164"/>
        <v>3/19/2024</v>
      </c>
      <c r="N1161" s="1">
        <f t="shared" ca="1" si="165"/>
        <v>46064</v>
      </c>
      <c r="O1161" s="6" t="e">
        <f t="shared" ca="1" si="166"/>
        <v>#VALUE!</v>
      </c>
      <c r="P1161">
        <v>5</v>
      </c>
      <c r="Q1161">
        <f t="shared" si="167"/>
        <v>36768</v>
      </c>
      <c r="R1161" s="2">
        <f t="shared" si="168"/>
        <v>18384</v>
      </c>
      <c r="S1161" s="2" t="str">
        <f t="shared" si="169"/>
        <v>Achieved</v>
      </c>
      <c r="T1161" s="2" t="str">
        <f t="shared" si="170"/>
        <v>poor</v>
      </c>
      <c r="U1161" s="2"/>
    </row>
    <row r="1162" spans="1:21" x14ac:dyDescent="0.3">
      <c r="A1162">
        <v>1161</v>
      </c>
      <c r="B1162" t="s">
        <v>1749</v>
      </c>
      <c r="C1162" t="str">
        <f t="shared" si="162"/>
        <v>EMP_1161</v>
      </c>
      <c r="D1162" t="s">
        <v>15</v>
      </c>
      <c r="E1162" t="str">
        <f t="shared" si="163"/>
        <v>EMP_1161HR</v>
      </c>
      <c r="F1162" t="s">
        <v>12</v>
      </c>
      <c r="G1162" t="s">
        <v>16</v>
      </c>
      <c r="H1162">
        <v>54656</v>
      </c>
      <c r="I1162">
        <v>4856</v>
      </c>
      <c r="J1162">
        <v>0</v>
      </c>
      <c r="K1162">
        <v>0</v>
      </c>
      <c r="L1162" s="4">
        <v>45597</v>
      </c>
      <c r="M1162" s="4" t="str">
        <f t="shared" si="164"/>
        <v>2024</v>
      </c>
      <c r="N1162" s="1">
        <f t="shared" ca="1" si="165"/>
        <v>46064</v>
      </c>
      <c r="O1162" s="6">
        <f t="shared" ca="1" si="166"/>
        <v>1</v>
      </c>
      <c r="P1162">
        <v>4</v>
      </c>
      <c r="Q1162">
        <f t="shared" si="167"/>
        <v>59512</v>
      </c>
      <c r="R1162" s="2">
        <f t="shared" si="168"/>
        <v>29756</v>
      </c>
      <c r="S1162" s="2" t="str">
        <f t="shared" si="169"/>
        <v xml:space="preserve"> Not Achieved</v>
      </c>
      <c r="T1162" s="2" t="str">
        <f t="shared" si="170"/>
        <v xml:space="preserve"> Excellent</v>
      </c>
      <c r="U1162" s="2"/>
    </row>
    <row r="1163" spans="1:21" x14ac:dyDescent="0.3">
      <c r="A1163">
        <v>1162</v>
      </c>
      <c r="B1163" t="s">
        <v>1750</v>
      </c>
      <c r="C1163" t="str">
        <f t="shared" si="162"/>
        <v>EMP_1162</v>
      </c>
      <c r="D1163" t="s">
        <v>11</v>
      </c>
      <c r="E1163" t="str">
        <f t="shared" si="163"/>
        <v>EMP_1162HR</v>
      </c>
      <c r="F1163" t="s">
        <v>12</v>
      </c>
      <c r="G1163" t="s">
        <v>13</v>
      </c>
      <c r="H1163">
        <v>65475</v>
      </c>
      <c r="I1163">
        <v>9982</v>
      </c>
      <c r="J1163">
        <v>0</v>
      </c>
      <c r="K1163">
        <v>0</v>
      </c>
      <c r="L1163" s="4" t="s">
        <v>1751</v>
      </c>
      <c r="M1163" s="4" t="str">
        <f t="shared" si="164"/>
        <v>10/28/2020</v>
      </c>
      <c r="N1163" s="1">
        <f t="shared" ca="1" si="165"/>
        <v>46064</v>
      </c>
      <c r="O1163" s="6" t="e">
        <f t="shared" ca="1" si="166"/>
        <v>#VALUE!</v>
      </c>
      <c r="P1163">
        <v>3</v>
      </c>
      <c r="Q1163">
        <f t="shared" si="167"/>
        <v>75457</v>
      </c>
      <c r="R1163" s="2">
        <f t="shared" si="168"/>
        <v>37728.5</v>
      </c>
      <c r="S1163" s="2" t="str">
        <f t="shared" si="169"/>
        <v xml:space="preserve"> Not Achieved</v>
      </c>
      <c r="T1163" s="2" t="str">
        <f t="shared" si="170"/>
        <v xml:space="preserve"> Excellent</v>
      </c>
      <c r="U1163" s="2"/>
    </row>
    <row r="1164" spans="1:21" x14ac:dyDescent="0.3">
      <c r="A1164">
        <v>1163</v>
      </c>
      <c r="B1164" t="s">
        <v>1752</v>
      </c>
      <c r="C1164" t="str">
        <f t="shared" si="162"/>
        <v>EMP_1163</v>
      </c>
      <c r="D1164" t="s">
        <v>11</v>
      </c>
      <c r="E1164" t="str">
        <f t="shared" si="163"/>
        <v>EMP_1163Sales</v>
      </c>
      <c r="F1164" t="s">
        <v>7</v>
      </c>
      <c r="G1164" t="s">
        <v>22</v>
      </c>
      <c r="H1164">
        <v>44479</v>
      </c>
      <c r="I1164">
        <v>3696</v>
      </c>
      <c r="J1164">
        <v>106119</v>
      </c>
      <c r="K1164">
        <v>186154</v>
      </c>
      <c r="L1164" s="4" t="s">
        <v>1753</v>
      </c>
      <c r="M1164" s="4" t="str">
        <f t="shared" si="164"/>
        <v>11/26/2020</v>
      </c>
      <c r="N1164" s="1">
        <f t="shared" ca="1" si="165"/>
        <v>46064</v>
      </c>
      <c r="O1164" s="6" t="e">
        <f t="shared" ca="1" si="166"/>
        <v>#VALUE!</v>
      </c>
      <c r="P1164">
        <v>2</v>
      </c>
      <c r="Q1164">
        <f t="shared" si="167"/>
        <v>48175</v>
      </c>
      <c r="R1164" s="2">
        <f t="shared" si="168"/>
        <v>24087.5</v>
      </c>
      <c r="S1164" s="2" t="str">
        <f t="shared" si="169"/>
        <v xml:space="preserve"> Not Achieved</v>
      </c>
      <c r="T1164" s="2" t="str">
        <f t="shared" si="170"/>
        <v>Good</v>
      </c>
      <c r="U1164" s="2"/>
    </row>
    <row r="1165" spans="1:21" x14ac:dyDescent="0.3">
      <c r="A1165">
        <v>1164</v>
      </c>
      <c r="B1165" t="s">
        <v>1754</v>
      </c>
      <c r="C1165" t="str">
        <f t="shared" si="162"/>
        <v>EMP_1164</v>
      </c>
      <c r="D1165" t="s">
        <v>11</v>
      </c>
      <c r="E1165" t="str">
        <f t="shared" si="163"/>
        <v>EMP_1164Finance</v>
      </c>
      <c r="F1165" t="s">
        <v>18</v>
      </c>
      <c r="G1165" t="s">
        <v>13</v>
      </c>
      <c r="H1165">
        <v>57869</v>
      </c>
      <c r="I1165">
        <v>12712</v>
      </c>
      <c r="J1165">
        <v>0</v>
      </c>
      <c r="K1165">
        <v>0</v>
      </c>
      <c r="L1165" s="4" t="s">
        <v>522</v>
      </c>
      <c r="M1165" s="4" t="str">
        <f t="shared" si="164"/>
        <v>3/15/2018</v>
      </c>
      <c r="N1165" s="1">
        <f t="shared" ca="1" si="165"/>
        <v>46064</v>
      </c>
      <c r="O1165" s="6" t="e">
        <f t="shared" ca="1" si="166"/>
        <v>#VALUE!</v>
      </c>
      <c r="P1165">
        <v>3</v>
      </c>
      <c r="Q1165">
        <f t="shared" si="167"/>
        <v>70581</v>
      </c>
      <c r="R1165" s="2">
        <f t="shared" si="168"/>
        <v>35290.5</v>
      </c>
      <c r="S1165" s="2" t="str">
        <f t="shared" si="169"/>
        <v xml:space="preserve"> Not Achieved</v>
      </c>
      <c r="T1165" s="2" t="str">
        <f t="shared" si="170"/>
        <v xml:space="preserve"> Excellent</v>
      </c>
      <c r="U1165" s="2"/>
    </row>
    <row r="1166" spans="1:21" x14ac:dyDescent="0.3">
      <c r="A1166">
        <v>1165</v>
      </c>
      <c r="B1166" t="s">
        <v>1755</v>
      </c>
      <c r="C1166" t="str">
        <f t="shared" si="162"/>
        <v>EMP_1165</v>
      </c>
      <c r="D1166" t="s">
        <v>15</v>
      </c>
      <c r="E1166" t="str">
        <f t="shared" si="163"/>
        <v>EMP_1165Sales</v>
      </c>
      <c r="F1166" t="s">
        <v>7</v>
      </c>
      <c r="G1166" t="s">
        <v>22</v>
      </c>
      <c r="H1166">
        <v>29083</v>
      </c>
      <c r="I1166">
        <v>12290</v>
      </c>
      <c r="J1166">
        <v>159269</v>
      </c>
      <c r="K1166">
        <v>240657</v>
      </c>
      <c r="L1166" s="4">
        <v>45424</v>
      </c>
      <c r="M1166" s="4" t="str">
        <f t="shared" si="164"/>
        <v>2024</v>
      </c>
      <c r="N1166" s="1">
        <f t="shared" ca="1" si="165"/>
        <v>46064</v>
      </c>
      <c r="O1166" s="6">
        <f t="shared" ca="1" si="166"/>
        <v>1</v>
      </c>
      <c r="P1166">
        <v>3</v>
      </c>
      <c r="Q1166">
        <f t="shared" si="167"/>
        <v>41373</v>
      </c>
      <c r="R1166" s="2">
        <f t="shared" si="168"/>
        <v>20686.5</v>
      </c>
      <c r="S1166" s="2" t="str">
        <f t="shared" si="169"/>
        <v xml:space="preserve"> Not Achieved</v>
      </c>
      <c r="T1166" s="2" t="str">
        <f t="shared" si="170"/>
        <v>poor</v>
      </c>
      <c r="U1166" s="2"/>
    </row>
    <row r="1167" spans="1:21" x14ac:dyDescent="0.3">
      <c r="A1167">
        <v>1166</v>
      </c>
      <c r="B1167" t="s">
        <v>1756</v>
      </c>
      <c r="C1167" t="str">
        <f t="shared" si="162"/>
        <v>EMP_1166</v>
      </c>
      <c r="D1167" t="s">
        <v>15</v>
      </c>
      <c r="E1167" t="str">
        <f t="shared" si="163"/>
        <v>EMP_1166IT</v>
      </c>
      <c r="F1167" t="s">
        <v>21</v>
      </c>
      <c r="G1167" t="s">
        <v>13</v>
      </c>
      <c r="H1167">
        <v>69779</v>
      </c>
      <c r="I1167">
        <v>9631</v>
      </c>
      <c r="J1167">
        <v>0</v>
      </c>
      <c r="K1167">
        <v>0</v>
      </c>
      <c r="L1167" s="4" t="s">
        <v>1757</v>
      </c>
      <c r="M1167" s="4" t="str">
        <f t="shared" si="164"/>
        <v>8/14/2018</v>
      </c>
      <c r="N1167" s="1">
        <f t="shared" ca="1" si="165"/>
        <v>46064</v>
      </c>
      <c r="O1167" s="6" t="e">
        <f t="shared" ca="1" si="166"/>
        <v>#VALUE!</v>
      </c>
      <c r="P1167">
        <v>5</v>
      </c>
      <c r="Q1167">
        <f t="shared" si="167"/>
        <v>79410</v>
      </c>
      <c r="R1167" s="2">
        <f t="shared" si="168"/>
        <v>39705</v>
      </c>
      <c r="S1167" s="2" t="str">
        <f t="shared" si="169"/>
        <v xml:space="preserve"> Not Achieved</v>
      </c>
      <c r="T1167" s="2" t="str">
        <f t="shared" si="170"/>
        <v xml:space="preserve"> Excellent</v>
      </c>
      <c r="U1167" s="2"/>
    </row>
    <row r="1168" spans="1:21" x14ac:dyDescent="0.3">
      <c r="A1168">
        <v>1167</v>
      </c>
      <c r="B1168" t="s">
        <v>1758</v>
      </c>
      <c r="C1168" t="str">
        <f t="shared" si="162"/>
        <v>EMP_1167</v>
      </c>
      <c r="D1168" t="s">
        <v>15</v>
      </c>
      <c r="E1168" t="str">
        <f t="shared" si="163"/>
        <v>EMP_1167IT</v>
      </c>
      <c r="F1168" t="s">
        <v>21</v>
      </c>
      <c r="G1168" t="s">
        <v>25</v>
      </c>
      <c r="H1168">
        <v>33731</v>
      </c>
      <c r="I1168">
        <v>8560</v>
      </c>
      <c r="J1168">
        <v>0</v>
      </c>
      <c r="K1168">
        <v>0</v>
      </c>
      <c r="L1168" s="4" t="s">
        <v>1759</v>
      </c>
      <c r="M1168" s="4" t="str">
        <f t="shared" si="164"/>
        <v>12/23/2019</v>
      </c>
      <c r="N1168" s="1">
        <f t="shared" ca="1" si="165"/>
        <v>46064</v>
      </c>
      <c r="O1168" s="6" t="e">
        <f t="shared" ca="1" si="166"/>
        <v>#VALUE!</v>
      </c>
      <c r="P1168">
        <v>2</v>
      </c>
      <c r="Q1168">
        <f t="shared" si="167"/>
        <v>42291</v>
      </c>
      <c r="R1168" s="2">
        <f t="shared" si="168"/>
        <v>21145.5</v>
      </c>
      <c r="S1168" s="2" t="str">
        <f t="shared" si="169"/>
        <v xml:space="preserve"> Not Achieved</v>
      </c>
      <c r="T1168" s="2" t="str">
        <f t="shared" si="170"/>
        <v>Average</v>
      </c>
      <c r="U1168" s="2"/>
    </row>
    <row r="1169" spans="1:21" x14ac:dyDescent="0.3">
      <c r="A1169">
        <v>1168</v>
      </c>
      <c r="B1169" t="s">
        <v>1760</v>
      </c>
      <c r="C1169" t="str">
        <f t="shared" si="162"/>
        <v>EMP_1168</v>
      </c>
      <c r="D1169" t="s">
        <v>11</v>
      </c>
      <c r="E1169" t="str">
        <f t="shared" si="163"/>
        <v>EMP_1168Marketing</v>
      </c>
      <c r="F1169" t="s">
        <v>24</v>
      </c>
      <c r="G1169" t="s">
        <v>13</v>
      </c>
      <c r="H1169">
        <v>39539</v>
      </c>
      <c r="I1169">
        <v>3161</v>
      </c>
      <c r="J1169">
        <v>0</v>
      </c>
      <c r="K1169">
        <v>0</v>
      </c>
      <c r="L1169" s="4" t="s">
        <v>471</v>
      </c>
      <c r="M1169" s="4" t="str">
        <f t="shared" si="164"/>
        <v>7/20/2020</v>
      </c>
      <c r="N1169" s="1">
        <f t="shared" ca="1" si="165"/>
        <v>46064</v>
      </c>
      <c r="O1169" s="6" t="e">
        <f t="shared" ca="1" si="166"/>
        <v>#VALUE!</v>
      </c>
      <c r="P1169">
        <v>1</v>
      </c>
      <c r="Q1169">
        <f t="shared" si="167"/>
        <v>42700</v>
      </c>
      <c r="R1169" s="2">
        <f t="shared" si="168"/>
        <v>21350</v>
      </c>
      <c r="S1169" s="2" t="str">
        <f t="shared" si="169"/>
        <v xml:space="preserve"> Not Achieved</v>
      </c>
      <c r="T1169" s="2" t="str">
        <f t="shared" si="170"/>
        <v>Average</v>
      </c>
      <c r="U1169" s="2"/>
    </row>
    <row r="1170" spans="1:21" x14ac:dyDescent="0.3">
      <c r="A1170">
        <v>1169</v>
      </c>
      <c r="B1170" t="s">
        <v>1761</v>
      </c>
      <c r="C1170" t="str">
        <f t="shared" si="162"/>
        <v>EMP_1169</v>
      </c>
      <c r="D1170" t="s">
        <v>11</v>
      </c>
      <c r="E1170" t="str">
        <f t="shared" si="163"/>
        <v>EMP_1169Marketing</v>
      </c>
      <c r="F1170" t="s">
        <v>24</v>
      </c>
      <c r="G1170" t="s">
        <v>19</v>
      </c>
      <c r="H1170">
        <v>66408</v>
      </c>
      <c r="I1170">
        <v>7021</v>
      </c>
      <c r="J1170">
        <v>0</v>
      </c>
      <c r="K1170">
        <v>0</v>
      </c>
      <c r="L1170" s="4">
        <v>44901</v>
      </c>
      <c r="M1170" s="4" t="str">
        <f t="shared" si="164"/>
        <v>2022</v>
      </c>
      <c r="N1170" s="1">
        <f t="shared" ca="1" si="165"/>
        <v>46064</v>
      </c>
      <c r="O1170" s="6">
        <f t="shared" ca="1" si="166"/>
        <v>3</v>
      </c>
      <c r="P1170">
        <v>4</v>
      </c>
      <c r="Q1170">
        <f t="shared" si="167"/>
        <v>73429</v>
      </c>
      <c r="R1170" s="2">
        <f t="shared" si="168"/>
        <v>36714.5</v>
      </c>
      <c r="S1170" s="2" t="str">
        <f t="shared" si="169"/>
        <v xml:space="preserve"> Not Achieved</v>
      </c>
      <c r="T1170" s="2" t="str">
        <f t="shared" si="170"/>
        <v xml:space="preserve"> Excellent</v>
      </c>
      <c r="U1170" s="2"/>
    </row>
    <row r="1171" spans="1:21" x14ac:dyDescent="0.3">
      <c r="A1171">
        <v>1170</v>
      </c>
      <c r="B1171" t="s">
        <v>1762</v>
      </c>
      <c r="C1171" t="str">
        <f t="shared" si="162"/>
        <v>EMP_1170</v>
      </c>
      <c r="D1171" t="s">
        <v>15</v>
      </c>
      <c r="E1171" t="str">
        <f t="shared" si="163"/>
        <v>EMP_1170IT</v>
      </c>
      <c r="F1171" t="s">
        <v>21</v>
      </c>
      <c r="G1171" t="s">
        <v>25</v>
      </c>
      <c r="H1171">
        <v>67282</v>
      </c>
      <c r="I1171">
        <v>7853</v>
      </c>
      <c r="J1171">
        <v>0</v>
      </c>
      <c r="K1171">
        <v>0</v>
      </c>
      <c r="L1171" s="4" t="s">
        <v>1489</v>
      </c>
      <c r="M1171" s="4" t="str">
        <f t="shared" si="164"/>
        <v>11/28/2018</v>
      </c>
      <c r="N1171" s="1">
        <f t="shared" ca="1" si="165"/>
        <v>46064</v>
      </c>
      <c r="O1171" s="6" t="e">
        <f t="shared" ca="1" si="166"/>
        <v>#VALUE!</v>
      </c>
      <c r="P1171">
        <v>2</v>
      </c>
      <c r="Q1171">
        <f t="shared" si="167"/>
        <v>75135</v>
      </c>
      <c r="R1171" s="2">
        <f t="shared" si="168"/>
        <v>37567.5</v>
      </c>
      <c r="S1171" s="2" t="str">
        <f t="shared" si="169"/>
        <v xml:space="preserve"> Not Achieved</v>
      </c>
      <c r="T1171" s="2" t="str">
        <f t="shared" si="170"/>
        <v xml:space="preserve"> Excellent</v>
      </c>
      <c r="U1171" s="2"/>
    </row>
    <row r="1172" spans="1:21" x14ac:dyDescent="0.3">
      <c r="A1172">
        <v>1171</v>
      </c>
      <c r="B1172" t="s">
        <v>1763</v>
      </c>
      <c r="C1172" t="str">
        <f t="shared" si="162"/>
        <v>EMP_1171</v>
      </c>
      <c r="D1172" t="s">
        <v>15</v>
      </c>
      <c r="E1172" t="str">
        <f t="shared" si="163"/>
        <v>EMP_1171IT</v>
      </c>
      <c r="F1172" t="s">
        <v>21</v>
      </c>
      <c r="G1172" t="s">
        <v>25</v>
      </c>
      <c r="H1172">
        <v>31177</v>
      </c>
      <c r="I1172">
        <v>4479</v>
      </c>
      <c r="J1172">
        <v>0</v>
      </c>
      <c r="K1172">
        <v>0</v>
      </c>
      <c r="L1172" s="4" t="s">
        <v>1045</v>
      </c>
      <c r="M1172" s="4" t="str">
        <f t="shared" si="164"/>
        <v>12/17/2024</v>
      </c>
      <c r="N1172" s="1">
        <f t="shared" ca="1" si="165"/>
        <v>46064</v>
      </c>
      <c r="O1172" s="6" t="e">
        <f t="shared" ca="1" si="166"/>
        <v>#VALUE!</v>
      </c>
      <c r="P1172">
        <v>5</v>
      </c>
      <c r="Q1172">
        <f t="shared" si="167"/>
        <v>35656</v>
      </c>
      <c r="R1172" s="2">
        <f t="shared" si="168"/>
        <v>17828</v>
      </c>
      <c r="S1172" s="2" t="str">
        <f t="shared" si="169"/>
        <v xml:space="preserve"> Not Achieved</v>
      </c>
      <c r="T1172" s="2" t="str">
        <f t="shared" si="170"/>
        <v>Average</v>
      </c>
      <c r="U1172" s="2"/>
    </row>
    <row r="1173" spans="1:21" x14ac:dyDescent="0.3">
      <c r="A1173">
        <v>1172</v>
      </c>
      <c r="B1173" t="s">
        <v>1764</v>
      </c>
      <c r="C1173" t="str">
        <f t="shared" si="162"/>
        <v>EMP_1172</v>
      </c>
      <c r="D1173" t="s">
        <v>15</v>
      </c>
      <c r="E1173" t="str">
        <f t="shared" si="163"/>
        <v>EMP_1172Marketing</v>
      </c>
      <c r="F1173" t="s">
        <v>24</v>
      </c>
      <c r="G1173" t="s">
        <v>16</v>
      </c>
      <c r="H1173">
        <v>38610</v>
      </c>
      <c r="I1173">
        <v>13868</v>
      </c>
      <c r="J1173">
        <v>0</v>
      </c>
      <c r="K1173">
        <v>0</v>
      </c>
      <c r="L1173" s="4">
        <v>43167</v>
      </c>
      <c r="M1173" s="4" t="str">
        <f t="shared" si="164"/>
        <v>2018</v>
      </c>
      <c r="N1173" s="1">
        <f t="shared" ca="1" si="165"/>
        <v>46064</v>
      </c>
      <c r="O1173" s="6">
        <f t="shared" ca="1" si="166"/>
        <v>7</v>
      </c>
      <c r="P1173">
        <v>5</v>
      </c>
      <c r="Q1173">
        <f t="shared" si="167"/>
        <v>52478</v>
      </c>
      <c r="R1173" s="2">
        <f t="shared" si="168"/>
        <v>26239</v>
      </c>
      <c r="S1173" s="2" t="str">
        <f t="shared" si="169"/>
        <v xml:space="preserve"> Not Achieved</v>
      </c>
      <c r="T1173" s="2" t="str">
        <f t="shared" si="170"/>
        <v>Average</v>
      </c>
      <c r="U1173" s="2"/>
    </row>
    <row r="1174" spans="1:21" x14ac:dyDescent="0.3">
      <c r="A1174">
        <v>1173</v>
      </c>
      <c r="B1174" t="s">
        <v>1765</v>
      </c>
      <c r="C1174" t="str">
        <f t="shared" si="162"/>
        <v>EMP_1173</v>
      </c>
      <c r="D1174" t="s">
        <v>15</v>
      </c>
      <c r="E1174" t="str">
        <f t="shared" si="163"/>
        <v>EMP_1173IT</v>
      </c>
      <c r="F1174" t="s">
        <v>21</v>
      </c>
      <c r="G1174" t="s">
        <v>25</v>
      </c>
      <c r="H1174">
        <v>66834</v>
      </c>
      <c r="I1174">
        <v>2806</v>
      </c>
      <c r="J1174">
        <v>0</v>
      </c>
      <c r="K1174">
        <v>0</v>
      </c>
      <c r="L1174" s="4" t="s">
        <v>1766</v>
      </c>
      <c r="M1174" s="4" t="str">
        <f t="shared" si="164"/>
        <v>7/25/2022</v>
      </c>
      <c r="N1174" s="1">
        <f t="shared" ca="1" si="165"/>
        <v>46064</v>
      </c>
      <c r="O1174" s="6" t="e">
        <f t="shared" ca="1" si="166"/>
        <v>#VALUE!</v>
      </c>
      <c r="P1174">
        <v>5</v>
      </c>
      <c r="Q1174">
        <f t="shared" si="167"/>
        <v>69640</v>
      </c>
      <c r="R1174" s="2">
        <f t="shared" si="168"/>
        <v>34820</v>
      </c>
      <c r="S1174" s="2" t="str">
        <f t="shared" si="169"/>
        <v xml:space="preserve"> Not Achieved</v>
      </c>
      <c r="T1174" s="2" t="str">
        <f t="shared" si="170"/>
        <v xml:space="preserve"> Excellent</v>
      </c>
      <c r="U1174" s="2"/>
    </row>
    <row r="1175" spans="1:21" x14ac:dyDescent="0.3">
      <c r="A1175">
        <v>1174</v>
      </c>
      <c r="B1175" t="s">
        <v>1767</v>
      </c>
      <c r="C1175" t="str">
        <f t="shared" si="162"/>
        <v>EMP_1174</v>
      </c>
      <c r="D1175" t="s">
        <v>15</v>
      </c>
      <c r="E1175" t="str">
        <f t="shared" si="163"/>
        <v>EMP_1174Marketing</v>
      </c>
      <c r="F1175" t="s">
        <v>24</v>
      </c>
      <c r="G1175" t="s">
        <v>22</v>
      </c>
      <c r="H1175">
        <v>64053</v>
      </c>
      <c r="I1175">
        <v>11085</v>
      </c>
      <c r="J1175">
        <v>0</v>
      </c>
      <c r="K1175">
        <v>0</v>
      </c>
      <c r="L1175" s="4">
        <v>44960</v>
      </c>
      <c r="M1175" s="4" t="str">
        <f t="shared" si="164"/>
        <v>2023</v>
      </c>
      <c r="N1175" s="1">
        <f t="shared" ca="1" si="165"/>
        <v>46064</v>
      </c>
      <c r="O1175" s="6">
        <f t="shared" ca="1" si="166"/>
        <v>3</v>
      </c>
      <c r="P1175">
        <v>2</v>
      </c>
      <c r="Q1175">
        <f t="shared" si="167"/>
        <v>75138</v>
      </c>
      <c r="R1175" s="2">
        <f t="shared" si="168"/>
        <v>37569</v>
      </c>
      <c r="S1175" s="2" t="str">
        <f t="shared" si="169"/>
        <v xml:space="preserve"> Not Achieved</v>
      </c>
      <c r="T1175" s="2" t="str">
        <f t="shared" si="170"/>
        <v xml:space="preserve"> Excellent</v>
      </c>
      <c r="U1175" s="2"/>
    </row>
    <row r="1176" spans="1:21" x14ac:dyDescent="0.3">
      <c r="A1176">
        <v>1175</v>
      </c>
      <c r="B1176" t="s">
        <v>1768</v>
      </c>
      <c r="C1176" t="str">
        <f t="shared" si="162"/>
        <v>EMP_1175</v>
      </c>
      <c r="D1176" t="s">
        <v>11</v>
      </c>
      <c r="E1176" t="str">
        <f t="shared" si="163"/>
        <v>EMP_1175IT</v>
      </c>
      <c r="F1176" t="s">
        <v>21</v>
      </c>
      <c r="G1176" t="s">
        <v>13</v>
      </c>
      <c r="H1176">
        <v>59983</v>
      </c>
      <c r="I1176">
        <v>14566</v>
      </c>
      <c r="J1176">
        <v>0</v>
      </c>
      <c r="K1176">
        <v>0</v>
      </c>
      <c r="L1176" s="4">
        <v>45025</v>
      </c>
      <c r="M1176" s="4" t="str">
        <f t="shared" si="164"/>
        <v>2023</v>
      </c>
      <c r="N1176" s="1">
        <f t="shared" ca="1" si="165"/>
        <v>46064</v>
      </c>
      <c r="O1176" s="6">
        <f t="shared" ca="1" si="166"/>
        <v>2</v>
      </c>
      <c r="P1176">
        <v>5</v>
      </c>
      <c r="Q1176">
        <f t="shared" si="167"/>
        <v>74549</v>
      </c>
      <c r="R1176" s="2">
        <f t="shared" si="168"/>
        <v>37274.5</v>
      </c>
      <c r="S1176" s="2" t="str">
        <f t="shared" si="169"/>
        <v xml:space="preserve"> Not Achieved</v>
      </c>
      <c r="T1176" s="2" t="str">
        <f t="shared" si="170"/>
        <v xml:space="preserve"> Excellent</v>
      </c>
      <c r="U1176" s="2"/>
    </row>
    <row r="1177" spans="1:21" x14ac:dyDescent="0.3">
      <c r="A1177">
        <v>1176</v>
      </c>
      <c r="B1177" t="s">
        <v>1769</v>
      </c>
      <c r="C1177" t="str">
        <f t="shared" si="162"/>
        <v>EMP_1176</v>
      </c>
      <c r="D1177" t="s">
        <v>11</v>
      </c>
      <c r="E1177" t="str">
        <f t="shared" si="163"/>
        <v>EMP_1176HR</v>
      </c>
      <c r="F1177" t="s">
        <v>12</v>
      </c>
      <c r="G1177" t="s">
        <v>22</v>
      </c>
      <c r="H1177">
        <v>21358</v>
      </c>
      <c r="I1177">
        <v>4613</v>
      </c>
      <c r="J1177">
        <v>0</v>
      </c>
      <c r="K1177">
        <v>0</v>
      </c>
      <c r="L1177" s="4" t="s">
        <v>1770</v>
      </c>
      <c r="M1177" s="4" t="str">
        <f t="shared" si="164"/>
        <v>7/18/2022</v>
      </c>
      <c r="N1177" s="1">
        <f t="shared" ca="1" si="165"/>
        <v>46064</v>
      </c>
      <c r="O1177" s="6" t="e">
        <f t="shared" ca="1" si="166"/>
        <v>#VALUE!</v>
      </c>
      <c r="P1177">
        <v>3</v>
      </c>
      <c r="Q1177">
        <f t="shared" si="167"/>
        <v>25971</v>
      </c>
      <c r="R1177" s="2">
        <f t="shared" si="168"/>
        <v>12985.5</v>
      </c>
      <c r="S1177" s="2" t="str">
        <f t="shared" si="169"/>
        <v xml:space="preserve"> Not Achieved</v>
      </c>
      <c r="T1177" s="2" t="str">
        <f t="shared" si="170"/>
        <v>poor</v>
      </c>
      <c r="U1177" s="2"/>
    </row>
    <row r="1178" spans="1:21" x14ac:dyDescent="0.3">
      <c r="A1178">
        <v>1177</v>
      </c>
      <c r="B1178" t="s">
        <v>1771</v>
      </c>
      <c r="C1178" t="str">
        <f t="shared" si="162"/>
        <v>EMP_1177</v>
      </c>
      <c r="D1178" t="s">
        <v>15</v>
      </c>
      <c r="E1178" t="str">
        <f t="shared" si="163"/>
        <v>EMP_1177HR</v>
      </c>
      <c r="F1178" t="s">
        <v>12</v>
      </c>
      <c r="G1178" t="s">
        <v>13</v>
      </c>
      <c r="H1178">
        <v>33885</v>
      </c>
      <c r="I1178">
        <v>10713</v>
      </c>
      <c r="J1178">
        <v>0</v>
      </c>
      <c r="K1178">
        <v>0</v>
      </c>
      <c r="L1178" s="4">
        <v>44840</v>
      </c>
      <c r="M1178" s="4" t="str">
        <f t="shared" si="164"/>
        <v>2022</v>
      </c>
      <c r="N1178" s="1">
        <f t="shared" ca="1" si="165"/>
        <v>46064</v>
      </c>
      <c r="O1178" s="6">
        <f t="shared" ca="1" si="166"/>
        <v>3</v>
      </c>
      <c r="P1178">
        <v>4</v>
      </c>
      <c r="Q1178">
        <f t="shared" si="167"/>
        <v>44598</v>
      </c>
      <c r="R1178" s="2">
        <f t="shared" si="168"/>
        <v>22299</v>
      </c>
      <c r="S1178" s="2" t="str">
        <f t="shared" si="169"/>
        <v xml:space="preserve"> Not Achieved</v>
      </c>
      <c r="T1178" s="2" t="str">
        <f t="shared" si="170"/>
        <v>Average</v>
      </c>
      <c r="U1178" s="2"/>
    </row>
    <row r="1179" spans="1:21" x14ac:dyDescent="0.3">
      <c r="A1179">
        <v>1178</v>
      </c>
      <c r="B1179" t="s">
        <v>1772</v>
      </c>
      <c r="C1179" t="str">
        <f t="shared" si="162"/>
        <v>EMP_1178</v>
      </c>
      <c r="D1179" t="s">
        <v>15</v>
      </c>
      <c r="E1179" t="str">
        <f t="shared" si="163"/>
        <v>EMP_1178Marketing</v>
      </c>
      <c r="F1179" t="s">
        <v>24</v>
      </c>
      <c r="G1179" t="s">
        <v>16</v>
      </c>
      <c r="H1179">
        <v>32171</v>
      </c>
      <c r="I1179">
        <v>9086</v>
      </c>
      <c r="J1179">
        <v>0</v>
      </c>
      <c r="K1179">
        <v>0</v>
      </c>
      <c r="L1179" s="4">
        <v>44959</v>
      </c>
      <c r="M1179" s="4" t="str">
        <f t="shared" si="164"/>
        <v>2023</v>
      </c>
      <c r="N1179" s="1">
        <f t="shared" ca="1" si="165"/>
        <v>46064</v>
      </c>
      <c r="O1179" s="6">
        <f t="shared" ca="1" si="166"/>
        <v>3</v>
      </c>
      <c r="P1179">
        <v>1</v>
      </c>
      <c r="Q1179">
        <f t="shared" si="167"/>
        <v>41257</v>
      </c>
      <c r="R1179" s="2">
        <f t="shared" si="168"/>
        <v>20628.5</v>
      </c>
      <c r="S1179" s="2" t="str">
        <f t="shared" si="169"/>
        <v xml:space="preserve"> Not Achieved</v>
      </c>
      <c r="T1179" s="2" t="str">
        <f t="shared" si="170"/>
        <v>Average</v>
      </c>
      <c r="U1179" s="2"/>
    </row>
    <row r="1180" spans="1:21" x14ac:dyDescent="0.3">
      <c r="A1180">
        <v>1179</v>
      </c>
      <c r="B1180" t="s">
        <v>1773</v>
      </c>
      <c r="C1180" t="str">
        <f t="shared" si="162"/>
        <v>EMP_1179</v>
      </c>
      <c r="D1180" t="s">
        <v>15</v>
      </c>
      <c r="E1180" t="str">
        <f t="shared" si="163"/>
        <v>EMP_1179HR</v>
      </c>
      <c r="F1180" t="s">
        <v>12</v>
      </c>
      <c r="G1180" t="s">
        <v>22</v>
      </c>
      <c r="H1180">
        <v>76663</v>
      </c>
      <c r="I1180">
        <v>3068</v>
      </c>
      <c r="J1180">
        <v>0</v>
      </c>
      <c r="K1180">
        <v>0</v>
      </c>
      <c r="L1180" s="4">
        <v>45485</v>
      </c>
      <c r="M1180" s="4" t="str">
        <f t="shared" si="164"/>
        <v>2024</v>
      </c>
      <c r="N1180" s="1">
        <f t="shared" ca="1" si="165"/>
        <v>46064</v>
      </c>
      <c r="O1180" s="6">
        <f t="shared" ca="1" si="166"/>
        <v>1</v>
      </c>
      <c r="P1180">
        <v>3</v>
      </c>
      <c r="Q1180">
        <f t="shared" si="167"/>
        <v>79731</v>
      </c>
      <c r="R1180" s="2">
        <f t="shared" si="168"/>
        <v>39865.5</v>
      </c>
      <c r="S1180" s="2" t="str">
        <f t="shared" si="169"/>
        <v xml:space="preserve"> Not Achieved</v>
      </c>
      <c r="T1180" s="2" t="str">
        <f t="shared" si="170"/>
        <v xml:space="preserve"> Excellent</v>
      </c>
      <c r="U1180" s="2"/>
    </row>
    <row r="1181" spans="1:21" x14ac:dyDescent="0.3">
      <c r="A1181">
        <v>1180</v>
      </c>
      <c r="B1181" t="s">
        <v>1774</v>
      </c>
      <c r="C1181" t="str">
        <f t="shared" si="162"/>
        <v>EMP_1180</v>
      </c>
      <c r="D1181" t="s">
        <v>15</v>
      </c>
      <c r="E1181" t="str">
        <f t="shared" si="163"/>
        <v>EMP_1180Sales</v>
      </c>
      <c r="F1181" t="s">
        <v>7</v>
      </c>
      <c r="G1181" t="s">
        <v>19</v>
      </c>
      <c r="H1181">
        <v>59804</v>
      </c>
      <c r="I1181">
        <v>14122</v>
      </c>
      <c r="J1181">
        <v>229282</v>
      </c>
      <c r="K1181">
        <v>111965</v>
      </c>
      <c r="L1181" s="4" t="s">
        <v>1775</v>
      </c>
      <c r="M1181" s="4" t="str">
        <f t="shared" si="164"/>
        <v>3/21/2021</v>
      </c>
      <c r="N1181" s="1">
        <f t="shared" ca="1" si="165"/>
        <v>46064</v>
      </c>
      <c r="O1181" s="6" t="e">
        <f t="shared" ca="1" si="166"/>
        <v>#VALUE!</v>
      </c>
      <c r="P1181">
        <v>3</v>
      </c>
      <c r="Q1181">
        <f t="shared" si="167"/>
        <v>73926</v>
      </c>
      <c r="R1181" s="2">
        <f t="shared" si="168"/>
        <v>36963</v>
      </c>
      <c r="S1181" s="2" t="str">
        <f t="shared" si="169"/>
        <v>Achieved</v>
      </c>
      <c r="T1181" s="2" t="str">
        <f t="shared" si="170"/>
        <v xml:space="preserve"> Excellent</v>
      </c>
      <c r="U1181" s="2"/>
    </row>
    <row r="1182" spans="1:21" x14ac:dyDescent="0.3">
      <c r="A1182">
        <v>1181</v>
      </c>
      <c r="B1182" t="s">
        <v>1776</v>
      </c>
      <c r="C1182" t="str">
        <f t="shared" si="162"/>
        <v>EMP_1181</v>
      </c>
      <c r="D1182" t="s">
        <v>15</v>
      </c>
      <c r="E1182" t="str">
        <f t="shared" si="163"/>
        <v>EMP_1181Finance</v>
      </c>
      <c r="F1182" t="s">
        <v>18</v>
      </c>
      <c r="G1182" t="s">
        <v>13</v>
      </c>
      <c r="H1182">
        <v>72560</v>
      </c>
      <c r="I1182">
        <v>8766</v>
      </c>
      <c r="J1182">
        <v>0</v>
      </c>
      <c r="K1182">
        <v>0</v>
      </c>
      <c r="L1182" s="4" t="s">
        <v>1777</v>
      </c>
      <c r="M1182" s="4" t="str">
        <f t="shared" si="164"/>
        <v>3/30/2019</v>
      </c>
      <c r="N1182" s="1">
        <f t="shared" ca="1" si="165"/>
        <v>46064</v>
      </c>
      <c r="O1182" s="6" t="e">
        <f t="shared" ca="1" si="166"/>
        <v>#VALUE!</v>
      </c>
      <c r="P1182">
        <v>1</v>
      </c>
      <c r="Q1182">
        <f t="shared" si="167"/>
        <v>81326</v>
      </c>
      <c r="R1182" s="2">
        <f t="shared" si="168"/>
        <v>40663</v>
      </c>
      <c r="S1182" s="2" t="str">
        <f t="shared" si="169"/>
        <v xml:space="preserve"> Not Achieved</v>
      </c>
      <c r="T1182" s="2" t="str">
        <f t="shared" si="170"/>
        <v xml:space="preserve"> Excellent</v>
      </c>
      <c r="U1182" s="2"/>
    </row>
    <row r="1183" spans="1:21" x14ac:dyDescent="0.3">
      <c r="A1183">
        <v>1182</v>
      </c>
      <c r="B1183" t="s">
        <v>1778</v>
      </c>
      <c r="C1183" t="str">
        <f t="shared" si="162"/>
        <v>EMP_1182</v>
      </c>
      <c r="D1183" t="s">
        <v>15</v>
      </c>
      <c r="E1183" t="str">
        <f t="shared" si="163"/>
        <v>EMP_1182HR</v>
      </c>
      <c r="F1183" t="s">
        <v>12</v>
      </c>
      <c r="G1183" t="s">
        <v>22</v>
      </c>
      <c r="H1183">
        <v>29712</v>
      </c>
      <c r="I1183">
        <v>11288</v>
      </c>
      <c r="J1183">
        <v>0</v>
      </c>
      <c r="K1183">
        <v>0</v>
      </c>
      <c r="L1183" s="4" t="s">
        <v>1779</v>
      </c>
      <c r="M1183" s="4" t="str">
        <f t="shared" si="164"/>
        <v>8/25/2021</v>
      </c>
      <c r="N1183" s="1">
        <f t="shared" ca="1" si="165"/>
        <v>46064</v>
      </c>
      <c r="O1183" s="6" t="e">
        <f t="shared" ca="1" si="166"/>
        <v>#VALUE!</v>
      </c>
      <c r="P1183">
        <v>2</v>
      </c>
      <c r="Q1183">
        <f t="shared" si="167"/>
        <v>41000</v>
      </c>
      <c r="R1183" s="2">
        <f t="shared" si="168"/>
        <v>20500</v>
      </c>
      <c r="S1183" s="2" t="str">
        <f t="shared" si="169"/>
        <v xml:space="preserve"> Not Achieved</v>
      </c>
      <c r="T1183" s="2" t="str">
        <f t="shared" si="170"/>
        <v>poor</v>
      </c>
      <c r="U1183" s="2"/>
    </row>
    <row r="1184" spans="1:21" x14ac:dyDescent="0.3">
      <c r="A1184">
        <v>1183</v>
      </c>
      <c r="B1184" t="s">
        <v>1780</v>
      </c>
      <c r="C1184" t="str">
        <f t="shared" si="162"/>
        <v>EMP_1183</v>
      </c>
      <c r="D1184" t="s">
        <v>15</v>
      </c>
      <c r="E1184" t="str">
        <f t="shared" si="163"/>
        <v>EMP_1183Sales</v>
      </c>
      <c r="F1184" t="s">
        <v>7</v>
      </c>
      <c r="G1184" t="s">
        <v>19</v>
      </c>
      <c r="H1184">
        <v>42078</v>
      </c>
      <c r="I1184">
        <v>2055</v>
      </c>
      <c r="J1184">
        <v>111670</v>
      </c>
      <c r="K1184">
        <v>191865</v>
      </c>
      <c r="L1184" s="4" t="s">
        <v>1713</v>
      </c>
      <c r="M1184" s="4" t="str">
        <f t="shared" si="164"/>
        <v>12/22/2018</v>
      </c>
      <c r="N1184" s="1">
        <f t="shared" ca="1" si="165"/>
        <v>46064</v>
      </c>
      <c r="O1184" s="6" t="e">
        <f t="shared" ca="1" si="166"/>
        <v>#VALUE!</v>
      </c>
      <c r="P1184">
        <v>5</v>
      </c>
      <c r="Q1184">
        <f t="shared" si="167"/>
        <v>44133</v>
      </c>
      <c r="R1184" s="2">
        <f t="shared" si="168"/>
        <v>22066.5</v>
      </c>
      <c r="S1184" s="2" t="str">
        <f t="shared" si="169"/>
        <v xml:space="preserve"> Not Achieved</v>
      </c>
      <c r="T1184" s="2" t="str">
        <f t="shared" si="170"/>
        <v>Good</v>
      </c>
      <c r="U1184" s="2"/>
    </row>
    <row r="1185" spans="1:21" x14ac:dyDescent="0.3">
      <c r="A1185">
        <v>1184</v>
      </c>
      <c r="B1185" t="s">
        <v>1781</v>
      </c>
      <c r="C1185" t="str">
        <f t="shared" si="162"/>
        <v>EMP_1184</v>
      </c>
      <c r="D1185" t="s">
        <v>11</v>
      </c>
      <c r="E1185" t="str">
        <f t="shared" si="163"/>
        <v>EMP_1184Marketing</v>
      </c>
      <c r="F1185" t="s">
        <v>24</v>
      </c>
      <c r="G1185" t="s">
        <v>16</v>
      </c>
      <c r="H1185">
        <v>77739</v>
      </c>
      <c r="I1185">
        <v>3058</v>
      </c>
      <c r="J1185">
        <v>0</v>
      </c>
      <c r="K1185">
        <v>0</v>
      </c>
      <c r="L1185" s="4" t="s">
        <v>1001</v>
      </c>
      <c r="M1185" s="4" t="str">
        <f t="shared" si="164"/>
        <v>11/14/2023</v>
      </c>
      <c r="N1185" s="1">
        <f t="shared" ca="1" si="165"/>
        <v>46064</v>
      </c>
      <c r="O1185" s="6" t="e">
        <f t="shared" ca="1" si="166"/>
        <v>#VALUE!</v>
      </c>
      <c r="P1185">
        <v>2</v>
      </c>
      <c r="Q1185">
        <f t="shared" si="167"/>
        <v>80797</v>
      </c>
      <c r="R1185" s="2">
        <f t="shared" si="168"/>
        <v>40398.5</v>
      </c>
      <c r="S1185" s="2" t="str">
        <f t="shared" si="169"/>
        <v xml:space="preserve"> Not Achieved</v>
      </c>
      <c r="T1185" s="2" t="str">
        <f t="shared" si="170"/>
        <v xml:space="preserve"> Excellent</v>
      </c>
      <c r="U1185" s="2"/>
    </row>
    <row r="1186" spans="1:21" x14ac:dyDescent="0.3">
      <c r="A1186">
        <v>1185</v>
      </c>
      <c r="B1186" t="s">
        <v>1782</v>
      </c>
      <c r="C1186" t="str">
        <f t="shared" si="162"/>
        <v>EMP_1185</v>
      </c>
      <c r="D1186" t="s">
        <v>15</v>
      </c>
      <c r="E1186" t="str">
        <f t="shared" si="163"/>
        <v>EMP_1185HR</v>
      </c>
      <c r="F1186" t="s">
        <v>12</v>
      </c>
      <c r="G1186" t="s">
        <v>25</v>
      </c>
      <c r="H1186">
        <v>53579</v>
      </c>
      <c r="I1186">
        <v>11046</v>
      </c>
      <c r="J1186">
        <v>0</v>
      </c>
      <c r="K1186">
        <v>0</v>
      </c>
      <c r="L1186" s="4" t="s">
        <v>1783</v>
      </c>
      <c r="M1186" s="4" t="str">
        <f t="shared" si="164"/>
        <v>4/24/2018</v>
      </c>
      <c r="N1186" s="1">
        <f t="shared" ca="1" si="165"/>
        <v>46064</v>
      </c>
      <c r="O1186" s="6" t="e">
        <f t="shared" ca="1" si="166"/>
        <v>#VALUE!</v>
      </c>
      <c r="P1186">
        <v>1</v>
      </c>
      <c r="Q1186">
        <f t="shared" si="167"/>
        <v>64625</v>
      </c>
      <c r="R1186" s="2">
        <f t="shared" si="168"/>
        <v>32312.5</v>
      </c>
      <c r="S1186" s="2" t="str">
        <f t="shared" si="169"/>
        <v xml:space="preserve"> Not Achieved</v>
      </c>
      <c r="T1186" s="2" t="str">
        <f t="shared" si="170"/>
        <v xml:space="preserve"> Excellent</v>
      </c>
      <c r="U1186" s="2"/>
    </row>
    <row r="1187" spans="1:21" x14ac:dyDescent="0.3">
      <c r="A1187">
        <v>1186</v>
      </c>
      <c r="B1187" t="s">
        <v>1784</v>
      </c>
      <c r="C1187" t="str">
        <f t="shared" si="162"/>
        <v>EMP_1186</v>
      </c>
      <c r="D1187" t="s">
        <v>11</v>
      </c>
      <c r="E1187" t="str">
        <f t="shared" si="163"/>
        <v>EMP_1186Finance</v>
      </c>
      <c r="F1187" t="s">
        <v>18</v>
      </c>
      <c r="G1187" t="s">
        <v>22</v>
      </c>
      <c r="H1187">
        <v>30627</v>
      </c>
      <c r="I1187">
        <v>2546</v>
      </c>
      <c r="J1187">
        <v>0</v>
      </c>
      <c r="K1187">
        <v>0</v>
      </c>
      <c r="L1187" s="4">
        <v>45390</v>
      </c>
      <c r="M1187" s="4" t="str">
        <f t="shared" si="164"/>
        <v>2024</v>
      </c>
      <c r="N1187" s="1">
        <f t="shared" ca="1" si="165"/>
        <v>46064</v>
      </c>
      <c r="O1187" s="6">
        <f t="shared" ca="1" si="166"/>
        <v>1</v>
      </c>
      <c r="P1187">
        <v>4</v>
      </c>
      <c r="Q1187">
        <f t="shared" si="167"/>
        <v>33173</v>
      </c>
      <c r="R1187" s="2">
        <f t="shared" si="168"/>
        <v>16586.5</v>
      </c>
      <c r="S1187" s="2" t="str">
        <f t="shared" si="169"/>
        <v xml:space="preserve"> Not Achieved</v>
      </c>
      <c r="T1187" s="2" t="str">
        <f t="shared" si="170"/>
        <v>Average</v>
      </c>
      <c r="U1187" s="2"/>
    </row>
    <row r="1188" spans="1:21" x14ac:dyDescent="0.3">
      <c r="A1188">
        <v>1187</v>
      </c>
      <c r="B1188" t="s">
        <v>1785</v>
      </c>
      <c r="C1188" t="str">
        <f t="shared" si="162"/>
        <v>EMP_1187</v>
      </c>
      <c r="D1188" t="s">
        <v>11</v>
      </c>
      <c r="E1188" t="str">
        <f t="shared" si="163"/>
        <v>EMP_1187Marketing</v>
      </c>
      <c r="F1188" t="s">
        <v>24</v>
      </c>
      <c r="G1188" t="s">
        <v>22</v>
      </c>
      <c r="H1188">
        <v>62976</v>
      </c>
      <c r="I1188">
        <v>14838</v>
      </c>
      <c r="J1188">
        <v>0</v>
      </c>
      <c r="K1188">
        <v>0</v>
      </c>
      <c r="L1188" s="4" t="s">
        <v>1786</v>
      </c>
      <c r="M1188" s="4" t="str">
        <f t="shared" si="164"/>
        <v>3/21/2020</v>
      </c>
      <c r="N1188" s="1">
        <f t="shared" ca="1" si="165"/>
        <v>46064</v>
      </c>
      <c r="O1188" s="6" t="e">
        <f t="shared" ca="1" si="166"/>
        <v>#VALUE!</v>
      </c>
      <c r="P1188">
        <v>1</v>
      </c>
      <c r="Q1188">
        <f t="shared" si="167"/>
        <v>77814</v>
      </c>
      <c r="R1188" s="2">
        <f t="shared" si="168"/>
        <v>38907</v>
      </c>
      <c r="S1188" s="2" t="str">
        <f t="shared" si="169"/>
        <v xml:space="preserve"> Not Achieved</v>
      </c>
      <c r="T1188" s="2" t="str">
        <f t="shared" si="170"/>
        <v xml:space="preserve"> Excellent</v>
      </c>
      <c r="U1188" s="2"/>
    </row>
    <row r="1189" spans="1:21" x14ac:dyDescent="0.3">
      <c r="A1189">
        <v>1188</v>
      </c>
      <c r="B1189" t="s">
        <v>1787</v>
      </c>
      <c r="C1189" t="str">
        <f t="shared" si="162"/>
        <v>EMP_1188</v>
      </c>
      <c r="D1189" t="s">
        <v>11</v>
      </c>
      <c r="E1189" t="str">
        <f t="shared" si="163"/>
        <v>EMP_1188HR</v>
      </c>
      <c r="F1189" t="s">
        <v>12</v>
      </c>
      <c r="G1189" t="s">
        <v>16</v>
      </c>
      <c r="H1189">
        <v>29346</v>
      </c>
      <c r="I1189">
        <v>9735</v>
      </c>
      <c r="J1189">
        <v>0</v>
      </c>
      <c r="K1189">
        <v>0</v>
      </c>
      <c r="L1189" s="4" t="s">
        <v>1788</v>
      </c>
      <c r="M1189" s="4" t="str">
        <f t="shared" si="164"/>
        <v>5/14/2023</v>
      </c>
      <c r="N1189" s="1">
        <f t="shared" ca="1" si="165"/>
        <v>46064</v>
      </c>
      <c r="O1189" s="6" t="e">
        <f t="shared" ca="1" si="166"/>
        <v>#VALUE!</v>
      </c>
      <c r="P1189">
        <v>1</v>
      </c>
      <c r="Q1189">
        <f t="shared" si="167"/>
        <v>39081</v>
      </c>
      <c r="R1189" s="2">
        <f t="shared" si="168"/>
        <v>19540.5</v>
      </c>
      <c r="S1189" s="2" t="str">
        <f t="shared" si="169"/>
        <v xml:space="preserve"> Not Achieved</v>
      </c>
      <c r="T1189" s="2" t="str">
        <f t="shared" si="170"/>
        <v>poor</v>
      </c>
      <c r="U1189" s="2"/>
    </row>
    <row r="1190" spans="1:21" x14ac:dyDescent="0.3">
      <c r="A1190">
        <v>1189</v>
      </c>
      <c r="B1190" t="s">
        <v>1789</v>
      </c>
      <c r="C1190" t="str">
        <f t="shared" si="162"/>
        <v>EMP_1189</v>
      </c>
      <c r="D1190" t="s">
        <v>15</v>
      </c>
      <c r="E1190" t="str">
        <f t="shared" si="163"/>
        <v>EMP_1189HR</v>
      </c>
      <c r="F1190" t="s">
        <v>12</v>
      </c>
      <c r="G1190" t="s">
        <v>16</v>
      </c>
      <c r="H1190">
        <v>36628</v>
      </c>
      <c r="I1190">
        <v>7167</v>
      </c>
      <c r="J1190">
        <v>0</v>
      </c>
      <c r="K1190">
        <v>0</v>
      </c>
      <c r="L1190" s="4" t="s">
        <v>1790</v>
      </c>
      <c r="M1190" s="4" t="str">
        <f t="shared" si="164"/>
        <v>8/28/2024</v>
      </c>
      <c r="N1190" s="1">
        <f t="shared" ca="1" si="165"/>
        <v>46064</v>
      </c>
      <c r="O1190" s="6" t="e">
        <f t="shared" ca="1" si="166"/>
        <v>#VALUE!</v>
      </c>
      <c r="P1190">
        <v>2</v>
      </c>
      <c r="Q1190">
        <f t="shared" si="167"/>
        <v>43795</v>
      </c>
      <c r="R1190" s="2">
        <f t="shared" si="168"/>
        <v>21897.5</v>
      </c>
      <c r="S1190" s="2" t="str">
        <f t="shared" si="169"/>
        <v xml:space="preserve"> Not Achieved</v>
      </c>
      <c r="T1190" s="2" t="str">
        <f t="shared" si="170"/>
        <v>Average</v>
      </c>
      <c r="U1190" s="2"/>
    </row>
    <row r="1191" spans="1:21" x14ac:dyDescent="0.3">
      <c r="A1191">
        <v>1190</v>
      </c>
      <c r="B1191" t="s">
        <v>1791</v>
      </c>
      <c r="C1191" t="str">
        <f t="shared" si="162"/>
        <v>EMP_1190</v>
      </c>
      <c r="D1191" t="s">
        <v>11</v>
      </c>
      <c r="E1191" t="str">
        <f t="shared" si="163"/>
        <v>EMP_1190HR</v>
      </c>
      <c r="F1191" t="s">
        <v>12</v>
      </c>
      <c r="G1191" t="s">
        <v>22</v>
      </c>
      <c r="H1191">
        <v>57117</v>
      </c>
      <c r="I1191">
        <v>4983</v>
      </c>
      <c r="J1191">
        <v>0</v>
      </c>
      <c r="K1191">
        <v>0</v>
      </c>
      <c r="L1191" s="4" t="s">
        <v>1261</v>
      </c>
      <c r="M1191" s="4" t="str">
        <f t="shared" si="164"/>
        <v>5/27/2024</v>
      </c>
      <c r="N1191" s="1">
        <f t="shared" ca="1" si="165"/>
        <v>46064</v>
      </c>
      <c r="O1191" s="6" t="e">
        <f t="shared" ca="1" si="166"/>
        <v>#VALUE!</v>
      </c>
      <c r="P1191">
        <v>4</v>
      </c>
      <c r="Q1191">
        <f t="shared" si="167"/>
        <v>62100</v>
      </c>
      <c r="R1191" s="2">
        <f t="shared" si="168"/>
        <v>31050</v>
      </c>
      <c r="S1191" s="2" t="str">
        <f t="shared" si="169"/>
        <v xml:space="preserve"> Not Achieved</v>
      </c>
      <c r="T1191" s="2" t="str">
        <f t="shared" si="170"/>
        <v xml:space="preserve"> Excellent</v>
      </c>
      <c r="U1191" s="2"/>
    </row>
    <row r="1192" spans="1:21" x14ac:dyDescent="0.3">
      <c r="A1192">
        <v>1191</v>
      </c>
      <c r="B1192" t="s">
        <v>1792</v>
      </c>
      <c r="C1192" t="str">
        <f t="shared" si="162"/>
        <v>EMP_1191</v>
      </c>
      <c r="D1192" t="s">
        <v>15</v>
      </c>
      <c r="E1192" t="str">
        <f t="shared" si="163"/>
        <v>EMP_1191IT</v>
      </c>
      <c r="F1192" t="s">
        <v>21</v>
      </c>
      <c r="G1192" t="s">
        <v>19</v>
      </c>
      <c r="H1192">
        <v>61765</v>
      </c>
      <c r="I1192">
        <v>4237</v>
      </c>
      <c r="J1192">
        <v>0</v>
      </c>
      <c r="K1192">
        <v>0</v>
      </c>
      <c r="L1192" s="4" t="s">
        <v>1793</v>
      </c>
      <c r="M1192" s="4" t="str">
        <f t="shared" si="164"/>
        <v>4/23/2021</v>
      </c>
      <c r="N1192" s="1">
        <f t="shared" ca="1" si="165"/>
        <v>46064</v>
      </c>
      <c r="O1192" s="6" t="e">
        <f t="shared" ca="1" si="166"/>
        <v>#VALUE!</v>
      </c>
      <c r="P1192">
        <v>4</v>
      </c>
      <c r="Q1192">
        <f t="shared" si="167"/>
        <v>66002</v>
      </c>
      <c r="R1192" s="2">
        <f t="shared" si="168"/>
        <v>33001</v>
      </c>
      <c r="S1192" s="2" t="str">
        <f t="shared" si="169"/>
        <v xml:space="preserve"> Not Achieved</v>
      </c>
      <c r="T1192" s="2" t="str">
        <f t="shared" si="170"/>
        <v xml:space="preserve"> Excellent</v>
      </c>
      <c r="U1192" s="2"/>
    </row>
    <row r="1193" spans="1:21" x14ac:dyDescent="0.3">
      <c r="A1193">
        <v>1192</v>
      </c>
      <c r="B1193" t="s">
        <v>1794</v>
      </c>
      <c r="C1193" t="str">
        <f t="shared" si="162"/>
        <v>EMP_1192</v>
      </c>
      <c r="D1193" t="s">
        <v>15</v>
      </c>
      <c r="E1193" t="str">
        <f t="shared" si="163"/>
        <v>EMP_1192HR</v>
      </c>
      <c r="F1193" t="s">
        <v>12</v>
      </c>
      <c r="G1193" t="s">
        <v>13</v>
      </c>
      <c r="H1193">
        <v>29110</v>
      </c>
      <c r="I1193">
        <v>2584</v>
      </c>
      <c r="J1193">
        <v>0</v>
      </c>
      <c r="K1193">
        <v>0</v>
      </c>
      <c r="L1193" s="4" t="s">
        <v>910</v>
      </c>
      <c r="M1193" s="4" t="str">
        <f t="shared" si="164"/>
        <v>3/16/2020</v>
      </c>
      <c r="N1193" s="1">
        <f t="shared" ca="1" si="165"/>
        <v>46064</v>
      </c>
      <c r="O1193" s="6" t="e">
        <f t="shared" ca="1" si="166"/>
        <v>#VALUE!</v>
      </c>
      <c r="P1193">
        <v>2</v>
      </c>
      <c r="Q1193">
        <f t="shared" si="167"/>
        <v>31694</v>
      </c>
      <c r="R1193" s="2">
        <f t="shared" si="168"/>
        <v>15847</v>
      </c>
      <c r="S1193" s="2" t="str">
        <f t="shared" si="169"/>
        <v xml:space="preserve"> Not Achieved</v>
      </c>
      <c r="T1193" s="2" t="str">
        <f t="shared" si="170"/>
        <v>poor</v>
      </c>
      <c r="U1193" s="2"/>
    </row>
    <row r="1194" spans="1:21" x14ac:dyDescent="0.3">
      <c r="A1194">
        <v>1193</v>
      </c>
      <c r="B1194" t="s">
        <v>1795</v>
      </c>
      <c r="C1194" t="str">
        <f t="shared" si="162"/>
        <v>EMP_1193</v>
      </c>
      <c r="D1194" t="s">
        <v>11</v>
      </c>
      <c r="E1194" t="str">
        <f t="shared" si="163"/>
        <v>EMP_1193Finance</v>
      </c>
      <c r="F1194" t="s">
        <v>18</v>
      </c>
      <c r="G1194" t="s">
        <v>19</v>
      </c>
      <c r="H1194">
        <v>28458</v>
      </c>
      <c r="I1194">
        <v>3821</v>
      </c>
      <c r="J1194">
        <v>0</v>
      </c>
      <c r="K1194">
        <v>0</v>
      </c>
      <c r="L1194" s="4" t="s">
        <v>1796</v>
      </c>
      <c r="M1194" s="4" t="str">
        <f t="shared" si="164"/>
        <v>2/14/2019</v>
      </c>
      <c r="N1194" s="1">
        <f t="shared" ca="1" si="165"/>
        <v>46064</v>
      </c>
      <c r="O1194" s="6" t="e">
        <f t="shared" ca="1" si="166"/>
        <v>#VALUE!</v>
      </c>
      <c r="P1194">
        <v>4</v>
      </c>
      <c r="Q1194">
        <f t="shared" si="167"/>
        <v>32279</v>
      </c>
      <c r="R1194" s="2">
        <f t="shared" si="168"/>
        <v>16139.5</v>
      </c>
      <c r="S1194" s="2" t="str">
        <f t="shared" si="169"/>
        <v xml:space="preserve"> Not Achieved</v>
      </c>
      <c r="T1194" s="2" t="str">
        <f t="shared" si="170"/>
        <v>poor</v>
      </c>
      <c r="U1194" s="2"/>
    </row>
    <row r="1195" spans="1:21" x14ac:dyDescent="0.3">
      <c r="A1195">
        <v>1194</v>
      </c>
      <c r="B1195" t="s">
        <v>1797</v>
      </c>
      <c r="C1195" t="str">
        <f t="shared" si="162"/>
        <v>EMP_1194</v>
      </c>
      <c r="D1195" t="s">
        <v>15</v>
      </c>
      <c r="E1195" t="str">
        <f t="shared" si="163"/>
        <v>EMP_1194HR</v>
      </c>
      <c r="F1195" t="s">
        <v>12</v>
      </c>
      <c r="G1195" t="s">
        <v>22</v>
      </c>
      <c r="H1195">
        <v>54890</v>
      </c>
      <c r="I1195">
        <v>14523</v>
      </c>
      <c r="J1195">
        <v>0</v>
      </c>
      <c r="K1195">
        <v>0</v>
      </c>
      <c r="L1195" s="4" t="s">
        <v>1798</v>
      </c>
      <c r="M1195" s="4" t="str">
        <f t="shared" si="164"/>
        <v>12/14/2018</v>
      </c>
      <c r="N1195" s="1">
        <f t="shared" ca="1" si="165"/>
        <v>46064</v>
      </c>
      <c r="O1195" s="6" t="e">
        <f t="shared" ca="1" si="166"/>
        <v>#VALUE!</v>
      </c>
      <c r="P1195">
        <v>5</v>
      </c>
      <c r="Q1195">
        <f t="shared" si="167"/>
        <v>69413</v>
      </c>
      <c r="R1195" s="2">
        <f t="shared" si="168"/>
        <v>34706.5</v>
      </c>
      <c r="S1195" s="2" t="str">
        <f t="shared" si="169"/>
        <v xml:space="preserve"> Not Achieved</v>
      </c>
      <c r="T1195" s="2" t="str">
        <f t="shared" si="170"/>
        <v xml:space="preserve"> Excellent</v>
      </c>
      <c r="U1195" s="2"/>
    </row>
    <row r="1196" spans="1:21" x14ac:dyDescent="0.3">
      <c r="A1196">
        <v>1195</v>
      </c>
      <c r="B1196" t="s">
        <v>1799</v>
      </c>
      <c r="C1196" t="str">
        <f t="shared" si="162"/>
        <v>EMP_1195</v>
      </c>
      <c r="D1196" t="s">
        <v>15</v>
      </c>
      <c r="E1196" t="str">
        <f t="shared" si="163"/>
        <v>EMP_1195Sales</v>
      </c>
      <c r="F1196" t="s">
        <v>7</v>
      </c>
      <c r="G1196" t="s">
        <v>19</v>
      </c>
      <c r="H1196">
        <v>32178</v>
      </c>
      <c r="I1196">
        <v>3379</v>
      </c>
      <c r="J1196">
        <v>143097</v>
      </c>
      <c r="K1196">
        <v>130691</v>
      </c>
      <c r="L1196" s="4" t="s">
        <v>1800</v>
      </c>
      <c r="M1196" s="4" t="str">
        <f t="shared" si="164"/>
        <v>5/16/2020</v>
      </c>
      <c r="N1196" s="1">
        <f t="shared" ca="1" si="165"/>
        <v>46064</v>
      </c>
      <c r="O1196" s="6" t="e">
        <f t="shared" ca="1" si="166"/>
        <v>#VALUE!</v>
      </c>
      <c r="P1196">
        <v>4</v>
      </c>
      <c r="Q1196">
        <f t="shared" si="167"/>
        <v>35557</v>
      </c>
      <c r="R1196" s="2">
        <f t="shared" si="168"/>
        <v>17778.5</v>
      </c>
      <c r="S1196" s="2" t="str">
        <f t="shared" si="169"/>
        <v>Achieved</v>
      </c>
      <c r="T1196" s="2" t="str">
        <f t="shared" si="170"/>
        <v>Average</v>
      </c>
      <c r="U1196" s="2"/>
    </row>
    <row r="1197" spans="1:21" x14ac:dyDescent="0.3">
      <c r="A1197">
        <v>1196</v>
      </c>
      <c r="B1197" t="s">
        <v>1801</v>
      </c>
      <c r="C1197" t="str">
        <f t="shared" si="162"/>
        <v>EMP_1196</v>
      </c>
      <c r="D1197" t="s">
        <v>15</v>
      </c>
      <c r="E1197" t="str">
        <f t="shared" si="163"/>
        <v>EMP_1196IT</v>
      </c>
      <c r="F1197" t="s">
        <v>21</v>
      </c>
      <c r="G1197" t="s">
        <v>13</v>
      </c>
      <c r="H1197">
        <v>40613</v>
      </c>
      <c r="I1197">
        <v>5226</v>
      </c>
      <c r="J1197">
        <v>0</v>
      </c>
      <c r="K1197">
        <v>0</v>
      </c>
      <c r="L1197" s="4" t="s">
        <v>1802</v>
      </c>
      <c r="M1197" s="4" t="str">
        <f t="shared" si="164"/>
        <v>6/13/2023</v>
      </c>
      <c r="N1197" s="1">
        <f t="shared" ca="1" si="165"/>
        <v>46064</v>
      </c>
      <c r="O1197" s="6" t="e">
        <f t="shared" ca="1" si="166"/>
        <v>#VALUE!</v>
      </c>
      <c r="P1197">
        <v>1</v>
      </c>
      <c r="Q1197">
        <f t="shared" si="167"/>
        <v>45839</v>
      </c>
      <c r="R1197" s="2">
        <f t="shared" si="168"/>
        <v>22919.5</v>
      </c>
      <c r="S1197" s="2" t="str">
        <f t="shared" si="169"/>
        <v xml:space="preserve"> Not Achieved</v>
      </c>
      <c r="T1197" s="2" t="str">
        <f t="shared" si="170"/>
        <v>Good</v>
      </c>
      <c r="U1197" s="2"/>
    </row>
    <row r="1198" spans="1:21" x14ac:dyDescent="0.3">
      <c r="A1198">
        <v>1197</v>
      </c>
      <c r="B1198" t="s">
        <v>1803</v>
      </c>
      <c r="C1198" t="str">
        <f t="shared" si="162"/>
        <v>EMP_1197</v>
      </c>
      <c r="D1198" t="s">
        <v>15</v>
      </c>
      <c r="E1198" t="str">
        <f t="shared" si="163"/>
        <v>EMP_1197Finance</v>
      </c>
      <c r="F1198" t="s">
        <v>18</v>
      </c>
      <c r="G1198" t="s">
        <v>16</v>
      </c>
      <c r="H1198">
        <v>33150</v>
      </c>
      <c r="I1198">
        <v>6615</v>
      </c>
      <c r="J1198">
        <v>0</v>
      </c>
      <c r="K1198">
        <v>0</v>
      </c>
      <c r="L1198" s="4" t="s">
        <v>1804</v>
      </c>
      <c r="M1198" s="4" t="str">
        <f t="shared" si="164"/>
        <v>3/23/2021</v>
      </c>
      <c r="N1198" s="1">
        <f t="shared" ca="1" si="165"/>
        <v>46064</v>
      </c>
      <c r="O1198" s="6" t="e">
        <f t="shared" ca="1" si="166"/>
        <v>#VALUE!</v>
      </c>
      <c r="P1198">
        <v>4</v>
      </c>
      <c r="Q1198">
        <f t="shared" si="167"/>
        <v>39765</v>
      </c>
      <c r="R1198" s="2">
        <f t="shared" si="168"/>
        <v>19882.5</v>
      </c>
      <c r="S1198" s="2" t="str">
        <f t="shared" si="169"/>
        <v xml:space="preserve"> Not Achieved</v>
      </c>
      <c r="T1198" s="2" t="str">
        <f t="shared" si="170"/>
        <v>Average</v>
      </c>
      <c r="U1198" s="2"/>
    </row>
    <row r="1199" spans="1:21" x14ac:dyDescent="0.3">
      <c r="A1199">
        <v>1198</v>
      </c>
      <c r="B1199" t="s">
        <v>1805</v>
      </c>
      <c r="C1199" t="str">
        <f t="shared" si="162"/>
        <v>EMP_1198</v>
      </c>
      <c r="D1199" t="s">
        <v>11</v>
      </c>
      <c r="E1199" t="str">
        <f t="shared" si="163"/>
        <v>EMP_1198IT</v>
      </c>
      <c r="F1199" t="s">
        <v>21</v>
      </c>
      <c r="G1199" t="s">
        <v>22</v>
      </c>
      <c r="H1199">
        <v>21161</v>
      </c>
      <c r="I1199">
        <v>10768</v>
      </c>
      <c r="J1199">
        <v>0</v>
      </c>
      <c r="K1199">
        <v>0</v>
      </c>
      <c r="L1199" s="4" t="s">
        <v>176</v>
      </c>
      <c r="M1199" s="4" t="str">
        <f t="shared" si="164"/>
        <v>4/27/2021</v>
      </c>
      <c r="N1199" s="1">
        <f t="shared" ca="1" si="165"/>
        <v>46064</v>
      </c>
      <c r="O1199" s="6" t="e">
        <f t="shared" ca="1" si="166"/>
        <v>#VALUE!</v>
      </c>
      <c r="P1199">
        <v>1</v>
      </c>
      <c r="Q1199">
        <f t="shared" si="167"/>
        <v>31929</v>
      </c>
      <c r="R1199" s="2">
        <f t="shared" si="168"/>
        <v>15964.5</v>
      </c>
      <c r="S1199" s="2" t="str">
        <f t="shared" si="169"/>
        <v xml:space="preserve"> Not Achieved</v>
      </c>
      <c r="T1199" s="2" t="str">
        <f t="shared" si="170"/>
        <v>poor</v>
      </c>
      <c r="U1199" s="2"/>
    </row>
    <row r="1200" spans="1:21" x14ac:dyDescent="0.3">
      <c r="A1200">
        <v>1199</v>
      </c>
      <c r="B1200" t="s">
        <v>1806</v>
      </c>
      <c r="C1200" t="str">
        <f t="shared" si="162"/>
        <v>EMP_1199</v>
      </c>
      <c r="D1200" t="s">
        <v>15</v>
      </c>
      <c r="E1200" t="str">
        <f t="shared" si="163"/>
        <v>EMP_1199Sales</v>
      </c>
      <c r="F1200" t="s">
        <v>7</v>
      </c>
      <c r="G1200" t="s">
        <v>25</v>
      </c>
      <c r="H1200">
        <v>62977</v>
      </c>
      <c r="I1200">
        <v>4759</v>
      </c>
      <c r="J1200">
        <v>97862</v>
      </c>
      <c r="K1200">
        <v>173392</v>
      </c>
      <c r="L1200" s="4" t="s">
        <v>1807</v>
      </c>
      <c r="M1200" s="4" t="str">
        <f t="shared" si="164"/>
        <v>4/20/2019</v>
      </c>
      <c r="N1200" s="1">
        <f t="shared" ca="1" si="165"/>
        <v>46064</v>
      </c>
      <c r="O1200" s="6" t="e">
        <f t="shared" ca="1" si="166"/>
        <v>#VALUE!</v>
      </c>
      <c r="P1200">
        <v>1</v>
      </c>
      <c r="Q1200">
        <f t="shared" si="167"/>
        <v>67736</v>
      </c>
      <c r="R1200" s="2">
        <f t="shared" si="168"/>
        <v>33868</v>
      </c>
      <c r="S1200" s="2" t="str">
        <f t="shared" si="169"/>
        <v xml:space="preserve"> Not Achieved</v>
      </c>
      <c r="T1200" s="2" t="str">
        <f t="shared" si="170"/>
        <v xml:space="preserve"> Excellent</v>
      </c>
      <c r="U1200" s="2"/>
    </row>
    <row r="1201" spans="1:21" x14ac:dyDescent="0.3">
      <c r="A1201">
        <v>1200</v>
      </c>
      <c r="B1201" t="s">
        <v>1808</v>
      </c>
      <c r="C1201" t="str">
        <f t="shared" si="162"/>
        <v>EMP_1200</v>
      </c>
      <c r="D1201" t="s">
        <v>15</v>
      </c>
      <c r="E1201" t="str">
        <f t="shared" si="163"/>
        <v>EMP_1200Marketing</v>
      </c>
      <c r="F1201" t="s">
        <v>24</v>
      </c>
      <c r="G1201" t="s">
        <v>16</v>
      </c>
      <c r="H1201">
        <v>36312</v>
      </c>
      <c r="I1201">
        <v>13552</v>
      </c>
      <c r="J1201">
        <v>0</v>
      </c>
      <c r="K1201">
        <v>0</v>
      </c>
      <c r="L1201" s="4">
        <v>45510</v>
      </c>
      <c r="M1201" s="4" t="str">
        <f t="shared" si="164"/>
        <v>2024</v>
      </c>
      <c r="N1201" s="1">
        <f t="shared" ca="1" si="165"/>
        <v>46064</v>
      </c>
      <c r="O1201" s="6">
        <f t="shared" ca="1" si="166"/>
        <v>1</v>
      </c>
      <c r="P1201">
        <v>5</v>
      </c>
      <c r="Q1201">
        <f t="shared" si="167"/>
        <v>49864</v>
      </c>
      <c r="R1201" s="2">
        <f t="shared" si="168"/>
        <v>24932</v>
      </c>
      <c r="S1201" s="2" t="str">
        <f t="shared" si="169"/>
        <v xml:space="preserve"> Not Achieved</v>
      </c>
      <c r="T1201" s="2" t="str">
        <f t="shared" si="170"/>
        <v>Average</v>
      </c>
      <c r="U1201" s="2"/>
    </row>
    <row r="1202" spans="1:21" x14ac:dyDescent="0.3">
      <c r="A1202">
        <v>1201</v>
      </c>
      <c r="B1202" t="s">
        <v>1809</v>
      </c>
      <c r="C1202" t="str">
        <f t="shared" si="162"/>
        <v>EMP_1201</v>
      </c>
      <c r="D1202" t="s">
        <v>15</v>
      </c>
      <c r="E1202" t="str">
        <f t="shared" si="163"/>
        <v>EMP_1201Finance</v>
      </c>
      <c r="F1202" t="s">
        <v>18</v>
      </c>
      <c r="G1202" t="s">
        <v>13</v>
      </c>
      <c r="H1202">
        <v>61898</v>
      </c>
      <c r="I1202">
        <v>6382</v>
      </c>
      <c r="J1202">
        <v>0</v>
      </c>
      <c r="K1202">
        <v>0</v>
      </c>
      <c r="L1202" s="4" t="s">
        <v>1363</v>
      </c>
      <c r="M1202" s="4" t="str">
        <f t="shared" si="164"/>
        <v>11/16/2023</v>
      </c>
      <c r="N1202" s="1">
        <f t="shared" ca="1" si="165"/>
        <v>46064</v>
      </c>
      <c r="O1202" s="6" t="e">
        <f t="shared" ca="1" si="166"/>
        <v>#VALUE!</v>
      </c>
      <c r="P1202">
        <v>2</v>
      </c>
      <c r="Q1202">
        <f t="shared" si="167"/>
        <v>68280</v>
      </c>
      <c r="R1202" s="2">
        <f t="shared" si="168"/>
        <v>34140</v>
      </c>
      <c r="S1202" s="2" t="str">
        <f t="shared" si="169"/>
        <v xml:space="preserve"> Not Achieved</v>
      </c>
      <c r="T1202" s="2" t="str">
        <f t="shared" si="170"/>
        <v xml:space="preserve"> Excellent</v>
      </c>
      <c r="U1202" s="2"/>
    </row>
    <row r="1203" spans="1:21" x14ac:dyDescent="0.3">
      <c r="A1203">
        <v>1202</v>
      </c>
      <c r="B1203" t="s">
        <v>1810</v>
      </c>
      <c r="C1203" t="str">
        <f t="shared" si="162"/>
        <v>EMP_1202</v>
      </c>
      <c r="D1203" t="s">
        <v>11</v>
      </c>
      <c r="E1203" t="str">
        <f t="shared" si="163"/>
        <v>EMP_1202Finance</v>
      </c>
      <c r="F1203" t="s">
        <v>18</v>
      </c>
      <c r="G1203" t="s">
        <v>16</v>
      </c>
      <c r="H1203">
        <v>61575</v>
      </c>
      <c r="I1203">
        <v>5259</v>
      </c>
      <c r="J1203">
        <v>0</v>
      </c>
      <c r="K1203">
        <v>0</v>
      </c>
      <c r="L1203" s="4">
        <v>44601</v>
      </c>
      <c r="M1203" s="4" t="str">
        <f t="shared" si="164"/>
        <v>2022</v>
      </c>
      <c r="N1203" s="1">
        <f t="shared" ca="1" si="165"/>
        <v>46064</v>
      </c>
      <c r="O1203" s="6">
        <f t="shared" ca="1" si="166"/>
        <v>4</v>
      </c>
      <c r="P1203">
        <v>1</v>
      </c>
      <c r="Q1203">
        <f t="shared" si="167"/>
        <v>66834</v>
      </c>
      <c r="R1203" s="2">
        <f t="shared" si="168"/>
        <v>33417</v>
      </c>
      <c r="S1203" s="2" t="str">
        <f t="shared" si="169"/>
        <v xml:space="preserve"> Not Achieved</v>
      </c>
      <c r="T1203" s="2" t="str">
        <f t="shared" si="170"/>
        <v xml:space="preserve"> Excellent</v>
      </c>
      <c r="U1203" s="2"/>
    </row>
    <row r="1204" spans="1:21" x14ac:dyDescent="0.3">
      <c r="A1204">
        <v>1203</v>
      </c>
      <c r="B1204" t="s">
        <v>1811</v>
      </c>
      <c r="C1204" t="str">
        <f t="shared" si="162"/>
        <v>EMP_1203</v>
      </c>
      <c r="D1204" t="s">
        <v>11</v>
      </c>
      <c r="E1204" t="str">
        <f t="shared" si="163"/>
        <v>EMP_1203Finance</v>
      </c>
      <c r="F1204" t="s">
        <v>18</v>
      </c>
      <c r="G1204" t="s">
        <v>25</v>
      </c>
      <c r="H1204">
        <v>45772</v>
      </c>
      <c r="I1204">
        <v>4295</v>
      </c>
      <c r="J1204">
        <v>0</v>
      </c>
      <c r="K1204">
        <v>0</v>
      </c>
      <c r="L1204" s="4" t="s">
        <v>1812</v>
      </c>
      <c r="M1204" s="4" t="str">
        <f t="shared" si="164"/>
        <v>9/13/2021</v>
      </c>
      <c r="N1204" s="1">
        <f t="shared" ca="1" si="165"/>
        <v>46064</v>
      </c>
      <c r="O1204" s="6" t="e">
        <f t="shared" ca="1" si="166"/>
        <v>#VALUE!</v>
      </c>
      <c r="P1204">
        <v>4</v>
      </c>
      <c r="Q1204">
        <f t="shared" si="167"/>
        <v>50067</v>
      </c>
      <c r="R1204" s="2">
        <f t="shared" si="168"/>
        <v>25033.5</v>
      </c>
      <c r="S1204" s="2" t="str">
        <f t="shared" si="169"/>
        <v xml:space="preserve"> Not Achieved</v>
      </c>
      <c r="T1204" s="2" t="str">
        <f t="shared" si="170"/>
        <v>Good</v>
      </c>
      <c r="U1204" s="2"/>
    </row>
    <row r="1205" spans="1:21" x14ac:dyDescent="0.3">
      <c r="A1205">
        <v>1204</v>
      </c>
      <c r="B1205" t="s">
        <v>1813</v>
      </c>
      <c r="C1205" t="str">
        <f t="shared" si="162"/>
        <v>EMP_1204</v>
      </c>
      <c r="D1205" t="s">
        <v>15</v>
      </c>
      <c r="E1205" t="str">
        <f t="shared" si="163"/>
        <v>EMP_1204Sales</v>
      </c>
      <c r="F1205" t="s">
        <v>7</v>
      </c>
      <c r="G1205" t="s">
        <v>19</v>
      </c>
      <c r="H1205">
        <v>34277</v>
      </c>
      <c r="I1205">
        <v>11743</v>
      </c>
      <c r="J1205">
        <v>296945</v>
      </c>
      <c r="K1205">
        <v>139048</v>
      </c>
      <c r="L1205" s="4">
        <v>45515</v>
      </c>
      <c r="M1205" s="4" t="str">
        <f t="shared" si="164"/>
        <v>2024</v>
      </c>
      <c r="N1205" s="1">
        <f t="shared" ca="1" si="165"/>
        <v>46064</v>
      </c>
      <c r="O1205" s="6">
        <f t="shared" ca="1" si="166"/>
        <v>1</v>
      </c>
      <c r="P1205">
        <v>2</v>
      </c>
      <c r="Q1205">
        <f t="shared" si="167"/>
        <v>46020</v>
      </c>
      <c r="R1205" s="2">
        <f t="shared" si="168"/>
        <v>23010</v>
      </c>
      <c r="S1205" s="2" t="str">
        <f t="shared" si="169"/>
        <v>Achieved</v>
      </c>
      <c r="T1205" s="2" t="str">
        <f t="shared" si="170"/>
        <v>Average</v>
      </c>
      <c r="U1205" s="2"/>
    </row>
    <row r="1206" spans="1:21" x14ac:dyDescent="0.3">
      <c r="A1206">
        <v>1205</v>
      </c>
      <c r="B1206" t="s">
        <v>1814</v>
      </c>
      <c r="C1206" t="str">
        <f t="shared" si="162"/>
        <v>EMP_1205</v>
      </c>
      <c r="D1206" t="s">
        <v>15</v>
      </c>
      <c r="E1206" t="str">
        <f t="shared" si="163"/>
        <v>EMP_1205HR</v>
      </c>
      <c r="F1206" t="s">
        <v>12</v>
      </c>
      <c r="G1206" t="s">
        <v>25</v>
      </c>
      <c r="H1206">
        <v>28123</v>
      </c>
      <c r="I1206">
        <v>5261</v>
      </c>
      <c r="J1206">
        <v>0</v>
      </c>
      <c r="K1206">
        <v>0</v>
      </c>
      <c r="L1206" s="4">
        <v>45391</v>
      </c>
      <c r="M1206" s="4" t="str">
        <f t="shared" si="164"/>
        <v>2024</v>
      </c>
      <c r="N1206" s="1">
        <f t="shared" ca="1" si="165"/>
        <v>46064</v>
      </c>
      <c r="O1206" s="6">
        <f t="shared" ca="1" si="166"/>
        <v>1</v>
      </c>
      <c r="P1206">
        <v>1</v>
      </c>
      <c r="Q1206">
        <f t="shared" si="167"/>
        <v>33384</v>
      </c>
      <c r="R1206" s="2">
        <f t="shared" si="168"/>
        <v>16692</v>
      </c>
      <c r="S1206" s="2" t="str">
        <f t="shared" si="169"/>
        <v xml:space="preserve"> Not Achieved</v>
      </c>
      <c r="T1206" s="2" t="str">
        <f t="shared" si="170"/>
        <v>poor</v>
      </c>
      <c r="U1206" s="2"/>
    </row>
    <row r="1207" spans="1:21" x14ac:dyDescent="0.3">
      <c r="A1207">
        <v>1206</v>
      </c>
      <c r="B1207" t="s">
        <v>1815</v>
      </c>
      <c r="C1207" t="str">
        <f t="shared" si="162"/>
        <v>EMP_1206</v>
      </c>
      <c r="D1207" t="s">
        <v>11</v>
      </c>
      <c r="E1207" t="str">
        <f t="shared" si="163"/>
        <v>EMP_1206Sales</v>
      </c>
      <c r="F1207" t="s">
        <v>7</v>
      </c>
      <c r="G1207" t="s">
        <v>16</v>
      </c>
      <c r="H1207">
        <v>68773</v>
      </c>
      <c r="I1207">
        <v>11194</v>
      </c>
      <c r="J1207">
        <v>78504</v>
      </c>
      <c r="K1207">
        <v>82471</v>
      </c>
      <c r="L1207" s="4">
        <v>45418</v>
      </c>
      <c r="M1207" s="4" t="str">
        <f t="shared" si="164"/>
        <v>2024</v>
      </c>
      <c r="N1207" s="1">
        <f t="shared" ca="1" si="165"/>
        <v>46064</v>
      </c>
      <c r="O1207" s="6">
        <f t="shared" ca="1" si="166"/>
        <v>1</v>
      </c>
      <c r="P1207">
        <v>4</v>
      </c>
      <c r="Q1207">
        <f t="shared" si="167"/>
        <v>79967</v>
      </c>
      <c r="R1207" s="2">
        <f t="shared" si="168"/>
        <v>39983.5</v>
      </c>
      <c r="S1207" s="2" t="str">
        <f t="shared" si="169"/>
        <v xml:space="preserve"> Not Achieved</v>
      </c>
      <c r="T1207" s="2" t="str">
        <f t="shared" si="170"/>
        <v xml:space="preserve"> Excellent</v>
      </c>
      <c r="U1207" s="2"/>
    </row>
    <row r="1208" spans="1:21" x14ac:dyDescent="0.3">
      <c r="A1208">
        <v>1207</v>
      </c>
      <c r="B1208" t="s">
        <v>1816</v>
      </c>
      <c r="C1208" t="str">
        <f t="shared" si="162"/>
        <v>EMP_1207</v>
      </c>
      <c r="D1208" t="s">
        <v>15</v>
      </c>
      <c r="E1208" t="str">
        <f t="shared" si="163"/>
        <v>EMP_1207Marketing</v>
      </c>
      <c r="F1208" t="s">
        <v>24</v>
      </c>
      <c r="G1208" t="s">
        <v>19</v>
      </c>
      <c r="H1208">
        <v>43828</v>
      </c>
      <c r="I1208">
        <v>12275</v>
      </c>
      <c r="J1208">
        <v>0</v>
      </c>
      <c r="K1208">
        <v>0</v>
      </c>
      <c r="L1208" s="4">
        <v>45052</v>
      </c>
      <c r="M1208" s="4" t="str">
        <f t="shared" si="164"/>
        <v>2023</v>
      </c>
      <c r="N1208" s="1">
        <f t="shared" ca="1" si="165"/>
        <v>46064</v>
      </c>
      <c r="O1208" s="6">
        <f t="shared" ca="1" si="166"/>
        <v>2</v>
      </c>
      <c r="P1208">
        <v>1</v>
      </c>
      <c r="Q1208">
        <f t="shared" si="167"/>
        <v>56103</v>
      </c>
      <c r="R1208" s="2">
        <f t="shared" si="168"/>
        <v>28051.5</v>
      </c>
      <c r="S1208" s="2" t="str">
        <f t="shared" si="169"/>
        <v xml:space="preserve"> Not Achieved</v>
      </c>
      <c r="T1208" s="2" t="str">
        <f t="shared" si="170"/>
        <v>Good</v>
      </c>
      <c r="U1208" s="2"/>
    </row>
    <row r="1209" spans="1:21" x14ac:dyDescent="0.3">
      <c r="A1209">
        <v>1208</v>
      </c>
      <c r="B1209" t="s">
        <v>1817</v>
      </c>
      <c r="C1209" t="str">
        <f t="shared" si="162"/>
        <v>EMP_1208</v>
      </c>
      <c r="D1209" t="s">
        <v>15</v>
      </c>
      <c r="E1209" t="str">
        <f t="shared" si="163"/>
        <v>EMP_1208Finance</v>
      </c>
      <c r="F1209" t="s">
        <v>18</v>
      </c>
      <c r="G1209" t="s">
        <v>19</v>
      </c>
      <c r="H1209">
        <v>74954</v>
      </c>
      <c r="I1209">
        <v>7680</v>
      </c>
      <c r="J1209">
        <v>0</v>
      </c>
      <c r="K1209">
        <v>0</v>
      </c>
      <c r="L1209" s="4" t="s">
        <v>1818</v>
      </c>
      <c r="M1209" s="4" t="str">
        <f t="shared" si="164"/>
        <v>1/14/2022</v>
      </c>
      <c r="N1209" s="1">
        <f t="shared" ca="1" si="165"/>
        <v>46064</v>
      </c>
      <c r="O1209" s="6" t="e">
        <f t="shared" ca="1" si="166"/>
        <v>#VALUE!</v>
      </c>
      <c r="P1209">
        <v>5</v>
      </c>
      <c r="Q1209">
        <f t="shared" si="167"/>
        <v>82634</v>
      </c>
      <c r="R1209" s="2">
        <f t="shared" si="168"/>
        <v>41317</v>
      </c>
      <c r="S1209" s="2" t="str">
        <f t="shared" si="169"/>
        <v xml:space="preserve"> Not Achieved</v>
      </c>
      <c r="T1209" s="2" t="str">
        <f t="shared" si="170"/>
        <v xml:space="preserve"> Excellent</v>
      </c>
      <c r="U1209" s="2"/>
    </row>
    <row r="1210" spans="1:21" x14ac:dyDescent="0.3">
      <c r="A1210">
        <v>1209</v>
      </c>
      <c r="B1210" t="s">
        <v>1819</v>
      </c>
      <c r="C1210" t="str">
        <f t="shared" si="162"/>
        <v>EMP_1209</v>
      </c>
      <c r="D1210" t="s">
        <v>11</v>
      </c>
      <c r="E1210" t="str">
        <f t="shared" si="163"/>
        <v>EMP_1209Finance</v>
      </c>
      <c r="F1210" t="s">
        <v>18</v>
      </c>
      <c r="G1210" t="s">
        <v>25</v>
      </c>
      <c r="H1210">
        <v>67576</v>
      </c>
      <c r="I1210">
        <v>3957</v>
      </c>
      <c r="J1210">
        <v>0</v>
      </c>
      <c r="K1210">
        <v>0</v>
      </c>
      <c r="L1210" s="4" t="s">
        <v>1820</v>
      </c>
      <c r="M1210" s="4" t="str">
        <f t="shared" si="164"/>
        <v>4/26/2019</v>
      </c>
      <c r="N1210" s="1">
        <f t="shared" ca="1" si="165"/>
        <v>46064</v>
      </c>
      <c r="O1210" s="6" t="e">
        <f t="shared" ca="1" si="166"/>
        <v>#VALUE!</v>
      </c>
      <c r="P1210">
        <v>1</v>
      </c>
      <c r="Q1210">
        <f t="shared" si="167"/>
        <v>71533</v>
      </c>
      <c r="R1210" s="2">
        <f t="shared" si="168"/>
        <v>35766.5</v>
      </c>
      <c r="S1210" s="2" t="str">
        <f t="shared" si="169"/>
        <v xml:space="preserve"> Not Achieved</v>
      </c>
      <c r="T1210" s="2" t="str">
        <f t="shared" si="170"/>
        <v xml:space="preserve"> Excellent</v>
      </c>
      <c r="U1210" s="2"/>
    </row>
    <row r="1211" spans="1:21" x14ac:dyDescent="0.3">
      <c r="A1211">
        <v>1210</v>
      </c>
      <c r="B1211" t="s">
        <v>1821</v>
      </c>
      <c r="C1211" t="str">
        <f t="shared" si="162"/>
        <v>EMP_1210</v>
      </c>
      <c r="D1211" t="s">
        <v>15</v>
      </c>
      <c r="E1211" t="str">
        <f t="shared" si="163"/>
        <v>EMP_1210HR</v>
      </c>
      <c r="F1211" t="s">
        <v>12</v>
      </c>
      <c r="G1211" t="s">
        <v>22</v>
      </c>
      <c r="H1211">
        <v>33438</v>
      </c>
      <c r="I1211">
        <v>13604</v>
      </c>
      <c r="J1211">
        <v>0</v>
      </c>
      <c r="K1211">
        <v>0</v>
      </c>
      <c r="L1211" s="4" t="s">
        <v>1822</v>
      </c>
      <c r="M1211" s="4" t="str">
        <f t="shared" si="164"/>
        <v>4/21/2019</v>
      </c>
      <c r="N1211" s="1">
        <f t="shared" ca="1" si="165"/>
        <v>46064</v>
      </c>
      <c r="O1211" s="6" t="e">
        <f t="shared" ca="1" si="166"/>
        <v>#VALUE!</v>
      </c>
      <c r="P1211">
        <v>5</v>
      </c>
      <c r="Q1211">
        <f t="shared" si="167"/>
        <v>47042</v>
      </c>
      <c r="R1211" s="2">
        <f t="shared" si="168"/>
        <v>23521</v>
      </c>
      <c r="S1211" s="2" t="str">
        <f t="shared" si="169"/>
        <v xml:space="preserve"> Not Achieved</v>
      </c>
      <c r="T1211" s="2" t="str">
        <f t="shared" si="170"/>
        <v>Average</v>
      </c>
      <c r="U1211" s="2"/>
    </row>
    <row r="1212" spans="1:21" x14ac:dyDescent="0.3">
      <c r="A1212">
        <v>1211</v>
      </c>
      <c r="B1212" t="s">
        <v>1823</v>
      </c>
      <c r="C1212" t="str">
        <f t="shared" si="162"/>
        <v>EMP_1211</v>
      </c>
      <c r="D1212" t="s">
        <v>11</v>
      </c>
      <c r="E1212" t="str">
        <f t="shared" si="163"/>
        <v>EMP_1211Finance</v>
      </c>
      <c r="F1212" t="s">
        <v>18</v>
      </c>
      <c r="G1212" t="s">
        <v>25</v>
      </c>
      <c r="H1212">
        <v>20313</v>
      </c>
      <c r="I1212">
        <v>11904</v>
      </c>
      <c r="J1212">
        <v>0</v>
      </c>
      <c r="K1212">
        <v>0</v>
      </c>
      <c r="L1212" s="4" t="s">
        <v>1824</v>
      </c>
      <c r="M1212" s="4" t="str">
        <f t="shared" si="164"/>
        <v>9/16/2022</v>
      </c>
      <c r="N1212" s="1">
        <f t="shared" ca="1" si="165"/>
        <v>46064</v>
      </c>
      <c r="O1212" s="6" t="e">
        <f t="shared" ca="1" si="166"/>
        <v>#VALUE!</v>
      </c>
      <c r="P1212">
        <v>3</v>
      </c>
      <c r="Q1212">
        <f t="shared" si="167"/>
        <v>32217</v>
      </c>
      <c r="R1212" s="2">
        <f t="shared" si="168"/>
        <v>16108.5</v>
      </c>
      <c r="S1212" s="2" t="str">
        <f t="shared" si="169"/>
        <v xml:space="preserve"> Not Achieved</v>
      </c>
      <c r="T1212" s="2" t="str">
        <f t="shared" si="170"/>
        <v>poor</v>
      </c>
      <c r="U1212" s="2"/>
    </row>
    <row r="1213" spans="1:21" x14ac:dyDescent="0.3">
      <c r="A1213">
        <v>1212</v>
      </c>
      <c r="B1213" t="s">
        <v>1825</v>
      </c>
      <c r="C1213" t="str">
        <f t="shared" si="162"/>
        <v>EMP_1212</v>
      </c>
      <c r="D1213" t="s">
        <v>11</v>
      </c>
      <c r="E1213" t="str">
        <f t="shared" si="163"/>
        <v>EMP_1212IT</v>
      </c>
      <c r="F1213" t="s">
        <v>21</v>
      </c>
      <c r="G1213" t="s">
        <v>13</v>
      </c>
      <c r="H1213">
        <v>60693</v>
      </c>
      <c r="I1213">
        <v>7234</v>
      </c>
      <c r="J1213">
        <v>0</v>
      </c>
      <c r="K1213">
        <v>0</v>
      </c>
      <c r="L1213" s="4" t="s">
        <v>1826</v>
      </c>
      <c r="M1213" s="4" t="str">
        <f t="shared" si="164"/>
        <v>7/31/2021</v>
      </c>
      <c r="N1213" s="1">
        <f t="shared" ca="1" si="165"/>
        <v>46064</v>
      </c>
      <c r="O1213" s="6" t="e">
        <f t="shared" ca="1" si="166"/>
        <v>#VALUE!</v>
      </c>
      <c r="P1213">
        <v>5</v>
      </c>
      <c r="Q1213">
        <f t="shared" si="167"/>
        <v>67927</v>
      </c>
      <c r="R1213" s="2">
        <f t="shared" si="168"/>
        <v>33963.5</v>
      </c>
      <c r="S1213" s="2" t="str">
        <f t="shared" si="169"/>
        <v xml:space="preserve"> Not Achieved</v>
      </c>
      <c r="T1213" s="2" t="str">
        <f t="shared" si="170"/>
        <v xml:space="preserve"> Excellent</v>
      </c>
      <c r="U1213" s="2"/>
    </row>
    <row r="1214" spans="1:21" x14ac:dyDescent="0.3">
      <c r="A1214">
        <v>1213</v>
      </c>
      <c r="B1214" t="s">
        <v>1827</v>
      </c>
      <c r="C1214" t="str">
        <f t="shared" si="162"/>
        <v>EMP_1213</v>
      </c>
      <c r="D1214" t="s">
        <v>11</v>
      </c>
      <c r="E1214" t="str">
        <f t="shared" si="163"/>
        <v>EMP_1213Finance</v>
      </c>
      <c r="F1214" t="s">
        <v>18</v>
      </c>
      <c r="G1214" t="s">
        <v>13</v>
      </c>
      <c r="H1214">
        <v>38993</v>
      </c>
      <c r="I1214">
        <v>3284</v>
      </c>
      <c r="J1214">
        <v>0</v>
      </c>
      <c r="K1214">
        <v>0</v>
      </c>
      <c r="L1214" s="4" t="s">
        <v>1828</v>
      </c>
      <c r="M1214" s="4" t="str">
        <f t="shared" si="164"/>
        <v>8/20/2018</v>
      </c>
      <c r="N1214" s="1">
        <f t="shared" ca="1" si="165"/>
        <v>46064</v>
      </c>
      <c r="O1214" s="6" t="e">
        <f t="shared" ca="1" si="166"/>
        <v>#VALUE!</v>
      </c>
      <c r="P1214">
        <v>5</v>
      </c>
      <c r="Q1214">
        <f t="shared" si="167"/>
        <v>42277</v>
      </c>
      <c r="R1214" s="2">
        <f t="shared" si="168"/>
        <v>21138.5</v>
      </c>
      <c r="S1214" s="2" t="str">
        <f t="shared" si="169"/>
        <v xml:space="preserve"> Not Achieved</v>
      </c>
      <c r="T1214" s="2" t="str">
        <f t="shared" si="170"/>
        <v>Average</v>
      </c>
      <c r="U1214" s="2"/>
    </row>
    <row r="1215" spans="1:21" x14ac:dyDescent="0.3">
      <c r="A1215">
        <v>1214</v>
      </c>
      <c r="B1215" t="s">
        <v>1829</v>
      </c>
      <c r="C1215" t="str">
        <f t="shared" si="162"/>
        <v>EMP_1214</v>
      </c>
      <c r="D1215" t="s">
        <v>11</v>
      </c>
      <c r="E1215" t="str">
        <f t="shared" si="163"/>
        <v>EMP_1214HR</v>
      </c>
      <c r="F1215" t="s">
        <v>12</v>
      </c>
      <c r="G1215" t="s">
        <v>25</v>
      </c>
      <c r="H1215">
        <v>64733</v>
      </c>
      <c r="I1215">
        <v>3542</v>
      </c>
      <c r="J1215">
        <v>0</v>
      </c>
      <c r="K1215">
        <v>0</v>
      </c>
      <c r="L1215" s="4" t="s">
        <v>1830</v>
      </c>
      <c r="M1215" s="4" t="str">
        <f t="shared" si="164"/>
        <v>6/26/2023</v>
      </c>
      <c r="N1215" s="1">
        <f t="shared" ca="1" si="165"/>
        <v>46064</v>
      </c>
      <c r="O1215" s="6" t="e">
        <f t="shared" ca="1" si="166"/>
        <v>#VALUE!</v>
      </c>
      <c r="P1215">
        <v>3</v>
      </c>
      <c r="Q1215">
        <f t="shared" si="167"/>
        <v>68275</v>
      </c>
      <c r="R1215" s="2">
        <f t="shared" si="168"/>
        <v>34137.5</v>
      </c>
      <c r="S1215" s="2" t="str">
        <f t="shared" si="169"/>
        <v xml:space="preserve"> Not Achieved</v>
      </c>
      <c r="T1215" s="2" t="str">
        <f t="shared" si="170"/>
        <v xml:space="preserve"> Excellent</v>
      </c>
      <c r="U1215" s="2"/>
    </row>
    <row r="1216" spans="1:21" x14ac:dyDescent="0.3">
      <c r="A1216">
        <v>1215</v>
      </c>
      <c r="B1216" t="s">
        <v>1831</v>
      </c>
      <c r="C1216" t="str">
        <f t="shared" si="162"/>
        <v>EMP_1215</v>
      </c>
      <c r="D1216" t="s">
        <v>11</v>
      </c>
      <c r="E1216" t="str">
        <f t="shared" si="163"/>
        <v>EMP_1215Finance</v>
      </c>
      <c r="F1216" t="s">
        <v>18</v>
      </c>
      <c r="G1216" t="s">
        <v>13</v>
      </c>
      <c r="H1216">
        <v>48358</v>
      </c>
      <c r="I1216">
        <v>3274</v>
      </c>
      <c r="J1216">
        <v>0</v>
      </c>
      <c r="K1216">
        <v>0</v>
      </c>
      <c r="L1216" s="4" t="s">
        <v>435</v>
      </c>
      <c r="M1216" s="4" t="str">
        <f t="shared" si="164"/>
        <v>3/28/2021</v>
      </c>
      <c r="N1216" s="1">
        <f t="shared" ca="1" si="165"/>
        <v>46064</v>
      </c>
      <c r="O1216" s="6" t="e">
        <f t="shared" ca="1" si="166"/>
        <v>#VALUE!</v>
      </c>
      <c r="P1216">
        <v>2</v>
      </c>
      <c r="Q1216">
        <f t="shared" si="167"/>
        <v>51632</v>
      </c>
      <c r="R1216" s="2">
        <f t="shared" si="168"/>
        <v>25816</v>
      </c>
      <c r="S1216" s="2" t="str">
        <f t="shared" si="169"/>
        <v xml:space="preserve"> Not Achieved</v>
      </c>
      <c r="T1216" s="2" t="str">
        <f t="shared" si="170"/>
        <v>Good</v>
      </c>
      <c r="U1216" s="2"/>
    </row>
    <row r="1217" spans="1:21" x14ac:dyDescent="0.3">
      <c r="A1217">
        <v>1216</v>
      </c>
      <c r="B1217" t="s">
        <v>1832</v>
      </c>
      <c r="C1217" t="str">
        <f t="shared" si="162"/>
        <v>EMP_1216</v>
      </c>
      <c r="D1217" t="s">
        <v>11</v>
      </c>
      <c r="E1217" t="str">
        <f t="shared" si="163"/>
        <v>EMP_1216Finance</v>
      </c>
      <c r="F1217" t="s">
        <v>18</v>
      </c>
      <c r="G1217" t="s">
        <v>22</v>
      </c>
      <c r="H1217">
        <v>41778</v>
      </c>
      <c r="I1217">
        <v>7392</v>
      </c>
      <c r="J1217">
        <v>0</v>
      </c>
      <c r="K1217">
        <v>0</v>
      </c>
      <c r="L1217" s="4">
        <v>44168</v>
      </c>
      <c r="M1217" s="4" t="str">
        <f t="shared" si="164"/>
        <v>2020</v>
      </c>
      <c r="N1217" s="1">
        <f t="shared" ca="1" si="165"/>
        <v>46064</v>
      </c>
      <c r="O1217" s="6">
        <f t="shared" ca="1" si="166"/>
        <v>5</v>
      </c>
      <c r="P1217">
        <v>1</v>
      </c>
      <c r="Q1217">
        <f t="shared" si="167"/>
        <v>49170</v>
      </c>
      <c r="R1217" s="2">
        <f t="shared" si="168"/>
        <v>24585</v>
      </c>
      <c r="S1217" s="2" t="str">
        <f t="shared" si="169"/>
        <v xml:space="preserve"> Not Achieved</v>
      </c>
      <c r="T1217" s="2" t="str">
        <f t="shared" si="170"/>
        <v>Good</v>
      </c>
      <c r="U1217" s="2"/>
    </row>
    <row r="1218" spans="1:21" x14ac:dyDescent="0.3">
      <c r="A1218">
        <v>1217</v>
      </c>
      <c r="B1218" t="s">
        <v>1833</v>
      </c>
      <c r="C1218" t="str">
        <f t="shared" si="162"/>
        <v>EMP_1217</v>
      </c>
      <c r="D1218" t="s">
        <v>11</v>
      </c>
      <c r="E1218" t="str">
        <f t="shared" si="163"/>
        <v>EMP_1217HR</v>
      </c>
      <c r="F1218" t="s">
        <v>12</v>
      </c>
      <c r="G1218" t="s">
        <v>13</v>
      </c>
      <c r="H1218">
        <v>22538</v>
      </c>
      <c r="I1218">
        <v>3277</v>
      </c>
      <c r="J1218">
        <v>0</v>
      </c>
      <c r="K1218">
        <v>0</v>
      </c>
      <c r="L1218" s="4" t="s">
        <v>1834</v>
      </c>
      <c r="M1218" s="4" t="str">
        <f t="shared" si="164"/>
        <v>5/19/2018</v>
      </c>
      <c r="N1218" s="1">
        <f t="shared" ca="1" si="165"/>
        <v>46064</v>
      </c>
      <c r="O1218" s="6" t="e">
        <f t="shared" ca="1" si="166"/>
        <v>#VALUE!</v>
      </c>
      <c r="P1218">
        <v>5</v>
      </c>
      <c r="Q1218">
        <f t="shared" si="167"/>
        <v>25815</v>
      </c>
      <c r="R1218" s="2">
        <f t="shared" si="168"/>
        <v>12907.5</v>
      </c>
      <c r="S1218" s="2" t="str">
        <f t="shared" si="169"/>
        <v xml:space="preserve"> Not Achieved</v>
      </c>
      <c r="T1218" s="2" t="str">
        <f t="shared" si="170"/>
        <v>poor</v>
      </c>
      <c r="U1218" s="2"/>
    </row>
    <row r="1219" spans="1:21" x14ac:dyDescent="0.3">
      <c r="A1219">
        <v>1218</v>
      </c>
      <c r="B1219" t="s">
        <v>1835</v>
      </c>
      <c r="C1219" t="str">
        <f t="shared" ref="C1219:C1282" si="171">UPPER(B1219)</f>
        <v>EMP_1218</v>
      </c>
      <c r="D1219" t="s">
        <v>11</v>
      </c>
      <c r="E1219" t="str">
        <f t="shared" ref="E1219:E1282" si="172">_xlfn.CONCAT(C1219,F1219)</f>
        <v>EMP_1218HR</v>
      </c>
      <c r="F1219" t="s">
        <v>12</v>
      </c>
      <c r="G1219" t="s">
        <v>19</v>
      </c>
      <c r="H1219">
        <v>78379</v>
      </c>
      <c r="I1219">
        <v>3445</v>
      </c>
      <c r="J1219">
        <v>0</v>
      </c>
      <c r="K1219">
        <v>0</v>
      </c>
      <c r="L1219" s="4" t="s">
        <v>215</v>
      </c>
      <c r="M1219" s="4" t="str">
        <f t="shared" ref="M1219:M1282" si="173">TEXT(L1219,"yyyy")</f>
        <v>9/23/2020</v>
      </c>
      <c r="N1219" s="1">
        <f t="shared" ref="N1219:N1282" ca="1" si="174">TODAY()</f>
        <v>46064</v>
      </c>
      <c r="O1219" s="6" t="e">
        <f t="shared" ref="O1219:O1282" ca="1" si="175">DATEDIF(L1219, TODAY(), "y")</f>
        <v>#VALUE!</v>
      </c>
      <c r="P1219">
        <v>2</v>
      </c>
      <c r="Q1219">
        <f t="shared" ref="Q1219:Q1282" si="176">SUM(H1219,I1219)</f>
        <v>81824</v>
      </c>
      <c r="R1219" s="2">
        <f t="shared" ref="R1219:R1282" si="177">AVERAGE(H1219,I1219)</f>
        <v>40912</v>
      </c>
      <c r="S1219" s="2" t="str">
        <f t="shared" ref="S1219:S1282" si="178">IF(J1219&gt;K1219,"Achieved"," Not Achieved")</f>
        <v xml:space="preserve"> Not Achieved</v>
      </c>
      <c r="T1219" s="2" t="str">
        <f t="shared" ref="T1219:T1282" si="179">_xlfn.IFS(H1219&gt;=50000," Excellent",H1219&gt;=40000,"Good",H1219&gt;=30000,"Average",H1219&lt;30000,"poor")</f>
        <v xml:space="preserve"> Excellent</v>
      </c>
      <c r="U1219" s="2"/>
    </row>
    <row r="1220" spans="1:21" x14ac:dyDescent="0.3">
      <c r="A1220">
        <v>1219</v>
      </c>
      <c r="B1220" t="s">
        <v>1836</v>
      </c>
      <c r="C1220" t="str">
        <f t="shared" si="171"/>
        <v>EMP_1219</v>
      </c>
      <c r="D1220" t="s">
        <v>15</v>
      </c>
      <c r="E1220" t="str">
        <f t="shared" si="172"/>
        <v>EMP_1219Sales</v>
      </c>
      <c r="F1220" t="s">
        <v>7</v>
      </c>
      <c r="G1220" t="s">
        <v>25</v>
      </c>
      <c r="H1220">
        <v>50370</v>
      </c>
      <c r="I1220">
        <v>10859</v>
      </c>
      <c r="J1220">
        <v>205518</v>
      </c>
      <c r="K1220">
        <v>246855</v>
      </c>
      <c r="L1220" s="4" t="s">
        <v>1723</v>
      </c>
      <c r="M1220" s="4" t="str">
        <f t="shared" si="173"/>
        <v>3/24/2024</v>
      </c>
      <c r="N1220" s="1">
        <f t="shared" ca="1" si="174"/>
        <v>46064</v>
      </c>
      <c r="O1220" s="6" t="e">
        <f t="shared" ca="1" si="175"/>
        <v>#VALUE!</v>
      </c>
      <c r="P1220">
        <v>3</v>
      </c>
      <c r="Q1220">
        <f t="shared" si="176"/>
        <v>61229</v>
      </c>
      <c r="R1220" s="2">
        <f t="shared" si="177"/>
        <v>30614.5</v>
      </c>
      <c r="S1220" s="2" t="str">
        <f t="shared" si="178"/>
        <v xml:space="preserve"> Not Achieved</v>
      </c>
      <c r="T1220" s="2" t="str">
        <f t="shared" si="179"/>
        <v xml:space="preserve"> Excellent</v>
      </c>
      <c r="U1220" s="2"/>
    </row>
    <row r="1221" spans="1:21" x14ac:dyDescent="0.3">
      <c r="A1221">
        <v>1220</v>
      </c>
      <c r="B1221" t="s">
        <v>1837</v>
      </c>
      <c r="C1221" t="str">
        <f t="shared" si="171"/>
        <v>EMP_1220</v>
      </c>
      <c r="D1221" t="s">
        <v>15</v>
      </c>
      <c r="E1221" t="str">
        <f t="shared" si="172"/>
        <v>EMP_1220Finance</v>
      </c>
      <c r="F1221" t="s">
        <v>18</v>
      </c>
      <c r="G1221" t="s">
        <v>25</v>
      </c>
      <c r="H1221">
        <v>58102</v>
      </c>
      <c r="I1221">
        <v>9562</v>
      </c>
      <c r="J1221">
        <v>0</v>
      </c>
      <c r="K1221">
        <v>0</v>
      </c>
      <c r="L1221" s="4">
        <v>44140</v>
      </c>
      <c r="M1221" s="4" t="str">
        <f t="shared" si="173"/>
        <v>2020</v>
      </c>
      <c r="N1221" s="1">
        <f t="shared" ca="1" si="174"/>
        <v>46064</v>
      </c>
      <c r="O1221" s="6">
        <f t="shared" ca="1" si="175"/>
        <v>5</v>
      </c>
      <c r="P1221">
        <v>1</v>
      </c>
      <c r="Q1221">
        <f t="shared" si="176"/>
        <v>67664</v>
      </c>
      <c r="R1221" s="2">
        <f t="shared" si="177"/>
        <v>33832</v>
      </c>
      <c r="S1221" s="2" t="str">
        <f t="shared" si="178"/>
        <v xml:space="preserve"> Not Achieved</v>
      </c>
      <c r="T1221" s="2" t="str">
        <f t="shared" si="179"/>
        <v xml:space="preserve"> Excellent</v>
      </c>
      <c r="U1221" s="2"/>
    </row>
    <row r="1222" spans="1:21" x14ac:dyDescent="0.3">
      <c r="A1222">
        <v>1221</v>
      </c>
      <c r="B1222" t="s">
        <v>1838</v>
      </c>
      <c r="C1222" t="str">
        <f t="shared" si="171"/>
        <v>EMP_1221</v>
      </c>
      <c r="D1222" t="s">
        <v>11</v>
      </c>
      <c r="E1222" t="str">
        <f t="shared" si="172"/>
        <v>EMP_1221Finance</v>
      </c>
      <c r="F1222" t="s">
        <v>18</v>
      </c>
      <c r="G1222" t="s">
        <v>22</v>
      </c>
      <c r="H1222">
        <v>42145</v>
      </c>
      <c r="I1222">
        <v>3346</v>
      </c>
      <c r="J1222">
        <v>0</v>
      </c>
      <c r="K1222">
        <v>0</v>
      </c>
      <c r="L1222" s="4" t="s">
        <v>1839</v>
      </c>
      <c r="M1222" s="4" t="str">
        <f t="shared" si="173"/>
        <v>8/21/2018</v>
      </c>
      <c r="N1222" s="1">
        <f t="shared" ca="1" si="174"/>
        <v>46064</v>
      </c>
      <c r="O1222" s="6" t="e">
        <f t="shared" ca="1" si="175"/>
        <v>#VALUE!</v>
      </c>
      <c r="P1222">
        <v>1</v>
      </c>
      <c r="Q1222">
        <f t="shared" si="176"/>
        <v>45491</v>
      </c>
      <c r="R1222" s="2">
        <f t="shared" si="177"/>
        <v>22745.5</v>
      </c>
      <c r="S1222" s="2" t="str">
        <f t="shared" si="178"/>
        <v xml:space="preserve"> Not Achieved</v>
      </c>
      <c r="T1222" s="2" t="str">
        <f t="shared" si="179"/>
        <v>Good</v>
      </c>
      <c r="U1222" s="2"/>
    </row>
    <row r="1223" spans="1:21" x14ac:dyDescent="0.3">
      <c r="A1223">
        <v>1222</v>
      </c>
      <c r="B1223" t="s">
        <v>1840</v>
      </c>
      <c r="C1223" t="str">
        <f t="shared" si="171"/>
        <v>EMP_1222</v>
      </c>
      <c r="D1223" t="s">
        <v>11</v>
      </c>
      <c r="E1223" t="str">
        <f t="shared" si="172"/>
        <v>EMP_1222IT</v>
      </c>
      <c r="F1223" t="s">
        <v>21</v>
      </c>
      <c r="G1223" t="s">
        <v>16</v>
      </c>
      <c r="H1223">
        <v>51524</v>
      </c>
      <c r="I1223">
        <v>11010</v>
      </c>
      <c r="J1223">
        <v>0</v>
      </c>
      <c r="K1223">
        <v>0</v>
      </c>
      <c r="L1223" s="4">
        <v>43412</v>
      </c>
      <c r="M1223" s="4" t="str">
        <f t="shared" si="173"/>
        <v>2018</v>
      </c>
      <c r="N1223" s="1">
        <f t="shared" ca="1" si="174"/>
        <v>46064</v>
      </c>
      <c r="O1223" s="6">
        <f t="shared" ca="1" si="175"/>
        <v>7</v>
      </c>
      <c r="P1223">
        <v>1</v>
      </c>
      <c r="Q1223">
        <f t="shared" si="176"/>
        <v>62534</v>
      </c>
      <c r="R1223" s="2">
        <f t="shared" si="177"/>
        <v>31267</v>
      </c>
      <c r="S1223" s="2" t="str">
        <f t="shared" si="178"/>
        <v xml:space="preserve"> Not Achieved</v>
      </c>
      <c r="T1223" s="2" t="str">
        <f t="shared" si="179"/>
        <v xml:space="preserve"> Excellent</v>
      </c>
      <c r="U1223" s="2"/>
    </row>
    <row r="1224" spans="1:21" x14ac:dyDescent="0.3">
      <c r="A1224">
        <v>1223</v>
      </c>
      <c r="B1224" t="s">
        <v>1841</v>
      </c>
      <c r="C1224" t="str">
        <f t="shared" si="171"/>
        <v>EMP_1223</v>
      </c>
      <c r="D1224" t="s">
        <v>15</v>
      </c>
      <c r="E1224" t="str">
        <f t="shared" si="172"/>
        <v>EMP_1223Sales</v>
      </c>
      <c r="F1224" t="s">
        <v>7</v>
      </c>
      <c r="G1224" t="s">
        <v>16</v>
      </c>
      <c r="H1224">
        <v>44631</v>
      </c>
      <c r="I1224">
        <v>13153</v>
      </c>
      <c r="J1224">
        <v>195013</v>
      </c>
      <c r="K1224">
        <v>152038</v>
      </c>
      <c r="L1224" s="4" t="s">
        <v>1842</v>
      </c>
      <c r="M1224" s="4" t="str">
        <f t="shared" si="173"/>
        <v>6/24/2022</v>
      </c>
      <c r="N1224" s="1">
        <f t="shared" ca="1" si="174"/>
        <v>46064</v>
      </c>
      <c r="O1224" s="6" t="e">
        <f t="shared" ca="1" si="175"/>
        <v>#VALUE!</v>
      </c>
      <c r="P1224">
        <v>1</v>
      </c>
      <c r="Q1224">
        <f t="shared" si="176"/>
        <v>57784</v>
      </c>
      <c r="R1224" s="2">
        <f t="shared" si="177"/>
        <v>28892</v>
      </c>
      <c r="S1224" s="2" t="str">
        <f t="shared" si="178"/>
        <v>Achieved</v>
      </c>
      <c r="T1224" s="2" t="str">
        <f t="shared" si="179"/>
        <v>Good</v>
      </c>
      <c r="U1224" s="2"/>
    </row>
    <row r="1225" spans="1:21" x14ac:dyDescent="0.3">
      <c r="A1225">
        <v>1224</v>
      </c>
      <c r="B1225" t="s">
        <v>1843</v>
      </c>
      <c r="C1225" t="str">
        <f t="shared" si="171"/>
        <v>EMP_1224</v>
      </c>
      <c r="D1225" t="s">
        <v>15</v>
      </c>
      <c r="E1225" t="str">
        <f t="shared" si="172"/>
        <v>EMP_1224HR</v>
      </c>
      <c r="F1225" t="s">
        <v>12</v>
      </c>
      <c r="G1225" t="s">
        <v>13</v>
      </c>
      <c r="H1225">
        <v>29442</v>
      </c>
      <c r="I1225">
        <v>2545</v>
      </c>
      <c r="J1225">
        <v>0</v>
      </c>
      <c r="K1225">
        <v>0</v>
      </c>
      <c r="L1225" s="4">
        <v>45391</v>
      </c>
      <c r="M1225" s="4" t="str">
        <f t="shared" si="173"/>
        <v>2024</v>
      </c>
      <c r="N1225" s="1">
        <f t="shared" ca="1" si="174"/>
        <v>46064</v>
      </c>
      <c r="O1225" s="6">
        <f t="shared" ca="1" si="175"/>
        <v>1</v>
      </c>
      <c r="P1225">
        <v>4</v>
      </c>
      <c r="Q1225">
        <f t="shared" si="176"/>
        <v>31987</v>
      </c>
      <c r="R1225" s="2">
        <f t="shared" si="177"/>
        <v>15993.5</v>
      </c>
      <c r="S1225" s="2" t="str">
        <f t="shared" si="178"/>
        <v xml:space="preserve"> Not Achieved</v>
      </c>
      <c r="T1225" s="2" t="str">
        <f t="shared" si="179"/>
        <v>poor</v>
      </c>
      <c r="U1225" s="2"/>
    </row>
    <row r="1226" spans="1:21" x14ac:dyDescent="0.3">
      <c r="A1226">
        <v>1225</v>
      </c>
      <c r="B1226" t="s">
        <v>1844</v>
      </c>
      <c r="C1226" t="str">
        <f t="shared" si="171"/>
        <v>EMP_1225</v>
      </c>
      <c r="D1226" t="s">
        <v>15</v>
      </c>
      <c r="E1226" t="str">
        <f t="shared" si="172"/>
        <v>EMP_1225Marketing</v>
      </c>
      <c r="F1226" t="s">
        <v>24</v>
      </c>
      <c r="G1226" t="s">
        <v>16</v>
      </c>
      <c r="H1226">
        <v>52036</v>
      </c>
      <c r="I1226">
        <v>10333</v>
      </c>
      <c r="J1226">
        <v>0</v>
      </c>
      <c r="K1226">
        <v>0</v>
      </c>
      <c r="L1226" s="4" t="s">
        <v>1845</v>
      </c>
      <c r="M1226" s="4" t="str">
        <f t="shared" si="173"/>
        <v>6/14/2020</v>
      </c>
      <c r="N1226" s="1">
        <f t="shared" ca="1" si="174"/>
        <v>46064</v>
      </c>
      <c r="O1226" s="6" t="e">
        <f t="shared" ca="1" si="175"/>
        <v>#VALUE!</v>
      </c>
      <c r="P1226">
        <v>1</v>
      </c>
      <c r="Q1226">
        <f t="shared" si="176"/>
        <v>62369</v>
      </c>
      <c r="R1226" s="2">
        <f t="shared" si="177"/>
        <v>31184.5</v>
      </c>
      <c r="S1226" s="2" t="str">
        <f t="shared" si="178"/>
        <v xml:space="preserve"> Not Achieved</v>
      </c>
      <c r="T1226" s="2" t="str">
        <f t="shared" si="179"/>
        <v xml:space="preserve"> Excellent</v>
      </c>
      <c r="U1226" s="2"/>
    </row>
    <row r="1227" spans="1:21" x14ac:dyDescent="0.3">
      <c r="A1227">
        <v>1226</v>
      </c>
      <c r="B1227" t="s">
        <v>1846</v>
      </c>
      <c r="C1227" t="str">
        <f t="shared" si="171"/>
        <v>EMP_1226</v>
      </c>
      <c r="D1227" t="s">
        <v>15</v>
      </c>
      <c r="E1227" t="str">
        <f t="shared" si="172"/>
        <v>EMP_1226IT</v>
      </c>
      <c r="F1227" t="s">
        <v>21</v>
      </c>
      <c r="G1227" t="s">
        <v>25</v>
      </c>
      <c r="H1227">
        <v>58878</v>
      </c>
      <c r="I1227">
        <v>6356</v>
      </c>
      <c r="J1227">
        <v>0</v>
      </c>
      <c r="K1227">
        <v>0</v>
      </c>
      <c r="L1227" s="4">
        <v>43408</v>
      </c>
      <c r="M1227" s="4" t="str">
        <f t="shared" si="173"/>
        <v>2018</v>
      </c>
      <c r="N1227" s="1">
        <f t="shared" ca="1" si="174"/>
        <v>46064</v>
      </c>
      <c r="O1227" s="6">
        <f t="shared" ca="1" si="175"/>
        <v>7</v>
      </c>
      <c r="P1227">
        <v>2</v>
      </c>
      <c r="Q1227">
        <f t="shared" si="176"/>
        <v>65234</v>
      </c>
      <c r="R1227" s="2">
        <f t="shared" si="177"/>
        <v>32617</v>
      </c>
      <c r="S1227" s="2" t="str">
        <f t="shared" si="178"/>
        <v xml:space="preserve"> Not Achieved</v>
      </c>
      <c r="T1227" s="2" t="str">
        <f t="shared" si="179"/>
        <v xml:space="preserve"> Excellent</v>
      </c>
      <c r="U1227" s="2"/>
    </row>
    <row r="1228" spans="1:21" x14ac:dyDescent="0.3">
      <c r="A1228">
        <v>1227</v>
      </c>
      <c r="B1228" t="s">
        <v>1847</v>
      </c>
      <c r="C1228" t="str">
        <f t="shared" si="171"/>
        <v>EMP_1227</v>
      </c>
      <c r="D1228" t="s">
        <v>11</v>
      </c>
      <c r="E1228" t="str">
        <f t="shared" si="172"/>
        <v>EMP_1227Finance</v>
      </c>
      <c r="F1228" t="s">
        <v>18</v>
      </c>
      <c r="G1228" t="s">
        <v>22</v>
      </c>
      <c r="H1228">
        <v>30243</v>
      </c>
      <c r="I1228">
        <v>11039</v>
      </c>
      <c r="J1228">
        <v>0</v>
      </c>
      <c r="K1228">
        <v>0</v>
      </c>
      <c r="L1228" s="4" t="s">
        <v>1848</v>
      </c>
      <c r="M1228" s="4" t="str">
        <f t="shared" si="173"/>
        <v>5/20/2021</v>
      </c>
      <c r="N1228" s="1">
        <f t="shared" ca="1" si="174"/>
        <v>46064</v>
      </c>
      <c r="O1228" s="6" t="e">
        <f t="shared" ca="1" si="175"/>
        <v>#VALUE!</v>
      </c>
      <c r="P1228">
        <v>5</v>
      </c>
      <c r="Q1228">
        <f t="shared" si="176"/>
        <v>41282</v>
      </c>
      <c r="R1228" s="2">
        <f t="shared" si="177"/>
        <v>20641</v>
      </c>
      <c r="S1228" s="2" t="str">
        <f t="shared" si="178"/>
        <v xml:space="preserve"> Not Achieved</v>
      </c>
      <c r="T1228" s="2" t="str">
        <f t="shared" si="179"/>
        <v>Average</v>
      </c>
      <c r="U1228" s="2"/>
    </row>
    <row r="1229" spans="1:21" x14ac:dyDescent="0.3">
      <c r="A1229">
        <v>1228</v>
      </c>
      <c r="B1229" t="s">
        <v>1849</v>
      </c>
      <c r="C1229" t="str">
        <f t="shared" si="171"/>
        <v>EMP_1228</v>
      </c>
      <c r="D1229" t="s">
        <v>11</v>
      </c>
      <c r="E1229" t="str">
        <f t="shared" si="172"/>
        <v>EMP_1228Finance</v>
      </c>
      <c r="F1229" t="s">
        <v>18</v>
      </c>
      <c r="G1229" t="s">
        <v>19</v>
      </c>
      <c r="H1229">
        <v>25569</v>
      </c>
      <c r="I1229">
        <v>7382</v>
      </c>
      <c r="J1229">
        <v>0</v>
      </c>
      <c r="K1229">
        <v>0</v>
      </c>
      <c r="L1229" s="4" t="s">
        <v>1850</v>
      </c>
      <c r="M1229" s="4" t="str">
        <f t="shared" si="173"/>
        <v>11/30/2018</v>
      </c>
      <c r="N1229" s="1">
        <f t="shared" ca="1" si="174"/>
        <v>46064</v>
      </c>
      <c r="O1229" s="6" t="e">
        <f t="shared" ca="1" si="175"/>
        <v>#VALUE!</v>
      </c>
      <c r="P1229">
        <v>2</v>
      </c>
      <c r="Q1229">
        <f t="shared" si="176"/>
        <v>32951</v>
      </c>
      <c r="R1229" s="2">
        <f t="shared" si="177"/>
        <v>16475.5</v>
      </c>
      <c r="S1229" s="2" t="str">
        <f t="shared" si="178"/>
        <v xml:space="preserve"> Not Achieved</v>
      </c>
      <c r="T1229" s="2" t="str">
        <f t="shared" si="179"/>
        <v>poor</v>
      </c>
      <c r="U1229" s="2"/>
    </row>
    <row r="1230" spans="1:21" x14ac:dyDescent="0.3">
      <c r="A1230">
        <v>1229</v>
      </c>
      <c r="B1230" t="s">
        <v>1851</v>
      </c>
      <c r="C1230" t="str">
        <f t="shared" si="171"/>
        <v>EMP_1229</v>
      </c>
      <c r="D1230" t="s">
        <v>15</v>
      </c>
      <c r="E1230" t="str">
        <f t="shared" si="172"/>
        <v>EMP_1229Finance</v>
      </c>
      <c r="F1230" t="s">
        <v>18</v>
      </c>
      <c r="G1230" t="s">
        <v>19</v>
      </c>
      <c r="H1230">
        <v>34330</v>
      </c>
      <c r="I1230">
        <v>7552</v>
      </c>
      <c r="J1230">
        <v>0</v>
      </c>
      <c r="K1230">
        <v>0</v>
      </c>
      <c r="L1230" s="4">
        <v>43986</v>
      </c>
      <c r="M1230" s="4" t="str">
        <f t="shared" si="173"/>
        <v>2020</v>
      </c>
      <c r="N1230" s="1">
        <f t="shared" ca="1" si="174"/>
        <v>46064</v>
      </c>
      <c r="O1230" s="6">
        <f t="shared" ca="1" si="175"/>
        <v>5</v>
      </c>
      <c r="P1230">
        <v>3</v>
      </c>
      <c r="Q1230">
        <f t="shared" si="176"/>
        <v>41882</v>
      </c>
      <c r="R1230" s="2">
        <f t="shared" si="177"/>
        <v>20941</v>
      </c>
      <c r="S1230" s="2" t="str">
        <f t="shared" si="178"/>
        <v xml:space="preserve"> Not Achieved</v>
      </c>
      <c r="T1230" s="2" t="str">
        <f t="shared" si="179"/>
        <v>Average</v>
      </c>
      <c r="U1230" s="2"/>
    </row>
    <row r="1231" spans="1:21" x14ac:dyDescent="0.3">
      <c r="A1231">
        <v>1230</v>
      </c>
      <c r="B1231" t="s">
        <v>1852</v>
      </c>
      <c r="C1231" t="str">
        <f t="shared" si="171"/>
        <v>EMP_1230</v>
      </c>
      <c r="D1231" t="s">
        <v>15</v>
      </c>
      <c r="E1231" t="str">
        <f t="shared" si="172"/>
        <v>EMP_1230Marketing</v>
      </c>
      <c r="F1231" t="s">
        <v>24</v>
      </c>
      <c r="G1231" t="s">
        <v>22</v>
      </c>
      <c r="H1231">
        <v>41086</v>
      </c>
      <c r="I1231">
        <v>7165</v>
      </c>
      <c r="J1231">
        <v>0</v>
      </c>
      <c r="K1231">
        <v>0</v>
      </c>
      <c r="L1231" s="4">
        <v>45394</v>
      </c>
      <c r="M1231" s="4" t="str">
        <f t="shared" si="173"/>
        <v>2024</v>
      </c>
      <c r="N1231" s="1">
        <f t="shared" ca="1" si="174"/>
        <v>46064</v>
      </c>
      <c r="O1231" s="6">
        <f t="shared" ca="1" si="175"/>
        <v>1</v>
      </c>
      <c r="P1231">
        <v>2</v>
      </c>
      <c r="Q1231">
        <f t="shared" si="176"/>
        <v>48251</v>
      </c>
      <c r="R1231" s="2">
        <f t="shared" si="177"/>
        <v>24125.5</v>
      </c>
      <c r="S1231" s="2" t="str">
        <f t="shared" si="178"/>
        <v xml:space="preserve"> Not Achieved</v>
      </c>
      <c r="T1231" s="2" t="str">
        <f t="shared" si="179"/>
        <v>Good</v>
      </c>
      <c r="U1231" s="2"/>
    </row>
    <row r="1232" spans="1:21" x14ac:dyDescent="0.3">
      <c r="A1232">
        <v>1231</v>
      </c>
      <c r="B1232" t="s">
        <v>1853</v>
      </c>
      <c r="C1232" t="str">
        <f t="shared" si="171"/>
        <v>EMP_1231</v>
      </c>
      <c r="D1232" t="s">
        <v>15</v>
      </c>
      <c r="E1232" t="str">
        <f t="shared" si="172"/>
        <v>EMP_1231Sales</v>
      </c>
      <c r="F1232" t="s">
        <v>7</v>
      </c>
      <c r="G1232" t="s">
        <v>13</v>
      </c>
      <c r="H1232">
        <v>46148</v>
      </c>
      <c r="I1232">
        <v>8143</v>
      </c>
      <c r="J1232">
        <v>189055</v>
      </c>
      <c r="K1232">
        <v>170120</v>
      </c>
      <c r="L1232" s="4" t="s">
        <v>1854</v>
      </c>
      <c r="M1232" s="4" t="str">
        <f t="shared" si="173"/>
        <v>12/22/2020</v>
      </c>
      <c r="N1232" s="1">
        <f t="shared" ca="1" si="174"/>
        <v>46064</v>
      </c>
      <c r="O1232" s="6" t="e">
        <f t="shared" ca="1" si="175"/>
        <v>#VALUE!</v>
      </c>
      <c r="P1232">
        <v>2</v>
      </c>
      <c r="Q1232">
        <f t="shared" si="176"/>
        <v>54291</v>
      </c>
      <c r="R1232" s="2">
        <f t="shared" si="177"/>
        <v>27145.5</v>
      </c>
      <c r="S1232" s="2" t="str">
        <f t="shared" si="178"/>
        <v>Achieved</v>
      </c>
      <c r="T1232" s="2" t="str">
        <f t="shared" si="179"/>
        <v>Good</v>
      </c>
      <c r="U1232" s="2"/>
    </row>
    <row r="1233" spans="1:21" x14ac:dyDescent="0.3">
      <c r="A1233">
        <v>1232</v>
      </c>
      <c r="B1233" t="s">
        <v>1855</v>
      </c>
      <c r="C1233" t="str">
        <f t="shared" si="171"/>
        <v>EMP_1232</v>
      </c>
      <c r="D1233" t="s">
        <v>11</v>
      </c>
      <c r="E1233" t="str">
        <f t="shared" si="172"/>
        <v>EMP_1232Marketing</v>
      </c>
      <c r="F1233" t="s">
        <v>24</v>
      </c>
      <c r="G1233" t="s">
        <v>22</v>
      </c>
      <c r="H1233">
        <v>62047</v>
      </c>
      <c r="I1233">
        <v>7059</v>
      </c>
      <c r="J1233">
        <v>0</v>
      </c>
      <c r="K1233">
        <v>0</v>
      </c>
      <c r="L1233" s="4">
        <v>43689</v>
      </c>
      <c r="M1233" s="4" t="str">
        <f t="shared" si="173"/>
        <v>2019</v>
      </c>
      <c r="N1233" s="1">
        <f t="shared" ca="1" si="174"/>
        <v>46064</v>
      </c>
      <c r="O1233" s="6">
        <f t="shared" ca="1" si="175"/>
        <v>6</v>
      </c>
      <c r="P1233">
        <v>2</v>
      </c>
      <c r="Q1233">
        <f t="shared" si="176"/>
        <v>69106</v>
      </c>
      <c r="R1233" s="2">
        <f t="shared" si="177"/>
        <v>34553</v>
      </c>
      <c r="S1233" s="2" t="str">
        <f t="shared" si="178"/>
        <v xml:space="preserve"> Not Achieved</v>
      </c>
      <c r="T1233" s="2" t="str">
        <f t="shared" si="179"/>
        <v xml:space="preserve"> Excellent</v>
      </c>
      <c r="U1233" s="2"/>
    </row>
    <row r="1234" spans="1:21" x14ac:dyDescent="0.3">
      <c r="A1234">
        <v>1233</v>
      </c>
      <c r="B1234" t="s">
        <v>1856</v>
      </c>
      <c r="C1234" t="str">
        <f t="shared" si="171"/>
        <v>EMP_1233</v>
      </c>
      <c r="D1234" t="s">
        <v>11</v>
      </c>
      <c r="E1234" t="str">
        <f t="shared" si="172"/>
        <v>EMP_1233Sales</v>
      </c>
      <c r="F1234" t="s">
        <v>7</v>
      </c>
      <c r="G1234" t="s">
        <v>19</v>
      </c>
      <c r="H1234">
        <v>28094</v>
      </c>
      <c r="I1234">
        <v>9082</v>
      </c>
      <c r="J1234">
        <v>101564</v>
      </c>
      <c r="K1234">
        <v>153224</v>
      </c>
      <c r="L1234" s="4" t="s">
        <v>1857</v>
      </c>
      <c r="M1234" s="4" t="str">
        <f t="shared" si="173"/>
        <v>5/18/2018</v>
      </c>
      <c r="N1234" s="1">
        <f t="shared" ca="1" si="174"/>
        <v>46064</v>
      </c>
      <c r="O1234" s="6" t="e">
        <f t="shared" ca="1" si="175"/>
        <v>#VALUE!</v>
      </c>
      <c r="P1234">
        <v>1</v>
      </c>
      <c r="Q1234">
        <f t="shared" si="176"/>
        <v>37176</v>
      </c>
      <c r="R1234" s="2">
        <f t="shared" si="177"/>
        <v>18588</v>
      </c>
      <c r="S1234" s="2" t="str">
        <f t="shared" si="178"/>
        <v xml:space="preserve"> Not Achieved</v>
      </c>
      <c r="T1234" s="2" t="str">
        <f t="shared" si="179"/>
        <v>poor</v>
      </c>
      <c r="U1234" s="2"/>
    </row>
    <row r="1235" spans="1:21" x14ac:dyDescent="0.3">
      <c r="A1235">
        <v>1234</v>
      </c>
      <c r="B1235" t="s">
        <v>1858</v>
      </c>
      <c r="C1235" t="str">
        <f t="shared" si="171"/>
        <v>EMP_1234</v>
      </c>
      <c r="D1235" t="s">
        <v>11</v>
      </c>
      <c r="E1235" t="str">
        <f t="shared" si="172"/>
        <v>EMP_1234Sales</v>
      </c>
      <c r="F1235" t="s">
        <v>7</v>
      </c>
      <c r="G1235" t="s">
        <v>16</v>
      </c>
      <c r="H1235">
        <v>34640</v>
      </c>
      <c r="I1235">
        <v>10589</v>
      </c>
      <c r="J1235">
        <v>117663</v>
      </c>
      <c r="K1235">
        <v>173376</v>
      </c>
      <c r="L1235" s="4">
        <v>44475</v>
      </c>
      <c r="M1235" s="4" t="str">
        <f t="shared" si="173"/>
        <v>2021</v>
      </c>
      <c r="N1235" s="1">
        <f t="shared" ca="1" si="174"/>
        <v>46064</v>
      </c>
      <c r="O1235" s="6">
        <f t="shared" ca="1" si="175"/>
        <v>4</v>
      </c>
      <c r="P1235">
        <v>3</v>
      </c>
      <c r="Q1235">
        <f t="shared" si="176"/>
        <v>45229</v>
      </c>
      <c r="R1235" s="2">
        <f t="shared" si="177"/>
        <v>22614.5</v>
      </c>
      <c r="S1235" s="2" t="str">
        <f t="shared" si="178"/>
        <v xml:space="preserve"> Not Achieved</v>
      </c>
      <c r="T1235" s="2" t="str">
        <f t="shared" si="179"/>
        <v>Average</v>
      </c>
      <c r="U1235" s="2"/>
    </row>
    <row r="1236" spans="1:21" x14ac:dyDescent="0.3">
      <c r="A1236">
        <v>1235</v>
      </c>
      <c r="B1236" t="s">
        <v>1859</v>
      </c>
      <c r="C1236" t="str">
        <f t="shared" si="171"/>
        <v>EMP_1235</v>
      </c>
      <c r="D1236" t="s">
        <v>15</v>
      </c>
      <c r="E1236" t="str">
        <f t="shared" si="172"/>
        <v>EMP_1235Marketing</v>
      </c>
      <c r="F1236" t="s">
        <v>24</v>
      </c>
      <c r="G1236" t="s">
        <v>25</v>
      </c>
      <c r="H1236">
        <v>56858</v>
      </c>
      <c r="I1236">
        <v>3132</v>
      </c>
      <c r="J1236">
        <v>0</v>
      </c>
      <c r="K1236">
        <v>0</v>
      </c>
      <c r="L1236" s="4" t="s">
        <v>1860</v>
      </c>
      <c r="M1236" s="4" t="str">
        <f t="shared" si="173"/>
        <v>11/30/2021</v>
      </c>
      <c r="N1236" s="1">
        <f t="shared" ca="1" si="174"/>
        <v>46064</v>
      </c>
      <c r="O1236" s="6" t="e">
        <f t="shared" ca="1" si="175"/>
        <v>#VALUE!</v>
      </c>
      <c r="P1236">
        <v>4</v>
      </c>
      <c r="Q1236">
        <f t="shared" si="176"/>
        <v>59990</v>
      </c>
      <c r="R1236" s="2">
        <f t="shared" si="177"/>
        <v>29995</v>
      </c>
      <c r="S1236" s="2" t="str">
        <f t="shared" si="178"/>
        <v xml:space="preserve"> Not Achieved</v>
      </c>
      <c r="T1236" s="2" t="str">
        <f t="shared" si="179"/>
        <v xml:space="preserve"> Excellent</v>
      </c>
      <c r="U1236" s="2"/>
    </row>
    <row r="1237" spans="1:21" x14ac:dyDescent="0.3">
      <c r="A1237">
        <v>1236</v>
      </c>
      <c r="B1237" t="s">
        <v>1861</v>
      </c>
      <c r="C1237" t="str">
        <f t="shared" si="171"/>
        <v>EMP_1236</v>
      </c>
      <c r="D1237" t="s">
        <v>15</v>
      </c>
      <c r="E1237" t="str">
        <f t="shared" si="172"/>
        <v>EMP_1236Finance</v>
      </c>
      <c r="F1237" t="s">
        <v>18</v>
      </c>
      <c r="G1237" t="s">
        <v>25</v>
      </c>
      <c r="H1237">
        <v>23456</v>
      </c>
      <c r="I1237">
        <v>4796</v>
      </c>
      <c r="J1237">
        <v>0</v>
      </c>
      <c r="K1237">
        <v>0</v>
      </c>
      <c r="L1237" s="4">
        <v>44661</v>
      </c>
      <c r="M1237" s="4" t="str">
        <f t="shared" si="173"/>
        <v>2022</v>
      </c>
      <c r="N1237" s="1">
        <f t="shared" ca="1" si="174"/>
        <v>46064</v>
      </c>
      <c r="O1237" s="6">
        <f t="shared" ca="1" si="175"/>
        <v>3</v>
      </c>
      <c r="P1237">
        <v>3</v>
      </c>
      <c r="Q1237">
        <f t="shared" si="176"/>
        <v>28252</v>
      </c>
      <c r="R1237" s="2">
        <f t="shared" si="177"/>
        <v>14126</v>
      </c>
      <c r="S1237" s="2" t="str">
        <f t="shared" si="178"/>
        <v xml:space="preserve"> Not Achieved</v>
      </c>
      <c r="T1237" s="2" t="str">
        <f t="shared" si="179"/>
        <v>poor</v>
      </c>
      <c r="U1237" s="2"/>
    </row>
    <row r="1238" spans="1:21" x14ac:dyDescent="0.3">
      <c r="A1238">
        <v>1237</v>
      </c>
      <c r="B1238" t="s">
        <v>1862</v>
      </c>
      <c r="C1238" t="str">
        <f t="shared" si="171"/>
        <v>EMP_1237</v>
      </c>
      <c r="D1238" t="s">
        <v>11</v>
      </c>
      <c r="E1238" t="str">
        <f t="shared" si="172"/>
        <v>EMP_1237Marketing</v>
      </c>
      <c r="F1238" t="s">
        <v>24</v>
      </c>
      <c r="G1238" t="s">
        <v>25</v>
      </c>
      <c r="H1238">
        <v>54806</v>
      </c>
      <c r="I1238">
        <v>9476</v>
      </c>
      <c r="J1238">
        <v>0</v>
      </c>
      <c r="K1238">
        <v>0</v>
      </c>
      <c r="L1238" s="4" t="s">
        <v>1796</v>
      </c>
      <c r="M1238" s="4" t="str">
        <f t="shared" si="173"/>
        <v>2/14/2019</v>
      </c>
      <c r="N1238" s="1">
        <f t="shared" ca="1" si="174"/>
        <v>46064</v>
      </c>
      <c r="O1238" s="6" t="e">
        <f t="shared" ca="1" si="175"/>
        <v>#VALUE!</v>
      </c>
      <c r="P1238">
        <v>5</v>
      </c>
      <c r="Q1238">
        <f t="shared" si="176"/>
        <v>64282</v>
      </c>
      <c r="R1238" s="2">
        <f t="shared" si="177"/>
        <v>32141</v>
      </c>
      <c r="S1238" s="2" t="str">
        <f t="shared" si="178"/>
        <v xml:space="preserve"> Not Achieved</v>
      </c>
      <c r="T1238" s="2" t="str">
        <f t="shared" si="179"/>
        <v xml:space="preserve"> Excellent</v>
      </c>
      <c r="U1238" s="2"/>
    </row>
    <row r="1239" spans="1:21" x14ac:dyDescent="0.3">
      <c r="A1239">
        <v>1238</v>
      </c>
      <c r="B1239" t="s">
        <v>1863</v>
      </c>
      <c r="C1239" t="str">
        <f t="shared" si="171"/>
        <v>EMP_1238</v>
      </c>
      <c r="D1239" t="s">
        <v>11</v>
      </c>
      <c r="E1239" t="str">
        <f t="shared" si="172"/>
        <v>EMP_1238Sales</v>
      </c>
      <c r="F1239" t="s">
        <v>7</v>
      </c>
      <c r="G1239" t="s">
        <v>16</v>
      </c>
      <c r="H1239">
        <v>20839</v>
      </c>
      <c r="I1239">
        <v>2196</v>
      </c>
      <c r="J1239">
        <v>199389</v>
      </c>
      <c r="K1239">
        <v>204608</v>
      </c>
      <c r="L1239" s="4" t="s">
        <v>1155</v>
      </c>
      <c r="M1239" s="4" t="str">
        <f t="shared" si="173"/>
        <v>5/22/2024</v>
      </c>
      <c r="N1239" s="1">
        <f t="shared" ca="1" si="174"/>
        <v>46064</v>
      </c>
      <c r="O1239" s="6" t="e">
        <f t="shared" ca="1" si="175"/>
        <v>#VALUE!</v>
      </c>
      <c r="P1239">
        <v>5</v>
      </c>
      <c r="Q1239">
        <f t="shared" si="176"/>
        <v>23035</v>
      </c>
      <c r="R1239" s="2">
        <f t="shared" si="177"/>
        <v>11517.5</v>
      </c>
      <c r="S1239" s="2" t="str">
        <f t="shared" si="178"/>
        <v xml:space="preserve"> Not Achieved</v>
      </c>
      <c r="T1239" s="2" t="str">
        <f t="shared" si="179"/>
        <v>poor</v>
      </c>
      <c r="U1239" s="2"/>
    </row>
    <row r="1240" spans="1:21" x14ac:dyDescent="0.3">
      <c r="A1240">
        <v>1239</v>
      </c>
      <c r="B1240" t="s">
        <v>1864</v>
      </c>
      <c r="C1240" t="str">
        <f t="shared" si="171"/>
        <v>EMP_1239</v>
      </c>
      <c r="D1240" t="s">
        <v>15</v>
      </c>
      <c r="E1240" t="str">
        <f t="shared" si="172"/>
        <v>EMP_1239Finance</v>
      </c>
      <c r="F1240" t="s">
        <v>18</v>
      </c>
      <c r="G1240" t="s">
        <v>13</v>
      </c>
      <c r="H1240">
        <v>47159</v>
      </c>
      <c r="I1240">
        <v>5932</v>
      </c>
      <c r="J1240">
        <v>0</v>
      </c>
      <c r="K1240">
        <v>0</v>
      </c>
      <c r="L1240" s="4">
        <v>44598</v>
      </c>
      <c r="M1240" s="4" t="str">
        <f t="shared" si="173"/>
        <v>2022</v>
      </c>
      <c r="N1240" s="1">
        <f t="shared" ca="1" si="174"/>
        <v>46064</v>
      </c>
      <c r="O1240" s="6">
        <f t="shared" ca="1" si="175"/>
        <v>4</v>
      </c>
      <c r="P1240">
        <v>1</v>
      </c>
      <c r="Q1240">
        <f t="shared" si="176"/>
        <v>53091</v>
      </c>
      <c r="R1240" s="2">
        <f t="shared" si="177"/>
        <v>26545.5</v>
      </c>
      <c r="S1240" s="2" t="str">
        <f t="shared" si="178"/>
        <v xml:space="preserve"> Not Achieved</v>
      </c>
      <c r="T1240" s="2" t="str">
        <f t="shared" si="179"/>
        <v>Good</v>
      </c>
      <c r="U1240" s="2"/>
    </row>
    <row r="1241" spans="1:21" x14ac:dyDescent="0.3">
      <c r="A1241">
        <v>1240</v>
      </c>
      <c r="B1241" t="s">
        <v>1865</v>
      </c>
      <c r="C1241" t="str">
        <f t="shared" si="171"/>
        <v>EMP_1240</v>
      </c>
      <c r="D1241" t="s">
        <v>15</v>
      </c>
      <c r="E1241" t="str">
        <f t="shared" si="172"/>
        <v>EMP_1240Marketing</v>
      </c>
      <c r="F1241" t="s">
        <v>24</v>
      </c>
      <c r="G1241" t="s">
        <v>22</v>
      </c>
      <c r="H1241">
        <v>75180</v>
      </c>
      <c r="I1241">
        <v>10925</v>
      </c>
      <c r="J1241">
        <v>0</v>
      </c>
      <c r="K1241">
        <v>0</v>
      </c>
      <c r="L1241" s="4" t="s">
        <v>1866</v>
      </c>
      <c r="M1241" s="4" t="str">
        <f t="shared" si="173"/>
        <v>9/29/2021</v>
      </c>
      <c r="N1241" s="1">
        <f t="shared" ca="1" si="174"/>
        <v>46064</v>
      </c>
      <c r="O1241" s="6" t="e">
        <f t="shared" ca="1" si="175"/>
        <v>#VALUE!</v>
      </c>
      <c r="P1241">
        <v>2</v>
      </c>
      <c r="Q1241">
        <f t="shared" si="176"/>
        <v>86105</v>
      </c>
      <c r="R1241" s="2">
        <f t="shared" si="177"/>
        <v>43052.5</v>
      </c>
      <c r="S1241" s="2" t="str">
        <f t="shared" si="178"/>
        <v xml:space="preserve"> Not Achieved</v>
      </c>
      <c r="T1241" s="2" t="str">
        <f t="shared" si="179"/>
        <v xml:space="preserve"> Excellent</v>
      </c>
      <c r="U1241" s="2"/>
    </row>
    <row r="1242" spans="1:21" x14ac:dyDescent="0.3">
      <c r="A1242">
        <v>1241</v>
      </c>
      <c r="B1242" t="s">
        <v>1867</v>
      </c>
      <c r="C1242" t="str">
        <f t="shared" si="171"/>
        <v>EMP_1241</v>
      </c>
      <c r="D1242" t="s">
        <v>11</v>
      </c>
      <c r="E1242" t="str">
        <f t="shared" si="172"/>
        <v>EMP_1241Finance</v>
      </c>
      <c r="F1242" t="s">
        <v>18</v>
      </c>
      <c r="G1242" t="s">
        <v>19</v>
      </c>
      <c r="H1242">
        <v>45556</v>
      </c>
      <c r="I1242">
        <v>8179</v>
      </c>
      <c r="J1242">
        <v>0</v>
      </c>
      <c r="K1242">
        <v>0</v>
      </c>
      <c r="L1242" s="4">
        <v>44597</v>
      </c>
      <c r="M1242" s="4" t="str">
        <f t="shared" si="173"/>
        <v>2022</v>
      </c>
      <c r="N1242" s="1">
        <f t="shared" ca="1" si="174"/>
        <v>46064</v>
      </c>
      <c r="O1242" s="6">
        <f t="shared" ca="1" si="175"/>
        <v>4</v>
      </c>
      <c r="P1242">
        <v>3</v>
      </c>
      <c r="Q1242">
        <f t="shared" si="176"/>
        <v>53735</v>
      </c>
      <c r="R1242" s="2">
        <f t="shared" si="177"/>
        <v>26867.5</v>
      </c>
      <c r="S1242" s="2" t="str">
        <f t="shared" si="178"/>
        <v xml:space="preserve"> Not Achieved</v>
      </c>
      <c r="T1242" s="2" t="str">
        <f t="shared" si="179"/>
        <v>Good</v>
      </c>
      <c r="U1242" s="2"/>
    </row>
    <row r="1243" spans="1:21" x14ac:dyDescent="0.3">
      <c r="A1243">
        <v>1242</v>
      </c>
      <c r="B1243" t="s">
        <v>1868</v>
      </c>
      <c r="C1243" t="str">
        <f t="shared" si="171"/>
        <v>EMP_1242</v>
      </c>
      <c r="D1243" t="s">
        <v>11</v>
      </c>
      <c r="E1243" t="str">
        <f t="shared" si="172"/>
        <v>EMP_1242IT</v>
      </c>
      <c r="F1243" t="s">
        <v>21</v>
      </c>
      <c r="G1243" t="s">
        <v>19</v>
      </c>
      <c r="H1243">
        <v>39392</v>
      </c>
      <c r="I1243">
        <v>2588</v>
      </c>
      <c r="J1243">
        <v>0</v>
      </c>
      <c r="K1243">
        <v>0</v>
      </c>
      <c r="L1243" s="4" t="s">
        <v>768</v>
      </c>
      <c r="M1243" s="4" t="str">
        <f t="shared" si="173"/>
        <v>10/18/2019</v>
      </c>
      <c r="N1243" s="1">
        <f t="shared" ca="1" si="174"/>
        <v>46064</v>
      </c>
      <c r="O1243" s="6" t="e">
        <f t="shared" ca="1" si="175"/>
        <v>#VALUE!</v>
      </c>
      <c r="P1243">
        <v>4</v>
      </c>
      <c r="Q1243">
        <f t="shared" si="176"/>
        <v>41980</v>
      </c>
      <c r="R1243" s="2">
        <f t="shared" si="177"/>
        <v>20990</v>
      </c>
      <c r="S1243" s="2" t="str">
        <f t="shared" si="178"/>
        <v xml:space="preserve"> Not Achieved</v>
      </c>
      <c r="T1243" s="2" t="str">
        <f t="shared" si="179"/>
        <v>Average</v>
      </c>
      <c r="U1243" s="2"/>
    </row>
    <row r="1244" spans="1:21" x14ac:dyDescent="0.3">
      <c r="A1244">
        <v>1243</v>
      </c>
      <c r="B1244" t="s">
        <v>1869</v>
      </c>
      <c r="C1244" t="str">
        <f t="shared" si="171"/>
        <v>EMP_1243</v>
      </c>
      <c r="D1244" t="s">
        <v>15</v>
      </c>
      <c r="E1244" t="str">
        <f t="shared" si="172"/>
        <v>EMP_1243Marketing</v>
      </c>
      <c r="F1244" t="s">
        <v>24</v>
      </c>
      <c r="G1244" t="s">
        <v>25</v>
      </c>
      <c r="H1244">
        <v>43684</v>
      </c>
      <c r="I1244">
        <v>3087</v>
      </c>
      <c r="J1244">
        <v>0</v>
      </c>
      <c r="K1244">
        <v>0</v>
      </c>
      <c r="L1244" s="4" t="s">
        <v>1870</v>
      </c>
      <c r="M1244" s="4" t="str">
        <f t="shared" si="173"/>
        <v>6/28/2021</v>
      </c>
      <c r="N1244" s="1">
        <f t="shared" ca="1" si="174"/>
        <v>46064</v>
      </c>
      <c r="O1244" s="6" t="e">
        <f t="shared" ca="1" si="175"/>
        <v>#VALUE!</v>
      </c>
      <c r="P1244">
        <v>5</v>
      </c>
      <c r="Q1244">
        <f t="shared" si="176"/>
        <v>46771</v>
      </c>
      <c r="R1244" s="2">
        <f t="shared" si="177"/>
        <v>23385.5</v>
      </c>
      <c r="S1244" s="2" t="str">
        <f t="shared" si="178"/>
        <v xml:space="preserve"> Not Achieved</v>
      </c>
      <c r="T1244" s="2" t="str">
        <f t="shared" si="179"/>
        <v>Good</v>
      </c>
      <c r="U1244" s="2"/>
    </row>
    <row r="1245" spans="1:21" x14ac:dyDescent="0.3">
      <c r="A1245">
        <v>1244</v>
      </c>
      <c r="B1245" t="s">
        <v>1871</v>
      </c>
      <c r="C1245" t="str">
        <f t="shared" si="171"/>
        <v>EMP_1244</v>
      </c>
      <c r="D1245" t="s">
        <v>11</v>
      </c>
      <c r="E1245" t="str">
        <f t="shared" si="172"/>
        <v>EMP_1244HR</v>
      </c>
      <c r="F1245" t="s">
        <v>12</v>
      </c>
      <c r="G1245" t="s">
        <v>13</v>
      </c>
      <c r="H1245">
        <v>42702</v>
      </c>
      <c r="I1245">
        <v>8988</v>
      </c>
      <c r="J1245">
        <v>0</v>
      </c>
      <c r="K1245">
        <v>0</v>
      </c>
      <c r="L1245" s="4" t="s">
        <v>479</v>
      </c>
      <c r="M1245" s="4" t="str">
        <f t="shared" si="173"/>
        <v>2/22/2020</v>
      </c>
      <c r="N1245" s="1">
        <f t="shared" ca="1" si="174"/>
        <v>46064</v>
      </c>
      <c r="O1245" s="6" t="e">
        <f t="shared" ca="1" si="175"/>
        <v>#VALUE!</v>
      </c>
      <c r="P1245">
        <v>4</v>
      </c>
      <c r="Q1245">
        <f t="shared" si="176"/>
        <v>51690</v>
      </c>
      <c r="R1245" s="2">
        <f t="shared" si="177"/>
        <v>25845</v>
      </c>
      <c r="S1245" s="2" t="str">
        <f t="shared" si="178"/>
        <v xml:space="preserve"> Not Achieved</v>
      </c>
      <c r="T1245" s="2" t="str">
        <f t="shared" si="179"/>
        <v>Good</v>
      </c>
      <c r="U1245" s="2"/>
    </row>
    <row r="1246" spans="1:21" x14ac:dyDescent="0.3">
      <c r="A1246">
        <v>1245</v>
      </c>
      <c r="B1246" t="s">
        <v>1872</v>
      </c>
      <c r="C1246" t="str">
        <f t="shared" si="171"/>
        <v>EMP_1245</v>
      </c>
      <c r="D1246" t="s">
        <v>11</v>
      </c>
      <c r="E1246" t="str">
        <f t="shared" si="172"/>
        <v>EMP_1245IT</v>
      </c>
      <c r="F1246" t="s">
        <v>21</v>
      </c>
      <c r="G1246" t="s">
        <v>19</v>
      </c>
      <c r="H1246">
        <v>44016</v>
      </c>
      <c r="I1246">
        <v>3586</v>
      </c>
      <c r="J1246">
        <v>0</v>
      </c>
      <c r="K1246">
        <v>0</v>
      </c>
      <c r="L1246" s="4" t="s">
        <v>111</v>
      </c>
      <c r="M1246" s="4" t="str">
        <f t="shared" si="173"/>
        <v>8/25/2020</v>
      </c>
      <c r="N1246" s="1">
        <f t="shared" ca="1" si="174"/>
        <v>46064</v>
      </c>
      <c r="O1246" s="6" t="e">
        <f t="shared" ca="1" si="175"/>
        <v>#VALUE!</v>
      </c>
      <c r="P1246">
        <v>3</v>
      </c>
      <c r="Q1246">
        <f t="shared" si="176"/>
        <v>47602</v>
      </c>
      <c r="R1246" s="2">
        <f t="shared" si="177"/>
        <v>23801</v>
      </c>
      <c r="S1246" s="2" t="str">
        <f t="shared" si="178"/>
        <v xml:space="preserve"> Not Achieved</v>
      </c>
      <c r="T1246" s="2" t="str">
        <f t="shared" si="179"/>
        <v>Good</v>
      </c>
      <c r="U1246" s="2"/>
    </row>
    <row r="1247" spans="1:21" x14ac:dyDescent="0.3">
      <c r="A1247">
        <v>1246</v>
      </c>
      <c r="B1247" t="s">
        <v>1873</v>
      </c>
      <c r="C1247" t="str">
        <f t="shared" si="171"/>
        <v>EMP_1246</v>
      </c>
      <c r="D1247" t="s">
        <v>11</v>
      </c>
      <c r="E1247" t="str">
        <f t="shared" si="172"/>
        <v>EMP_1246Sales</v>
      </c>
      <c r="F1247" t="s">
        <v>7</v>
      </c>
      <c r="G1247" t="s">
        <v>25</v>
      </c>
      <c r="H1247">
        <v>71051</v>
      </c>
      <c r="I1247">
        <v>9594</v>
      </c>
      <c r="J1247">
        <v>99796</v>
      </c>
      <c r="K1247">
        <v>85371</v>
      </c>
      <c r="L1247" s="4" t="s">
        <v>1874</v>
      </c>
      <c r="M1247" s="4" t="str">
        <f t="shared" si="173"/>
        <v>6/21/2019</v>
      </c>
      <c r="N1247" s="1">
        <f t="shared" ca="1" si="174"/>
        <v>46064</v>
      </c>
      <c r="O1247" s="6" t="e">
        <f t="shared" ca="1" si="175"/>
        <v>#VALUE!</v>
      </c>
      <c r="P1247">
        <v>5</v>
      </c>
      <c r="Q1247">
        <f t="shared" si="176"/>
        <v>80645</v>
      </c>
      <c r="R1247" s="2">
        <f t="shared" si="177"/>
        <v>40322.5</v>
      </c>
      <c r="S1247" s="2" t="str">
        <f t="shared" si="178"/>
        <v>Achieved</v>
      </c>
      <c r="T1247" s="2" t="str">
        <f t="shared" si="179"/>
        <v xml:space="preserve"> Excellent</v>
      </c>
      <c r="U1247" s="2"/>
    </row>
    <row r="1248" spans="1:21" x14ac:dyDescent="0.3">
      <c r="A1248">
        <v>1247</v>
      </c>
      <c r="B1248" t="s">
        <v>1875</v>
      </c>
      <c r="C1248" t="str">
        <f t="shared" si="171"/>
        <v>EMP_1247</v>
      </c>
      <c r="D1248" t="s">
        <v>15</v>
      </c>
      <c r="E1248" t="str">
        <f t="shared" si="172"/>
        <v>EMP_1247Marketing</v>
      </c>
      <c r="F1248" t="s">
        <v>24</v>
      </c>
      <c r="G1248" t="s">
        <v>22</v>
      </c>
      <c r="H1248">
        <v>66747</v>
      </c>
      <c r="I1248">
        <v>5691</v>
      </c>
      <c r="J1248">
        <v>0</v>
      </c>
      <c r="K1248">
        <v>0</v>
      </c>
      <c r="L1248" s="4">
        <v>45515</v>
      </c>
      <c r="M1248" s="4" t="str">
        <f t="shared" si="173"/>
        <v>2024</v>
      </c>
      <c r="N1248" s="1">
        <f t="shared" ca="1" si="174"/>
        <v>46064</v>
      </c>
      <c r="O1248" s="6">
        <f t="shared" ca="1" si="175"/>
        <v>1</v>
      </c>
      <c r="P1248">
        <v>3</v>
      </c>
      <c r="Q1248">
        <f t="shared" si="176"/>
        <v>72438</v>
      </c>
      <c r="R1248" s="2">
        <f t="shared" si="177"/>
        <v>36219</v>
      </c>
      <c r="S1248" s="2" t="str">
        <f t="shared" si="178"/>
        <v xml:space="preserve"> Not Achieved</v>
      </c>
      <c r="T1248" s="2" t="str">
        <f t="shared" si="179"/>
        <v xml:space="preserve"> Excellent</v>
      </c>
      <c r="U1248" s="2"/>
    </row>
    <row r="1249" spans="1:21" x14ac:dyDescent="0.3">
      <c r="A1249">
        <v>1248</v>
      </c>
      <c r="B1249" t="s">
        <v>1876</v>
      </c>
      <c r="C1249" t="str">
        <f t="shared" si="171"/>
        <v>EMP_1248</v>
      </c>
      <c r="D1249" t="s">
        <v>15</v>
      </c>
      <c r="E1249" t="str">
        <f t="shared" si="172"/>
        <v>EMP_1248Sales</v>
      </c>
      <c r="F1249" t="s">
        <v>7</v>
      </c>
      <c r="G1249" t="s">
        <v>13</v>
      </c>
      <c r="H1249">
        <v>67395</v>
      </c>
      <c r="I1249">
        <v>8560</v>
      </c>
      <c r="J1249">
        <v>216082</v>
      </c>
      <c r="K1249">
        <v>85988</v>
      </c>
      <c r="L1249" s="4" t="s">
        <v>1877</v>
      </c>
      <c r="M1249" s="4" t="str">
        <f t="shared" si="173"/>
        <v>1/29/2022</v>
      </c>
      <c r="N1249" s="1">
        <f t="shared" ca="1" si="174"/>
        <v>46064</v>
      </c>
      <c r="O1249" s="6" t="e">
        <f t="shared" ca="1" si="175"/>
        <v>#VALUE!</v>
      </c>
      <c r="P1249">
        <v>4</v>
      </c>
      <c r="Q1249">
        <f t="shared" si="176"/>
        <v>75955</v>
      </c>
      <c r="R1249" s="2">
        <f t="shared" si="177"/>
        <v>37977.5</v>
      </c>
      <c r="S1249" s="2" t="str">
        <f t="shared" si="178"/>
        <v>Achieved</v>
      </c>
      <c r="T1249" s="2" t="str">
        <f t="shared" si="179"/>
        <v xml:space="preserve"> Excellent</v>
      </c>
      <c r="U1249" s="2"/>
    </row>
    <row r="1250" spans="1:21" x14ac:dyDescent="0.3">
      <c r="A1250">
        <v>1249</v>
      </c>
      <c r="B1250" t="s">
        <v>1878</v>
      </c>
      <c r="C1250" t="str">
        <f t="shared" si="171"/>
        <v>EMP_1249</v>
      </c>
      <c r="D1250" t="s">
        <v>11</v>
      </c>
      <c r="E1250" t="str">
        <f t="shared" si="172"/>
        <v>EMP_1249Sales</v>
      </c>
      <c r="F1250" t="s">
        <v>7</v>
      </c>
      <c r="G1250" t="s">
        <v>22</v>
      </c>
      <c r="H1250">
        <v>24403</v>
      </c>
      <c r="I1250">
        <v>4659</v>
      </c>
      <c r="J1250">
        <v>276501</v>
      </c>
      <c r="K1250">
        <v>140575</v>
      </c>
      <c r="L1250" s="4">
        <v>45354</v>
      </c>
      <c r="M1250" s="4" t="str">
        <f t="shared" si="173"/>
        <v>2024</v>
      </c>
      <c r="N1250" s="1">
        <f t="shared" ca="1" si="174"/>
        <v>46064</v>
      </c>
      <c r="O1250" s="6">
        <f t="shared" ca="1" si="175"/>
        <v>1</v>
      </c>
      <c r="P1250">
        <v>4</v>
      </c>
      <c r="Q1250">
        <f t="shared" si="176"/>
        <v>29062</v>
      </c>
      <c r="R1250" s="2">
        <f t="shared" si="177"/>
        <v>14531</v>
      </c>
      <c r="S1250" s="2" t="str">
        <f t="shared" si="178"/>
        <v>Achieved</v>
      </c>
      <c r="T1250" s="2" t="str">
        <f t="shared" si="179"/>
        <v>poor</v>
      </c>
      <c r="U1250" s="2"/>
    </row>
    <row r="1251" spans="1:21" x14ac:dyDescent="0.3">
      <c r="A1251">
        <v>1250</v>
      </c>
      <c r="B1251" t="s">
        <v>1879</v>
      </c>
      <c r="C1251" t="str">
        <f t="shared" si="171"/>
        <v>EMP_1250</v>
      </c>
      <c r="D1251" t="s">
        <v>11</v>
      </c>
      <c r="E1251" t="str">
        <f t="shared" si="172"/>
        <v>EMP_1250HR</v>
      </c>
      <c r="F1251" t="s">
        <v>12</v>
      </c>
      <c r="G1251" t="s">
        <v>13</v>
      </c>
      <c r="H1251">
        <v>78134</v>
      </c>
      <c r="I1251">
        <v>3806</v>
      </c>
      <c r="J1251">
        <v>0</v>
      </c>
      <c r="K1251">
        <v>0</v>
      </c>
      <c r="L1251" s="4" t="s">
        <v>1178</v>
      </c>
      <c r="M1251" s="4" t="str">
        <f t="shared" si="173"/>
        <v>5/28/2019</v>
      </c>
      <c r="N1251" s="1">
        <f t="shared" ca="1" si="174"/>
        <v>46064</v>
      </c>
      <c r="O1251" s="6" t="e">
        <f t="shared" ca="1" si="175"/>
        <v>#VALUE!</v>
      </c>
      <c r="P1251">
        <v>5</v>
      </c>
      <c r="Q1251">
        <f t="shared" si="176"/>
        <v>81940</v>
      </c>
      <c r="R1251" s="2">
        <f t="shared" si="177"/>
        <v>40970</v>
      </c>
      <c r="S1251" s="2" t="str">
        <f t="shared" si="178"/>
        <v xml:space="preserve"> Not Achieved</v>
      </c>
      <c r="T1251" s="2" t="str">
        <f t="shared" si="179"/>
        <v xml:space="preserve"> Excellent</v>
      </c>
      <c r="U1251" s="2"/>
    </row>
    <row r="1252" spans="1:21" x14ac:dyDescent="0.3">
      <c r="A1252">
        <v>1251</v>
      </c>
      <c r="B1252" t="s">
        <v>1880</v>
      </c>
      <c r="C1252" t="str">
        <f t="shared" si="171"/>
        <v>EMP_1251</v>
      </c>
      <c r="D1252" t="s">
        <v>11</v>
      </c>
      <c r="E1252" t="str">
        <f t="shared" si="172"/>
        <v>EMP_1251Marketing</v>
      </c>
      <c r="F1252" t="s">
        <v>24</v>
      </c>
      <c r="G1252" t="s">
        <v>16</v>
      </c>
      <c r="H1252">
        <v>37992</v>
      </c>
      <c r="I1252">
        <v>12473</v>
      </c>
      <c r="J1252">
        <v>0</v>
      </c>
      <c r="K1252">
        <v>0</v>
      </c>
      <c r="L1252" s="4">
        <v>43287</v>
      </c>
      <c r="M1252" s="4" t="str">
        <f t="shared" si="173"/>
        <v>2018</v>
      </c>
      <c r="N1252" s="1">
        <f t="shared" ca="1" si="174"/>
        <v>46064</v>
      </c>
      <c r="O1252" s="6">
        <f t="shared" ca="1" si="175"/>
        <v>7</v>
      </c>
      <c r="P1252">
        <v>1</v>
      </c>
      <c r="Q1252">
        <f t="shared" si="176"/>
        <v>50465</v>
      </c>
      <c r="R1252" s="2">
        <f t="shared" si="177"/>
        <v>25232.5</v>
      </c>
      <c r="S1252" s="2" t="str">
        <f t="shared" si="178"/>
        <v xml:space="preserve"> Not Achieved</v>
      </c>
      <c r="T1252" s="2" t="str">
        <f t="shared" si="179"/>
        <v>Average</v>
      </c>
      <c r="U1252" s="2"/>
    </row>
    <row r="1253" spans="1:21" x14ac:dyDescent="0.3">
      <c r="A1253">
        <v>1252</v>
      </c>
      <c r="B1253" t="s">
        <v>1881</v>
      </c>
      <c r="C1253" t="str">
        <f t="shared" si="171"/>
        <v>EMP_1252</v>
      </c>
      <c r="D1253" t="s">
        <v>15</v>
      </c>
      <c r="E1253" t="str">
        <f t="shared" si="172"/>
        <v>EMP_1252HR</v>
      </c>
      <c r="F1253" t="s">
        <v>12</v>
      </c>
      <c r="G1253" t="s">
        <v>16</v>
      </c>
      <c r="H1253">
        <v>30995</v>
      </c>
      <c r="I1253">
        <v>4781</v>
      </c>
      <c r="J1253">
        <v>0</v>
      </c>
      <c r="K1253">
        <v>0</v>
      </c>
      <c r="L1253" s="4">
        <v>45241</v>
      </c>
      <c r="M1253" s="4" t="str">
        <f t="shared" si="173"/>
        <v>2023</v>
      </c>
      <c r="N1253" s="1">
        <f t="shared" ca="1" si="174"/>
        <v>46064</v>
      </c>
      <c r="O1253" s="6">
        <f t="shared" ca="1" si="175"/>
        <v>2</v>
      </c>
      <c r="P1253">
        <v>5</v>
      </c>
      <c r="Q1253">
        <f t="shared" si="176"/>
        <v>35776</v>
      </c>
      <c r="R1253" s="2">
        <f t="shared" si="177"/>
        <v>17888</v>
      </c>
      <c r="S1253" s="2" t="str">
        <f t="shared" si="178"/>
        <v xml:space="preserve"> Not Achieved</v>
      </c>
      <c r="T1253" s="2" t="str">
        <f t="shared" si="179"/>
        <v>Average</v>
      </c>
      <c r="U1253" s="2"/>
    </row>
    <row r="1254" spans="1:21" x14ac:dyDescent="0.3">
      <c r="A1254">
        <v>1253</v>
      </c>
      <c r="B1254" t="s">
        <v>1882</v>
      </c>
      <c r="C1254" t="str">
        <f t="shared" si="171"/>
        <v>EMP_1253</v>
      </c>
      <c r="D1254" t="s">
        <v>11</v>
      </c>
      <c r="E1254" t="str">
        <f t="shared" si="172"/>
        <v>EMP_1253IT</v>
      </c>
      <c r="F1254" t="s">
        <v>21</v>
      </c>
      <c r="G1254" t="s">
        <v>13</v>
      </c>
      <c r="H1254">
        <v>37384</v>
      </c>
      <c r="I1254">
        <v>13192</v>
      </c>
      <c r="J1254">
        <v>0</v>
      </c>
      <c r="K1254">
        <v>0</v>
      </c>
      <c r="L1254" s="4" t="s">
        <v>1820</v>
      </c>
      <c r="M1254" s="4" t="str">
        <f t="shared" si="173"/>
        <v>4/26/2019</v>
      </c>
      <c r="N1254" s="1">
        <f t="shared" ca="1" si="174"/>
        <v>46064</v>
      </c>
      <c r="O1254" s="6" t="e">
        <f t="shared" ca="1" si="175"/>
        <v>#VALUE!</v>
      </c>
      <c r="P1254">
        <v>5</v>
      </c>
      <c r="Q1254">
        <f t="shared" si="176"/>
        <v>50576</v>
      </c>
      <c r="R1254" s="2">
        <f t="shared" si="177"/>
        <v>25288</v>
      </c>
      <c r="S1254" s="2" t="str">
        <f t="shared" si="178"/>
        <v xml:space="preserve"> Not Achieved</v>
      </c>
      <c r="T1254" s="2" t="str">
        <f t="shared" si="179"/>
        <v>Average</v>
      </c>
      <c r="U1254" s="2"/>
    </row>
    <row r="1255" spans="1:21" x14ac:dyDescent="0.3">
      <c r="A1255">
        <v>1254</v>
      </c>
      <c r="B1255" t="s">
        <v>1883</v>
      </c>
      <c r="C1255" t="str">
        <f t="shared" si="171"/>
        <v>EMP_1254</v>
      </c>
      <c r="D1255" t="s">
        <v>11</v>
      </c>
      <c r="E1255" t="str">
        <f t="shared" si="172"/>
        <v>EMP_1254HR</v>
      </c>
      <c r="F1255" t="s">
        <v>12</v>
      </c>
      <c r="G1255" t="s">
        <v>22</v>
      </c>
      <c r="H1255">
        <v>65192</v>
      </c>
      <c r="I1255">
        <v>2659</v>
      </c>
      <c r="J1255">
        <v>0</v>
      </c>
      <c r="K1255">
        <v>0</v>
      </c>
      <c r="L1255" s="4">
        <v>43994</v>
      </c>
      <c r="M1255" s="4" t="str">
        <f t="shared" si="173"/>
        <v>2020</v>
      </c>
      <c r="N1255" s="1">
        <f t="shared" ca="1" si="174"/>
        <v>46064</v>
      </c>
      <c r="O1255" s="6">
        <f t="shared" ca="1" si="175"/>
        <v>5</v>
      </c>
      <c r="P1255">
        <v>4</v>
      </c>
      <c r="Q1255">
        <f t="shared" si="176"/>
        <v>67851</v>
      </c>
      <c r="R1255" s="2">
        <f t="shared" si="177"/>
        <v>33925.5</v>
      </c>
      <c r="S1255" s="2" t="str">
        <f t="shared" si="178"/>
        <v xml:space="preserve"> Not Achieved</v>
      </c>
      <c r="T1255" s="2" t="str">
        <f t="shared" si="179"/>
        <v xml:space="preserve"> Excellent</v>
      </c>
      <c r="U1255" s="2"/>
    </row>
    <row r="1256" spans="1:21" x14ac:dyDescent="0.3">
      <c r="A1256">
        <v>1255</v>
      </c>
      <c r="B1256" t="s">
        <v>1884</v>
      </c>
      <c r="C1256" t="str">
        <f t="shared" si="171"/>
        <v>EMP_1255</v>
      </c>
      <c r="D1256" t="s">
        <v>11</v>
      </c>
      <c r="E1256" t="str">
        <f t="shared" si="172"/>
        <v>EMP_1255Sales</v>
      </c>
      <c r="F1256" t="s">
        <v>7</v>
      </c>
      <c r="G1256" t="s">
        <v>13</v>
      </c>
      <c r="H1256">
        <v>27380</v>
      </c>
      <c r="I1256">
        <v>12541</v>
      </c>
      <c r="J1256">
        <v>98950</v>
      </c>
      <c r="K1256">
        <v>85498</v>
      </c>
      <c r="L1256" s="4">
        <v>44837</v>
      </c>
      <c r="M1256" s="4" t="str">
        <f t="shared" si="173"/>
        <v>2022</v>
      </c>
      <c r="N1256" s="1">
        <f t="shared" ca="1" si="174"/>
        <v>46064</v>
      </c>
      <c r="O1256" s="6">
        <f t="shared" ca="1" si="175"/>
        <v>3</v>
      </c>
      <c r="P1256">
        <v>2</v>
      </c>
      <c r="Q1256">
        <f t="shared" si="176"/>
        <v>39921</v>
      </c>
      <c r="R1256" s="2">
        <f t="shared" si="177"/>
        <v>19960.5</v>
      </c>
      <c r="S1256" s="2" t="str">
        <f t="shared" si="178"/>
        <v>Achieved</v>
      </c>
      <c r="T1256" s="2" t="str">
        <f t="shared" si="179"/>
        <v>poor</v>
      </c>
      <c r="U1256" s="2"/>
    </row>
    <row r="1257" spans="1:21" x14ac:dyDescent="0.3">
      <c r="A1257">
        <v>1256</v>
      </c>
      <c r="B1257" t="s">
        <v>1885</v>
      </c>
      <c r="C1257" t="str">
        <f t="shared" si="171"/>
        <v>EMP_1256</v>
      </c>
      <c r="D1257" t="s">
        <v>15</v>
      </c>
      <c r="E1257" t="str">
        <f t="shared" si="172"/>
        <v>EMP_1256HR</v>
      </c>
      <c r="F1257" t="s">
        <v>12</v>
      </c>
      <c r="G1257" t="s">
        <v>16</v>
      </c>
      <c r="H1257">
        <v>27812</v>
      </c>
      <c r="I1257">
        <v>8314</v>
      </c>
      <c r="J1257">
        <v>0</v>
      </c>
      <c r="K1257">
        <v>0</v>
      </c>
      <c r="L1257" s="4">
        <v>43141</v>
      </c>
      <c r="M1257" s="4" t="str">
        <f t="shared" si="173"/>
        <v>2018</v>
      </c>
      <c r="N1257" s="1">
        <f t="shared" ca="1" si="174"/>
        <v>46064</v>
      </c>
      <c r="O1257" s="6">
        <f t="shared" ca="1" si="175"/>
        <v>8</v>
      </c>
      <c r="P1257">
        <v>1</v>
      </c>
      <c r="Q1257">
        <f t="shared" si="176"/>
        <v>36126</v>
      </c>
      <c r="R1257" s="2">
        <f t="shared" si="177"/>
        <v>18063</v>
      </c>
      <c r="S1257" s="2" t="str">
        <f t="shared" si="178"/>
        <v xml:space="preserve"> Not Achieved</v>
      </c>
      <c r="T1257" s="2" t="str">
        <f t="shared" si="179"/>
        <v>poor</v>
      </c>
      <c r="U1257" s="2"/>
    </row>
    <row r="1258" spans="1:21" x14ac:dyDescent="0.3">
      <c r="A1258">
        <v>1257</v>
      </c>
      <c r="B1258" t="s">
        <v>1886</v>
      </c>
      <c r="C1258" t="str">
        <f t="shared" si="171"/>
        <v>EMP_1257</v>
      </c>
      <c r="D1258" t="s">
        <v>11</v>
      </c>
      <c r="E1258" t="str">
        <f t="shared" si="172"/>
        <v>EMP_1257IT</v>
      </c>
      <c r="F1258" t="s">
        <v>21</v>
      </c>
      <c r="G1258" t="s">
        <v>25</v>
      </c>
      <c r="H1258">
        <v>63709</v>
      </c>
      <c r="I1258">
        <v>2323</v>
      </c>
      <c r="J1258">
        <v>0</v>
      </c>
      <c r="K1258">
        <v>0</v>
      </c>
      <c r="L1258" s="4" t="s">
        <v>1887</v>
      </c>
      <c r="M1258" s="4" t="str">
        <f t="shared" si="173"/>
        <v>6/27/2020</v>
      </c>
      <c r="N1258" s="1">
        <f t="shared" ca="1" si="174"/>
        <v>46064</v>
      </c>
      <c r="O1258" s="6" t="e">
        <f t="shared" ca="1" si="175"/>
        <v>#VALUE!</v>
      </c>
      <c r="P1258">
        <v>2</v>
      </c>
      <c r="Q1258">
        <f t="shared" si="176"/>
        <v>66032</v>
      </c>
      <c r="R1258" s="2">
        <f t="shared" si="177"/>
        <v>33016</v>
      </c>
      <c r="S1258" s="2" t="str">
        <f t="shared" si="178"/>
        <v xml:space="preserve"> Not Achieved</v>
      </c>
      <c r="T1258" s="2" t="str">
        <f t="shared" si="179"/>
        <v xml:space="preserve"> Excellent</v>
      </c>
      <c r="U1258" s="2"/>
    </row>
    <row r="1259" spans="1:21" x14ac:dyDescent="0.3">
      <c r="A1259">
        <v>1258</v>
      </c>
      <c r="B1259" t="s">
        <v>1888</v>
      </c>
      <c r="C1259" t="str">
        <f t="shared" si="171"/>
        <v>EMP_1258</v>
      </c>
      <c r="D1259" t="s">
        <v>15</v>
      </c>
      <c r="E1259" t="str">
        <f t="shared" si="172"/>
        <v>EMP_1258Finance</v>
      </c>
      <c r="F1259" t="s">
        <v>18</v>
      </c>
      <c r="G1259" t="s">
        <v>19</v>
      </c>
      <c r="H1259">
        <v>40539</v>
      </c>
      <c r="I1259">
        <v>11188</v>
      </c>
      <c r="J1259">
        <v>0</v>
      </c>
      <c r="K1259">
        <v>0</v>
      </c>
      <c r="L1259" s="4" t="s">
        <v>228</v>
      </c>
      <c r="M1259" s="4" t="str">
        <f t="shared" si="173"/>
        <v>3/30/2022</v>
      </c>
      <c r="N1259" s="1">
        <f t="shared" ca="1" si="174"/>
        <v>46064</v>
      </c>
      <c r="O1259" s="6" t="e">
        <f t="shared" ca="1" si="175"/>
        <v>#VALUE!</v>
      </c>
      <c r="P1259">
        <v>2</v>
      </c>
      <c r="Q1259">
        <f t="shared" si="176"/>
        <v>51727</v>
      </c>
      <c r="R1259" s="2">
        <f t="shared" si="177"/>
        <v>25863.5</v>
      </c>
      <c r="S1259" s="2" t="str">
        <f t="shared" si="178"/>
        <v xml:space="preserve"> Not Achieved</v>
      </c>
      <c r="T1259" s="2" t="str">
        <f t="shared" si="179"/>
        <v>Good</v>
      </c>
      <c r="U1259" s="2"/>
    </row>
    <row r="1260" spans="1:21" x14ac:dyDescent="0.3">
      <c r="A1260">
        <v>1259</v>
      </c>
      <c r="B1260" t="s">
        <v>1889</v>
      </c>
      <c r="C1260" t="str">
        <f t="shared" si="171"/>
        <v>EMP_1259</v>
      </c>
      <c r="D1260" t="s">
        <v>11</v>
      </c>
      <c r="E1260" t="str">
        <f t="shared" si="172"/>
        <v>EMP_1259Sales</v>
      </c>
      <c r="F1260" t="s">
        <v>7</v>
      </c>
      <c r="G1260" t="s">
        <v>22</v>
      </c>
      <c r="H1260">
        <v>74411</v>
      </c>
      <c r="I1260">
        <v>2035</v>
      </c>
      <c r="J1260">
        <v>124465</v>
      </c>
      <c r="K1260">
        <v>83004</v>
      </c>
      <c r="L1260" s="4">
        <v>43993</v>
      </c>
      <c r="M1260" s="4" t="str">
        <f t="shared" si="173"/>
        <v>2020</v>
      </c>
      <c r="N1260" s="1">
        <f t="shared" ca="1" si="174"/>
        <v>46064</v>
      </c>
      <c r="O1260" s="6">
        <f t="shared" ca="1" si="175"/>
        <v>5</v>
      </c>
      <c r="P1260">
        <v>3</v>
      </c>
      <c r="Q1260">
        <f t="shared" si="176"/>
        <v>76446</v>
      </c>
      <c r="R1260" s="2">
        <f t="shared" si="177"/>
        <v>38223</v>
      </c>
      <c r="S1260" s="2" t="str">
        <f t="shared" si="178"/>
        <v>Achieved</v>
      </c>
      <c r="T1260" s="2" t="str">
        <f t="shared" si="179"/>
        <v xml:space="preserve"> Excellent</v>
      </c>
      <c r="U1260" s="2"/>
    </row>
    <row r="1261" spans="1:21" x14ac:dyDescent="0.3">
      <c r="A1261">
        <v>1260</v>
      </c>
      <c r="B1261" t="s">
        <v>1890</v>
      </c>
      <c r="C1261" t="str">
        <f t="shared" si="171"/>
        <v>EMP_1260</v>
      </c>
      <c r="D1261" t="s">
        <v>11</v>
      </c>
      <c r="E1261" t="str">
        <f t="shared" si="172"/>
        <v>EMP_1260Marketing</v>
      </c>
      <c r="F1261" t="s">
        <v>24</v>
      </c>
      <c r="G1261" t="s">
        <v>22</v>
      </c>
      <c r="H1261">
        <v>65095</v>
      </c>
      <c r="I1261">
        <v>5628</v>
      </c>
      <c r="J1261">
        <v>0</v>
      </c>
      <c r="K1261">
        <v>0</v>
      </c>
      <c r="L1261" s="4">
        <v>44203</v>
      </c>
      <c r="M1261" s="4" t="str">
        <f t="shared" si="173"/>
        <v>2021</v>
      </c>
      <c r="N1261" s="1">
        <f t="shared" ca="1" si="174"/>
        <v>46064</v>
      </c>
      <c r="O1261" s="6">
        <f t="shared" ca="1" si="175"/>
        <v>5</v>
      </c>
      <c r="P1261">
        <v>4</v>
      </c>
      <c r="Q1261">
        <f t="shared" si="176"/>
        <v>70723</v>
      </c>
      <c r="R1261" s="2">
        <f t="shared" si="177"/>
        <v>35361.5</v>
      </c>
      <c r="S1261" s="2" t="str">
        <f t="shared" si="178"/>
        <v xml:space="preserve"> Not Achieved</v>
      </c>
      <c r="T1261" s="2" t="str">
        <f t="shared" si="179"/>
        <v xml:space="preserve"> Excellent</v>
      </c>
      <c r="U1261" s="2"/>
    </row>
    <row r="1262" spans="1:21" x14ac:dyDescent="0.3">
      <c r="A1262">
        <v>1261</v>
      </c>
      <c r="B1262" t="s">
        <v>1891</v>
      </c>
      <c r="C1262" t="str">
        <f t="shared" si="171"/>
        <v>EMP_1261</v>
      </c>
      <c r="D1262" t="s">
        <v>11</v>
      </c>
      <c r="E1262" t="str">
        <f t="shared" si="172"/>
        <v>EMP_1261Sales</v>
      </c>
      <c r="F1262" t="s">
        <v>7</v>
      </c>
      <c r="G1262" t="s">
        <v>22</v>
      </c>
      <c r="H1262">
        <v>22807</v>
      </c>
      <c r="I1262">
        <v>14669</v>
      </c>
      <c r="J1262">
        <v>199224</v>
      </c>
      <c r="K1262">
        <v>111325</v>
      </c>
      <c r="L1262" s="4">
        <v>45263</v>
      </c>
      <c r="M1262" s="4" t="str">
        <f t="shared" si="173"/>
        <v>2023</v>
      </c>
      <c r="N1262" s="1">
        <f t="shared" ca="1" si="174"/>
        <v>46064</v>
      </c>
      <c r="O1262" s="6">
        <f t="shared" ca="1" si="175"/>
        <v>2</v>
      </c>
      <c r="P1262">
        <v>2</v>
      </c>
      <c r="Q1262">
        <f t="shared" si="176"/>
        <v>37476</v>
      </c>
      <c r="R1262" s="2">
        <f t="shared" si="177"/>
        <v>18738</v>
      </c>
      <c r="S1262" s="2" t="str">
        <f t="shared" si="178"/>
        <v>Achieved</v>
      </c>
      <c r="T1262" s="2" t="str">
        <f t="shared" si="179"/>
        <v>poor</v>
      </c>
      <c r="U1262" s="2"/>
    </row>
    <row r="1263" spans="1:21" x14ac:dyDescent="0.3">
      <c r="A1263">
        <v>1262</v>
      </c>
      <c r="B1263" t="s">
        <v>1892</v>
      </c>
      <c r="C1263" t="str">
        <f t="shared" si="171"/>
        <v>EMP_1262</v>
      </c>
      <c r="D1263" t="s">
        <v>11</v>
      </c>
      <c r="E1263" t="str">
        <f t="shared" si="172"/>
        <v>EMP_1262Finance</v>
      </c>
      <c r="F1263" t="s">
        <v>18</v>
      </c>
      <c r="G1263" t="s">
        <v>16</v>
      </c>
      <c r="H1263">
        <v>26350</v>
      </c>
      <c r="I1263">
        <v>11559</v>
      </c>
      <c r="J1263">
        <v>0</v>
      </c>
      <c r="K1263">
        <v>0</v>
      </c>
      <c r="L1263" s="4" t="s">
        <v>197</v>
      </c>
      <c r="M1263" s="4" t="str">
        <f t="shared" si="173"/>
        <v>8/27/2024</v>
      </c>
      <c r="N1263" s="1">
        <f t="shared" ca="1" si="174"/>
        <v>46064</v>
      </c>
      <c r="O1263" s="6" t="e">
        <f t="shared" ca="1" si="175"/>
        <v>#VALUE!</v>
      </c>
      <c r="P1263">
        <v>2</v>
      </c>
      <c r="Q1263">
        <f t="shared" si="176"/>
        <v>37909</v>
      </c>
      <c r="R1263" s="2">
        <f t="shared" si="177"/>
        <v>18954.5</v>
      </c>
      <c r="S1263" s="2" t="str">
        <f t="shared" si="178"/>
        <v xml:space="preserve"> Not Achieved</v>
      </c>
      <c r="T1263" s="2" t="str">
        <f t="shared" si="179"/>
        <v>poor</v>
      </c>
      <c r="U1263" s="2"/>
    </row>
    <row r="1264" spans="1:21" x14ac:dyDescent="0.3">
      <c r="A1264">
        <v>1263</v>
      </c>
      <c r="B1264" t="s">
        <v>1893</v>
      </c>
      <c r="C1264" t="str">
        <f t="shared" si="171"/>
        <v>EMP_1263</v>
      </c>
      <c r="D1264" t="s">
        <v>15</v>
      </c>
      <c r="E1264" t="str">
        <f t="shared" si="172"/>
        <v>EMP_1263Sales</v>
      </c>
      <c r="F1264" t="s">
        <v>7</v>
      </c>
      <c r="G1264" t="s">
        <v>22</v>
      </c>
      <c r="H1264">
        <v>33849</v>
      </c>
      <c r="I1264">
        <v>4747</v>
      </c>
      <c r="J1264">
        <v>109509</v>
      </c>
      <c r="K1264">
        <v>195148</v>
      </c>
      <c r="L1264" s="4" t="s">
        <v>1894</v>
      </c>
      <c r="M1264" s="4" t="str">
        <f t="shared" si="173"/>
        <v>5/23/2018</v>
      </c>
      <c r="N1264" s="1">
        <f t="shared" ca="1" si="174"/>
        <v>46064</v>
      </c>
      <c r="O1264" s="6" t="e">
        <f t="shared" ca="1" si="175"/>
        <v>#VALUE!</v>
      </c>
      <c r="P1264">
        <v>3</v>
      </c>
      <c r="Q1264">
        <f t="shared" si="176"/>
        <v>38596</v>
      </c>
      <c r="R1264" s="2">
        <f t="shared" si="177"/>
        <v>19298</v>
      </c>
      <c r="S1264" s="2" t="str">
        <f t="shared" si="178"/>
        <v xml:space="preserve"> Not Achieved</v>
      </c>
      <c r="T1264" s="2" t="str">
        <f t="shared" si="179"/>
        <v>Average</v>
      </c>
      <c r="U1264" s="2"/>
    </row>
    <row r="1265" spans="1:21" x14ac:dyDescent="0.3">
      <c r="A1265">
        <v>1264</v>
      </c>
      <c r="B1265" t="s">
        <v>1895</v>
      </c>
      <c r="C1265" t="str">
        <f t="shared" si="171"/>
        <v>EMP_1264</v>
      </c>
      <c r="D1265" t="s">
        <v>11</v>
      </c>
      <c r="E1265" t="str">
        <f t="shared" si="172"/>
        <v>EMP_1264IT</v>
      </c>
      <c r="F1265" t="s">
        <v>21</v>
      </c>
      <c r="G1265" t="s">
        <v>25</v>
      </c>
      <c r="H1265">
        <v>58476</v>
      </c>
      <c r="I1265">
        <v>8759</v>
      </c>
      <c r="J1265">
        <v>0</v>
      </c>
      <c r="K1265">
        <v>0</v>
      </c>
      <c r="L1265" s="4" t="s">
        <v>1896</v>
      </c>
      <c r="M1265" s="4" t="str">
        <f t="shared" si="173"/>
        <v>9/23/2021</v>
      </c>
      <c r="N1265" s="1">
        <f t="shared" ca="1" si="174"/>
        <v>46064</v>
      </c>
      <c r="O1265" s="6" t="e">
        <f t="shared" ca="1" si="175"/>
        <v>#VALUE!</v>
      </c>
      <c r="P1265">
        <v>2</v>
      </c>
      <c r="Q1265">
        <f t="shared" si="176"/>
        <v>67235</v>
      </c>
      <c r="R1265" s="2">
        <f t="shared" si="177"/>
        <v>33617.5</v>
      </c>
      <c r="S1265" s="2" t="str">
        <f t="shared" si="178"/>
        <v xml:space="preserve"> Not Achieved</v>
      </c>
      <c r="T1265" s="2" t="str">
        <f t="shared" si="179"/>
        <v xml:space="preserve"> Excellent</v>
      </c>
      <c r="U1265" s="2"/>
    </row>
    <row r="1266" spans="1:21" x14ac:dyDescent="0.3">
      <c r="A1266">
        <v>1265</v>
      </c>
      <c r="B1266" t="s">
        <v>1897</v>
      </c>
      <c r="C1266" t="str">
        <f t="shared" si="171"/>
        <v>EMP_1265</v>
      </c>
      <c r="D1266" t="s">
        <v>15</v>
      </c>
      <c r="E1266" t="str">
        <f t="shared" si="172"/>
        <v>EMP_1265Finance</v>
      </c>
      <c r="F1266" t="s">
        <v>18</v>
      </c>
      <c r="G1266" t="s">
        <v>13</v>
      </c>
      <c r="H1266">
        <v>72226</v>
      </c>
      <c r="I1266">
        <v>6890</v>
      </c>
      <c r="J1266">
        <v>0</v>
      </c>
      <c r="K1266">
        <v>0</v>
      </c>
      <c r="L1266" s="4" t="s">
        <v>1151</v>
      </c>
      <c r="M1266" s="4" t="str">
        <f t="shared" si="173"/>
        <v>10/26/2022</v>
      </c>
      <c r="N1266" s="1">
        <f t="shared" ca="1" si="174"/>
        <v>46064</v>
      </c>
      <c r="O1266" s="6" t="e">
        <f t="shared" ca="1" si="175"/>
        <v>#VALUE!</v>
      </c>
      <c r="P1266">
        <v>1</v>
      </c>
      <c r="Q1266">
        <f t="shared" si="176"/>
        <v>79116</v>
      </c>
      <c r="R1266" s="2">
        <f t="shared" si="177"/>
        <v>39558</v>
      </c>
      <c r="S1266" s="2" t="str">
        <f t="shared" si="178"/>
        <v xml:space="preserve"> Not Achieved</v>
      </c>
      <c r="T1266" s="2" t="str">
        <f t="shared" si="179"/>
        <v xml:space="preserve"> Excellent</v>
      </c>
      <c r="U1266" s="2"/>
    </row>
    <row r="1267" spans="1:21" x14ac:dyDescent="0.3">
      <c r="A1267">
        <v>1266</v>
      </c>
      <c r="B1267" t="s">
        <v>1898</v>
      </c>
      <c r="C1267" t="str">
        <f t="shared" si="171"/>
        <v>EMP_1266</v>
      </c>
      <c r="D1267" t="s">
        <v>15</v>
      </c>
      <c r="E1267" t="str">
        <f t="shared" si="172"/>
        <v>EMP_1266HR</v>
      </c>
      <c r="F1267" t="s">
        <v>12</v>
      </c>
      <c r="G1267" t="s">
        <v>19</v>
      </c>
      <c r="H1267">
        <v>20898</v>
      </c>
      <c r="I1267">
        <v>4250</v>
      </c>
      <c r="J1267">
        <v>0</v>
      </c>
      <c r="K1267">
        <v>0</v>
      </c>
      <c r="L1267" s="4" t="s">
        <v>1899</v>
      </c>
      <c r="M1267" s="4" t="str">
        <f t="shared" si="173"/>
        <v>5/25/2022</v>
      </c>
      <c r="N1267" s="1">
        <f t="shared" ca="1" si="174"/>
        <v>46064</v>
      </c>
      <c r="O1267" s="6" t="e">
        <f t="shared" ca="1" si="175"/>
        <v>#VALUE!</v>
      </c>
      <c r="P1267">
        <v>1</v>
      </c>
      <c r="Q1267">
        <f t="shared" si="176"/>
        <v>25148</v>
      </c>
      <c r="R1267" s="2">
        <f t="shared" si="177"/>
        <v>12574</v>
      </c>
      <c r="S1267" s="2" t="str">
        <f t="shared" si="178"/>
        <v xml:space="preserve"> Not Achieved</v>
      </c>
      <c r="T1267" s="2" t="str">
        <f t="shared" si="179"/>
        <v>poor</v>
      </c>
      <c r="U1267" s="2"/>
    </row>
    <row r="1268" spans="1:21" x14ac:dyDescent="0.3">
      <c r="A1268">
        <v>1267</v>
      </c>
      <c r="B1268" t="s">
        <v>1900</v>
      </c>
      <c r="C1268" t="str">
        <f t="shared" si="171"/>
        <v>EMP_1267</v>
      </c>
      <c r="D1268" t="s">
        <v>15</v>
      </c>
      <c r="E1268" t="str">
        <f t="shared" si="172"/>
        <v>EMP_1267Marketing</v>
      </c>
      <c r="F1268" t="s">
        <v>24</v>
      </c>
      <c r="G1268" t="s">
        <v>13</v>
      </c>
      <c r="H1268">
        <v>78462</v>
      </c>
      <c r="I1268">
        <v>12695</v>
      </c>
      <c r="J1268">
        <v>0</v>
      </c>
      <c r="K1268">
        <v>0</v>
      </c>
      <c r="L1268" s="4">
        <v>43872</v>
      </c>
      <c r="M1268" s="4" t="str">
        <f t="shared" si="173"/>
        <v>2020</v>
      </c>
      <c r="N1268" s="1">
        <f t="shared" ca="1" si="174"/>
        <v>46064</v>
      </c>
      <c r="O1268" s="6">
        <f t="shared" ca="1" si="175"/>
        <v>6</v>
      </c>
      <c r="P1268">
        <v>2</v>
      </c>
      <c r="Q1268">
        <f t="shared" si="176"/>
        <v>91157</v>
      </c>
      <c r="R1268" s="2">
        <f t="shared" si="177"/>
        <v>45578.5</v>
      </c>
      <c r="S1268" s="2" t="str">
        <f t="shared" si="178"/>
        <v xml:space="preserve"> Not Achieved</v>
      </c>
      <c r="T1268" s="2" t="str">
        <f t="shared" si="179"/>
        <v xml:space="preserve"> Excellent</v>
      </c>
      <c r="U1268" s="2"/>
    </row>
    <row r="1269" spans="1:21" x14ac:dyDescent="0.3">
      <c r="A1269">
        <v>1268</v>
      </c>
      <c r="B1269" t="s">
        <v>1901</v>
      </c>
      <c r="C1269" t="str">
        <f t="shared" si="171"/>
        <v>EMP_1268</v>
      </c>
      <c r="D1269" t="s">
        <v>11</v>
      </c>
      <c r="E1269" t="str">
        <f t="shared" si="172"/>
        <v>EMP_1268Finance</v>
      </c>
      <c r="F1269" t="s">
        <v>18</v>
      </c>
      <c r="G1269" t="s">
        <v>25</v>
      </c>
      <c r="H1269">
        <v>79975</v>
      </c>
      <c r="I1269">
        <v>5842</v>
      </c>
      <c r="J1269">
        <v>0</v>
      </c>
      <c r="K1269">
        <v>0</v>
      </c>
      <c r="L1269" s="4" t="s">
        <v>1902</v>
      </c>
      <c r="M1269" s="4" t="str">
        <f t="shared" si="173"/>
        <v>2/25/2020</v>
      </c>
      <c r="N1269" s="1">
        <f t="shared" ca="1" si="174"/>
        <v>46064</v>
      </c>
      <c r="O1269" s="6" t="e">
        <f t="shared" ca="1" si="175"/>
        <v>#VALUE!</v>
      </c>
      <c r="P1269">
        <v>4</v>
      </c>
      <c r="Q1269">
        <f t="shared" si="176"/>
        <v>85817</v>
      </c>
      <c r="R1269" s="2">
        <f t="shared" si="177"/>
        <v>42908.5</v>
      </c>
      <c r="S1269" s="2" t="str">
        <f t="shared" si="178"/>
        <v xml:space="preserve"> Not Achieved</v>
      </c>
      <c r="T1269" s="2" t="str">
        <f t="shared" si="179"/>
        <v xml:space="preserve"> Excellent</v>
      </c>
      <c r="U1269" s="2"/>
    </row>
    <row r="1270" spans="1:21" x14ac:dyDescent="0.3">
      <c r="A1270">
        <v>1269</v>
      </c>
      <c r="B1270" t="s">
        <v>1903</v>
      </c>
      <c r="C1270" t="str">
        <f t="shared" si="171"/>
        <v>EMP_1269</v>
      </c>
      <c r="D1270" t="s">
        <v>15</v>
      </c>
      <c r="E1270" t="str">
        <f t="shared" si="172"/>
        <v>EMP_1269HR</v>
      </c>
      <c r="F1270" t="s">
        <v>12</v>
      </c>
      <c r="G1270" t="s">
        <v>25</v>
      </c>
      <c r="H1270">
        <v>27052</v>
      </c>
      <c r="I1270">
        <v>10402</v>
      </c>
      <c r="J1270">
        <v>0</v>
      </c>
      <c r="K1270">
        <v>0</v>
      </c>
      <c r="L1270" s="4">
        <v>43137</v>
      </c>
      <c r="M1270" s="4" t="str">
        <f t="shared" si="173"/>
        <v>2018</v>
      </c>
      <c r="N1270" s="1">
        <f t="shared" ca="1" si="174"/>
        <v>46064</v>
      </c>
      <c r="O1270" s="6">
        <f t="shared" ca="1" si="175"/>
        <v>8</v>
      </c>
      <c r="P1270">
        <v>5</v>
      </c>
      <c r="Q1270">
        <f t="shared" si="176"/>
        <v>37454</v>
      </c>
      <c r="R1270" s="2">
        <f t="shared" si="177"/>
        <v>18727</v>
      </c>
      <c r="S1270" s="2" t="str">
        <f t="shared" si="178"/>
        <v xml:space="preserve"> Not Achieved</v>
      </c>
      <c r="T1270" s="2" t="str">
        <f t="shared" si="179"/>
        <v>poor</v>
      </c>
      <c r="U1270" s="2"/>
    </row>
    <row r="1271" spans="1:21" x14ac:dyDescent="0.3">
      <c r="A1271">
        <v>1270</v>
      </c>
      <c r="B1271" t="s">
        <v>1904</v>
      </c>
      <c r="C1271" t="str">
        <f t="shared" si="171"/>
        <v>EMP_1270</v>
      </c>
      <c r="D1271" t="s">
        <v>11</v>
      </c>
      <c r="E1271" t="str">
        <f t="shared" si="172"/>
        <v>EMP_1270Sales</v>
      </c>
      <c r="F1271" t="s">
        <v>7</v>
      </c>
      <c r="G1271" t="s">
        <v>25</v>
      </c>
      <c r="H1271">
        <v>67002</v>
      </c>
      <c r="I1271">
        <v>12483</v>
      </c>
      <c r="J1271">
        <v>122588</v>
      </c>
      <c r="K1271">
        <v>94433</v>
      </c>
      <c r="L1271" s="4">
        <v>43811</v>
      </c>
      <c r="M1271" s="4" t="str">
        <f t="shared" si="173"/>
        <v>2019</v>
      </c>
      <c r="N1271" s="1">
        <f t="shared" ca="1" si="174"/>
        <v>46064</v>
      </c>
      <c r="O1271" s="6">
        <f t="shared" ca="1" si="175"/>
        <v>6</v>
      </c>
      <c r="P1271">
        <v>2</v>
      </c>
      <c r="Q1271">
        <f t="shared" si="176"/>
        <v>79485</v>
      </c>
      <c r="R1271" s="2">
        <f t="shared" si="177"/>
        <v>39742.5</v>
      </c>
      <c r="S1271" s="2" t="str">
        <f t="shared" si="178"/>
        <v>Achieved</v>
      </c>
      <c r="T1271" s="2" t="str">
        <f t="shared" si="179"/>
        <v xml:space="preserve"> Excellent</v>
      </c>
      <c r="U1271" s="2"/>
    </row>
    <row r="1272" spans="1:21" x14ac:dyDescent="0.3">
      <c r="A1272">
        <v>1271</v>
      </c>
      <c r="B1272" t="s">
        <v>1905</v>
      </c>
      <c r="C1272" t="str">
        <f t="shared" si="171"/>
        <v>EMP_1271</v>
      </c>
      <c r="D1272" t="s">
        <v>11</v>
      </c>
      <c r="E1272" t="str">
        <f t="shared" si="172"/>
        <v>EMP_1271IT</v>
      </c>
      <c r="F1272" t="s">
        <v>21</v>
      </c>
      <c r="G1272" t="s">
        <v>16</v>
      </c>
      <c r="H1272">
        <v>21754</v>
      </c>
      <c r="I1272">
        <v>11544</v>
      </c>
      <c r="J1272">
        <v>0</v>
      </c>
      <c r="K1272">
        <v>0</v>
      </c>
      <c r="L1272" s="4">
        <v>45084</v>
      </c>
      <c r="M1272" s="4" t="str">
        <f t="shared" si="173"/>
        <v>2023</v>
      </c>
      <c r="N1272" s="1">
        <f t="shared" ca="1" si="174"/>
        <v>46064</v>
      </c>
      <c r="O1272" s="6">
        <f t="shared" ca="1" si="175"/>
        <v>2</v>
      </c>
      <c r="P1272">
        <v>2</v>
      </c>
      <c r="Q1272">
        <f t="shared" si="176"/>
        <v>33298</v>
      </c>
      <c r="R1272" s="2">
        <f t="shared" si="177"/>
        <v>16649</v>
      </c>
      <c r="S1272" s="2" t="str">
        <f t="shared" si="178"/>
        <v xml:space="preserve"> Not Achieved</v>
      </c>
      <c r="T1272" s="2" t="str">
        <f t="shared" si="179"/>
        <v>poor</v>
      </c>
      <c r="U1272" s="2"/>
    </row>
    <row r="1273" spans="1:21" x14ac:dyDescent="0.3">
      <c r="A1273">
        <v>1272</v>
      </c>
      <c r="B1273" t="s">
        <v>1906</v>
      </c>
      <c r="C1273" t="str">
        <f t="shared" si="171"/>
        <v>EMP_1272</v>
      </c>
      <c r="D1273" t="s">
        <v>15</v>
      </c>
      <c r="E1273" t="str">
        <f t="shared" si="172"/>
        <v>EMP_1272Marketing</v>
      </c>
      <c r="F1273" t="s">
        <v>24</v>
      </c>
      <c r="G1273" t="s">
        <v>16</v>
      </c>
      <c r="H1273">
        <v>40573</v>
      </c>
      <c r="I1273">
        <v>12746</v>
      </c>
      <c r="J1273">
        <v>0</v>
      </c>
      <c r="K1273">
        <v>0</v>
      </c>
      <c r="L1273" s="4" t="s">
        <v>1907</v>
      </c>
      <c r="M1273" s="4" t="str">
        <f t="shared" si="173"/>
        <v>7/31/2024</v>
      </c>
      <c r="N1273" s="1">
        <f t="shared" ca="1" si="174"/>
        <v>46064</v>
      </c>
      <c r="O1273" s="6" t="e">
        <f t="shared" ca="1" si="175"/>
        <v>#VALUE!</v>
      </c>
      <c r="P1273">
        <v>2</v>
      </c>
      <c r="Q1273">
        <f t="shared" si="176"/>
        <v>53319</v>
      </c>
      <c r="R1273" s="2">
        <f t="shared" si="177"/>
        <v>26659.5</v>
      </c>
      <c r="S1273" s="2" t="str">
        <f t="shared" si="178"/>
        <v xml:space="preserve"> Not Achieved</v>
      </c>
      <c r="T1273" s="2" t="str">
        <f t="shared" si="179"/>
        <v>Good</v>
      </c>
      <c r="U1273" s="2"/>
    </row>
    <row r="1274" spans="1:21" x14ac:dyDescent="0.3">
      <c r="A1274">
        <v>1273</v>
      </c>
      <c r="B1274" t="s">
        <v>1908</v>
      </c>
      <c r="C1274" t="str">
        <f t="shared" si="171"/>
        <v>EMP_1273</v>
      </c>
      <c r="D1274" t="s">
        <v>11</v>
      </c>
      <c r="E1274" t="str">
        <f t="shared" si="172"/>
        <v>EMP_1273Finance</v>
      </c>
      <c r="F1274" t="s">
        <v>18</v>
      </c>
      <c r="G1274" t="s">
        <v>16</v>
      </c>
      <c r="H1274">
        <v>25874</v>
      </c>
      <c r="I1274">
        <v>6465</v>
      </c>
      <c r="J1274">
        <v>0</v>
      </c>
      <c r="K1274">
        <v>0</v>
      </c>
      <c r="L1274" s="4">
        <v>44838</v>
      </c>
      <c r="M1274" s="4" t="str">
        <f t="shared" si="173"/>
        <v>2022</v>
      </c>
      <c r="N1274" s="1">
        <f t="shared" ca="1" si="174"/>
        <v>46064</v>
      </c>
      <c r="O1274" s="6">
        <f t="shared" ca="1" si="175"/>
        <v>3</v>
      </c>
      <c r="P1274">
        <v>2</v>
      </c>
      <c r="Q1274">
        <f t="shared" si="176"/>
        <v>32339</v>
      </c>
      <c r="R1274" s="2">
        <f t="shared" si="177"/>
        <v>16169.5</v>
      </c>
      <c r="S1274" s="2" t="str">
        <f t="shared" si="178"/>
        <v xml:space="preserve"> Not Achieved</v>
      </c>
      <c r="T1274" s="2" t="str">
        <f t="shared" si="179"/>
        <v>poor</v>
      </c>
      <c r="U1274" s="2"/>
    </row>
    <row r="1275" spans="1:21" x14ac:dyDescent="0.3">
      <c r="A1275">
        <v>1274</v>
      </c>
      <c r="B1275" t="s">
        <v>1909</v>
      </c>
      <c r="C1275" t="str">
        <f t="shared" si="171"/>
        <v>EMP_1274</v>
      </c>
      <c r="D1275" t="s">
        <v>11</v>
      </c>
      <c r="E1275" t="str">
        <f t="shared" si="172"/>
        <v>EMP_1274IT</v>
      </c>
      <c r="F1275" t="s">
        <v>21</v>
      </c>
      <c r="G1275" t="s">
        <v>19</v>
      </c>
      <c r="H1275">
        <v>61645</v>
      </c>
      <c r="I1275">
        <v>8236</v>
      </c>
      <c r="J1275">
        <v>0</v>
      </c>
      <c r="K1275">
        <v>0</v>
      </c>
      <c r="L1275" s="4" t="s">
        <v>1910</v>
      </c>
      <c r="M1275" s="4" t="str">
        <f t="shared" si="173"/>
        <v>3/25/2021</v>
      </c>
      <c r="N1275" s="1">
        <f t="shared" ca="1" si="174"/>
        <v>46064</v>
      </c>
      <c r="O1275" s="6" t="e">
        <f t="shared" ca="1" si="175"/>
        <v>#VALUE!</v>
      </c>
      <c r="P1275">
        <v>5</v>
      </c>
      <c r="Q1275">
        <f t="shared" si="176"/>
        <v>69881</v>
      </c>
      <c r="R1275" s="2">
        <f t="shared" si="177"/>
        <v>34940.5</v>
      </c>
      <c r="S1275" s="2" t="str">
        <f t="shared" si="178"/>
        <v xml:space="preserve"> Not Achieved</v>
      </c>
      <c r="T1275" s="2" t="str">
        <f t="shared" si="179"/>
        <v xml:space="preserve"> Excellent</v>
      </c>
      <c r="U1275" s="2"/>
    </row>
    <row r="1276" spans="1:21" x14ac:dyDescent="0.3">
      <c r="A1276">
        <v>1275</v>
      </c>
      <c r="B1276" t="s">
        <v>1911</v>
      </c>
      <c r="C1276" t="str">
        <f t="shared" si="171"/>
        <v>EMP_1275</v>
      </c>
      <c r="D1276" t="s">
        <v>15</v>
      </c>
      <c r="E1276" t="str">
        <f t="shared" si="172"/>
        <v>EMP_1275Marketing</v>
      </c>
      <c r="F1276" t="s">
        <v>24</v>
      </c>
      <c r="G1276" t="s">
        <v>22</v>
      </c>
      <c r="H1276">
        <v>64735</v>
      </c>
      <c r="I1276">
        <v>14712</v>
      </c>
      <c r="J1276">
        <v>0</v>
      </c>
      <c r="K1276">
        <v>0</v>
      </c>
      <c r="L1276" s="4" t="s">
        <v>1912</v>
      </c>
      <c r="M1276" s="4" t="str">
        <f t="shared" si="173"/>
        <v>1/31/2019</v>
      </c>
      <c r="N1276" s="1">
        <f t="shared" ca="1" si="174"/>
        <v>46064</v>
      </c>
      <c r="O1276" s="6" t="e">
        <f t="shared" ca="1" si="175"/>
        <v>#VALUE!</v>
      </c>
      <c r="P1276">
        <v>2</v>
      </c>
      <c r="Q1276">
        <f t="shared" si="176"/>
        <v>79447</v>
      </c>
      <c r="R1276" s="2">
        <f t="shared" si="177"/>
        <v>39723.5</v>
      </c>
      <c r="S1276" s="2" t="str">
        <f t="shared" si="178"/>
        <v xml:space="preserve"> Not Achieved</v>
      </c>
      <c r="T1276" s="2" t="str">
        <f t="shared" si="179"/>
        <v xml:space="preserve"> Excellent</v>
      </c>
      <c r="U1276" s="2"/>
    </row>
    <row r="1277" spans="1:21" x14ac:dyDescent="0.3">
      <c r="A1277">
        <v>1276</v>
      </c>
      <c r="B1277" t="s">
        <v>1913</v>
      </c>
      <c r="C1277" t="str">
        <f t="shared" si="171"/>
        <v>EMP_1276</v>
      </c>
      <c r="D1277" t="s">
        <v>11</v>
      </c>
      <c r="E1277" t="str">
        <f t="shared" si="172"/>
        <v>EMP_1276Sales</v>
      </c>
      <c r="F1277" t="s">
        <v>7</v>
      </c>
      <c r="G1277" t="s">
        <v>13</v>
      </c>
      <c r="H1277">
        <v>63530</v>
      </c>
      <c r="I1277">
        <v>9667</v>
      </c>
      <c r="J1277">
        <v>163843</v>
      </c>
      <c r="K1277">
        <v>135506</v>
      </c>
      <c r="L1277" s="4" t="s">
        <v>1914</v>
      </c>
      <c r="M1277" s="4" t="str">
        <f t="shared" si="173"/>
        <v>12/23/2020</v>
      </c>
      <c r="N1277" s="1">
        <f t="shared" ca="1" si="174"/>
        <v>46064</v>
      </c>
      <c r="O1277" s="6" t="e">
        <f t="shared" ca="1" si="175"/>
        <v>#VALUE!</v>
      </c>
      <c r="P1277">
        <v>1</v>
      </c>
      <c r="Q1277">
        <f t="shared" si="176"/>
        <v>73197</v>
      </c>
      <c r="R1277" s="2">
        <f t="shared" si="177"/>
        <v>36598.5</v>
      </c>
      <c r="S1277" s="2" t="str">
        <f t="shared" si="178"/>
        <v>Achieved</v>
      </c>
      <c r="T1277" s="2" t="str">
        <f t="shared" si="179"/>
        <v xml:space="preserve"> Excellent</v>
      </c>
      <c r="U1277" s="2"/>
    </row>
    <row r="1278" spans="1:21" x14ac:dyDescent="0.3">
      <c r="A1278">
        <v>1277</v>
      </c>
      <c r="B1278" t="s">
        <v>1915</v>
      </c>
      <c r="C1278" t="str">
        <f t="shared" si="171"/>
        <v>EMP_1277</v>
      </c>
      <c r="D1278" t="s">
        <v>15</v>
      </c>
      <c r="E1278" t="str">
        <f t="shared" si="172"/>
        <v>EMP_1277IT</v>
      </c>
      <c r="F1278" t="s">
        <v>21</v>
      </c>
      <c r="G1278" t="s">
        <v>16</v>
      </c>
      <c r="H1278">
        <v>32488</v>
      </c>
      <c r="I1278">
        <v>14183</v>
      </c>
      <c r="J1278">
        <v>0</v>
      </c>
      <c r="K1278">
        <v>0</v>
      </c>
      <c r="L1278" s="4">
        <v>45112</v>
      </c>
      <c r="M1278" s="4" t="str">
        <f t="shared" si="173"/>
        <v>2023</v>
      </c>
      <c r="N1278" s="1">
        <f t="shared" ca="1" si="174"/>
        <v>46064</v>
      </c>
      <c r="O1278" s="6">
        <f t="shared" ca="1" si="175"/>
        <v>2</v>
      </c>
      <c r="P1278">
        <v>1</v>
      </c>
      <c r="Q1278">
        <f t="shared" si="176"/>
        <v>46671</v>
      </c>
      <c r="R1278" s="2">
        <f t="shared" si="177"/>
        <v>23335.5</v>
      </c>
      <c r="S1278" s="2" t="str">
        <f t="shared" si="178"/>
        <v xml:space="preserve"> Not Achieved</v>
      </c>
      <c r="T1278" s="2" t="str">
        <f t="shared" si="179"/>
        <v>Average</v>
      </c>
      <c r="U1278" s="2"/>
    </row>
    <row r="1279" spans="1:21" x14ac:dyDescent="0.3">
      <c r="A1279">
        <v>1278</v>
      </c>
      <c r="B1279" t="s">
        <v>1916</v>
      </c>
      <c r="C1279" t="str">
        <f t="shared" si="171"/>
        <v>EMP_1278</v>
      </c>
      <c r="D1279" t="s">
        <v>11</v>
      </c>
      <c r="E1279" t="str">
        <f t="shared" si="172"/>
        <v>EMP_1278Marketing</v>
      </c>
      <c r="F1279" t="s">
        <v>24</v>
      </c>
      <c r="G1279" t="s">
        <v>22</v>
      </c>
      <c r="H1279">
        <v>61404</v>
      </c>
      <c r="I1279">
        <v>10546</v>
      </c>
      <c r="J1279">
        <v>0</v>
      </c>
      <c r="K1279">
        <v>0</v>
      </c>
      <c r="L1279" s="4" t="s">
        <v>1917</v>
      </c>
      <c r="M1279" s="4" t="str">
        <f t="shared" si="173"/>
        <v>9/24/2023</v>
      </c>
      <c r="N1279" s="1">
        <f t="shared" ca="1" si="174"/>
        <v>46064</v>
      </c>
      <c r="O1279" s="6" t="e">
        <f t="shared" ca="1" si="175"/>
        <v>#VALUE!</v>
      </c>
      <c r="P1279">
        <v>1</v>
      </c>
      <c r="Q1279">
        <f t="shared" si="176"/>
        <v>71950</v>
      </c>
      <c r="R1279" s="2">
        <f t="shared" si="177"/>
        <v>35975</v>
      </c>
      <c r="S1279" s="2" t="str">
        <f t="shared" si="178"/>
        <v xml:space="preserve"> Not Achieved</v>
      </c>
      <c r="T1279" s="2" t="str">
        <f t="shared" si="179"/>
        <v xml:space="preserve"> Excellent</v>
      </c>
      <c r="U1279" s="2"/>
    </row>
    <row r="1280" spans="1:21" x14ac:dyDescent="0.3">
      <c r="A1280">
        <v>1279</v>
      </c>
      <c r="B1280" t="s">
        <v>1918</v>
      </c>
      <c r="C1280" t="str">
        <f t="shared" si="171"/>
        <v>EMP_1279</v>
      </c>
      <c r="D1280" t="s">
        <v>11</v>
      </c>
      <c r="E1280" t="str">
        <f t="shared" si="172"/>
        <v>EMP_1279Finance</v>
      </c>
      <c r="F1280" t="s">
        <v>18</v>
      </c>
      <c r="G1280" t="s">
        <v>16</v>
      </c>
      <c r="H1280">
        <v>73426</v>
      </c>
      <c r="I1280">
        <v>14229</v>
      </c>
      <c r="J1280">
        <v>0</v>
      </c>
      <c r="K1280">
        <v>0</v>
      </c>
      <c r="L1280" s="4" t="s">
        <v>1501</v>
      </c>
      <c r="M1280" s="4" t="str">
        <f t="shared" si="173"/>
        <v>2/13/2023</v>
      </c>
      <c r="N1280" s="1">
        <f t="shared" ca="1" si="174"/>
        <v>46064</v>
      </c>
      <c r="O1280" s="6" t="e">
        <f t="shared" ca="1" si="175"/>
        <v>#VALUE!</v>
      </c>
      <c r="P1280">
        <v>3</v>
      </c>
      <c r="Q1280">
        <f t="shared" si="176"/>
        <v>87655</v>
      </c>
      <c r="R1280" s="2">
        <f t="shared" si="177"/>
        <v>43827.5</v>
      </c>
      <c r="S1280" s="2" t="str">
        <f t="shared" si="178"/>
        <v xml:space="preserve"> Not Achieved</v>
      </c>
      <c r="T1280" s="2" t="str">
        <f t="shared" si="179"/>
        <v xml:space="preserve"> Excellent</v>
      </c>
      <c r="U1280" s="2"/>
    </row>
    <row r="1281" spans="1:21" x14ac:dyDescent="0.3">
      <c r="A1281">
        <v>1280</v>
      </c>
      <c r="B1281" t="s">
        <v>1919</v>
      </c>
      <c r="C1281" t="str">
        <f t="shared" si="171"/>
        <v>EMP_1280</v>
      </c>
      <c r="D1281" t="s">
        <v>11</v>
      </c>
      <c r="E1281" t="str">
        <f t="shared" si="172"/>
        <v>EMP_1280Sales</v>
      </c>
      <c r="F1281" t="s">
        <v>7</v>
      </c>
      <c r="G1281" t="s">
        <v>13</v>
      </c>
      <c r="H1281">
        <v>69298</v>
      </c>
      <c r="I1281">
        <v>9083</v>
      </c>
      <c r="J1281">
        <v>91824</v>
      </c>
      <c r="K1281">
        <v>231500</v>
      </c>
      <c r="L1281" s="4">
        <v>44684</v>
      </c>
      <c r="M1281" s="4" t="str">
        <f t="shared" si="173"/>
        <v>2022</v>
      </c>
      <c r="N1281" s="1">
        <f t="shared" ca="1" si="174"/>
        <v>46064</v>
      </c>
      <c r="O1281" s="6">
        <f t="shared" ca="1" si="175"/>
        <v>3</v>
      </c>
      <c r="P1281">
        <v>3</v>
      </c>
      <c r="Q1281">
        <f t="shared" si="176"/>
        <v>78381</v>
      </c>
      <c r="R1281" s="2">
        <f t="shared" si="177"/>
        <v>39190.5</v>
      </c>
      <c r="S1281" s="2" t="str">
        <f t="shared" si="178"/>
        <v xml:space="preserve"> Not Achieved</v>
      </c>
      <c r="T1281" s="2" t="str">
        <f t="shared" si="179"/>
        <v xml:space="preserve"> Excellent</v>
      </c>
      <c r="U1281" s="2"/>
    </row>
    <row r="1282" spans="1:21" x14ac:dyDescent="0.3">
      <c r="A1282">
        <v>1281</v>
      </c>
      <c r="B1282" t="s">
        <v>1920</v>
      </c>
      <c r="C1282" t="str">
        <f t="shared" si="171"/>
        <v>EMP_1281</v>
      </c>
      <c r="D1282" t="s">
        <v>15</v>
      </c>
      <c r="E1282" t="str">
        <f t="shared" si="172"/>
        <v>EMP_1281Marketing</v>
      </c>
      <c r="F1282" t="s">
        <v>24</v>
      </c>
      <c r="G1282" t="s">
        <v>13</v>
      </c>
      <c r="H1282">
        <v>20913</v>
      </c>
      <c r="I1282">
        <v>10924</v>
      </c>
      <c r="J1282">
        <v>0</v>
      </c>
      <c r="K1282">
        <v>0</v>
      </c>
      <c r="L1282" s="4" t="s">
        <v>1562</v>
      </c>
      <c r="M1282" s="4" t="str">
        <f t="shared" si="173"/>
        <v>7/30/2021</v>
      </c>
      <c r="N1282" s="1">
        <f t="shared" ca="1" si="174"/>
        <v>46064</v>
      </c>
      <c r="O1282" s="6" t="e">
        <f t="shared" ca="1" si="175"/>
        <v>#VALUE!</v>
      </c>
      <c r="P1282">
        <v>2</v>
      </c>
      <c r="Q1282">
        <f t="shared" si="176"/>
        <v>31837</v>
      </c>
      <c r="R1282" s="2">
        <f t="shared" si="177"/>
        <v>15918.5</v>
      </c>
      <c r="S1282" s="2" t="str">
        <f t="shared" si="178"/>
        <v xml:space="preserve"> Not Achieved</v>
      </c>
      <c r="T1282" s="2" t="str">
        <f t="shared" si="179"/>
        <v>poor</v>
      </c>
      <c r="U1282" s="2"/>
    </row>
    <row r="1283" spans="1:21" x14ac:dyDescent="0.3">
      <c r="A1283">
        <v>1282</v>
      </c>
      <c r="B1283" t="s">
        <v>1921</v>
      </c>
      <c r="C1283" t="str">
        <f t="shared" ref="C1283:C1346" si="180">UPPER(B1283)</f>
        <v>EMP_1282</v>
      </c>
      <c r="D1283" t="s">
        <v>15</v>
      </c>
      <c r="E1283" t="str">
        <f t="shared" ref="E1283:E1346" si="181">_xlfn.CONCAT(C1283,F1283)</f>
        <v>EMP_1282Sales</v>
      </c>
      <c r="F1283" t="s">
        <v>7</v>
      </c>
      <c r="G1283" t="s">
        <v>22</v>
      </c>
      <c r="H1283">
        <v>75038</v>
      </c>
      <c r="I1283">
        <v>10214</v>
      </c>
      <c r="J1283">
        <v>176619</v>
      </c>
      <c r="K1283">
        <v>80293</v>
      </c>
      <c r="L1283" s="4">
        <v>44964</v>
      </c>
      <c r="M1283" s="4" t="str">
        <f t="shared" ref="M1283:M1346" si="182">TEXT(L1283,"yyyy")</f>
        <v>2023</v>
      </c>
      <c r="N1283" s="1">
        <f t="shared" ref="N1283:N1346" ca="1" si="183">TODAY()</f>
        <v>46064</v>
      </c>
      <c r="O1283" s="6">
        <f t="shared" ref="O1283:O1346" ca="1" si="184">DATEDIF(L1283, TODAY(), "y")</f>
        <v>3</v>
      </c>
      <c r="P1283">
        <v>3</v>
      </c>
      <c r="Q1283">
        <f t="shared" ref="Q1283:Q1346" si="185">SUM(H1283,I1283)</f>
        <v>85252</v>
      </c>
      <c r="R1283" s="2">
        <f t="shared" ref="R1283:R1346" si="186">AVERAGE(H1283,I1283)</f>
        <v>42626</v>
      </c>
      <c r="S1283" s="2" t="str">
        <f t="shared" ref="S1283:S1346" si="187">IF(J1283&gt;K1283,"Achieved"," Not Achieved")</f>
        <v>Achieved</v>
      </c>
      <c r="T1283" s="2" t="str">
        <f t="shared" ref="T1283:T1346" si="188">_xlfn.IFS(H1283&gt;=50000," Excellent",H1283&gt;=40000,"Good",H1283&gt;=30000,"Average",H1283&lt;30000,"poor")</f>
        <v xml:space="preserve"> Excellent</v>
      </c>
      <c r="U1283" s="2"/>
    </row>
    <row r="1284" spans="1:21" x14ac:dyDescent="0.3">
      <c r="A1284">
        <v>1283</v>
      </c>
      <c r="B1284" t="s">
        <v>1922</v>
      </c>
      <c r="C1284" t="str">
        <f t="shared" si="180"/>
        <v>EMP_1283</v>
      </c>
      <c r="D1284" t="s">
        <v>15</v>
      </c>
      <c r="E1284" t="str">
        <f t="shared" si="181"/>
        <v>EMP_1283Sales</v>
      </c>
      <c r="F1284" t="s">
        <v>7</v>
      </c>
      <c r="G1284" t="s">
        <v>25</v>
      </c>
      <c r="H1284">
        <v>63258</v>
      </c>
      <c r="I1284">
        <v>13942</v>
      </c>
      <c r="J1284">
        <v>151372</v>
      </c>
      <c r="K1284">
        <v>195807</v>
      </c>
      <c r="L1284" s="4" t="s">
        <v>1923</v>
      </c>
      <c r="M1284" s="4" t="str">
        <f t="shared" si="182"/>
        <v>10/13/2019</v>
      </c>
      <c r="N1284" s="1">
        <f t="shared" ca="1" si="183"/>
        <v>46064</v>
      </c>
      <c r="O1284" s="6" t="e">
        <f t="shared" ca="1" si="184"/>
        <v>#VALUE!</v>
      </c>
      <c r="P1284">
        <v>2</v>
      </c>
      <c r="Q1284">
        <f t="shared" si="185"/>
        <v>77200</v>
      </c>
      <c r="R1284" s="2">
        <f t="shared" si="186"/>
        <v>38600</v>
      </c>
      <c r="S1284" s="2" t="str">
        <f t="shared" si="187"/>
        <v xml:space="preserve"> Not Achieved</v>
      </c>
      <c r="T1284" s="2" t="str">
        <f t="shared" si="188"/>
        <v xml:space="preserve"> Excellent</v>
      </c>
      <c r="U1284" s="2"/>
    </row>
    <row r="1285" spans="1:21" x14ac:dyDescent="0.3">
      <c r="A1285">
        <v>1284</v>
      </c>
      <c r="B1285" t="s">
        <v>1924</v>
      </c>
      <c r="C1285" t="str">
        <f t="shared" si="180"/>
        <v>EMP_1284</v>
      </c>
      <c r="D1285" t="s">
        <v>11</v>
      </c>
      <c r="E1285" t="str">
        <f t="shared" si="181"/>
        <v>EMP_1284Finance</v>
      </c>
      <c r="F1285" t="s">
        <v>18</v>
      </c>
      <c r="G1285" t="s">
        <v>25</v>
      </c>
      <c r="H1285">
        <v>68442</v>
      </c>
      <c r="I1285">
        <v>13230</v>
      </c>
      <c r="J1285">
        <v>0</v>
      </c>
      <c r="K1285">
        <v>0</v>
      </c>
      <c r="L1285" s="4" t="s">
        <v>1925</v>
      </c>
      <c r="M1285" s="4" t="str">
        <f t="shared" si="182"/>
        <v>2/20/2021</v>
      </c>
      <c r="N1285" s="1">
        <f t="shared" ca="1" si="183"/>
        <v>46064</v>
      </c>
      <c r="O1285" s="6" t="e">
        <f t="shared" ca="1" si="184"/>
        <v>#VALUE!</v>
      </c>
      <c r="P1285">
        <v>1</v>
      </c>
      <c r="Q1285">
        <f t="shared" si="185"/>
        <v>81672</v>
      </c>
      <c r="R1285" s="2">
        <f t="shared" si="186"/>
        <v>40836</v>
      </c>
      <c r="S1285" s="2" t="str">
        <f t="shared" si="187"/>
        <v xml:space="preserve"> Not Achieved</v>
      </c>
      <c r="T1285" s="2" t="str">
        <f t="shared" si="188"/>
        <v xml:space="preserve"> Excellent</v>
      </c>
      <c r="U1285" s="2"/>
    </row>
    <row r="1286" spans="1:21" x14ac:dyDescent="0.3">
      <c r="A1286">
        <v>1285</v>
      </c>
      <c r="B1286" t="s">
        <v>1926</v>
      </c>
      <c r="C1286" t="str">
        <f t="shared" si="180"/>
        <v>EMP_1285</v>
      </c>
      <c r="D1286" t="s">
        <v>15</v>
      </c>
      <c r="E1286" t="str">
        <f t="shared" si="181"/>
        <v>EMP_1285Marketing</v>
      </c>
      <c r="F1286" t="s">
        <v>24</v>
      </c>
      <c r="G1286" t="s">
        <v>16</v>
      </c>
      <c r="H1286">
        <v>66682</v>
      </c>
      <c r="I1286">
        <v>10672</v>
      </c>
      <c r="J1286">
        <v>0</v>
      </c>
      <c r="K1286">
        <v>0</v>
      </c>
      <c r="L1286" s="4" t="s">
        <v>1927</v>
      </c>
      <c r="M1286" s="4" t="str">
        <f t="shared" si="182"/>
        <v>8/30/2022</v>
      </c>
      <c r="N1286" s="1">
        <f t="shared" ca="1" si="183"/>
        <v>46064</v>
      </c>
      <c r="O1286" s="6" t="e">
        <f t="shared" ca="1" si="184"/>
        <v>#VALUE!</v>
      </c>
      <c r="P1286">
        <v>1</v>
      </c>
      <c r="Q1286">
        <f t="shared" si="185"/>
        <v>77354</v>
      </c>
      <c r="R1286" s="2">
        <f t="shared" si="186"/>
        <v>38677</v>
      </c>
      <c r="S1286" s="2" t="str">
        <f t="shared" si="187"/>
        <v xml:space="preserve"> Not Achieved</v>
      </c>
      <c r="T1286" s="2" t="str">
        <f t="shared" si="188"/>
        <v xml:space="preserve"> Excellent</v>
      </c>
      <c r="U1286" s="2"/>
    </row>
    <row r="1287" spans="1:21" x14ac:dyDescent="0.3">
      <c r="A1287">
        <v>1286</v>
      </c>
      <c r="B1287" t="s">
        <v>1928</v>
      </c>
      <c r="C1287" t="str">
        <f t="shared" si="180"/>
        <v>EMP_1286</v>
      </c>
      <c r="D1287" t="s">
        <v>15</v>
      </c>
      <c r="E1287" t="str">
        <f t="shared" si="181"/>
        <v>EMP_1286Sales</v>
      </c>
      <c r="F1287" t="s">
        <v>7</v>
      </c>
      <c r="G1287" t="s">
        <v>22</v>
      </c>
      <c r="H1287">
        <v>33023</v>
      </c>
      <c r="I1287">
        <v>8182</v>
      </c>
      <c r="J1287">
        <v>128278</v>
      </c>
      <c r="K1287">
        <v>107573</v>
      </c>
      <c r="L1287" s="4" t="s">
        <v>1929</v>
      </c>
      <c r="M1287" s="4" t="str">
        <f t="shared" si="182"/>
        <v>8/16/2023</v>
      </c>
      <c r="N1287" s="1">
        <f t="shared" ca="1" si="183"/>
        <v>46064</v>
      </c>
      <c r="O1287" s="6" t="e">
        <f t="shared" ca="1" si="184"/>
        <v>#VALUE!</v>
      </c>
      <c r="P1287">
        <v>4</v>
      </c>
      <c r="Q1287">
        <f t="shared" si="185"/>
        <v>41205</v>
      </c>
      <c r="R1287" s="2">
        <f t="shared" si="186"/>
        <v>20602.5</v>
      </c>
      <c r="S1287" s="2" t="str">
        <f t="shared" si="187"/>
        <v>Achieved</v>
      </c>
      <c r="T1287" s="2" t="str">
        <f t="shared" si="188"/>
        <v>Average</v>
      </c>
      <c r="U1287" s="2"/>
    </row>
    <row r="1288" spans="1:21" x14ac:dyDescent="0.3">
      <c r="A1288">
        <v>1287</v>
      </c>
      <c r="B1288" t="s">
        <v>1930</v>
      </c>
      <c r="C1288" t="str">
        <f t="shared" si="180"/>
        <v>EMP_1287</v>
      </c>
      <c r="D1288" t="s">
        <v>11</v>
      </c>
      <c r="E1288" t="str">
        <f t="shared" si="181"/>
        <v>EMP_1287Marketing</v>
      </c>
      <c r="F1288" t="s">
        <v>24</v>
      </c>
      <c r="G1288" t="s">
        <v>13</v>
      </c>
      <c r="H1288">
        <v>43707</v>
      </c>
      <c r="I1288">
        <v>3575</v>
      </c>
      <c r="J1288">
        <v>0</v>
      </c>
      <c r="K1288">
        <v>0</v>
      </c>
      <c r="L1288" s="4">
        <v>43994</v>
      </c>
      <c r="M1288" s="4" t="str">
        <f t="shared" si="182"/>
        <v>2020</v>
      </c>
      <c r="N1288" s="1">
        <f t="shared" ca="1" si="183"/>
        <v>46064</v>
      </c>
      <c r="O1288" s="6">
        <f t="shared" ca="1" si="184"/>
        <v>5</v>
      </c>
      <c r="P1288">
        <v>5</v>
      </c>
      <c r="Q1288">
        <f t="shared" si="185"/>
        <v>47282</v>
      </c>
      <c r="R1288" s="2">
        <f t="shared" si="186"/>
        <v>23641</v>
      </c>
      <c r="S1288" s="2" t="str">
        <f t="shared" si="187"/>
        <v xml:space="preserve"> Not Achieved</v>
      </c>
      <c r="T1288" s="2" t="str">
        <f t="shared" si="188"/>
        <v>Good</v>
      </c>
      <c r="U1288" s="2"/>
    </row>
    <row r="1289" spans="1:21" x14ac:dyDescent="0.3">
      <c r="A1289">
        <v>1288</v>
      </c>
      <c r="B1289" t="s">
        <v>1931</v>
      </c>
      <c r="C1289" t="str">
        <f t="shared" si="180"/>
        <v>EMP_1288</v>
      </c>
      <c r="D1289" t="s">
        <v>11</v>
      </c>
      <c r="E1289" t="str">
        <f t="shared" si="181"/>
        <v>EMP_1288Marketing</v>
      </c>
      <c r="F1289" t="s">
        <v>24</v>
      </c>
      <c r="G1289" t="s">
        <v>16</v>
      </c>
      <c r="H1289">
        <v>22024</v>
      </c>
      <c r="I1289">
        <v>8410</v>
      </c>
      <c r="J1289">
        <v>0</v>
      </c>
      <c r="K1289">
        <v>0</v>
      </c>
      <c r="L1289" s="4" t="s">
        <v>1932</v>
      </c>
      <c r="M1289" s="4" t="str">
        <f t="shared" si="182"/>
        <v>9/24/2020</v>
      </c>
      <c r="N1289" s="1">
        <f t="shared" ca="1" si="183"/>
        <v>46064</v>
      </c>
      <c r="O1289" s="6" t="e">
        <f t="shared" ca="1" si="184"/>
        <v>#VALUE!</v>
      </c>
      <c r="P1289">
        <v>5</v>
      </c>
      <c r="Q1289">
        <f t="shared" si="185"/>
        <v>30434</v>
      </c>
      <c r="R1289" s="2">
        <f t="shared" si="186"/>
        <v>15217</v>
      </c>
      <c r="S1289" s="2" t="str">
        <f t="shared" si="187"/>
        <v xml:space="preserve"> Not Achieved</v>
      </c>
      <c r="T1289" s="2" t="str">
        <f t="shared" si="188"/>
        <v>poor</v>
      </c>
      <c r="U1289" s="2"/>
    </row>
    <row r="1290" spans="1:21" x14ac:dyDescent="0.3">
      <c r="A1290">
        <v>1289</v>
      </c>
      <c r="B1290" t="s">
        <v>1933</v>
      </c>
      <c r="C1290" t="str">
        <f t="shared" si="180"/>
        <v>EMP_1289</v>
      </c>
      <c r="D1290" t="s">
        <v>11</v>
      </c>
      <c r="E1290" t="str">
        <f t="shared" si="181"/>
        <v>EMP_1289IT</v>
      </c>
      <c r="F1290" t="s">
        <v>21</v>
      </c>
      <c r="G1290" t="s">
        <v>13</v>
      </c>
      <c r="H1290">
        <v>59774</v>
      </c>
      <c r="I1290">
        <v>9846</v>
      </c>
      <c r="J1290">
        <v>0</v>
      </c>
      <c r="K1290">
        <v>0</v>
      </c>
      <c r="L1290" s="4" t="s">
        <v>129</v>
      </c>
      <c r="M1290" s="4" t="str">
        <f t="shared" si="182"/>
        <v>8/19/2023</v>
      </c>
      <c r="N1290" s="1">
        <f t="shared" ca="1" si="183"/>
        <v>46064</v>
      </c>
      <c r="O1290" s="6" t="e">
        <f t="shared" ca="1" si="184"/>
        <v>#VALUE!</v>
      </c>
      <c r="P1290">
        <v>5</v>
      </c>
      <c r="Q1290">
        <f t="shared" si="185"/>
        <v>69620</v>
      </c>
      <c r="R1290" s="2">
        <f t="shared" si="186"/>
        <v>34810</v>
      </c>
      <c r="S1290" s="2" t="str">
        <f t="shared" si="187"/>
        <v xml:space="preserve"> Not Achieved</v>
      </c>
      <c r="T1290" s="2" t="str">
        <f t="shared" si="188"/>
        <v xml:space="preserve"> Excellent</v>
      </c>
      <c r="U1290" s="2"/>
    </row>
    <row r="1291" spans="1:21" x14ac:dyDescent="0.3">
      <c r="A1291">
        <v>1290</v>
      </c>
      <c r="B1291" t="s">
        <v>1934</v>
      </c>
      <c r="C1291" t="str">
        <f t="shared" si="180"/>
        <v>EMP_1290</v>
      </c>
      <c r="D1291" t="s">
        <v>11</v>
      </c>
      <c r="E1291" t="str">
        <f t="shared" si="181"/>
        <v>EMP_1290HR</v>
      </c>
      <c r="F1291" t="s">
        <v>12</v>
      </c>
      <c r="G1291" t="s">
        <v>25</v>
      </c>
      <c r="H1291">
        <v>33787</v>
      </c>
      <c r="I1291">
        <v>12882</v>
      </c>
      <c r="J1291">
        <v>0</v>
      </c>
      <c r="K1291">
        <v>0</v>
      </c>
      <c r="L1291" s="4" t="s">
        <v>914</v>
      </c>
      <c r="M1291" s="4" t="str">
        <f t="shared" si="182"/>
        <v>10/13/2022</v>
      </c>
      <c r="N1291" s="1">
        <f t="shared" ca="1" si="183"/>
        <v>46064</v>
      </c>
      <c r="O1291" s="6" t="e">
        <f t="shared" ca="1" si="184"/>
        <v>#VALUE!</v>
      </c>
      <c r="P1291">
        <v>2</v>
      </c>
      <c r="Q1291">
        <f t="shared" si="185"/>
        <v>46669</v>
      </c>
      <c r="R1291" s="2">
        <f t="shared" si="186"/>
        <v>23334.5</v>
      </c>
      <c r="S1291" s="2" t="str">
        <f t="shared" si="187"/>
        <v xml:space="preserve"> Not Achieved</v>
      </c>
      <c r="T1291" s="2" t="str">
        <f t="shared" si="188"/>
        <v>Average</v>
      </c>
      <c r="U1291" s="2"/>
    </row>
    <row r="1292" spans="1:21" x14ac:dyDescent="0.3">
      <c r="A1292">
        <v>1291</v>
      </c>
      <c r="B1292" t="s">
        <v>1935</v>
      </c>
      <c r="C1292" t="str">
        <f t="shared" si="180"/>
        <v>EMP_1291</v>
      </c>
      <c r="D1292" t="s">
        <v>15</v>
      </c>
      <c r="E1292" t="str">
        <f t="shared" si="181"/>
        <v>EMP_1291Sales</v>
      </c>
      <c r="F1292" t="s">
        <v>7</v>
      </c>
      <c r="G1292" t="s">
        <v>13</v>
      </c>
      <c r="H1292">
        <v>62843</v>
      </c>
      <c r="I1292">
        <v>13450</v>
      </c>
      <c r="J1292">
        <v>272585</v>
      </c>
      <c r="K1292">
        <v>90780</v>
      </c>
      <c r="L1292" s="4">
        <v>45148</v>
      </c>
      <c r="M1292" s="4" t="str">
        <f t="shared" si="182"/>
        <v>2023</v>
      </c>
      <c r="N1292" s="1">
        <f t="shared" ca="1" si="183"/>
        <v>46064</v>
      </c>
      <c r="O1292" s="6">
        <f t="shared" ca="1" si="184"/>
        <v>2</v>
      </c>
      <c r="P1292">
        <v>2</v>
      </c>
      <c r="Q1292">
        <f t="shared" si="185"/>
        <v>76293</v>
      </c>
      <c r="R1292" s="2">
        <f t="shared" si="186"/>
        <v>38146.5</v>
      </c>
      <c r="S1292" s="2" t="str">
        <f t="shared" si="187"/>
        <v>Achieved</v>
      </c>
      <c r="T1292" s="2" t="str">
        <f t="shared" si="188"/>
        <v xml:space="preserve"> Excellent</v>
      </c>
      <c r="U1292" s="2"/>
    </row>
    <row r="1293" spans="1:21" x14ac:dyDescent="0.3">
      <c r="A1293">
        <v>1292</v>
      </c>
      <c r="B1293" t="s">
        <v>1936</v>
      </c>
      <c r="C1293" t="str">
        <f t="shared" si="180"/>
        <v>EMP_1292</v>
      </c>
      <c r="D1293" t="s">
        <v>11</v>
      </c>
      <c r="E1293" t="str">
        <f t="shared" si="181"/>
        <v>EMP_1292HR</v>
      </c>
      <c r="F1293" t="s">
        <v>12</v>
      </c>
      <c r="G1293" t="s">
        <v>25</v>
      </c>
      <c r="H1293">
        <v>71116</v>
      </c>
      <c r="I1293">
        <v>2589</v>
      </c>
      <c r="J1293">
        <v>0</v>
      </c>
      <c r="K1293">
        <v>0</v>
      </c>
      <c r="L1293" s="4">
        <v>43841</v>
      </c>
      <c r="M1293" s="4" t="str">
        <f t="shared" si="182"/>
        <v>2020</v>
      </c>
      <c r="N1293" s="1">
        <f t="shared" ca="1" si="183"/>
        <v>46064</v>
      </c>
      <c r="O1293" s="6">
        <f t="shared" ca="1" si="184"/>
        <v>6</v>
      </c>
      <c r="P1293">
        <v>2</v>
      </c>
      <c r="Q1293">
        <f t="shared" si="185"/>
        <v>73705</v>
      </c>
      <c r="R1293" s="2">
        <f t="shared" si="186"/>
        <v>36852.5</v>
      </c>
      <c r="S1293" s="2" t="str">
        <f t="shared" si="187"/>
        <v xml:space="preserve"> Not Achieved</v>
      </c>
      <c r="T1293" s="2" t="str">
        <f t="shared" si="188"/>
        <v xml:space="preserve"> Excellent</v>
      </c>
      <c r="U1293" s="2"/>
    </row>
    <row r="1294" spans="1:21" x14ac:dyDescent="0.3">
      <c r="A1294">
        <v>1293</v>
      </c>
      <c r="B1294" t="s">
        <v>1937</v>
      </c>
      <c r="C1294" t="str">
        <f t="shared" si="180"/>
        <v>EMP_1293</v>
      </c>
      <c r="D1294" t="s">
        <v>15</v>
      </c>
      <c r="E1294" t="str">
        <f t="shared" si="181"/>
        <v>EMP_1293Marketing</v>
      </c>
      <c r="F1294" t="s">
        <v>24</v>
      </c>
      <c r="G1294" t="s">
        <v>13</v>
      </c>
      <c r="H1294">
        <v>46856</v>
      </c>
      <c r="I1294">
        <v>6713</v>
      </c>
      <c r="J1294">
        <v>0</v>
      </c>
      <c r="K1294">
        <v>0</v>
      </c>
      <c r="L1294" s="4" t="s">
        <v>1696</v>
      </c>
      <c r="M1294" s="4" t="str">
        <f t="shared" si="182"/>
        <v>2/13/2022</v>
      </c>
      <c r="N1294" s="1">
        <f t="shared" ca="1" si="183"/>
        <v>46064</v>
      </c>
      <c r="O1294" s="6" t="e">
        <f t="shared" ca="1" si="184"/>
        <v>#VALUE!</v>
      </c>
      <c r="P1294">
        <v>2</v>
      </c>
      <c r="Q1294">
        <f t="shared" si="185"/>
        <v>53569</v>
      </c>
      <c r="R1294" s="2">
        <f t="shared" si="186"/>
        <v>26784.5</v>
      </c>
      <c r="S1294" s="2" t="str">
        <f t="shared" si="187"/>
        <v xml:space="preserve"> Not Achieved</v>
      </c>
      <c r="T1294" s="2" t="str">
        <f t="shared" si="188"/>
        <v>Good</v>
      </c>
      <c r="U1294" s="2"/>
    </row>
    <row r="1295" spans="1:21" x14ac:dyDescent="0.3">
      <c r="A1295">
        <v>1294</v>
      </c>
      <c r="B1295" t="s">
        <v>1938</v>
      </c>
      <c r="C1295" t="str">
        <f t="shared" si="180"/>
        <v>EMP_1294</v>
      </c>
      <c r="D1295" t="s">
        <v>11</v>
      </c>
      <c r="E1295" t="str">
        <f t="shared" si="181"/>
        <v>EMP_1294Marketing</v>
      </c>
      <c r="F1295" t="s">
        <v>24</v>
      </c>
      <c r="G1295" t="s">
        <v>22</v>
      </c>
      <c r="H1295">
        <v>51360</v>
      </c>
      <c r="I1295">
        <v>4234</v>
      </c>
      <c r="J1295">
        <v>0</v>
      </c>
      <c r="K1295">
        <v>0</v>
      </c>
      <c r="L1295" s="4" t="s">
        <v>1939</v>
      </c>
      <c r="M1295" s="4" t="str">
        <f t="shared" si="182"/>
        <v>1/28/2024</v>
      </c>
      <c r="N1295" s="1">
        <f t="shared" ca="1" si="183"/>
        <v>46064</v>
      </c>
      <c r="O1295" s="6" t="e">
        <f t="shared" ca="1" si="184"/>
        <v>#VALUE!</v>
      </c>
      <c r="P1295">
        <v>2</v>
      </c>
      <c r="Q1295">
        <f t="shared" si="185"/>
        <v>55594</v>
      </c>
      <c r="R1295" s="2">
        <f t="shared" si="186"/>
        <v>27797</v>
      </c>
      <c r="S1295" s="2" t="str">
        <f t="shared" si="187"/>
        <v xml:space="preserve"> Not Achieved</v>
      </c>
      <c r="T1295" s="2" t="str">
        <f t="shared" si="188"/>
        <v xml:space="preserve"> Excellent</v>
      </c>
      <c r="U1295" s="2"/>
    </row>
    <row r="1296" spans="1:21" x14ac:dyDescent="0.3">
      <c r="A1296">
        <v>1295</v>
      </c>
      <c r="B1296" t="s">
        <v>1940</v>
      </c>
      <c r="C1296" t="str">
        <f t="shared" si="180"/>
        <v>EMP_1295</v>
      </c>
      <c r="D1296" t="s">
        <v>15</v>
      </c>
      <c r="E1296" t="str">
        <f t="shared" si="181"/>
        <v>EMP_1295Sales</v>
      </c>
      <c r="F1296" t="s">
        <v>7</v>
      </c>
      <c r="G1296" t="s">
        <v>13</v>
      </c>
      <c r="H1296">
        <v>25529</v>
      </c>
      <c r="I1296">
        <v>8803</v>
      </c>
      <c r="J1296">
        <v>291640</v>
      </c>
      <c r="K1296">
        <v>155026</v>
      </c>
      <c r="L1296" s="4">
        <v>43438</v>
      </c>
      <c r="M1296" s="4" t="str">
        <f t="shared" si="182"/>
        <v>2018</v>
      </c>
      <c r="N1296" s="1">
        <f t="shared" ca="1" si="183"/>
        <v>46064</v>
      </c>
      <c r="O1296" s="6">
        <f t="shared" ca="1" si="184"/>
        <v>7</v>
      </c>
      <c r="P1296">
        <v>1</v>
      </c>
      <c r="Q1296">
        <f t="shared" si="185"/>
        <v>34332</v>
      </c>
      <c r="R1296" s="2">
        <f t="shared" si="186"/>
        <v>17166</v>
      </c>
      <c r="S1296" s="2" t="str">
        <f t="shared" si="187"/>
        <v>Achieved</v>
      </c>
      <c r="T1296" s="2" t="str">
        <f t="shared" si="188"/>
        <v>poor</v>
      </c>
      <c r="U1296" s="2"/>
    </row>
    <row r="1297" spans="1:21" x14ac:dyDescent="0.3">
      <c r="A1297">
        <v>1296</v>
      </c>
      <c r="B1297" t="s">
        <v>1941</v>
      </c>
      <c r="C1297" t="str">
        <f t="shared" si="180"/>
        <v>EMP_1296</v>
      </c>
      <c r="D1297" t="s">
        <v>15</v>
      </c>
      <c r="E1297" t="str">
        <f t="shared" si="181"/>
        <v>EMP_1296IT</v>
      </c>
      <c r="F1297" t="s">
        <v>21</v>
      </c>
      <c r="G1297" t="s">
        <v>25</v>
      </c>
      <c r="H1297">
        <v>67530</v>
      </c>
      <c r="I1297">
        <v>11093</v>
      </c>
      <c r="J1297">
        <v>0</v>
      </c>
      <c r="K1297">
        <v>0</v>
      </c>
      <c r="L1297" s="4" t="s">
        <v>1942</v>
      </c>
      <c r="M1297" s="4" t="str">
        <f t="shared" si="182"/>
        <v>5/20/2023</v>
      </c>
      <c r="N1297" s="1">
        <f t="shared" ca="1" si="183"/>
        <v>46064</v>
      </c>
      <c r="O1297" s="6" t="e">
        <f t="shared" ca="1" si="184"/>
        <v>#VALUE!</v>
      </c>
      <c r="P1297">
        <v>1</v>
      </c>
      <c r="Q1297">
        <f t="shared" si="185"/>
        <v>78623</v>
      </c>
      <c r="R1297" s="2">
        <f t="shared" si="186"/>
        <v>39311.5</v>
      </c>
      <c r="S1297" s="2" t="str">
        <f t="shared" si="187"/>
        <v xml:space="preserve"> Not Achieved</v>
      </c>
      <c r="T1297" s="2" t="str">
        <f t="shared" si="188"/>
        <v xml:space="preserve"> Excellent</v>
      </c>
      <c r="U1297" s="2"/>
    </row>
    <row r="1298" spans="1:21" x14ac:dyDescent="0.3">
      <c r="A1298">
        <v>1297</v>
      </c>
      <c r="B1298" t="s">
        <v>1943</v>
      </c>
      <c r="C1298" t="str">
        <f t="shared" si="180"/>
        <v>EMP_1297</v>
      </c>
      <c r="D1298" t="s">
        <v>15</v>
      </c>
      <c r="E1298" t="str">
        <f t="shared" si="181"/>
        <v>EMP_1297Sales</v>
      </c>
      <c r="F1298" t="s">
        <v>7</v>
      </c>
      <c r="G1298" t="s">
        <v>13</v>
      </c>
      <c r="H1298">
        <v>34975</v>
      </c>
      <c r="I1298">
        <v>3236</v>
      </c>
      <c r="J1298">
        <v>206815</v>
      </c>
      <c r="K1298">
        <v>82761</v>
      </c>
      <c r="L1298" s="4" t="s">
        <v>1944</v>
      </c>
      <c r="M1298" s="4" t="str">
        <f t="shared" si="182"/>
        <v>3/21/2022</v>
      </c>
      <c r="N1298" s="1">
        <f t="shared" ca="1" si="183"/>
        <v>46064</v>
      </c>
      <c r="O1298" s="6" t="e">
        <f t="shared" ca="1" si="184"/>
        <v>#VALUE!</v>
      </c>
      <c r="P1298">
        <v>2</v>
      </c>
      <c r="Q1298">
        <f t="shared" si="185"/>
        <v>38211</v>
      </c>
      <c r="R1298" s="2">
        <f t="shared" si="186"/>
        <v>19105.5</v>
      </c>
      <c r="S1298" s="2" t="str">
        <f t="shared" si="187"/>
        <v>Achieved</v>
      </c>
      <c r="T1298" s="2" t="str">
        <f t="shared" si="188"/>
        <v>Average</v>
      </c>
      <c r="U1298" s="2"/>
    </row>
    <row r="1299" spans="1:21" x14ac:dyDescent="0.3">
      <c r="A1299">
        <v>1298</v>
      </c>
      <c r="B1299" t="s">
        <v>1945</v>
      </c>
      <c r="C1299" t="str">
        <f t="shared" si="180"/>
        <v>EMP_1298</v>
      </c>
      <c r="D1299" t="s">
        <v>11</v>
      </c>
      <c r="E1299" t="str">
        <f t="shared" si="181"/>
        <v>EMP_1298Sales</v>
      </c>
      <c r="F1299" t="s">
        <v>7</v>
      </c>
      <c r="G1299" t="s">
        <v>19</v>
      </c>
      <c r="H1299">
        <v>73590</v>
      </c>
      <c r="I1299">
        <v>8513</v>
      </c>
      <c r="J1299">
        <v>275921</v>
      </c>
      <c r="K1299">
        <v>189852</v>
      </c>
      <c r="L1299" s="4" t="s">
        <v>1496</v>
      </c>
      <c r="M1299" s="4" t="str">
        <f t="shared" si="182"/>
        <v>7/26/2019</v>
      </c>
      <c r="N1299" s="1">
        <f t="shared" ca="1" si="183"/>
        <v>46064</v>
      </c>
      <c r="O1299" s="6" t="e">
        <f t="shared" ca="1" si="184"/>
        <v>#VALUE!</v>
      </c>
      <c r="P1299">
        <v>4</v>
      </c>
      <c r="Q1299">
        <f t="shared" si="185"/>
        <v>82103</v>
      </c>
      <c r="R1299" s="2">
        <f t="shared" si="186"/>
        <v>41051.5</v>
      </c>
      <c r="S1299" s="2" t="str">
        <f t="shared" si="187"/>
        <v>Achieved</v>
      </c>
      <c r="T1299" s="2" t="str">
        <f t="shared" si="188"/>
        <v xml:space="preserve"> Excellent</v>
      </c>
      <c r="U1299" s="2"/>
    </row>
    <row r="1300" spans="1:21" x14ac:dyDescent="0.3">
      <c r="A1300">
        <v>1299</v>
      </c>
      <c r="B1300" t="s">
        <v>1946</v>
      </c>
      <c r="C1300" t="str">
        <f t="shared" si="180"/>
        <v>EMP_1299</v>
      </c>
      <c r="D1300" t="s">
        <v>15</v>
      </c>
      <c r="E1300" t="str">
        <f t="shared" si="181"/>
        <v>EMP_1299Sales</v>
      </c>
      <c r="F1300" t="s">
        <v>7</v>
      </c>
      <c r="G1300" t="s">
        <v>25</v>
      </c>
      <c r="H1300">
        <v>63790</v>
      </c>
      <c r="I1300">
        <v>7847</v>
      </c>
      <c r="J1300">
        <v>253196</v>
      </c>
      <c r="K1300">
        <v>188887</v>
      </c>
      <c r="L1300" s="4" t="s">
        <v>1947</v>
      </c>
      <c r="M1300" s="4" t="str">
        <f t="shared" si="182"/>
        <v>3/17/2023</v>
      </c>
      <c r="N1300" s="1">
        <f t="shared" ca="1" si="183"/>
        <v>46064</v>
      </c>
      <c r="O1300" s="6" t="e">
        <f t="shared" ca="1" si="184"/>
        <v>#VALUE!</v>
      </c>
      <c r="P1300">
        <v>1</v>
      </c>
      <c r="Q1300">
        <f t="shared" si="185"/>
        <v>71637</v>
      </c>
      <c r="R1300" s="2">
        <f t="shared" si="186"/>
        <v>35818.5</v>
      </c>
      <c r="S1300" s="2" t="str">
        <f t="shared" si="187"/>
        <v>Achieved</v>
      </c>
      <c r="T1300" s="2" t="str">
        <f t="shared" si="188"/>
        <v xml:space="preserve"> Excellent</v>
      </c>
      <c r="U1300" s="2"/>
    </row>
    <row r="1301" spans="1:21" x14ac:dyDescent="0.3">
      <c r="A1301">
        <v>1300</v>
      </c>
      <c r="B1301" t="s">
        <v>1948</v>
      </c>
      <c r="C1301" t="str">
        <f t="shared" si="180"/>
        <v>EMP_1300</v>
      </c>
      <c r="D1301" t="s">
        <v>11</v>
      </c>
      <c r="E1301" t="str">
        <f t="shared" si="181"/>
        <v>EMP_1300Sales</v>
      </c>
      <c r="F1301" t="s">
        <v>7</v>
      </c>
      <c r="G1301" t="s">
        <v>13</v>
      </c>
      <c r="H1301">
        <v>57319</v>
      </c>
      <c r="I1301">
        <v>13346</v>
      </c>
      <c r="J1301">
        <v>274059</v>
      </c>
      <c r="K1301">
        <v>136377</v>
      </c>
      <c r="L1301" s="4" t="s">
        <v>1949</v>
      </c>
      <c r="M1301" s="4" t="str">
        <f t="shared" si="182"/>
        <v>6/16/2018</v>
      </c>
      <c r="N1301" s="1">
        <f t="shared" ca="1" si="183"/>
        <v>46064</v>
      </c>
      <c r="O1301" s="6" t="e">
        <f t="shared" ca="1" si="184"/>
        <v>#VALUE!</v>
      </c>
      <c r="P1301">
        <v>1</v>
      </c>
      <c r="Q1301">
        <f t="shared" si="185"/>
        <v>70665</v>
      </c>
      <c r="R1301" s="2">
        <f t="shared" si="186"/>
        <v>35332.5</v>
      </c>
      <c r="S1301" s="2" t="str">
        <f t="shared" si="187"/>
        <v>Achieved</v>
      </c>
      <c r="T1301" s="2" t="str">
        <f t="shared" si="188"/>
        <v xml:space="preserve"> Excellent</v>
      </c>
      <c r="U1301" s="2"/>
    </row>
    <row r="1302" spans="1:21" x14ac:dyDescent="0.3">
      <c r="A1302">
        <v>1301</v>
      </c>
      <c r="B1302" t="s">
        <v>1950</v>
      </c>
      <c r="C1302" t="str">
        <f t="shared" si="180"/>
        <v>EMP_1301</v>
      </c>
      <c r="D1302" t="s">
        <v>15</v>
      </c>
      <c r="E1302" t="str">
        <f t="shared" si="181"/>
        <v>EMP_1301Marketing</v>
      </c>
      <c r="F1302" t="s">
        <v>24</v>
      </c>
      <c r="G1302" t="s">
        <v>22</v>
      </c>
      <c r="H1302">
        <v>23554</v>
      </c>
      <c r="I1302">
        <v>14953</v>
      </c>
      <c r="J1302">
        <v>0</v>
      </c>
      <c r="K1302">
        <v>0</v>
      </c>
      <c r="L1302" s="4" t="s">
        <v>1363</v>
      </c>
      <c r="M1302" s="4" t="str">
        <f t="shared" si="182"/>
        <v>11/16/2023</v>
      </c>
      <c r="N1302" s="1">
        <f t="shared" ca="1" si="183"/>
        <v>46064</v>
      </c>
      <c r="O1302" s="6" t="e">
        <f t="shared" ca="1" si="184"/>
        <v>#VALUE!</v>
      </c>
      <c r="P1302">
        <v>4</v>
      </c>
      <c r="Q1302">
        <f t="shared" si="185"/>
        <v>38507</v>
      </c>
      <c r="R1302" s="2">
        <f t="shared" si="186"/>
        <v>19253.5</v>
      </c>
      <c r="S1302" s="2" t="str">
        <f t="shared" si="187"/>
        <v xml:space="preserve"> Not Achieved</v>
      </c>
      <c r="T1302" s="2" t="str">
        <f t="shared" si="188"/>
        <v>poor</v>
      </c>
      <c r="U1302" s="2"/>
    </row>
    <row r="1303" spans="1:21" x14ac:dyDescent="0.3">
      <c r="A1303">
        <v>1302</v>
      </c>
      <c r="B1303" t="s">
        <v>1951</v>
      </c>
      <c r="C1303" t="str">
        <f t="shared" si="180"/>
        <v>EMP_1302</v>
      </c>
      <c r="D1303" t="s">
        <v>11</v>
      </c>
      <c r="E1303" t="str">
        <f t="shared" si="181"/>
        <v>EMP_1302Finance</v>
      </c>
      <c r="F1303" t="s">
        <v>18</v>
      </c>
      <c r="G1303" t="s">
        <v>22</v>
      </c>
      <c r="H1303">
        <v>37609</v>
      </c>
      <c r="I1303">
        <v>8676</v>
      </c>
      <c r="J1303">
        <v>0</v>
      </c>
      <c r="K1303">
        <v>0</v>
      </c>
      <c r="L1303" s="4">
        <v>44511</v>
      </c>
      <c r="M1303" s="4" t="str">
        <f t="shared" si="182"/>
        <v>2021</v>
      </c>
      <c r="N1303" s="1">
        <f t="shared" ca="1" si="183"/>
        <v>46064</v>
      </c>
      <c r="O1303" s="6">
        <f t="shared" ca="1" si="184"/>
        <v>4</v>
      </c>
      <c r="P1303">
        <v>2</v>
      </c>
      <c r="Q1303">
        <f t="shared" si="185"/>
        <v>46285</v>
      </c>
      <c r="R1303" s="2">
        <f t="shared" si="186"/>
        <v>23142.5</v>
      </c>
      <c r="S1303" s="2" t="str">
        <f t="shared" si="187"/>
        <v xml:space="preserve"> Not Achieved</v>
      </c>
      <c r="T1303" s="2" t="str">
        <f t="shared" si="188"/>
        <v>Average</v>
      </c>
      <c r="U1303" s="2"/>
    </row>
    <row r="1304" spans="1:21" x14ac:dyDescent="0.3">
      <c r="A1304">
        <v>1303</v>
      </c>
      <c r="B1304" t="s">
        <v>1952</v>
      </c>
      <c r="C1304" t="str">
        <f t="shared" si="180"/>
        <v>EMP_1303</v>
      </c>
      <c r="D1304" t="s">
        <v>15</v>
      </c>
      <c r="E1304" t="str">
        <f t="shared" si="181"/>
        <v>EMP_1303Finance</v>
      </c>
      <c r="F1304" t="s">
        <v>18</v>
      </c>
      <c r="G1304" t="s">
        <v>22</v>
      </c>
      <c r="H1304">
        <v>52951</v>
      </c>
      <c r="I1304">
        <v>11213</v>
      </c>
      <c r="J1304">
        <v>0</v>
      </c>
      <c r="K1304">
        <v>0</v>
      </c>
      <c r="L1304" s="4">
        <v>44936</v>
      </c>
      <c r="M1304" s="4" t="str">
        <f t="shared" si="182"/>
        <v>2023</v>
      </c>
      <c r="N1304" s="1">
        <f t="shared" ca="1" si="183"/>
        <v>46064</v>
      </c>
      <c r="O1304" s="6">
        <f t="shared" ca="1" si="184"/>
        <v>3</v>
      </c>
      <c r="P1304">
        <v>3</v>
      </c>
      <c r="Q1304">
        <f t="shared" si="185"/>
        <v>64164</v>
      </c>
      <c r="R1304" s="2">
        <f t="shared" si="186"/>
        <v>32082</v>
      </c>
      <c r="S1304" s="2" t="str">
        <f t="shared" si="187"/>
        <v xml:space="preserve"> Not Achieved</v>
      </c>
      <c r="T1304" s="2" t="str">
        <f t="shared" si="188"/>
        <v xml:space="preserve"> Excellent</v>
      </c>
      <c r="U1304" s="2"/>
    </row>
    <row r="1305" spans="1:21" x14ac:dyDescent="0.3">
      <c r="A1305">
        <v>1304</v>
      </c>
      <c r="B1305" t="s">
        <v>1953</v>
      </c>
      <c r="C1305" t="str">
        <f t="shared" si="180"/>
        <v>EMP_1304</v>
      </c>
      <c r="D1305" t="s">
        <v>11</v>
      </c>
      <c r="E1305" t="str">
        <f t="shared" si="181"/>
        <v>EMP_1304Sales</v>
      </c>
      <c r="F1305" t="s">
        <v>7</v>
      </c>
      <c r="G1305" t="s">
        <v>13</v>
      </c>
      <c r="H1305">
        <v>73980</v>
      </c>
      <c r="I1305">
        <v>9290</v>
      </c>
      <c r="J1305">
        <v>164126</v>
      </c>
      <c r="K1305">
        <v>85789</v>
      </c>
      <c r="L1305" s="4">
        <v>43983</v>
      </c>
      <c r="M1305" s="4" t="str">
        <f t="shared" si="182"/>
        <v>2020</v>
      </c>
      <c r="N1305" s="1">
        <f t="shared" ca="1" si="183"/>
        <v>46064</v>
      </c>
      <c r="O1305" s="6">
        <f t="shared" ca="1" si="184"/>
        <v>5</v>
      </c>
      <c r="P1305">
        <v>5</v>
      </c>
      <c r="Q1305">
        <f t="shared" si="185"/>
        <v>83270</v>
      </c>
      <c r="R1305" s="2">
        <f t="shared" si="186"/>
        <v>41635</v>
      </c>
      <c r="S1305" s="2" t="str">
        <f t="shared" si="187"/>
        <v>Achieved</v>
      </c>
      <c r="T1305" s="2" t="str">
        <f t="shared" si="188"/>
        <v xml:space="preserve"> Excellent</v>
      </c>
      <c r="U1305" s="2"/>
    </row>
    <row r="1306" spans="1:21" x14ac:dyDescent="0.3">
      <c r="A1306">
        <v>1305</v>
      </c>
      <c r="B1306" t="s">
        <v>1954</v>
      </c>
      <c r="C1306" t="str">
        <f t="shared" si="180"/>
        <v>EMP_1305</v>
      </c>
      <c r="D1306" t="s">
        <v>15</v>
      </c>
      <c r="E1306" t="str">
        <f t="shared" si="181"/>
        <v>EMP_1305HR</v>
      </c>
      <c r="F1306" t="s">
        <v>12</v>
      </c>
      <c r="G1306" t="s">
        <v>22</v>
      </c>
      <c r="H1306">
        <v>44745</v>
      </c>
      <c r="I1306">
        <v>10323</v>
      </c>
      <c r="J1306">
        <v>0</v>
      </c>
      <c r="K1306">
        <v>0</v>
      </c>
      <c r="L1306" s="4" t="s">
        <v>486</v>
      </c>
      <c r="M1306" s="4" t="str">
        <f t="shared" si="182"/>
        <v>3/13/2019</v>
      </c>
      <c r="N1306" s="1">
        <f t="shared" ca="1" si="183"/>
        <v>46064</v>
      </c>
      <c r="O1306" s="6" t="e">
        <f t="shared" ca="1" si="184"/>
        <v>#VALUE!</v>
      </c>
      <c r="P1306">
        <v>1</v>
      </c>
      <c r="Q1306">
        <f t="shared" si="185"/>
        <v>55068</v>
      </c>
      <c r="R1306" s="2">
        <f t="shared" si="186"/>
        <v>27534</v>
      </c>
      <c r="S1306" s="2" t="str">
        <f t="shared" si="187"/>
        <v xml:space="preserve"> Not Achieved</v>
      </c>
      <c r="T1306" s="2" t="str">
        <f t="shared" si="188"/>
        <v>Good</v>
      </c>
      <c r="U1306" s="2"/>
    </row>
    <row r="1307" spans="1:21" x14ac:dyDescent="0.3">
      <c r="A1307">
        <v>1306</v>
      </c>
      <c r="B1307" t="s">
        <v>1955</v>
      </c>
      <c r="C1307" t="str">
        <f t="shared" si="180"/>
        <v>EMP_1306</v>
      </c>
      <c r="D1307" t="s">
        <v>15</v>
      </c>
      <c r="E1307" t="str">
        <f t="shared" si="181"/>
        <v>EMP_1306HR</v>
      </c>
      <c r="F1307" t="s">
        <v>12</v>
      </c>
      <c r="G1307" t="s">
        <v>22</v>
      </c>
      <c r="H1307">
        <v>52692</v>
      </c>
      <c r="I1307">
        <v>11726</v>
      </c>
      <c r="J1307">
        <v>0</v>
      </c>
      <c r="K1307">
        <v>0</v>
      </c>
      <c r="L1307" s="4">
        <v>44355</v>
      </c>
      <c r="M1307" s="4" t="str">
        <f t="shared" si="182"/>
        <v>2021</v>
      </c>
      <c r="N1307" s="1">
        <f t="shared" ca="1" si="183"/>
        <v>46064</v>
      </c>
      <c r="O1307" s="6">
        <f t="shared" ca="1" si="184"/>
        <v>4</v>
      </c>
      <c r="P1307">
        <v>1</v>
      </c>
      <c r="Q1307">
        <f t="shared" si="185"/>
        <v>64418</v>
      </c>
      <c r="R1307" s="2">
        <f t="shared" si="186"/>
        <v>32209</v>
      </c>
      <c r="S1307" s="2" t="str">
        <f t="shared" si="187"/>
        <v xml:space="preserve"> Not Achieved</v>
      </c>
      <c r="T1307" s="2" t="str">
        <f t="shared" si="188"/>
        <v xml:space="preserve"> Excellent</v>
      </c>
      <c r="U1307" s="2"/>
    </row>
    <row r="1308" spans="1:21" x14ac:dyDescent="0.3">
      <c r="A1308">
        <v>1307</v>
      </c>
      <c r="B1308" t="s">
        <v>1956</v>
      </c>
      <c r="C1308" t="str">
        <f t="shared" si="180"/>
        <v>EMP_1307</v>
      </c>
      <c r="D1308" t="s">
        <v>11</v>
      </c>
      <c r="E1308" t="str">
        <f t="shared" si="181"/>
        <v>EMP_1307Finance</v>
      </c>
      <c r="F1308" t="s">
        <v>18</v>
      </c>
      <c r="G1308" t="s">
        <v>13</v>
      </c>
      <c r="H1308">
        <v>73514</v>
      </c>
      <c r="I1308">
        <v>4837</v>
      </c>
      <c r="J1308">
        <v>0</v>
      </c>
      <c r="K1308">
        <v>0</v>
      </c>
      <c r="L1308" s="4">
        <v>43408</v>
      </c>
      <c r="M1308" s="4" t="str">
        <f t="shared" si="182"/>
        <v>2018</v>
      </c>
      <c r="N1308" s="1">
        <f t="shared" ca="1" si="183"/>
        <v>46064</v>
      </c>
      <c r="O1308" s="6">
        <f t="shared" ca="1" si="184"/>
        <v>7</v>
      </c>
      <c r="P1308">
        <v>4</v>
      </c>
      <c r="Q1308">
        <f t="shared" si="185"/>
        <v>78351</v>
      </c>
      <c r="R1308" s="2">
        <f t="shared" si="186"/>
        <v>39175.5</v>
      </c>
      <c r="S1308" s="2" t="str">
        <f t="shared" si="187"/>
        <v xml:space="preserve"> Not Achieved</v>
      </c>
      <c r="T1308" s="2" t="str">
        <f t="shared" si="188"/>
        <v xml:space="preserve"> Excellent</v>
      </c>
      <c r="U1308" s="2"/>
    </row>
    <row r="1309" spans="1:21" x14ac:dyDescent="0.3">
      <c r="A1309">
        <v>1308</v>
      </c>
      <c r="B1309" t="s">
        <v>1957</v>
      </c>
      <c r="C1309" t="str">
        <f t="shared" si="180"/>
        <v>EMP_1308</v>
      </c>
      <c r="D1309" t="s">
        <v>11</v>
      </c>
      <c r="E1309" t="str">
        <f t="shared" si="181"/>
        <v>EMP_1308Finance</v>
      </c>
      <c r="F1309" t="s">
        <v>18</v>
      </c>
      <c r="G1309" t="s">
        <v>19</v>
      </c>
      <c r="H1309">
        <v>39414</v>
      </c>
      <c r="I1309">
        <v>12393</v>
      </c>
      <c r="J1309">
        <v>0</v>
      </c>
      <c r="K1309">
        <v>0</v>
      </c>
      <c r="L1309" s="4">
        <v>43807</v>
      </c>
      <c r="M1309" s="4" t="str">
        <f t="shared" si="182"/>
        <v>2019</v>
      </c>
      <c r="N1309" s="1">
        <f t="shared" ca="1" si="183"/>
        <v>46064</v>
      </c>
      <c r="O1309" s="6">
        <f t="shared" ca="1" si="184"/>
        <v>6</v>
      </c>
      <c r="P1309">
        <v>4</v>
      </c>
      <c r="Q1309">
        <f t="shared" si="185"/>
        <v>51807</v>
      </c>
      <c r="R1309" s="2">
        <f t="shared" si="186"/>
        <v>25903.5</v>
      </c>
      <c r="S1309" s="2" t="str">
        <f t="shared" si="187"/>
        <v xml:space="preserve"> Not Achieved</v>
      </c>
      <c r="T1309" s="2" t="str">
        <f t="shared" si="188"/>
        <v>Average</v>
      </c>
      <c r="U1309" s="2"/>
    </row>
    <row r="1310" spans="1:21" x14ac:dyDescent="0.3">
      <c r="A1310">
        <v>1309</v>
      </c>
      <c r="B1310" t="s">
        <v>1958</v>
      </c>
      <c r="C1310" t="str">
        <f t="shared" si="180"/>
        <v>EMP_1309</v>
      </c>
      <c r="D1310" t="s">
        <v>15</v>
      </c>
      <c r="E1310" t="str">
        <f t="shared" si="181"/>
        <v>EMP_1309Finance</v>
      </c>
      <c r="F1310" t="s">
        <v>18</v>
      </c>
      <c r="G1310" t="s">
        <v>25</v>
      </c>
      <c r="H1310">
        <v>45829</v>
      </c>
      <c r="I1310">
        <v>14742</v>
      </c>
      <c r="J1310">
        <v>0</v>
      </c>
      <c r="K1310">
        <v>0</v>
      </c>
      <c r="L1310" s="4" t="s">
        <v>1397</v>
      </c>
      <c r="M1310" s="4" t="str">
        <f t="shared" si="182"/>
        <v>8/30/2023</v>
      </c>
      <c r="N1310" s="1">
        <f t="shared" ca="1" si="183"/>
        <v>46064</v>
      </c>
      <c r="O1310" s="6" t="e">
        <f t="shared" ca="1" si="184"/>
        <v>#VALUE!</v>
      </c>
      <c r="P1310">
        <v>2</v>
      </c>
      <c r="Q1310">
        <f t="shared" si="185"/>
        <v>60571</v>
      </c>
      <c r="R1310" s="2">
        <f t="shared" si="186"/>
        <v>30285.5</v>
      </c>
      <c r="S1310" s="2" t="str">
        <f t="shared" si="187"/>
        <v xml:space="preserve"> Not Achieved</v>
      </c>
      <c r="T1310" s="2" t="str">
        <f t="shared" si="188"/>
        <v>Good</v>
      </c>
      <c r="U1310" s="2"/>
    </row>
    <row r="1311" spans="1:21" x14ac:dyDescent="0.3">
      <c r="A1311">
        <v>1310</v>
      </c>
      <c r="B1311" t="s">
        <v>1959</v>
      </c>
      <c r="C1311" t="str">
        <f t="shared" si="180"/>
        <v>EMP_1310</v>
      </c>
      <c r="D1311" t="s">
        <v>11</v>
      </c>
      <c r="E1311" t="str">
        <f t="shared" si="181"/>
        <v>EMP_1310HR</v>
      </c>
      <c r="F1311" t="s">
        <v>12</v>
      </c>
      <c r="G1311" t="s">
        <v>22</v>
      </c>
      <c r="H1311">
        <v>26631</v>
      </c>
      <c r="I1311">
        <v>6279</v>
      </c>
      <c r="J1311">
        <v>0</v>
      </c>
      <c r="K1311">
        <v>0</v>
      </c>
      <c r="L1311" s="4" t="s">
        <v>1960</v>
      </c>
      <c r="M1311" s="4" t="str">
        <f t="shared" si="182"/>
        <v>1/14/2024</v>
      </c>
      <c r="N1311" s="1">
        <f t="shared" ca="1" si="183"/>
        <v>46064</v>
      </c>
      <c r="O1311" s="6" t="e">
        <f t="shared" ca="1" si="184"/>
        <v>#VALUE!</v>
      </c>
      <c r="P1311">
        <v>5</v>
      </c>
      <c r="Q1311">
        <f t="shared" si="185"/>
        <v>32910</v>
      </c>
      <c r="R1311" s="2">
        <f t="shared" si="186"/>
        <v>16455</v>
      </c>
      <c r="S1311" s="2" t="str">
        <f t="shared" si="187"/>
        <v xml:space="preserve"> Not Achieved</v>
      </c>
      <c r="T1311" s="2" t="str">
        <f t="shared" si="188"/>
        <v>poor</v>
      </c>
      <c r="U1311" s="2"/>
    </row>
    <row r="1312" spans="1:21" x14ac:dyDescent="0.3">
      <c r="A1312">
        <v>1311</v>
      </c>
      <c r="B1312" t="s">
        <v>1961</v>
      </c>
      <c r="C1312" t="str">
        <f t="shared" si="180"/>
        <v>EMP_1311</v>
      </c>
      <c r="D1312" t="s">
        <v>11</v>
      </c>
      <c r="E1312" t="str">
        <f t="shared" si="181"/>
        <v>EMP_1311Sales</v>
      </c>
      <c r="F1312" t="s">
        <v>7</v>
      </c>
      <c r="G1312" t="s">
        <v>19</v>
      </c>
      <c r="H1312">
        <v>29716</v>
      </c>
      <c r="I1312">
        <v>10425</v>
      </c>
      <c r="J1312">
        <v>50385</v>
      </c>
      <c r="K1312">
        <v>234122</v>
      </c>
      <c r="L1312" s="4" t="s">
        <v>1962</v>
      </c>
      <c r="M1312" s="4" t="str">
        <f t="shared" si="182"/>
        <v>3/24/2019</v>
      </c>
      <c r="N1312" s="1">
        <f t="shared" ca="1" si="183"/>
        <v>46064</v>
      </c>
      <c r="O1312" s="6" t="e">
        <f t="shared" ca="1" si="184"/>
        <v>#VALUE!</v>
      </c>
      <c r="P1312">
        <v>5</v>
      </c>
      <c r="Q1312">
        <f t="shared" si="185"/>
        <v>40141</v>
      </c>
      <c r="R1312" s="2">
        <f t="shared" si="186"/>
        <v>20070.5</v>
      </c>
      <c r="S1312" s="2" t="str">
        <f t="shared" si="187"/>
        <v xml:space="preserve"> Not Achieved</v>
      </c>
      <c r="T1312" s="2" t="str">
        <f t="shared" si="188"/>
        <v>poor</v>
      </c>
      <c r="U1312" s="2"/>
    </row>
    <row r="1313" spans="1:21" x14ac:dyDescent="0.3">
      <c r="A1313">
        <v>1312</v>
      </c>
      <c r="B1313" t="s">
        <v>1963</v>
      </c>
      <c r="C1313" t="str">
        <f t="shared" si="180"/>
        <v>EMP_1312</v>
      </c>
      <c r="D1313" t="s">
        <v>15</v>
      </c>
      <c r="E1313" t="str">
        <f t="shared" si="181"/>
        <v>EMP_1312Marketing</v>
      </c>
      <c r="F1313" t="s">
        <v>24</v>
      </c>
      <c r="G1313" t="s">
        <v>13</v>
      </c>
      <c r="H1313">
        <v>62147</v>
      </c>
      <c r="I1313">
        <v>7171</v>
      </c>
      <c r="J1313">
        <v>0</v>
      </c>
      <c r="K1313">
        <v>0</v>
      </c>
      <c r="L1313" s="4" t="s">
        <v>1964</v>
      </c>
      <c r="M1313" s="4" t="str">
        <f t="shared" si="182"/>
        <v>3/23/2022</v>
      </c>
      <c r="N1313" s="1">
        <f t="shared" ca="1" si="183"/>
        <v>46064</v>
      </c>
      <c r="O1313" s="6" t="e">
        <f t="shared" ca="1" si="184"/>
        <v>#VALUE!</v>
      </c>
      <c r="P1313">
        <v>4</v>
      </c>
      <c r="Q1313">
        <f t="shared" si="185"/>
        <v>69318</v>
      </c>
      <c r="R1313" s="2">
        <f t="shared" si="186"/>
        <v>34659</v>
      </c>
      <c r="S1313" s="2" t="str">
        <f t="shared" si="187"/>
        <v xml:space="preserve"> Not Achieved</v>
      </c>
      <c r="T1313" s="2" t="str">
        <f t="shared" si="188"/>
        <v xml:space="preserve"> Excellent</v>
      </c>
      <c r="U1313" s="2"/>
    </row>
    <row r="1314" spans="1:21" x14ac:dyDescent="0.3">
      <c r="A1314">
        <v>1313</v>
      </c>
      <c r="B1314" t="s">
        <v>1965</v>
      </c>
      <c r="C1314" t="str">
        <f t="shared" si="180"/>
        <v>EMP_1313</v>
      </c>
      <c r="D1314" t="s">
        <v>11</v>
      </c>
      <c r="E1314" t="str">
        <f t="shared" si="181"/>
        <v>EMP_1313Sales</v>
      </c>
      <c r="F1314" t="s">
        <v>7</v>
      </c>
      <c r="G1314" t="s">
        <v>25</v>
      </c>
      <c r="H1314">
        <v>43110</v>
      </c>
      <c r="I1314">
        <v>13525</v>
      </c>
      <c r="J1314">
        <v>245122</v>
      </c>
      <c r="K1314">
        <v>82589</v>
      </c>
      <c r="L1314" s="4">
        <v>44387</v>
      </c>
      <c r="M1314" s="4" t="str">
        <f t="shared" si="182"/>
        <v>2021</v>
      </c>
      <c r="N1314" s="1">
        <f t="shared" ca="1" si="183"/>
        <v>46064</v>
      </c>
      <c r="O1314" s="6">
        <f t="shared" ca="1" si="184"/>
        <v>4</v>
      </c>
      <c r="P1314">
        <v>1</v>
      </c>
      <c r="Q1314">
        <f t="shared" si="185"/>
        <v>56635</v>
      </c>
      <c r="R1314" s="2">
        <f t="shared" si="186"/>
        <v>28317.5</v>
      </c>
      <c r="S1314" s="2" t="str">
        <f t="shared" si="187"/>
        <v>Achieved</v>
      </c>
      <c r="T1314" s="2" t="str">
        <f t="shared" si="188"/>
        <v>Good</v>
      </c>
      <c r="U1314" s="2"/>
    </row>
    <row r="1315" spans="1:21" x14ac:dyDescent="0.3">
      <c r="A1315">
        <v>1314</v>
      </c>
      <c r="B1315" t="s">
        <v>1966</v>
      </c>
      <c r="C1315" t="str">
        <f t="shared" si="180"/>
        <v>EMP_1314</v>
      </c>
      <c r="D1315" t="s">
        <v>11</v>
      </c>
      <c r="E1315" t="str">
        <f t="shared" si="181"/>
        <v>EMP_1314Marketing</v>
      </c>
      <c r="F1315" t="s">
        <v>24</v>
      </c>
      <c r="G1315" t="s">
        <v>25</v>
      </c>
      <c r="H1315">
        <v>35149</v>
      </c>
      <c r="I1315">
        <v>8397</v>
      </c>
      <c r="J1315">
        <v>0</v>
      </c>
      <c r="K1315">
        <v>0</v>
      </c>
      <c r="L1315" s="4">
        <v>43987</v>
      </c>
      <c r="M1315" s="4" t="str">
        <f t="shared" si="182"/>
        <v>2020</v>
      </c>
      <c r="N1315" s="1">
        <f t="shared" ca="1" si="183"/>
        <v>46064</v>
      </c>
      <c r="O1315" s="6">
        <f t="shared" ca="1" si="184"/>
        <v>5</v>
      </c>
      <c r="P1315">
        <v>5</v>
      </c>
      <c r="Q1315">
        <f t="shared" si="185"/>
        <v>43546</v>
      </c>
      <c r="R1315" s="2">
        <f t="shared" si="186"/>
        <v>21773</v>
      </c>
      <c r="S1315" s="2" t="str">
        <f t="shared" si="187"/>
        <v xml:space="preserve"> Not Achieved</v>
      </c>
      <c r="T1315" s="2" t="str">
        <f t="shared" si="188"/>
        <v>Average</v>
      </c>
      <c r="U1315" s="2"/>
    </row>
    <row r="1316" spans="1:21" x14ac:dyDescent="0.3">
      <c r="A1316">
        <v>1315</v>
      </c>
      <c r="B1316" t="s">
        <v>1967</v>
      </c>
      <c r="C1316" t="str">
        <f t="shared" si="180"/>
        <v>EMP_1315</v>
      </c>
      <c r="D1316" t="s">
        <v>15</v>
      </c>
      <c r="E1316" t="str">
        <f t="shared" si="181"/>
        <v>EMP_1315IT</v>
      </c>
      <c r="F1316" t="s">
        <v>21</v>
      </c>
      <c r="G1316" t="s">
        <v>22</v>
      </c>
      <c r="H1316">
        <v>24953</v>
      </c>
      <c r="I1316">
        <v>5220</v>
      </c>
      <c r="J1316">
        <v>0</v>
      </c>
      <c r="K1316">
        <v>0</v>
      </c>
      <c r="L1316" s="4" t="s">
        <v>1341</v>
      </c>
      <c r="M1316" s="4" t="str">
        <f t="shared" si="182"/>
        <v>5/27/2021</v>
      </c>
      <c r="N1316" s="1">
        <f t="shared" ca="1" si="183"/>
        <v>46064</v>
      </c>
      <c r="O1316" s="6" t="e">
        <f t="shared" ca="1" si="184"/>
        <v>#VALUE!</v>
      </c>
      <c r="P1316">
        <v>1</v>
      </c>
      <c r="Q1316">
        <f t="shared" si="185"/>
        <v>30173</v>
      </c>
      <c r="R1316" s="2">
        <f t="shared" si="186"/>
        <v>15086.5</v>
      </c>
      <c r="S1316" s="2" t="str">
        <f t="shared" si="187"/>
        <v xml:space="preserve"> Not Achieved</v>
      </c>
      <c r="T1316" s="2" t="str">
        <f t="shared" si="188"/>
        <v>poor</v>
      </c>
      <c r="U1316" s="2"/>
    </row>
    <row r="1317" spans="1:21" x14ac:dyDescent="0.3">
      <c r="A1317">
        <v>1316</v>
      </c>
      <c r="B1317" t="s">
        <v>1968</v>
      </c>
      <c r="C1317" t="str">
        <f t="shared" si="180"/>
        <v>EMP_1316</v>
      </c>
      <c r="D1317" t="s">
        <v>11</v>
      </c>
      <c r="E1317" t="str">
        <f t="shared" si="181"/>
        <v>EMP_1316HR</v>
      </c>
      <c r="F1317" t="s">
        <v>12</v>
      </c>
      <c r="G1317" t="s">
        <v>16</v>
      </c>
      <c r="H1317">
        <v>56115</v>
      </c>
      <c r="I1317">
        <v>12744</v>
      </c>
      <c r="J1317">
        <v>0</v>
      </c>
      <c r="K1317">
        <v>0</v>
      </c>
      <c r="L1317" s="4" t="s">
        <v>135</v>
      </c>
      <c r="M1317" s="4" t="str">
        <f t="shared" si="182"/>
        <v>3/15/2020</v>
      </c>
      <c r="N1317" s="1">
        <f t="shared" ca="1" si="183"/>
        <v>46064</v>
      </c>
      <c r="O1317" s="6" t="e">
        <f t="shared" ca="1" si="184"/>
        <v>#VALUE!</v>
      </c>
      <c r="P1317">
        <v>2</v>
      </c>
      <c r="Q1317">
        <f t="shared" si="185"/>
        <v>68859</v>
      </c>
      <c r="R1317" s="2">
        <f t="shared" si="186"/>
        <v>34429.5</v>
      </c>
      <c r="S1317" s="2" t="str">
        <f t="shared" si="187"/>
        <v xml:space="preserve"> Not Achieved</v>
      </c>
      <c r="T1317" s="2" t="str">
        <f t="shared" si="188"/>
        <v xml:space="preserve"> Excellent</v>
      </c>
      <c r="U1317" s="2"/>
    </row>
    <row r="1318" spans="1:21" x14ac:dyDescent="0.3">
      <c r="A1318">
        <v>1317</v>
      </c>
      <c r="B1318" t="s">
        <v>1969</v>
      </c>
      <c r="C1318" t="str">
        <f t="shared" si="180"/>
        <v>EMP_1317</v>
      </c>
      <c r="D1318" t="s">
        <v>11</v>
      </c>
      <c r="E1318" t="str">
        <f t="shared" si="181"/>
        <v>EMP_1317HR</v>
      </c>
      <c r="F1318" t="s">
        <v>12</v>
      </c>
      <c r="G1318" t="s">
        <v>25</v>
      </c>
      <c r="H1318">
        <v>28857</v>
      </c>
      <c r="I1318">
        <v>7200</v>
      </c>
      <c r="J1318">
        <v>0</v>
      </c>
      <c r="K1318">
        <v>0</v>
      </c>
      <c r="L1318" s="4">
        <v>45206</v>
      </c>
      <c r="M1318" s="4" t="str">
        <f t="shared" si="182"/>
        <v>2023</v>
      </c>
      <c r="N1318" s="1">
        <f t="shared" ca="1" si="183"/>
        <v>46064</v>
      </c>
      <c r="O1318" s="6">
        <f t="shared" ca="1" si="184"/>
        <v>2</v>
      </c>
      <c r="P1318">
        <v>5</v>
      </c>
      <c r="Q1318">
        <f t="shared" si="185"/>
        <v>36057</v>
      </c>
      <c r="R1318" s="2">
        <f t="shared" si="186"/>
        <v>18028.5</v>
      </c>
      <c r="S1318" s="2" t="str">
        <f t="shared" si="187"/>
        <v xml:space="preserve"> Not Achieved</v>
      </c>
      <c r="T1318" s="2" t="str">
        <f t="shared" si="188"/>
        <v>poor</v>
      </c>
      <c r="U1318" s="2"/>
    </row>
    <row r="1319" spans="1:21" x14ac:dyDescent="0.3">
      <c r="A1319">
        <v>1318</v>
      </c>
      <c r="B1319" t="s">
        <v>1970</v>
      </c>
      <c r="C1319" t="str">
        <f t="shared" si="180"/>
        <v>EMP_1318</v>
      </c>
      <c r="D1319" t="s">
        <v>11</v>
      </c>
      <c r="E1319" t="str">
        <f t="shared" si="181"/>
        <v>EMP_1318Marketing</v>
      </c>
      <c r="F1319" t="s">
        <v>24</v>
      </c>
      <c r="G1319" t="s">
        <v>22</v>
      </c>
      <c r="H1319">
        <v>29546</v>
      </c>
      <c r="I1319">
        <v>12273</v>
      </c>
      <c r="J1319">
        <v>0</v>
      </c>
      <c r="K1319">
        <v>0</v>
      </c>
      <c r="L1319" s="4" t="s">
        <v>1971</v>
      </c>
      <c r="M1319" s="4" t="str">
        <f t="shared" si="182"/>
        <v>12/25/2021</v>
      </c>
      <c r="N1319" s="1">
        <f t="shared" ca="1" si="183"/>
        <v>46064</v>
      </c>
      <c r="O1319" s="6" t="e">
        <f t="shared" ca="1" si="184"/>
        <v>#VALUE!</v>
      </c>
      <c r="P1319">
        <v>4</v>
      </c>
      <c r="Q1319">
        <f t="shared" si="185"/>
        <v>41819</v>
      </c>
      <c r="R1319" s="2">
        <f t="shared" si="186"/>
        <v>20909.5</v>
      </c>
      <c r="S1319" s="2" t="str">
        <f t="shared" si="187"/>
        <v xml:space="preserve"> Not Achieved</v>
      </c>
      <c r="T1319" s="2" t="str">
        <f t="shared" si="188"/>
        <v>poor</v>
      </c>
      <c r="U1319" s="2"/>
    </row>
    <row r="1320" spans="1:21" x14ac:dyDescent="0.3">
      <c r="A1320">
        <v>1319</v>
      </c>
      <c r="B1320" t="s">
        <v>1972</v>
      </c>
      <c r="C1320" t="str">
        <f t="shared" si="180"/>
        <v>EMP_1319</v>
      </c>
      <c r="D1320" t="s">
        <v>15</v>
      </c>
      <c r="E1320" t="str">
        <f t="shared" si="181"/>
        <v>EMP_1319IT</v>
      </c>
      <c r="F1320" t="s">
        <v>21</v>
      </c>
      <c r="G1320" t="s">
        <v>16</v>
      </c>
      <c r="H1320">
        <v>63463</v>
      </c>
      <c r="I1320">
        <v>3540</v>
      </c>
      <c r="J1320">
        <v>0</v>
      </c>
      <c r="K1320">
        <v>0</v>
      </c>
      <c r="L1320" s="4">
        <v>44448</v>
      </c>
      <c r="M1320" s="4" t="str">
        <f t="shared" si="182"/>
        <v>2021</v>
      </c>
      <c r="N1320" s="1">
        <f t="shared" ca="1" si="183"/>
        <v>46064</v>
      </c>
      <c r="O1320" s="6">
        <f t="shared" ca="1" si="184"/>
        <v>4</v>
      </c>
      <c r="P1320">
        <v>4</v>
      </c>
      <c r="Q1320">
        <f t="shared" si="185"/>
        <v>67003</v>
      </c>
      <c r="R1320" s="2">
        <f t="shared" si="186"/>
        <v>33501.5</v>
      </c>
      <c r="S1320" s="2" t="str">
        <f t="shared" si="187"/>
        <v xml:space="preserve"> Not Achieved</v>
      </c>
      <c r="T1320" s="2" t="str">
        <f t="shared" si="188"/>
        <v xml:space="preserve"> Excellent</v>
      </c>
      <c r="U1320" s="2"/>
    </row>
    <row r="1321" spans="1:21" x14ac:dyDescent="0.3">
      <c r="A1321">
        <v>1320</v>
      </c>
      <c r="B1321" t="s">
        <v>1973</v>
      </c>
      <c r="C1321" t="str">
        <f t="shared" si="180"/>
        <v>EMP_1320</v>
      </c>
      <c r="D1321" t="s">
        <v>15</v>
      </c>
      <c r="E1321" t="str">
        <f t="shared" si="181"/>
        <v>EMP_1320Sales</v>
      </c>
      <c r="F1321" t="s">
        <v>7</v>
      </c>
      <c r="G1321" t="s">
        <v>22</v>
      </c>
      <c r="H1321">
        <v>53698</v>
      </c>
      <c r="I1321">
        <v>4786</v>
      </c>
      <c r="J1321">
        <v>236973</v>
      </c>
      <c r="K1321">
        <v>187964</v>
      </c>
      <c r="L1321" s="4" t="s">
        <v>1974</v>
      </c>
      <c r="M1321" s="4" t="str">
        <f t="shared" si="182"/>
        <v>5/30/2019</v>
      </c>
      <c r="N1321" s="1">
        <f t="shared" ca="1" si="183"/>
        <v>46064</v>
      </c>
      <c r="O1321" s="6" t="e">
        <f t="shared" ca="1" si="184"/>
        <v>#VALUE!</v>
      </c>
      <c r="P1321">
        <v>3</v>
      </c>
      <c r="Q1321">
        <f t="shared" si="185"/>
        <v>58484</v>
      </c>
      <c r="R1321" s="2">
        <f t="shared" si="186"/>
        <v>29242</v>
      </c>
      <c r="S1321" s="2" t="str">
        <f t="shared" si="187"/>
        <v>Achieved</v>
      </c>
      <c r="T1321" s="2" t="str">
        <f t="shared" si="188"/>
        <v xml:space="preserve"> Excellent</v>
      </c>
      <c r="U1321" s="2"/>
    </row>
    <row r="1322" spans="1:21" x14ac:dyDescent="0.3">
      <c r="A1322">
        <v>1321</v>
      </c>
      <c r="B1322" t="s">
        <v>1975</v>
      </c>
      <c r="C1322" t="str">
        <f t="shared" si="180"/>
        <v>EMP_1321</v>
      </c>
      <c r="D1322" t="s">
        <v>11</v>
      </c>
      <c r="E1322" t="str">
        <f t="shared" si="181"/>
        <v>EMP_1321Finance</v>
      </c>
      <c r="F1322" t="s">
        <v>18</v>
      </c>
      <c r="G1322" t="s">
        <v>13</v>
      </c>
      <c r="H1322">
        <v>57687</v>
      </c>
      <c r="I1322">
        <v>12865</v>
      </c>
      <c r="J1322">
        <v>0</v>
      </c>
      <c r="K1322">
        <v>0</v>
      </c>
      <c r="L1322" s="4" t="s">
        <v>1976</v>
      </c>
      <c r="M1322" s="4" t="str">
        <f t="shared" si="182"/>
        <v>5/17/2020</v>
      </c>
      <c r="N1322" s="1">
        <f t="shared" ca="1" si="183"/>
        <v>46064</v>
      </c>
      <c r="O1322" s="6" t="e">
        <f t="shared" ca="1" si="184"/>
        <v>#VALUE!</v>
      </c>
      <c r="P1322">
        <v>4</v>
      </c>
      <c r="Q1322">
        <f t="shared" si="185"/>
        <v>70552</v>
      </c>
      <c r="R1322" s="2">
        <f t="shared" si="186"/>
        <v>35276</v>
      </c>
      <c r="S1322" s="2" t="str">
        <f t="shared" si="187"/>
        <v xml:space="preserve"> Not Achieved</v>
      </c>
      <c r="T1322" s="2" t="str">
        <f t="shared" si="188"/>
        <v xml:space="preserve"> Excellent</v>
      </c>
      <c r="U1322" s="2"/>
    </row>
    <row r="1323" spans="1:21" x14ac:dyDescent="0.3">
      <c r="A1323">
        <v>1322</v>
      </c>
      <c r="B1323" t="s">
        <v>1977</v>
      </c>
      <c r="C1323" t="str">
        <f t="shared" si="180"/>
        <v>EMP_1322</v>
      </c>
      <c r="D1323" t="s">
        <v>15</v>
      </c>
      <c r="E1323" t="str">
        <f t="shared" si="181"/>
        <v>EMP_1322HR</v>
      </c>
      <c r="F1323" t="s">
        <v>12</v>
      </c>
      <c r="G1323" t="s">
        <v>22</v>
      </c>
      <c r="H1323">
        <v>28525</v>
      </c>
      <c r="I1323">
        <v>2332</v>
      </c>
      <c r="J1323">
        <v>0</v>
      </c>
      <c r="K1323">
        <v>0</v>
      </c>
      <c r="L1323" s="4" t="s">
        <v>1978</v>
      </c>
      <c r="M1323" s="4" t="str">
        <f t="shared" si="182"/>
        <v>1/27/2020</v>
      </c>
      <c r="N1323" s="1">
        <f t="shared" ca="1" si="183"/>
        <v>46064</v>
      </c>
      <c r="O1323" s="6" t="e">
        <f t="shared" ca="1" si="184"/>
        <v>#VALUE!</v>
      </c>
      <c r="P1323">
        <v>3</v>
      </c>
      <c r="Q1323">
        <f t="shared" si="185"/>
        <v>30857</v>
      </c>
      <c r="R1323" s="2">
        <f t="shared" si="186"/>
        <v>15428.5</v>
      </c>
      <c r="S1323" s="2" t="str">
        <f t="shared" si="187"/>
        <v xml:space="preserve"> Not Achieved</v>
      </c>
      <c r="T1323" s="2" t="str">
        <f t="shared" si="188"/>
        <v>poor</v>
      </c>
      <c r="U1323" s="2"/>
    </row>
    <row r="1324" spans="1:21" x14ac:dyDescent="0.3">
      <c r="A1324">
        <v>1323</v>
      </c>
      <c r="B1324" t="s">
        <v>1979</v>
      </c>
      <c r="C1324" t="str">
        <f t="shared" si="180"/>
        <v>EMP_1323</v>
      </c>
      <c r="D1324" t="s">
        <v>15</v>
      </c>
      <c r="E1324" t="str">
        <f t="shared" si="181"/>
        <v>EMP_1323HR</v>
      </c>
      <c r="F1324" t="s">
        <v>12</v>
      </c>
      <c r="G1324" t="s">
        <v>19</v>
      </c>
      <c r="H1324">
        <v>25214</v>
      </c>
      <c r="I1324">
        <v>2734</v>
      </c>
      <c r="J1324">
        <v>0</v>
      </c>
      <c r="K1324">
        <v>0</v>
      </c>
      <c r="L1324" s="4">
        <v>45027</v>
      </c>
      <c r="M1324" s="4" t="str">
        <f t="shared" si="182"/>
        <v>2023</v>
      </c>
      <c r="N1324" s="1">
        <f t="shared" ca="1" si="183"/>
        <v>46064</v>
      </c>
      <c r="O1324" s="6">
        <f t="shared" ca="1" si="184"/>
        <v>2</v>
      </c>
      <c r="P1324">
        <v>1</v>
      </c>
      <c r="Q1324">
        <f t="shared" si="185"/>
        <v>27948</v>
      </c>
      <c r="R1324" s="2">
        <f t="shared" si="186"/>
        <v>13974</v>
      </c>
      <c r="S1324" s="2" t="str">
        <f t="shared" si="187"/>
        <v xml:space="preserve"> Not Achieved</v>
      </c>
      <c r="T1324" s="2" t="str">
        <f t="shared" si="188"/>
        <v>poor</v>
      </c>
      <c r="U1324" s="2"/>
    </row>
    <row r="1325" spans="1:21" x14ac:dyDescent="0.3">
      <c r="A1325">
        <v>1324</v>
      </c>
      <c r="B1325" t="s">
        <v>1980</v>
      </c>
      <c r="C1325" t="str">
        <f t="shared" si="180"/>
        <v>EMP_1324</v>
      </c>
      <c r="D1325" t="s">
        <v>15</v>
      </c>
      <c r="E1325" t="str">
        <f t="shared" si="181"/>
        <v>EMP_1324IT</v>
      </c>
      <c r="F1325" t="s">
        <v>21</v>
      </c>
      <c r="G1325" t="s">
        <v>25</v>
      </c>
      <c r="H1325">
        <v>57240</v>
      </c>
      <c r="I1325">
        <v>4674</v>
      </c>
      <c r="J1325">
        <v>0</v>
      </c>
      <c r="K1325">
        <v>0</v>
      </c>
      <c r="L1325" s="4">
        <v>44785</v>
      </c>
      <c r="M1325" s="4" t="str">
        <f t="shared" si="182"/>
        <v>2022</v>
      </c>
      <c r="N1325" s="1">
        <f t="shared" ca="1" si="183"/>
        <v>46064</v>
      </c>
      <c r="O1325" s="6">
        <f t="shared" ca="1" si="184"/>
        <v>3</v>
      </c>
      <c r="P1325">
        <v>5</v>
      </c>
      <c r="Q1325">
        <f t="shared" si="185"/>
        <v>61914</v>
      </c>
      <c r="R1325" s="2">
        <f t="shared" si="186"/>
        <v>30957</v>
      </c>
      <c r="S1325" s="2" t="str">
        <f t="shared" si="187"/>
        <v xml:space="preserve"> Not Achieved</v>
      </c>
      <c r="T1325" s="2" t="str">
        <f t="shared" si="188"/>
        <v xml:space="preserve"> Excellent</v>
      </c>
      <c r="U1325" s="2"/>
    </row>
    <row r="1326" spans="1:21" x14ac:dyDescent="0.3">
      <c r="A1326">
        <v>1325</v>
      </c>
      <c r="B1326" t="s">
        <v>1981</v>
      </c>
      <c r="C1326" t="str">
        <f t="shared" si="180"/>
        <v>EMP_1325</v>
      </c>
      <c r="D1326" t="s">
        <v>15</v>
      </c>
      <c r="E1326" t="str">
        <f t="shared" si="181"/>
        <v>EMP_1325Sales</v>
      </c>
      <c r="F1326" t="s">
        <v>7</v>
      </c>
      <c r="G1326" t="s">
        <v>25</v>
      </c>
      <c r="H1326">
        <v>61046</v>
      </c>
      <c r="I1326">
        <v>4011</v>
      </c>
      <c r="J1326">
        <v>206442</v>
      </c>
      <c r="K1326">
        <v>119820</v>
      </c>
      <c r="L1326" s="4" t="s">
        <v>135</v>
      </c>
      <c r="M1326" s="4" t="str">
        <f t="shared" si="182"/>
        <v>3/15/2020</v>
      </c>
      <c r="N1326" s="1">
        <f t="shared" ca="1" si="183"/>
        <v>46064</v>
      </c>
      <c r="O1326" s="6" t="e">
        <f t="shared" ca="1" si="184"/>
        <v>#VALUE!</v>
      </c>
      <c r="P1326">
        <v>4</v>
      </c>
      <c r="Q1326">
        <f t="shared" si="185"/>
        <v>65057</v>
      </c>
      <c r="R1326" s="2">
        <f t="shared" si="186"/>
        <v>32528.5</v>
      </c>
      <c r="S1326" s="2" t="str">
        <f t="shared" si="187"/>
        <v>Achieved</v>
      </c>
      <c r="T1326" s="2" t="str">
        <f t="shared" si="188"/>
        <v xml:space="preserve"> Excellent</v>
      </c>
      <c r="U1326" s="2"/>
    </row>
    <row r="1327" spans="1:21" x14ac:dyDescent="0.3">
      <c r="A1327">
        <v>1326</v>
      </c>
      <c r="B1327" t="s">
        <v>1982</v>
      </c>
      <c r="C1327" t="str">
        <f t="shared" si="180"/>
        <v>EMP_1326</v>
      </c>
      <c r="D1327" t="s">
        <v>15</v>
      </c>
      <c r="E1327" t="str">
        <f t="shared" si="181"/>
        <v>EMP_1326HR</v>
      </c>
      <c r="F1327" t="s">
        <v>12</v>
      </c>
      <c r="G1327" t="s">
        <v>22</v>
      </c>
      <c r="H1327">
        <v>53086</v>
      </c>
      <c r="I1327">
        <v>9877</v>
      </c>
      <c r="J1327">
        <v>0</v>
      </c>
      <c r="K1327">
        <v>0</v>
      </c>
      <c r="L1327" s="4">
        <v>44235</v>
      </c>
      <c r="M1327" s="4" t="str">
        <f t="shared" si="182"/>
        <v>2021</v>
      </c>
      <c r="N1327" s="1">
        <f t="shared" ca="1" si="183"/>
        <v>46064</v>
      </c>
      <c r="O1327" s="6">
        <f t="shared" ca="1" si="184"/>
        <v>5</v>
      </c>
      <c r="P1327">
        <v>3</v>
      </c>
      <c r="Q1327">
        <f t="shared" si="185"/>
        <v>62963</v>
      </c>
      <c r="R1327" s="2">
        <f t="shared" si="186"/>
        <v>31481.5</v>
      </c>
      <c r="S1327" s="2" t="str">
        <f t="shared" si="187"/>
        <v xml:space="preserve"> Not Achieved</v>
      </c>
      <c r="T1327" s="2" t="str">
        <f t="shared" si="188"/>
        <v xml:space="preserve"> Excellent</v>
      </c>
      <c r="U1327" s="2"/>
    </row>
    <row r="1328" spans="1:21" x14ac:dyDescent="0.3">
      <c r="A1328">
        <v>1327</v>
      </c>
      <c r="B1328" t="s">
        <v>1983</v>
      </c>
      <c r="C1328" t="str">
        <f t="shared" si="180"/>
        <v>EMP_1327</v>
      </c>
      <c r="D1328" t="s">
        <v>15</v>
      </c>
      <c r="E1328" t="str">
        <f t="shared" si="181"/>
        <v>EMP_1327HR</v>
      </c>
      <c r="F1328" t="s">
        <v>12</v>
      </c>
      <c r="G1328" t="s">
        <v>25</v>
      </c>
      <c r="H1328">
        <v>32958</v>
      </c>
      <c r="I1328">
        <v>5443</v>
      </c>
      <c r="J1328">
        <v>0</v>
      </c>
      <c r="K1328">
        <v>0</v>
      </c>
      <c r="L1328" s="4">
        <v>44046</v>
      </c>
      <c r="M1328" s="4" t="str">
        <f t="shared" si="182"/>
        <v>2020</v>
      </c>
      <c r="N1328" s="1">
        <f t="shared" ca="1" si="183"/>
        <v>46064</v>
      </c>
      <c r="O1328" s="6">
        <f t="shared" ca="1" si="184"/>
        <v>5</v>
      </c>
      <c r="P1328">
        <v>1</v>
      </c>
      <c r="Q1328">
        <f t="shared" si="185"/>
        <v>38401</v>
      </c>
      <c r="R1328" s="2">
        <f t="shared" si="186"/>
        <v>19200.5</v>
      </c>
      <c r="S1328" s="2" t="str">
        <f t="shared" si="187"/>
        <v xml:space="preserve"> Not Achieved</v>
      </c>
      <c r="T1328" s="2" t="str">
        <f t="shared" si="188"/>
        <v>Average</v>
      </c>
      <c r="U1328" s="2"/>
    </row>
    <row r="1329" spans="1:21" x14ac:dyDescent="0.3">
      <c r="A1329">
        <v>1328</v>
      </c>
      <c r="B1329" t="s">
        <v>1984</v>
      </c>
      <c r="C1329" t="str">
        <f t="shared" si="180"/>
        <v>EMP_1328</v>
      </c>
      <c r="D1329" t="s">
        <v>11</v>
      </c>
      <c r="E1329" t="str">
        <f t="shared" si="181"/>
        <v>EMP_1328Finance</v>
      </c>
      <c r="F1329" t="s">
        <v>18</v>
      </c>
      <c r="G1329" t="s">
        <v>22</v>
      </c>
      <c r="H1329">
        <v>34564</v>
      </c>
      <c r="I1329">
        <v>4099</v>
      </c>
      <c r="J1329">
        <v>0</v>
      </c>
      <c r="K1329">
        <v>0</v>
      </c>
      <c r="L1329" s="4" t="s">
        <v>1985</v>
      </c>
      <c r="M1329" s="4" t="str">
        <f t="shared" si="182"/>
        <v>7/18/2018</v>
      </c>
      <c r="N1329" s="1">
        <f t="shared" ca="1" si="183"/>
        <v>46064</v>
      </c>
      <c r="O1329" s="6" t="e">
        <f t="shared" ca="1" si="184"/>
        <v>#VALUE!</v>
      </c>
      <c r="P1329">
        <v>1</v>
      </c>
      <c r="Q1329">
        <f t="shared" si="185"/>
        <v>38663</v>
      </c>
      <c r="R1329" s="2">
        <f t="shared" si="186"/>
        <v>19331.5</v>
      </c>
      <c r="S1329" s="2" t="str">
        <f t="shared" si="187"/>
        <v xml:space="preserve"> Not Achieved</v>
      </c>
      <c r="T1329" s="2" t="str">
        <f t="shared" si="188"/>
        <v>Average</v>
      </c>
      <c r="U1329" s="2"/>
    </row>
    <row r="1330" spans="1:21" x14ac:dyDescent="0.3">
      <c r="A1330">
        <v>1329</v>
      </c>
      <c r="B1330" t="s">
        <v>1986</v>
      </c>
      <c r="C1330" t="str">
        <f t="shared" si="180"/>
        <v>EMP_1329</v>
      </c>
      <c r="D1330" t="s">
        <v>15</v>
      </c>
      <c r="E1330" t="str">
        <f t="shared" si="181"/>
        <v>EMP_1329Sales</v>
      </c>
      <c r="F1330" t="s">
        <v>7</v>
      </c>
      <c r="G1330" t="s">
        <v>22</v>
      </c>
      <c r="H1330">
        <v>25072</v>
      </c>
      <c r="I1330">
        <v>9939</v>
      </c>
      <c r="J1330">
        <v>232902</v>
      </c>
      <c r="K1330">
        <v>208135</v>
      </c>
      <c r="L1330" s="4" t="s">
        <v>1987</v>
      </c>
      <c r="M1330" s="4" t="str">
        <f t="shared" si="182"/>
        <v>10/15/2021</v>
      </c>
      <c r="N1330" s="1">
        <f t="shared" ca="1" si="183"/>
        <v>46064</v>
      </c>
      <c r="O1330" s="6" t="e">
        <f t="shared" ca="1" si="184"/>
        <v>#VALUE!</v>
      </c>
      <c r="P1330">
        <v>3</v>
      </c>
      <c r="Q1330">
        <f t="shared" si="185"/>
        <v>35011</v>
      </c>
      <c r="R1330" s="2">
        <f t="shared" si="186"/>
        <v>17505.5</v>
      </c>
      <c r="S1330" s="2" t="str">
        <f t="shared" si="187"/>
        <v>Achieved</v>
      </c>
      <c r="T1330" s="2" t="str">
        <f t="shared" si="188"/>
        <v>poor</v>
      </c>
      <c r="U1330" s="2"/>
    </row>
    <row r="1331" spans="1:21" x14ac:dyDescent="0.3">
      <c r="A1331">
        <v>1330</v>
      </c>
      <c r="B1331" t="s">
        <v>1988</v>
      </c>
      <c r="C1331" t="str">
        <f t="shared" si="180"/>
        <v>EMP_1330</v>
      </c>
      <c r="D1331" t="s">
        <v>11</v>
      </c>
      <c r="E1331" t="str">
        <f t="shared" si="181"/>
        <v>EMP_1330Finance</v>
      </c>
      <c r="F1331" t="s">
        <v>18</v>
      </c>
      <c r="G1331" t="s">
        <v>16</v>
      </c>
      <c r="H1331">
        <v>38771</v>
      </c>
      <c r="I1331">
        <v>4507</v>
      </c>
      <c r="J1331">
        <v>0</v>
      </c>
      <c r="K1331">
        <v>0</v>
      </c>
      <c r="L1331" s="4" t="s">
        <v>1989</v>
      </c>
      <c r="M1331" s="4" t="str">
        <f t="shared" si="182"/>
        <v>6/20/2018</v>
      </c>
      <c r="N1331" s="1">
        <f t="shared" ca="1" si="183"/>
        <v>46064</v>
      </c>
      <c r="O1331" s="6" t="e">
        <f t="shared" ca="1" si="184"/>
        <v>#VALUE!</v>
      </c>
      <c r="P1331">
        <v>5</v>
      </c>
      <c r="Q1331">
        <f t="shared" si="185"/>
        <v>43278</v>
      </c>
      <c r="R1331" s="2">
        <f t="shared" si="186"/>
        <v>21639</v>
      </c>
      <c r="S1331" s="2" t="str">
        <f t="shared" si="187"/>
        <v xml:space="preserve"> Not Achieved</v>
      </c>
      <c r="T1331" s="2" t="str">
        <f t="shared" si="188"/>
        <v>Average</v>
      </c>
      <c r="U1331" s="2"/>
    </row>
    <row r="1332" spans="1:21" x14ac:dyDescent="0.3">
      <c r="A1332">
        <v>1331</v>
      </c>
      <c r="B1332" t="s">
        <v>1990</v>
      </c>
      <c r="C1332" t="str">
        <f t="shared" si="180"/>
        <v>EMP_1331</v>
      </c>
      <c r="D1332" t="s">
        <v>11</v>
      </c>
      <c r="E1332" t="str">
        <f t="shared" si="181"/>
        <v>EMP_1331Finance</v>
      </c>
      <c r="F1332" t="s">
        <v>18</v>
      </c>
      <c r="G1332" t="s">
        <v>22</v>
      </c>
      <c r="H1332">
        <v>29664</v>
      </c>
      <c r="I1332">
        <v>12514</v>
      </c>
      <c r="J1332">
        <v>0</v>
      </c>
      <c r="K1332">
        <v>0</v>
      </c>
      <c r="L1332" s="4" t="s">
        <v>48</v>
      </c>
      <c r="M1332" s="4" t="str">
        <f t="shared" si="182"/>
        <v>4/17/2020</v>
      </c>
      <c r="N1332" s="1">
        <f t="shared" ca="1" si="183"/>
        <v>46064</v>
      </c>
      <c r="O1332" s="6" t="e">
        <f t="shared" ca="1" si="184"/>
        <v>#VALUE!</v>
      </c>
      <c r="P1332">
        <v>2</v>
      </c>
      <c r="Q1332">
        <f t="shared" si="185"/>
        <v>42178</v>
      </c>
      <c r="R1332" s="2">
        <f t="shared" si="186"/>
        <v>21089</v>
      </c>
      <c r="S1332" s="2" t="str">
        <f t="shared" si="187"/>
        <v xml:space="preserve"> Not Achieved</v>
      </c>
      <c r="T1332" s="2" t="str">
        <f t="shared" si="188"/>
        <v>poor</v>
      </c>
      <c r="U1332" s="2"/>
    </row>
    <row r="1333" spans="1:21" x14ac:dyDescent="0.3">
      <c r="A1333">
        <v>1332</v>
      </c>
      <c r="B1333" t="s">
        <v>1991</v>
      </c>
      <c r="C1333" t="str">
        <f t="shared" si="180"/>
        <v>EMP_1332</v>
      </c>
      <c r="D1333" t="s">
        <v>15</v>
      </c>
      <c r="E1333" t="str">
        <f t="shared" si="181"/>
        <v>EMP_1332Marketing</v>
      </c>
      <c r="F1333" t="s">
        <v>24</v>
      </c>
      <c r="G1333" t="s">
        <v>25</v>
      </c>
      <c r="H1333">
        <v>45426</v>
      </c>
      <c r="I1333">
        <v>3908</v>
      </c>
      <c r="J1333">
        <v>0</v>
      </c>
      <c r="K1333">
        <v>0</v>
      </c>
      <c r="L1333" s="4">
        <v>43315</v>
      </c>
      <c r="M1333" s="4" t="str">
        <f t="shared" si="182"/>
        <v>2018</v>
      </c>
      <c r="N1333" s="1">
        <f t="shared" ca="1" si="183"/>
        <v>46064</v>
      </c>
      <c r="O1333" s="6">
        <f t="shared" ca="1" si="184"/>
        <v>7</v>
      </c>
      <c r="P1333">
        <v>5</v>
      </c>
      <c r="Q1333">
        <f t="shared" si="185"/>
        <v>49334</v>
      </c>
      <c r="R1333" s="2">
        <f t="shared" si="186"/>
        <v>24667</v>
      </c>
      <c r="S1333" s="2" t="str">
        <f t="shared" si="187"/>
        <v xml:space="preserve"> Not Achieved</v>
      </c>
      <c r="T1333" s="2" t="str">
        <f t="shared" si="188"/>
        <v>Good</v>
      </c>
      <c r="U1333" s="2"/>
    </row>
    <row r="1334" spans="1:21" x14ac:dyDescent="0.3">
      <c r="A1334">
        <v>1333</v>
      </c>
      <c r="B1334" t="s">
        <v>1992</v>
      </c>
      <c r="C1334" t="str">
        <f t="shared" si="180"/>
        <v>EMP_1333</v>
      </c>
      <c r="D1334" t="s">
        <v>15</v>
      </c>
      <c r="E1334" t="str">
        <f t="shared" si="181"/>
        <v>EMP_1333Marketing</v>
      </c>
      <c r="F1334" t="s">
        <v>24</v>
      </c>
      <c r="G1334" t="s">
        <v>22</v>
      </c>
      <c r="H1334">
        <v>50694</v>
      </c>
      <c r="I1334">
        <v>12120</v>
      </c>
      <c r="J1334">
        <v>0</v>
      </c>
      <c r="K1334">
        <v>0</v>
      </c>
      <c r="L1334" s="4" t="s">
        <v>1993</v>
      </c>
      <c r="M1334" s="4" t="str">
        <f t="shared" si="182"/>
        <v>5/24/2023</v>
      </c>
      <c r="N1334" s="1">
        <f t="shared" ca="1" si="183"/>
        <v>46064</v>
      </c>
      <c r="O1334" s="6" t="e">
        <f t="shared" ca="1" si="184"/>
        <v>#VALUE!</v>
      </c>
      <c r="P1334">
        <v>3</v>
      </c>
      <c r="Q1334">
        <f t="shared" si="185"/>
        <v>62814</v>
      </c>
      <c r="R1334" s="2">
        <f t="shared" si="186"/>
        <v>31407</v>
      </c>
      <c r="S1334" s="2" t="str">
        <f t="shared" si="187"/>
        <v xml:space="preserve"> Not Achieved</v>
      </c>
      <c r="T1334" s="2" t="str">
        <f t="shared" si="188"/>
        <v xml:space="preserve"> Excellent</v>
      </c>
      <c r="U1334" s="2"/>
    </row>
    <row r="1335" spans="1:21" x14ac:dyDescent="0.3">
      <c r="A1335">
        <v>1334</v>
      </c>
      <c r="B1335" t="s">
        <v>1994</v>
      </c>
      <c r="C1335" t="str">
        <f t="shared" si="180"/>
        <v>EMP_1334</v>
      </c>
      <c r="D1335" t="s">
        <v>11</v>
      </c>
      <c r="E1335" t="str">
        <f t="shared" si="181"/>
        <v>EMP_1334HR</v>
      </c>
      <c r="F1335" t="s">
        <v>12</v>
      </c>
      <c r="G1335" t="s">
        <v>22</v>
      </c>
      <c r="H1335">
        <v>58348</v>
      </c>
      <c r="I1335">
        <v>10623</v>
      </c>
      <c r="J1335">
        <v>0</v>
      </c>
      <c r="K1335">
        <v>0</v>
      </c>
      <c r="L1335" s="4" t="s">
        <v>1995</v>
      </c>
      <c r="M1335" s="4" t="str">
        <f t="shared" si="182"/>
        <v>10/16/2022</v>
      </c>
      <c r="N1335" s="1">
        <f t="shared" ca="1" si="183"/>
        <v>46064</v>
      </c>
      <c r="O1335" s="6" t="e">
        <f t="shared" ca="1" si="184"/>
        <v>#VALUE!</v>
      </c>
      <c r="P1335">
        <v>1</v>
      </c>
      <c r="Q1335">
        <f t="shared" si="185"/>
        <v>68971</v>
      </c>
      <c r="R1335" s="2">
        <f t="shared" si="186"/>
        <v>34485.5</v>
      </c>
      <c r="S1335" s="2" t="str">
        <f t="shared" si="187"/>
        <v xml:space="preserve"> Not Achieved</v>
      </c>
      <c r="T1335" s="2" t="str">
        <f t="shared" si="188"/>
        <v xml:space="preserve"> Excellent</v>
      </c>
      <c r="U1335" s="2"/>
    </row>
    <row r="1336" spans="1:21" x14ac:dyDescent="0.3">
      <c r="A1336">
        <v>1335</v>
      </c>
      <c r="B1336" t="s">
        <v>1996</v>
      </c>
      <c r="C1336" t="str">
        <f t="shared" si="180"/>
        <v>EMP_1335</v>
      </c>
      <c r="D1336" t="s">
        <v>11</v>
      </c>
      <c r="E1336" t="str">
        <f t="shared" si="181"/>
        <v>EMP_1335HR</v>
      </c>
      <c r="F1336" t="s">
        <v>12</v>
      </c>
      <c r="G1336" t="s">
        <v>25</v>
      </c>
      <c r="H1336">
        <v>53474</v>
      </c>
      <c r="I1336">
        <v>10693</v>
      </c>
      <c r="J1336">
        <v>0</v>
      </c>
      <c r="K1336">
        <v>0</v>
      </c>
      <c r="L1336" s="4">
        <v>44752</v>
      </c>
      <c r="M1336" s="4" t="str">
        <f t="shared" si="182"/>
        <v>2022</v>
      </c>
      <c r="N1336" s="1">
        <f t="shared" ca="1" si="183"/>
        <v>46064</v>
      </c>
      <c r="O1336" s="6">
        <f t="shared" ca="1" si="184"/>
        <v>3</v>
      </c>
      <c r="P1336">
        <v>4</v>
      </c>
      <c r="Q1336">
        <f t="shared" si="185"/>
        <v>64167</v>
      </c>
      <c r="R1336" s="2">
        <f t="shared" si="186"/>
        <v>32083.5</v>
      </c>
      <c r="S1336" s="2" t="str">
        <f t="shared" si="187"/>
        <v xml:space="preserve"> Not Achieved</v>
      </c>
      <c r="T1336" s="2" t="str">
        <f t="shared" si="188"/>
        <v xml:space="preserve"> Excellent</v>
      </c>
      <c r="U1336" s="2"/>
    </row>
    <row r="1337" spans="1:21" x14ac:dyDescent="0.3">
      <c r="A1337">
        <v>1336</v>
      </c>
      <c r="B1337" t="s">
        <v>1997</v>
      </c>
      <c r="C1337" t="str">
        <f t="shared" si="180"/>
        <v>EMP_1336</v>
      </c>
      <c r="D1337" t="s">
        <v>15</v>
      </c>
      <c r="E1337" t="str">
        <f t="shared" si="181"/>
        <v>EMP_1336Marketing</v>
      </c>
      <c r="F1337" t="s">
        <v>24</v>
      </c>
      <c r="G1337" t="s">
        <v>22</v>
      </c>
      <c r="H1337">
        <v>55447</v>
      </c>
      <c r="I1337">
        <v>4869</v>
      </c>
      <c r="J1337">
        <v>0</v>
      </c>
      <c r="K1337">
        <v>0</v>
      </c>
      <c r="L1337" s="4" t="s">
        <v>1989</v>
      </c>
      <c r="M1337" s="4" t="str">
        <f t="shared" si="182"/>
        <v>6/20/2018</v>
      </c>
      <c r="N1337" s="1">
        <f t="shared" ca="1" si="183"/>
        <v>46064</v>
      </c>
      <c r="O1337" s="6" t="e">
        <f t="shared" ca="1" si="184"/>
        <v>#VALUE!</v>
      </c>
      <c r="P1337">
        <v>5</v>
      </c>
      <c r="Q1337">
        <f t="shared" si="185"/>
        <v>60316</v>
      </c>
      <c r="R1337" s="2">
        <f t="shared" si="186"/>
        <v>30158</v>
      </c>
      <c r="S1337" s="2" t="str">
        <f t="shared" si="187"/>
        <v xml:space="preserve"> Not Achieved</v>
      </c>
      <c r="T1337" s="2" t="str">
        <f t="shared" si="188"/>
        <v xml:space="preserve"> Excellent</v>
      </c>
      <c r="U1337" s="2"/>
    </row>
    <row r="1338" spans="1:21" x14ac:dyDescent="0.3">
      <c r="A1338">
        <v>1337</v>
      </c>
      <c r="B1338" t="s">
        <v>1998</v>
      </c>
      <c r="C1338" t="str">
        <f t="shared" si="180"/>
        <v>EMP_1337</v>
      </c>
      <c r="D1338" t="s">
        <v>15</v>
      </c>
      <c r="E1338" t="str">
        <f t="shared" si="181"/>
        <v>EMP_1337Finance</v>
      </c>
      <c r="F1338" t="s">
        <v>18</v>
      </c>
      <c r="G1338" t="s">
        <v>22</v>
      </c>
      <c r="H1338">
        <v>60059</v>
      </c>
      <c r="I1338">
        <v>10353</v>
      </c>
      <c r="J1338">
        <v>0</v>
      </c>
      <c r="K1338">
        <v>0</v>
      </c>
      <c r="L1338" s="4" t="s">
        <v>1999</v>
      </c>
      <c r="M1338" s="4" t="str">
        <f t="shared" si="182"/>
        <v>11/25/2018</v>
      </c>
      <c r="N1338" s="1">
        <f t="shared" ca="1" si="183"/>
        <v>46064</v>
      </c>
      <c r="O1338" s="6" t="e">
        <f t="shared" ca="1" si="184"/>
        <v>#VALUE!</v>
      </c>
      <c r="P1338">
        <v>4</v>
      </c>
      <c r="Q1338">
        <f t="shared" si="185"/>
        <v>70412</v>
      </c>
      <c r="R1338" s="2">
        <f t="shared" si="186"/>
        <v>35206</v>
      </c>
      <c r="S1338" s="2" t="str">
        <f t="shared" si="187"/>
        <v xml:space="preserve"> Not Achieved</v>
      </c>
      <c r="T1338" s="2" t="str">
        <f t="shared" si="188"/>
        <v xml:space="preserve"> Excellent</v>
      </c>
      <c r="U1338" s="2"/>
    </row>
    <row r="1339" spans="1:21" x14ac:dyDescent="0.3">
      <c r="A1339">
        <v>1338</v>
      </c>
      <c r="B1339" t="s">
        <v>2000</v>
      </c>
      <c r="C1339" t="str">
        <f t="shared" si="180"/>
        <v>EMP_1338</v>
      </c>
      <c r="D1339" t="s">
        <v>15</v>
      </c>
      <c r="E1339" t="str">
        <f t="shared" si="181"/>
        <v>EMP_1338Finance</v>
      </c>
      <c r="F1339" t="s">
        <v>18</v>
      </c>
      <c r="G1339" t="s">
        <v>25</v>
      </c>
      <c r="H1339">
        <v>20437</v>
      </c>
      <c r="I1339">
        <v>13961</v>
      </c>
      <c r="J1339">
        <v>0</v>
      </c>
      <c r="K1339">
        <v>0</v>
      </c>
      <c r="L1339" s="4">
        <v>44419</v>
      </c>
      <c r="M1339" s="4" t="str">
        <f t="shared" si="182"/>
        <v>2021</v>
      </c>
      <c r="N1339" s="1">
        <f t="shared" ca="1" si="183"/>
        <v>46064</v>
      </c>
      <c r="O1339" s="6">
        <f t="shared" ca="1" si="184"/>
        <v>4</v>
      </c>
      <c r="P1339">
        <v>5</v>
      </c>
      <c r="Q1339">
        <f t="shared" si="185"/>
        <v>34398</v>
      </c>
      <c r="R1339" s="2">
        <f t="shared" si="186"/>
        <v>17199</v>
      </c>
      <c r="S1339" s="2" t="str">
        <f t="shared" si="187"/>
        <v xml:space="preserve"> Not Achieved</v>
      </c>
      <c r="T1339" s="2" t="str">
        <f t="shared" si="188"/>
        <v>poor</v>
      </c>
      <c r="U1339" s="2"/>
    </row>
    <row r="1340" spans="1:21" x14ac:dyDescent="0.3">
      <c r="A1340">
        <v>1339</v>
      </c>
      <c r="B1340" t="s">
        <v>2001</v>
      </c>
      <c r="C1340" t="str">
        <f t="shared" si="180"/>
        <v>EMP_1339</v>
      </c>
      <c r="D1340" t="s">
        <v>11</v>
      </c>
      <c r="E1340" t="str">
        <f t="shared" si="181"/>
        <v>EMP_1339HR</v>
      </c>
      <c r="F1340" t="s">
        <v>12</v>
      </c>
      <c r="G1340" t="s">
        <v>25</v>
      </c>
      <c r="H1340">
        <v>69391</v>
      </c>
      <c r="I1340">
        <v>9739</v>
      </c>
      <c r="J1340">
        <v>0</v>
      </c>
      <c r="K1340">
        <v>0</v>
      </c>
      <c r="L1340" s="4" t="s">
        <v>603</v>
      </c>
      <c r="M1340" s="4" t="str">
        <f t="shared" si="182"/>
        <v>7/21/2020</v>
      </c>
      <c r="N1340" s="1">
        <f t="shared" ca="1" si="183"/>
        <v>46064</v>
      </c>
      <c r="O1340" s="6" t="e">
        <f t="shared" ca="1" si="184"/>
        <v>#VALUE!</v>
      </c>
      <c r="P1340">
        <v>3</v>
      </c>
      <c r="Q1340">
        <f t="shared" si="185"/>
        <v>79130</v>
      </c>
      <c r="R1340" s="2">
        <f t="shared" si="186"/>
        <v>39565</v>
      </c>
      <c r="S1340" s="2" t="str">
        <f t="shared" si="187"/>
        <v xml:space="preserve"> Not Achieved</v>
      </c>
      <c r="T1340" s="2" t="str">
        <f t="shared" si="188"/>
        <v xml:space="preserve"> Excellent</v>
      </c>
      <c r="U1340" s="2"/>
    </row>
    <row r="1341" spans="1:21" x14ac:dyDescent="0.3">
      <c r="A1341">
        <v>1340</v>
      </c>
      <c r="B1341" t="s">
        <v>2002</v>
      </c>
      <c r="C1341" t="str">
        <f t="shared" si="180"/>
        <v>EMP_1340</v>
      </c>
      <c r="D1341" t="s">
        <v>11</v>
      </c>
      <c r="E1341" t="str">
        <f t="shared" si="181"/>
        <v>EMP_1340HR</v>
      </c>
      <c r="F1341" t="s">
        <v>12</v>
      </c>
      <c r="G1341" t="s">
        <v>16</v>
      </c>
      <c r="H1341">
        <v>44661</v>
      </c>
      <c r="I1341">
        <v>6753</v>
      </c>
      <c r="J1341">
        <v>0</v>
      </c>
      <c r="K1341">
        <v>0</v>
      </c>
      <c r="L1341" s="4">
        <v>45606</v>
      </c>
      <c r="M1341" s="4" t="str">
        <f t="shared" si="182"/>
        <v>2024</v>
      </c>
      <c r="N1341" s="1">
        <f t="shared" ca="1" si="183"/>
        <v>46064</v>
      </c>
      <c r="O1341" s="6">
        <f t="shared" ca="1" si="184"/>
        <v>1</v>
      </c>
      <c r="P1341">
        <v>4</v>
      </c>
      <c r="Q1341">
        <f t="shared" si="185"/>
        <v>51414</v>
      </c>
      <c r="R1341" s="2">
        <f t="shared" si="186"/>
        <v>25707</v>
      </c>
      <c r="S1341" s="2" t="str">
        <f t="shared" si="187"/>
        <v xml:space="preserve"> Not Achieved</v>
      </c>
      <c r="T1341" s="2" t="str">
        <f t="shared" si="188"/>
        <v>Good</v>
      </c>
      <c r="U1341" s="2"/>
    </row>
    <row r="1342" spans="1:21" x14ac:dyDescent="0.3">
      <c r="A1342">
        <v>1341</v>
      </c>
      <c r="B1342" t="s">
        <v>2003</v>
      </c>
      <c r="C1342" t="str">
        <f t="shared" si="180"/>
        <v>EMP_1341</v>
      </c>
      <c r="D1342" t="s">
        <v>15</v>
      </c>
      <c r="E1342" t="str">
        <f t="shared" si="181"/>
        <v>EMP_1341Marketing</v>
      </c>
      <c r="F1342" t="s">
        <v>24</v>
      </c>
      <c r="G1342" t="s">
        <v>22</v>
      </c>
      <c r="H1342">
        <v>72644</v>
      </c>
      <c r="I1342">
        <v>3398</v>
      </c>
      <c r="J1342">
        <v>0</v>
      </c>
      <c r="K1342">
        <v>0</v>
      </c>
      <c r="L1342" s="4" t="s">
        <v>2004</v>
      </c>
      <c r="M1342" s="4" t="str">
        <f t="shared" si="182"/>
        <v>3/21/2019</v>
      </c>
      <c r="N1342" s="1">
        <f t="shared" ca="1" si="183"/>
        <v>46064</v>
      </c>
      <c r="O1342" s="6" t="e">
        <f t="shared" ca="1" si="184"/>
        <v>#VALUE!</v>
      </c>
      <c r="P1342">
        <v>2</v>
      </c>
      <c r="Q1342">
        <f t="shared" si="185"/>
        <v>76042</v>
      </c>
      <c r="R1342" s="2">
        <f t="shared" si="186"/>
        <v>38021</v>
      </c>
      <c r="S1342" s="2" t="str">
        <f t="shared" si="187"/>
        <v xml:space="preserve"> Not Achieved</v>
      </c>
      <c r="T1342" s="2" t="str">
        <f t="shared" si="188"/>
        <v xml:space="preserve"> Excellent</v>
      </c>
      <c r="U1342" s="2"/>
    </row>
    <row r="1343" spans="1:21" x14ac:dyDescent="0.3">
      <c r="A1343">
        <v>1342</v>
      </c>
      <c r="B1343" t="s">
        <v>2005</v>
      </c>
      <c r="C1343" t="str">
        <f t="shared" si="180"/>
        <v>EMP_1342</v>
      </c>
      <c r="D1343" t="s">
        <v>15</v>
      </c>
      <c r="E1343" t="str">
        <f t="shared" si="181"/>
        <v>EMP_1342IT</v>
      </c>
      <c r="F1343" t="s">
        <v>21</v>
      </c>
      <c r="G1343" t="s">
        <v>19</v>
      </c>
      <c r="H1343">
        <v>47052</v>
      </c>
      <c r="I1343">
        <v>14798</v>
      </c>
      <c r="J1343">
        <v>0</v>
      </c>
      <c r="K1343">
        <v>0</v>
      </c>
      <c r="L1343" s="4">
        <v>45238</v>
      </c>
      <c r="M1343" s="4" t="str">
        <f t="shared" si="182"/>
        <v>2023</v>
      </c>
      <c r="N1343" s="1">
        <f t="shared" ca="1" si="183"/>
        <v>46064</v>
      </c>
      <c r="O1343" s="6">
        <f t="shared" ca="1" si="184"/>
        <v>2</v>
      </c>
      <c r="P1343">
        <v>4</v>
      </c>
      <c r="Q1343">
        <f t="shared" si="185"/>
        <v>61850</v>
      </c>
      <c r="R1343" s="2">
        <f t="shared" si="186"/>
        <v>30925</v>
      </c>
      <c r="S1343" s="2" t="str">
        <f t="shared" si="187"/>
        <v xml:space="preserve"> Not Achieved</v>
      </c>
      <c r="T1343" s="2" t="str">
        <f t="shared" si="188"/>
        <v>Good</v>
      </c>
      <c r="U1343" s="2"/>
    </row>
    <row r="1344" spans="1:21" x14ac:dyDescent="0.3">
      <c r="A1344">
        <v>1343</v>
      </c>
      <c r="B1344" t="s">
        <v>2006</v>
      </c>
      <c r="C1344" t="str">
        <f t="shared" si="180"/>
        <v>EMP_1343</v>
      </c>
      <c r="D1344" t="s">
        <v>11</v>
      </c>
      <c r="E1344" t="str">
        <f t="shared" si="181"/>
        <v>EMP_1343IT</v>
      </c>
      <c r="F1344" t="s">
        <v>21</v>
      </c>
      <c r="G1344" t="s">
        <v>19</v>
      </c>
      <c r="H1344">
        <v>24282</v>
      </c>
      <c r="I1344">
        <v>2568</v>
      </c>
      <c r="J1344">
        <v>0</v>
      </c>
      <c r="K1344">
        <v>0</v>
      </c>
      <c r="L1344" s="4">
        <v>43590</v>
      </c>
      <c r="M1344" s="4" t="str">
        <f t="shared" si="182"/>
        <v>2019</v>
      </c>
      <c r="N1344" s="1">
        <f t="shared" ca="1" si="183"/>
        <v>46064</v>
      </c>
      <c r="O1344" s="6">
        <f t="shared" ca="1" si="184"/>
        <v>6</v>
      </c>
      <c r="P1344">
        <v>5</v>
      </c>
      <c r="Q1344">
        <f t="shared" si="185"/>
        <v>26850</v>
      </c>
      <c r="R1344" s="2">
        <f t="shared" si="186"/>
        <v>13425</v>
      </c>
      <c r="S1344" s="2" t="str">
        <f t="shared" si="187"/>
        <v xml:space="preserve"> Not Achieved</v>
      </c>
      <c r="T1344" s="2" t="str">
        <f t="shared" si="188"/>
        <v>poor</v>
      </c>
      <c r="U1344" s="2"/>
    </row>
    <row r="1345" spans="1:21" x14ac:dyDescent="0.3">
      <c r="A1345">
        <v>1344</v>
      </c>
      <c r="B1345" t="s">
        <v>2007</v>
      </c>
      <c r="C1345" t="str">
        <f t="shared" si="180"/>
        <v>EMP_1344</v>
      </c>
      <c r="D1345" t="s">
        <v>15</v>
      </c>
      <c r="E1345" t="str">
        <f t="shared" si="181"/>
        <v>EMP_1344Finance</v>
      </c>
      <c r="F1345" t="s">
        <v>18</v>
      </c>
      <c r="G1345" t="s">
        <v>13</v>
      </c>
      <c r="H1345">
        <v>54697</v>
      </c>
      <c r="I1345">
        <v>6499</v>
      </c>
      <c r="J1345">
        <v>0</v>
      </c>
      <c r="K1345">
        <v>0</v>
      </c>
      <c r="L1345" s="4" t="s">
        <v>2008</v>
      </c>
      <c r="M1345" s="4" t="str">
        <f t="shared" si="182"/>
        <v>10/18/2021</v>
      </c>
      <c r="N1345" s="1">
        <f t="shared" ca="1" si="183"/>
        <v>46064</v>
      </c>
      <c r="O1345" s="6" t="e">
        <f t="shared" ca="1" si="184"/>
        <v>#VALUE!</v>
      </c>
      <c r="P1345">
        <v>1</v>
      </c>
      <c r="Q1345">
        <f t="shared" si="185"/>
        <v>61196</v>
      </c>
      <c r="R1345" s="2">
        <f t="shared" si="186"/>
        <v>30598</v>
      </c>
      <c r="S1345" s="2" t="str">
        <f t="shared" si="187"/>
        <v xml:space="preserve"> Not Achieved</v>
      </c>
      <c r="T1345" s="2" t="str">
        <f t="shared" si="188"/>
        <v xml:space="preserve"> Excellent</v>
      </c>
      <c r="U1345" s="2"/>
    </row>
    <row r="1346" spans="1:21" x14ac:dyDescent="0.3">
      <c r="A1346">
        <v>1345</v>
      </c>
      <c r="B1346" t="s">
        <v>2009</v>
      </c>
      <c r="C1346" t="str">
        <f t="shared" si="180"/>
        <v>EMP_1345</v>
      </c>
      <c r="D1346" t="s">
        <v>15</v>
      </c>
      <c r="E1346" t="str">
        <f t="shared" si="181"/>
        <v>EMP_1345Marketing</v>
      </c>
      <c r="F1346" t="s">
        <v>24</v>
      </c>
      <c r="G1346" t="s">
        <v>22</v>
      </c>
      <c r="H1346">
        <v>41210</v>
      </c>
      <c r="I1346">
        <v>5949</v>
      </c>
      <c r="J1346">
        <v>0</v>
      </c>
      <c r="K1346">
        <v>0</v>
      </c>
      <c r="L1346" s="4" t="s">
        <v>2010</v>
      </c>
      <c r="M1346" s="4" t="str">
        <f t="shared" si="182"/>
        <v>1/26/2021</v>
      </c>
      <c r="N1346" s="1">
        <f t="shared" ca="1" si="183"/>
        <v>46064</v>
      </c>
      <c r="O1346" s="6" t="e">
        <f t="shared" ca="1" si="184"/>
        <v>#VALUE!</v>
      </c>
      <c r="P1346">
        <v>5</v>
      </c>
      <c r="Q1346">
        <f t="shared" si="185"/>
        <v>47159</v>
      </c>
      <c r="R1346" s="2">
        <f t="shared" si="186"/>
        <v>23579.5</v>
      </c>
      <c r="S1346" s="2" t="str">
        <f t="shared" si="187"/>
        <v xml:space="preserve"> Not Achieved</v>
      </c>
      <c r="T1346" s="2" t="str">
        <f t="shared" si="188"/>
        <v>Good</v>
      </c>
      <c r="U1346" s="2"/>
    </row>
    <row r="1347" spans="1:21" x14ac:dyDescent="0.3">
      <c r="A1347">
        <v>1346</v>
      </c>
      <c r="B1347" t="s">
        <v>2011</v>
      </c>
      <c r="C1347" t="str">
        <f t="shared" ref="C1347:C1410" si="189">UPPER(B1347)</f>
        <v>EMP_1346</v>
      </c>
      <c r="D1347" t="s">
        <v>15</v>
      </c>
      <c r="E1347" t="str">
        <f t="shared" ref="E1347:E1410" si="190">_xlfn.CONCAT(C1347,F1347)</f>
        <v>EMP_1346HR</v>
      </c>
      <c r="F1347" t="s">
        <v>12</v>
      </c>
      <c r="G1347" t="s">
        <v>25</v>
      </c>
      <c r="H1347">
        <v>79955</v>
      </c>
      <c r="I1347">
        <v>4801</v>
      </c>
      <c r="J1347">
        <v>0</v>
      </c>
      <c r="K1347">
        <v>0</v>
      </c>
      <c r="L1347" s="4" t="s">
        <v>2012</v>
      </c>
      <c r="M1347" s="4" t="str">
        <f t="shared" ref="M1347:M1410" si="191">TEXT(L1347,"yyyy")</f>
        <v>8/30/2021</v>
      </c>
      <c r="N1347" s="1">
        <f t="shared" ref="N1347:N1410" ca="1" si="192">TODAY()</f>
        <v>46064</v>
      </c>
      <c r="O1347" s="6" t="e">
        <f t="shared" ref="O1347:O1410" ca="1" si="193">DATEDIF(L1347, TODAY(), "y")</f>
        <v>#VALUE!</v>
      </c>
      <c r="P1347">
        <v>1</v>
      </c>
      <c r="Q1347">
        <f t="shared" ref="Q1347:Q1410" si="194">SUM(H1347,I1347)</f>
        <v>84756</v>
      </c>
      <c r="R1347" s="2">
        <f t="shared" ref="R1347:R1410" si="195">AVERAGE(H1347,I1347)</f>
        <v>42378</v>
      </c>
      <c r="S1347" s="2" t="str">
        <f t="shared" ref="S1347:S1410" si="196">IF(J1347&gt;K1347,"Achieved"," Not Achieved")</f>
        <v xml:space="preserve"> Not Achieved</v>
      </c>
      <c r="T1347" s="2" t="str">
        <f t="shared" ref="T1347:T1410" si="197">_xlfn.IFS(H1347&gt;=50000," Excellent",H1347&gt;=40000,"Good",H1347&gt;=30000,"Average",H1347&lt;30000,"poor")</f>
        <v xml:space="preserve"> Excellent</v>
      </c>
      <c r="U1347" s="2"/>
    </row>
    <row r="1348" spans="1:21" x14ac:dyDescent="0.3">
      <c r="A1348">
        <v>1347</v>
      </c>
      <c r="B1348" t="s">
        <v>2013</v>
      </c>
      <c r="C1348" t="str">
        <f t="shared" si="189"/>
        <v>EMP_1347</v>
      </c>
      <c r="D1348" t="s">
        <v>11</v>
      </c>
      <c r="E1348" t="str">
        <f t="shared" si="190"/>
        <v>EMP_1347Sales</v>
      </c>
      <c r="F1348" t="s">
        <v>7</v>
      </c>
      <c r="G1348" t="s">
        <v>16</v>
      </c>
      <c r="H1348">
        <v>57132</v>
      </c>
      <c r="I1348">
        <v>13975</v>
      </c>
      <c r="J1348">
        <v>61322</v>
      </c>
      <c r="K1348">
        <v>165019</v>
      </c>
      <c r="L1348" s="4">
        <v>44779</v>
      </c>
      <c r="M1348" s="4" t="str">
        <f t="shared" si="191"/>
        <v>2022</v>
      </c>
      <c r="N1348" s="1">
        <f t="shared" ca="1" si="192"/>
        <v>46064</v>
      </c>
      <c r="O1348" s="6">
        <f t="shared" ca="1" si="193"/>
        <v>3</v>
      </c>
      <c r="P1348">
        <v>1</v>
      </c>
      <c r="Q1348">
        <f t="shared" si="194"/>
        <v>71107</v>
      </c>
      <c r="R1348" s="2">
        <f t="shared" si="195"/>
        <v>35553.5</v>
      </c>
      <c r="S1348" s="2" t="str">
        <f t="shared" si="196"/>
        <v xml:space="preserve"> Not Achieved</v>
      </c>
      <c r="T1348" s="2" t="str">
        <f t="shared" si="197"/>
        <v xml:space="preserve"> Excellent</v>
      </c>
      <c r="U1348" s="2"/>
    </row>
    <row r="1349" spans="1:21" x14ac:dyDescent="0.3">
      <c r="A1349">
        <v>1348</v>
      </c>
      <c r="B1349" t="s">
        <v>2014</v>
      </c>
      <c r="C1349" t="str">
        <f t="shared" si="189"/>
        <v>EMP_1348</v>
      </c>
      <c r="D1349" t="s">
        <v>15</v>
      </c>
      <c r="E1349" t="str">
        <f t="shared" si="190"/>
        <v>EMP_1348HR</v>
      </c>
      <c r="F1349" t="s">
        <v>12</v>
      </c>
      <c r="G1349" t="s">
        <v>25</v>
      </c>
      <c r="H1349">
        <v>74728</v>
      </c>
      <c r="I1349">
        <v>3864</v>
      </c>
      <c r="J1349">
        <v>0</v>
      </c>
      <c r="K1349">
        <v>0</v>
      </c>
      <c r="L1349" s="4" t="s">
        <v>629</v>
      </c>
      <c r="M1349" s="4" t="str">
        <f t="shared" si="191"/>
        <v>3/21/2023</v>
      </c>
      <c r="N1349" s="1">
        <f t="shared" ca="1" si="192"/>
        <v>46064</v>
      </c>
      <c r="O1349" s="6" t="e">
        <f t="shared" ca="1" si="193"/>
        <v>#VALUE!</v>
      </c>
      <c r="P1349">
        <v>3</v>
      </c>
      <c r="Q1349">
        <f t="shared" si="194"/>
        <v>78592</v>
      </c>
      <c r="R1349" s="2">
        <f t="shared" si="195"/>
        <v>39296</v>
      </c>
      <c r="S1349" s="2" t="str">
        <f t="shared" si="196"/>
        <v xml:space="preserve"> Not Achieved</v>
      </c>
      <c r="T1349" s="2" t="str">
        <f t="shared" si="197"/>
        <v xml:space="preserve"> Excellent</v>
      </c>
      <c r="U1349" s="2"/>
    </row>
    <row r="1350" spans="1:21" x14ac:dyDescent="0.3">
      <c r="A1350">
        <v>1349</v>
      </c>
      <c r="B1350" t="s">
        <v>2015</v>
      </c>
      <c r="C1350" t="str">
        <f t="shared" si="189"/>
        <v>EMP_1349</v>
      </c>
      <c r="D1350" t="s">
        <v>11</v>
      </c>
      <c r="E1350" t="str">
        <f t="shared" si="190"/>
        <v>EMP_1349Finance</v>
      </c>
      <c r="F1350" t="s">
        <v>18</v>
      </c>
      <c r="G1350" t="s">
        <v>16</v>
      </c>
      <c r="H1350">
        <v>64721</v>
      </c>
      <c r="I1350">
        <v>4032</v>
      </c>
      <c r="J1350">
        <v>0</v>
      </c>
      <c r="K1350">
        <v>0</v>
      </c>
      <c r="L1350" s="4" t="s">
        <v>274</v>
      </c>
      <c r="M1350" s="4" t="str">
        <f t="shared" si="191"/>
        <v>8/31/2023</v>
      </c>
      <c r="N1350" s="1">
        <f t="shared" ca="1" si="192"/>
        <v>46064</v>
      </c>
      <c r="O1350" s="6" t="e">
        <f t="shared" ca="1" si="193"/>
        <v>#VALUE!</v>
      </c>
      <c r="P1350">
        <v>1</v>
      </c>
      <c r="Q1350">
        <f t="shared" si="194"/>
        <v>68753</v>
      </c>
      <c r="R1350" s="2">
        <f t="shared" si="195"/>
        <v>34376.5</v>
      </c>
      <c r="S1350" s="2" t="str">
        <f t="shared" si="196"/>
        <v xml:space="preserve"> Not Achieved</v>
      </c>
      <c r="T1350" s="2" t="str">
        <f t="shared" si="197"/>
        <v xml:space="preserve"> Excellent</v>
      </c>
      <c r="U1350" s="2"/>
    </row>
    <row r="1351" spans="1:21" x14ac:dyDescent="0.3">
      <c r="A1351">
        <v>1350</v>
      </c>
      <c r="B1351" t="s">
        <v>2016</v>
      </c>
      <c r="C1351" t="str">
        <f t="shared" si="189"/>
        <v>EMP_1350</v>
      </c>
      <c r="D1351" t="s">
        <v>11</v>
      </c>
      <c r="E1351" t="str">
        <f t="shared" si="190"/>
        <v>EMP_1350Finance</v>
      </c>
      <c r="F1351" t="s">
        <v>18</v>
      </c>
      <c r="G1351" t="s">
        <v>25</v>
      </c>
      <c r="H1351">
        <v>20878</v>
      </c>
      <c r="I1351">
        <v>5635</v>
      </c>
      <c r="J1351">
        <v>0</v>
      </c>
      <c r="K1351">
        <v>0</v>
      </c>
      <c r="L1351" s="4">
        <v>45206</v>
      </c>
      <c r="M1351" s="4" t="str">
        <f t="shared" si="191"/>
        <v>2023</v>
      </c>
      <c r="N1351" s="1">
        <f t="shared" ca="1" si="192"/>
        <v>46064</v>
      </c>
      <c r="O1351" s="6">
        <f t="shared" ca="1" si="193"/>
        <v>2</v>
      </c>
      <c r="P1351">
        <v>3</v>
      </c>
      <c r="Q1351">
        <f t="shared" si="194"/>
        <v>26513</v>
      </c>
      <c r="R1351" s="2">
        <f t="shared" si="195"/>
        <v>13256.5</v>
      </c>
      <c r="S1351" s="2" t="str">
        <f t="shared" si="196"/>
        <v xml:space="preserve"> Not Achieved</v>
      </c>
      <c r="T1351" s="2" t="str">
        <f t="shared" si="197"/>
        <v>poor</v>
      </c>
      <c r="U1351" s="2"/>
    </row>
    <row r="1352" spans="1:21" x14ac:dyDescent="0.3">
      <c r="A1352">
        <v>1351</v>
      </c>
      <c r="B1352" t="s">
        <v>2017</v>
      </c>
      <c r="C1352" t="str">
        <f t="shared" si="189"/>
        <v>EMP_1351</v>
      </c>
      <c r="D1352" t="s">
        <v>15</v>
      </c>
      <c r="E1352" t="str">
        <f t="shared" si="190"/>
        <v>EMP_1351Marketing</v>
      </c>
      <c r="F1352" t="s">
        <v>24</v>
      </c>
      <c r="G1352" t="s">
        <v>13</v>
      </c>
      <c r="H1352">
        <v>79478</v>
      </c>
      <c r="I1352">
        <v>5566</v>
      </c>
      <c r="J1352">
        <v>0</v>
      </c>
      <c r="K1352">
        <v>0</v>
      </c>
      <c r="L1352" s="4" t="s">
        <v>2018</v>
      </c>
      <c r="M1352" s="4" t="str">
        <f t="shared" si="191"/>
        <v>8/31/2019</v>
      </c>
      <c r="N1352" s="1">
        <f t="shared" ca="1" si="192"/>
        <v>46064</v>
      </c>
      <c r="O1352" s="6" t="e">
        <f t="shared" ca="1" si="193"/>
        <v>#VALUE!</v>
      </c>
      <c r="P1352">
        <v>4</v>
      </c>
      <c r="Q1352">
        <f t="shared" si="194"/>
        <v>85044</v>
      </c>
      <c r="R1352" s="2">
        <f t="shared" si="195"/>
        <v>42522</v>
      </c>
      <c r="S1352" s="2" t="str">
        <f t="shared" si="196"/>
        <v xml:space="preserve"> Not Achieved</v>
      </c>
      <c r="T1352" s="2" t="str">
        <f t="shared" si="197"/>
        <v xml:space="preserve"> Excellent</v>
      </c>
      <c r="U1352" s="2"/>
    </row>
    <row r="1353" spans="1:21" x14ac:dyDescent="0.3">
      <c r="A1353">
        <v>1352</v>
      </c>
      <c r="B1353" t="s">
        <v>2019</v>
      </c>
      <c r="C1353" t="str">
        <f t="shared" si="189"/>
        <v>EMP_1352</v>
      </c>
      <c r="D1353" t="s">
        <v>11</v>
      </c>
      <c r="E1353" t="str">
        <f t="shared" si="190"/>
        <v>EMP_1352Finance</v>
      </c>
      <c r="F1353" t="s">
        <v>18</v>
      </c>
      <c r="G1353" t="s">
        <v>13</v>
      </c>
      <c r="H1353">
        <v>74828</v>
      </c>
      <c r="I1353">
        <v>12676</v>
      </c>
      <c r="J1353">
        <v>0</v>
      </c>
      <c r="K1353">
        <v>0</v>
      </c>
      <c r="L1353" s="4" t="s">
        <v>1683</v>
      </c>
      <c r="M1353" s="4" t="str">
        <f t="shared" si="191"/>
        <v>12/16/2018</v>
      </c>
      <c r="N1353" s="1">
        <f t="shared" ca="1" si="192"/>
        <v>46064</v>
      </c>
      <c r="O1353" s="6" t="e">
        <f t="shared" ca="1" si="193"/>
        <v>#VALUE!</v>
      </c>
      <c r="P1353">
        <v>1</v>
      </c>
      <c r="Q1353">
        <f t="shared" si="194"/>
        <v>87504</v>
      </c>
      <c r="R1353" s="2">
        <f t="shared" si="195"/>
        <v>43752</v>
      </c>
      <c r="S1353" s="2" t="str">
        <f t="shared" si="196"/>
        <v xml:space="preserve"> Not Achieved</v>
      </c>
      <c r="T1353" s="2" t="str">
        <f t="shared" si="197"/>
        <v xml:space="preserve"> Excellent</v>
      </c>
      <c r="U1353" s="2"/>
    </row>
    <row r="1354" spans="1:21" x14ac:dyDescent="0.3">
      <c r="A1354">
        <v>1353</v>
      </c>
      <c r="B1354" t="s">
        <v>2020</v>
      </c>
      <c r="C1354" t="str">
        <f t="shared" si="189"/>
        <v>EMP_1353</v>
      </c>
      <c r="D1354" t="s">
        <v>11</v>
      </c>
      <c r="E1354" t="str">
        <f t="shared" si="190"/>
        <v>EMP_1353IT</v>
      </c>
      <c r="F1354" t="s">
        <v>21</v>
      </c>
      <c r="G1354" t="s">
        <v>22</v>
      </c>
      <c r="H1354">
        <v>50232</v>
      </c>
      <c r="I1354">
        <v>6696</v>
      </c>
      <c r="J1354">
        <v>0</v>
      </c>
      <c r="K1354">
        <v>0</v>
      </c>
      <c r="L1354" s="4" t="s">
        <v>2021</v>
      </c>
      <c r="M1354" s="4" t="str">
        <f t="shared" si="191"/>
        <v>4/22/2020</v>
      </c>
      <c r="N1354" s="1">
        <f t="shared" ca="1" si="192"/>
        <v>46064</v>
      </c>
      <c r="O1354" s="6" t="e">
        <f t="shared" ca="1" si="193"/>
        <v>#VALUE!</v>
      </c>
      <c r="P1354">
        <v>5</v>
      </c>
      <c r="Q1354">
        <f t="shared" si="194"/>
        <v>56928</v>
      </c>
      <c r="R1354" s="2">
        <f t="shared" si="195"/>
        <v>28464</v>
      </c>
      <c r="S1354" s="2" t="str">
        <f t="shared" si="196"/>
        <v xml:space="preserve"> Not Achieved</v>
      </c>
      <c r="T1354" s="2" t="str">
        <f t="shared" si="197"/>
        <v xml:space="preserve"> Excellent</v>
      </c>
      <c r="U1354" s="2"/>
    </row>
    <row r="1355" spans="1:21" x14ac:dyDescent="0.3">
      <c r="A1355">
        <v>1354</v>
      </c>
      <c r="B1355" t="s">
        <v>2022</v>
      </c>
      <c r="C1355" t="str">
        <f t="shared" si="189"/>
        <v>EMP_1354</v>
      </c>
      <c r="D1355" t="s">
        <v>15</v>
      </c>
      <c r="E1355" t="str">
        <f t="shared" si="190"/>
        <v>EMP_1354Marketing</v>
      </c>
      <c r="F1355" t="s">
        <v>24</v>
      </c>
      <c r="G1355" t="s">
        <v>19</v>
      </c>
      <c r="H1355">
        <v>67688</v>
      </c>
      <c r="I1355">
        <v>10452</v>
      </c>
      <c r="J1355">
        <v>0</v>
      </c>
      <c r="K1355">
        <v>0</v>
      </c>
      <c r="L1355" s="4" t="s">
        <v>2023</v>
      </c>
      <c r="M1355" s="4" t="str">
        <f t="shared" si="191"/>
        <v>1/26/2023</v>
      </c>
      <c r="N1355" s="1">
        <f t="shared" ca="1" si="192"/>
        <v>46064</v>
      </c>
      <c r="O1355" s="6" t="e">
        <f t="shared" ca="1" si="193"/>
        <v>#VALUE!</v>
      </c>
      <c r="P1355">
        <v>3</v>
      </c>
      <c r="Q1355">
        <f t="shared" si="194"/>
        <v>78140</v>
      </c>
      <c r="R1355" s="2">
        <f t="shared" si="195"/>
        <v>39070</v>
      </c>
      <c r="S1355" s="2" t="str">
        <f t="shared" si="196"/>
        <v xml:space="preserve"> Not Achieved</v>
      </c>
      <c r="T1355" s="2" t="str">
        <f t="shared" si="197"/>
        <v xml:space="preserve"> Excellent</v>
      </c>
      <c r="U1355" s="2"/>
    </row>
    <row r="1356" spans="1:21" x14ac:dyDescent="0.3">
      <c r="A1356">
        <v>1355</v>
      </c>
      <c r="B1356" t="s">
        <v>2024</v>
      </c>
      <c r="C1356" t="str">
        <f t="shared" si="189"/>
        <v>EMP_1355</v>
      </c>
      <c r="D1356" t="s">
        <v>15</v>
      </c>
      <c r="E1356" t="str">
        <f t="shared" si="190"/>
        <v>EMP_1355HR</v>
      </c>
      <c r="F1356" t="s">
        <v>12</v>
      </c>
      <c r="G1356" t="s">
        <v>13</v>
      </c>
      <c r="H1356">
        <v>75812</v>
      </c>
      <c r="I1356">
        <v>6190</v>
      </c>
      <c r="J1356">
        <v>0</v>
      </c>
      <c r="K1356">
        <v>0</v>
      </c>
      <c r="L1356" s="4">
        <v>44781</v>
      </c>
      <c r="M1356" s="4" t="str">
        <f t="shared" si="191"/>
        <v>2022</v>
      </c>
      <c r="N1356" s="1">
        <f t="shared" ca="1" si="192"/>
        <v>46064</v>
      </c>
      <c r="O1356" s="6">
        <f t="shared" ca="1" si="193"/>
        <v>3</v>
      </c>
      <c r="P1356">
        <v>3</v>
      </c>
      <c r="Q1356">
        <f t="shared" si="194"/>
        <v>82002</v>
      </c>
      <c r="R1356" s="2">
        <f t="shared" si="195"/>
        <v>41001</v>
      </c>
      <c r="S1356" s="2" t="str">
        <f t="shared" si="196"/>
        <v xml:space="preserve"> Not Achieved</v>
      </c>
      <c r="T1356" s="2" t="str">
        <f t="shared" si="197"/>
        <v xml:space="preserve"> Excellent</v>
      </c>
      <c r="U1356" s="2"/>
    </row>
    <row r="1357" spans="1:21" x14ac:dyDescent="0.3">
      <c r="A1357">
        <v>1356</v>
      </c>
      <c r="B1357" t="s">
        <v>2025</v>
      </c>
      <c r="C1357" t="str">
        <f t="shared" si="189"/>
        <v>EMP_1356</v>
      </c>
      <c r="D1357" t="s">
        <v>11</v>
      </c>
      <c r="E1357" t="str">
        <f t="shared" si="190"/>
        <v>EMP_1356Marketing</v>
      </c>
      <c r="F1357" t="s">
        <v>24</v>
      </c>
      <c r="G1357" t="s">
        <v>16</v>
      </c>
      <c r="H1357">
        <v>26453</v>
      </c>
      <c r="I1357">
        <v>10340</v>
      </c>
      <c r="J1357">
        <v>0</v>
      </c>
      <c r="K1357">
        <v>0</v>
      </c>
      <c r="L1357" s="4" t="s">
        <v>2026</v>
      </c>
      <c r="M1357" s="4" t="str">
        <f t="shared" si="191"/>
        <v>6/15/2023</v>
      </c>
      <c r="N1357" s="1">
        <f t="shared" ca="1" si="192"/>
        <v>46064</v>
      </c>
      <c r="O1357" s="6" t="e">
        <f t="shared" ca="1" si="193"/>
        <v>#VALUE!</v>
      </c>
      <c r="P1357">
        <v>2</v>
      </c>
      <c r="Q1357">
        <f t="shared" si="194"/>
        <v>36793</v>
      </c>
      <c r="R1357" s="2">
        <f t="shared" si="195"/>
        <v>18396.5</v>
      </c>
      <c r="S1357" s="2" t="str">
        <f t="shared" si="196"/>
        <v xml:space="preserve"> Not Achieved</v>
      </c>
      <c r="T1357" s="2" t="str">
        <f t="shared" si="197"/>
        <v>poor</v>
      </c>
      <c r="U1357" s="2"/>
    </row>
    <row r="1358" spans="1:21" x14ac:dyDescent="0.3">
      <c r="A1358">
        <v>1357</v>
      </c>
      <c r="B1358" t="s">
        <v>2027</v>
      </c>
      <c r="C1358" t="str">
        <f t="shared" si="189"/>
        <v>EMP_1357</v>
      </c>
      <c r="D1358" t="s">
        <v>15</v>
      </c>
      <c r="E1358" t="str">
        <f t="shared" si="190"/>
        <v>EMP_1357Marketing</v>
      </c>
      <c r="F1358" t="s">
        <v>24</v>
      </c>
      <c r="G1358" t="s">
        <v>19</v>
      </c>
      <c r="H1358">
        <v>58945</v>
      </c>
      <c r="I1358">
        <v>11042</v>
      </c>
      <c r="J1358">
        <v>0</v>
      </c>
      <c r="K1358">
        <v>0</v>
      </c>
      <c r="L1358" s="4" t="s">
        <v>2028</v>
      </c>
      <c r="M1358" s="4" t="str">
        <f t="shared" si="191"/>
        <v>3/23/2019</v>
      </c>
      <c r="N1358" s="1">
        <f t="shared" ca="1" si="192"/>
        <v>46064</v>
      </c>
      <c r="O1358" s="6" t="e">
        <f t="shared" ca="1" si="193"/>
        <v>#VALUE!</v>
      </c>
      <c r="P1358">
        <v>3</v>
      </c>
      <c r="Q1358">
        <f t="shared" si="194"/>
        <v>69987</v>
      </c>
      <c r="R1358" s="2">
        <f t="shared" si="195"/>
        <v>34993.5</v>
      </c>
      <c r="S1358" s="2" t="str">
        <f t="shared" si="196"/>
        <v xml:space="preserve"> Not Achieved</v>
      </c>
      <c r="T1358" s="2" t="str">
        <f t="shared" si="197"/>
        <v xml:space="preserve"> Excellent</v>
      </c>
      <c r="U1358" s="2"/>
    </row>
    <row r="1359" spans="1:21" x14ac:dyDescent="0.3">
      <c r="A1359">
        <v>1358</v>
      </c>
      <c r="B1359" t="s">
        <v>2029</v>
      </c>
      <c r="C1359" t="str">
        <f t="shared" si="189"/>
        <v>EMP_1358</v>
      </c>
      <c r="D1359" t="s">
        <v>11</v>
      </c>
      <c r="E1359" t="str">
        <f t="shared" si="190"/>
        <v>EMP_1358IT</v>
      </c>
      <c r="F1359" t="s">
        <v>21</v>
      </c>
      <c r="G1359" t="s">
        <v>19</v>
      </c>
      <c r="H1359">
        <v>31158</v>
      </c>
      <c r="I1359">
        <v>13586</v>
      </c>
      <c r="J1359">
        <v>0</v>
      </c>
      <c r="K1359">
        <v>0</v>
      </c>
      <c r="L1359" s="4" t="s">
        <v>1766</v>
      </c>
      <c r="M1359" s="4" t="str">
        <f t="shared" si="191"/>
        <v>7/25/2022</v>
      </c>
      <c r="N1359" s="1">
        <f t="shared" ca="1" si="192"/>
        <v>46064</v>
      </c>
      <c r="O1359" s="6" t="e">
        <f t="shared" ca="1" si="193"/>
        <v>#VALUE!</v>
      </c>
      <c r="P1359">
        <v>2</v>
      </c>
      <c r="Q1359">
        <f t="shared" si="194"/>
        <v>44744</v>
      </c>
      <c r="R1359" s="2">
        <f t="shared" si="195"/>
        <v>22372</v>
      </c>
      <c r="S1359" s="2" t="str">
        <f t="shared" si="196"/>
        <v xml:space="preserve"> Not Achieved</v>
      </c>
      <c r="T1359" s="2" t="str">
        <f t="shared" si="197"/>
        <v>Average</v>
      </c>
      <c r="U1359" s="2"/>
    </row>
    <row r="1360" spans="1:21" x14ac:dyDescent="0.3">
      <c r="A1360">
        <v>1359</v>
      </c>
      <c r="B1360" t="s">
        <v>2030</v>
      </c>
      <c r="C1360" t="str">
        <f t="shared" si="189"/>
        <v>EMP_1359</v>
      </c>
      <c r="D1360" t="s">
        <v>15</v>
      </c>
      <c r="E1360" t="str">
        <f t="shared" si="190"/>
        <v>EMP_1359IT</v>
      </c>
      <c r="F1360" t="s">
        <v>21</v>
      </c>
      <c r="G1360" t="s">
        <v>13</v>
      </c>
      <c r="H1360">
        <v>31288</v>
      </c>
      <c r="I1360">
        <v>4166</v>
      </c>
      <c r="J1360">
        <v>0</v>
      </c>
      <c r="K1360">
        <v>0</v>
      </c>
      <c r="L1360" s="4">
        <v>45512</v>
      </c>
      <c r="M1360" s="4" t="str">
        <f t="shared" si="191"/>
        <v>2024</v>
      </c>
      <c r="N1360" s="1">
        <f t="shared" ca="1" si="192"/>
        <v>46064</v>
      </c>
      <c r="O1360" s="6">
        <f t="shared" ca="1" si="193"/>
        <v>1</v>
      </c>
      <c r="P1360">
        <v>2</v>
      </c>
      <c r="Q1360">
        <f t="shared" si="194"/>
        <v>35454</v>
      </c>
      <c r="R1360" s="2">
        <f t="shared" si="195"/>
        <v>17727</v>
      </c>
      <c r="S1360" s="2" t="str">
        <f t="shared" si="196"/>
        <v xml:space="preserve"> Not Achieved</v>
      </c>
      <c r="T1360" s="2" t="str">
        <f t="shared" si="197"/>
        <v>Average</v>
      </c>
      <c r="U1360" s="2"/>
    </row>
    <row r="1361" spans="1:21" x14ac:dyDescent="0.3">
      <c r="A1361">
        <v>1360</v>
      </c>
      <c r="B1361" t="s">
        <v>2031</v>
      </c>
      <c r="C1361" t="str">
        <f t="shared" si="189"/>
        <v>EMP_1360</v>
      </c>
      <c r="D1361" t="s">
        <v>11</v>
      </c>
      <c r="E1361" t="str">
        <f t="shared" si="190"/>
        <v>EMP_1360Marketing</v>
      </c>
      <c r="F1361" t="s">
        <v>24</v>
      </c>
      <c r="G1361" t="s">
        <v>25</v>
      </c>
      <c r="H1361">
        <v>20182</v>
      </c>
      <c r="I1361">
        <v>6771</v>
      </c>
      <c r="J1361">
        <v>0</v>
      </c>
      <c r="K1361">
        <v>0</v>
      </c>
      <c r="L1361" s="4" t="s">
        <v>2032</v>
      </c>
      <c r="M1361" s="4" t="str">
        <f t="shared" si="191"/>
        <v>9/20/2018</v>
      </c>
      <c r="N1361" s="1">
        <f t="shared" ca="1" si="192"/>
        <v>46064</v>
      </c>
      <c r="O1361" s="6" t="e">
        <f t="shared" ca="1" si="193"/>
        <v>#VALUE!</v>
      </c>
      <c r="P1361">
        <v>5</v>
      </c>
      <c r="Q1361">
        <f t="shared" si="194"/>
        <v>26953</v>
      </c>
      <c r="R1361" s="2">
        <f t="shared" si="195"/>
        <v>13476.5</v>
      </c>
      <c r="S1361" s="2" t="str">
        <f t="shared" si="196"/>
        <v xml:space="preserve"> Not Achieved</v>
      </c>
      <c r="T1361" s="2" t="str">
        <f t="shared" si="197"/>
        <v>poor</v>
      </c>
      <c r="U1361" s="2"/>
    </row>
    <row r="1362" spans="1:21" x14ac:dyDescent="0.3">
      <c r="A1362">
        <v>1361</v>
      </c>
      <c r="B1362" t="s">
        <v>2033</v>
      </c>
      <c r="C1362" t="str">
        <f t="shared" si="189"/>
        <v>EMP_1361</v>
      </c>
      <c r="D1362" t="s">
        <v>11</v>
      </c>
      <c r="E1362" t="str">
        <f t="shared" si="190"/>
        <v>EMP_1361Sales</v>
      </c>
      <c r="F1362" t="s">
        <v>7</v>
      </c>
      <c r="G1362" t="s">
        <v>25</v>
      </c>
      <c r="H1362">
        <v>27975</v>
      </c>
      <c r="I1362">
        <v>8261</v>
      </c>
      <c r="J1362">
        <v>285533</v>
      </c>
      <c r="K1362">
        <v>89843</v>
      </c>
      <c r="L1362" s="4">
        <v>44814</v>
      </c>
      <c r="M1362" s="4" t="str">
        <f t="shared" si="191"/>
        <v>2022</v>
      </c>
      <c r="N1362" s="1">
        <f t="shared" ca="1" si="192"/>
        <v>46064</v>
      </c>
      <c r="O1362" s="6">
        <f t="shared" ca="1" si="193"/>
        <v>3</v>
      </c>
      <c r="P1362">
        <v>1</v>
      </c>
      <c r="Q1362">
        <f t="shared" si="194"/>
        <v>36236</v>
      </c>
      <c r="R1362" s="2">
        <f t="shared" si="195"/>
        <v>18118</v>
      </c>
      <c r="S1362" s="2" t="str">
        <f t="shared" si="196"/>
        <v>Achieved</v>
      </c>
      <c r="T1362" s="2" t="str">
        <f t="shared" si="197"/>
        <v>poor</v>
      </c>
      <c r="U1362" s="2"/>
    </row>
    <row r="1363" spans="1:21" x14ac:dyDescent="0.3">
      <c r="A1363">
        <v>1362</v>
      </c>
      <c r="B1363" t="s">
        <v>2034</v>
      </c>
      <c r="C1363" t="str">
        <f t="shared" si="189"/>
        <v>EMP_1362</v>
      </c>
      <c r="D1363" t="s">
        <v>15</v>
      </c>
      <c r="E1363" t="str">
        <f t="shared" si="190"/>
        <v>EMP_1362IT</v>
      </c>
      <c r="F1363" t="s">
        <v>21</v>
      </c>
      <c r="G1363" t="s">
        <v>22</v>
      </c>
      <c r="H1363">
        <v>45335</v>
      </c>
      <c r="I1363">
        <v>8561</v>
      </c>
      <c r="J1363">
        <v>0</v>
      </c>
      <c r="K1363">
        <v>0</v>
      </c>
      <c r="L1363" s="4" t="s">
        <v>2035</v>
      </c>
      <c r="M1363" s="4" t="str">
        <f t="shared" si="191"/>
        <v>12/21/2021</v>
      </c>
      <c r="N1363" s="1">
        <f t="shared" ca="1" si="192"/>
        <v>46064</v>
      </c>
      <c r="O1363" s="6" t="e">
        <f t="shared" ca="1" si="193"/>
        <v>#VALUE!</v>
      </c>
      <c r="P1363">
        <v>2</v>
      </c>
      <c r="Q1363">
        <f t="shared" si="194"/>
        <v>53896</v>
      </c>
      <c r="R1363" s="2">
        <f t="shared" si="195"/>
        <v>26948</v>
      </c>
      <c r="S1363" s="2" t="str">
        <f t="shared" si="196"/>
        <v xml:space="preserve"> Not Achieved</v>
      </c>
      <c r="T1363" s="2" t="str">
        <f t="shared" si="197"/>
        <v>Good</v>
      </c>
      <c r="U1363" s="2"/>
    </row>
    <row r="1364" spans="1:21" x14ac:dyDescent="0.3">
      <c r="A1364">
        <v>1363</v>
      </c>
      <c r="B1364" t="s">
        <v>2036</v>
      </c>
      <c r="C1364" t="str">
        <f t="shared" si="189"/>
        <v>EMP_1363</v>
      </c>
      <c r="D1364" t="s">
        <v>11</v>
      </c>
      <c r="E1364" t="str">
        <f t="shared" si="190"/>
        <v>EMP_1363HR</v>
      </c>
      <c r="F1364" t="s">
        <v>12</v>
      </c>
      <c r="G1364" t="s">
        <v>13</v>
      </c>
      <c r="H1364">
        <v>28508</v>
      </c>
      <c r="I1364">
        <v>14294</v>
      </c>
      <c r="J1364">
        <v>0</v>
      </c>
      <c r="K1364">
        <v>0</v>
      </c>
      <c r="L1364" s="4" t="s">
        <v>907</v>
      </c>
      <c r="M1364" s="4" t="str">
        <f t="shared" si="191"/>
        <v>12/21/2022</v>
      </c>
      <c r="N1364" s="1">
        <f t="shared" ca="1" si="192"/>
        <v>46064</v>
      </c>
      <c r="O1364" s="6" t="e">
        <f t="shared" ca="1" si="193"/>
        <v>#VALUE!</v>
      </c>
      <c r="P1364">
        <v>4</v>
      </c>
      <c r="Q1364">
        <f t="shared" si="194"/>
        <v>42802</v>
      </c>
      <c r="R1364" s="2">
        <f t="shared" si="195"/>
        <v>21401</v>
      </c>
      <c r="S1364" s="2" t="str">
        <f t="shared" si="196"/>
        <v xml:space="preserve"> Not Achieved</v>
      </c>
      <c r="T1364" s="2" t="str">
        <f t="shared" si="197"/>
        <v>poor</v>
      </c>
      <c r="U1364" s="2"/>
    </row>
    <row r="1365" spans="1:21" x14ac:dyDescent="0.3">
      <c r="A1365">
        <v>1364</v>
      </c>
      <c r="B1365" t="s">
        <v>2037</v>
      </c>
      <c r="C1365" t="str">
        <f t="shared" si="189"/>
        <v>EMP_1364</v>
      </c>
      <c r="D1365" t="s">
        <v>11</v>
      </c>
      <c r="E1365" t="str">
        <f t="shared" si="190"/>
        <v>EMP_1364Sales</v>
      </c>
      <c r="F1365" t="s">
        <v>7</v>
      </c>
      <c r="G1365" t="s">
        <v>13</v>
      </c>
      <c r="H1365">
        <v>54149</v>
      </c>
      <c r="I1365">
        <v>12129</v>
      </c>
      <c r="J1365">
        <v>79689</v>
      </c>
      <c r="K1365">
        <v>221203</v>
      </c>
      <c r="L1365" s="4">
        <v>44145</v>
      </c>
      <c r="M1365" s="4" t="str">
        <f t="shared" si="191"/>
        <v>2020</v>
      </c>
      <c r="N1365" s="1">
        <f t="shared" ca="1" si="192"/>
        <v>46064</v>
      </c>
      <c r="O1365" s="6">
        <f t="shared" ca="1" si="193"/>
        <v>5</v>
      </c>
      <c r="P1365">
        <v>2</v>
      </c>
      <c r="Q1365">
        <f t="shared" si="194"/>
        <v>66278</v>
      </c>
      <c r="R1365" s="2">
        <f t="shared" si="195"/>
        <v>33139</v>
      </c>
      <c r="S1365" s="2" t="str">
        <f t="shared" si="196"/>
        <v xml:space="preserve"> Not Achieved</v>
      </c>
      <c r="T1365" s="2" t="str">
        <f t="shared" si="197"/>
        <v xml:space="preserve"> Excellent</v>
      </c>
      <c r="U1365" s="2"/>
    </row>
    <row r="1366" spans="1:21" x14ac:dyDescent="0.3">
      <c r="A1366">
        <v>1365</v>
      </c>
      <c r="B1366" t="s">
        <v>2038</v>
      </c>
      <c r="C1366" t="str">
        <f t="shared" si="189"/>
        <v>EMP_1365</v>
      </c>
      <c r="D1366" t="s">
        <v>15</v>
      </c>
      <c r="E1366" t="str">
        <f t="shared" si="190"/>
        <v>EMP_1365IT</v>
      </c>
      <c r="F1366" t="s">
        <v>21</v>
      </c>
      <c r="G1366" t="s">
        <v>13</v>
      </c>
      <c r="H1366">
        <v>61589</v>
      </c>
      <c r="I1366">
        <v>6188</v>
      </c>
      <c r="J1366">
        <v>0</v>
      </c>
      <c r="K1366">
        <v>0</v>
      </c>
      <c r="L1366" s="4">
        <v>44627</v>
      </c>
      <c r="M1366" s="4" t="str">
        <f t="shared" si="191"/>
        <v>2022</v>
      </c>
      <c r="N1366" s="1">
        <f t="shared" ca="1" si="192"/>
        <v>46064</v>
      </c>
      <c r="O1366" s="6">
        <f t="shared" ca="1" si="193"/>
        <v>3</v>
      </c>
      <c r="P1366">
        <v>5</v>
      </c>
      <c r="Q1366">
        <f t="shared" si="194"/>
        <v>67777</v>
      </c>
      <c r="R1366" s="2">
        <f t="shared" si="195"/>
        <v>33888.5</v>
      </c>
      <c r="S1366" s="2" t="str">
        <f t="shared" si="196"/>
        <v xml:space="preserve"> Not Achieved</v>
      </c>
      <c r="T1366" s="2" t="str">
        <f t="shared" si="197"/>
        <v xml:space="preserve"> Excellent</v>
      </c>
      <c r="U1366" s="2"/>
    </row>
    <row r="1367" spans="1:21" x14ac:dyDescent="0.3">
      <c r="A1367">
        <v>1366</v>
      </c>
      <c r="B1367" t="s">
        <v>2039</v>
      </c>
      <c r="C1367" t="str">
        <f t="shared" si="189"/>
        <v>EMP_1366</v>
      </c>
      <c r="D1367" t="s">
        <v>15</v>
      </c>
      <c r="E1367" t="str">
        <f t="shared" si="190"/>
        <v>EMP_1366Finance</v>
      </c>
      <c r="F1367" t="s">
        <v>18</v>
      </c>
      <c r="G1367" t="s">
        <v>25</v>
      </c>
      <c r="H1367">
        <v>74700</v>
      </c>
      <c r="I1367">
        <v>3186</v>
      </c>
      <c r="J1367">
        <v>0</v>
      </c>
      <c r="K1367">
        <v>0</v>
      </c>
      <c r="L1367" s="4" t="s">
        <v>2040</v>
      </c>
      <c r="M1367" s="4" t="str">
        <f t="shared" si="191"/>
        <v>1/23/2022</v>
      </c>
      <c r="N1367" s="1">
        <f t="shared" ca="1" si="192"/>
        <v>46064</v>
      </c>
      <c r="O1367" s="6" t="e">
        <f t="shared" ca="1" si="193"/>
        <v>#VALUE!</v>
      </c>
      <c r="P1367">
        <v>5</v>
      </c>
      <c r="Q1367">
        <f t="shared" si="194"/>
        <v>77886</v>
      </c>
      <c r="R1367" s="2">
        <f t="shared" si="195"/>
        <v>38943</v>
      </c>
      <c r="S1367" s="2" t="str">
        <f t="shared" si="196"/>
        <v xml:space="preserve"> Not Achieved</v>
      </c>
      <c r="T1367" s="2" t="str">
        <f t="shared" si="197"/>
        <v xml:space="preserve"> Excellent</v>
      </c>
      <c r="U1367" s="2"/>
    </row>
    <row r="1368" spans="1:21" x14ac:dyDescent="0.3">
      <c r="A1368">
        <v>1367</v>
      </c>
      <c r="B1368" t="s">
        <v>2041</v>
      </c>
      <c r="C1368" t="str">
        <f t="shared" si="189"/>
        <v>EMP_1367</v>
      </c>
      <c r="D1368" t="s">
        <v>11</v>
      </c>
      <c r="E1368" t="str">
        <f t="shared" si="190"/>
        <v>EMP_1367IT</v>
      </c>
      <c r="F1368" t="s">
        <v>21</v>
      </c>
      <c r="G1368" t="s">
        <v>25</v>
      </c>
      <c r="H1368">
        <v>22060</v>
      </c>
      <c r="I1368">
        <v>5608</v>
      </c>
      <c r="J1368">
        <v>0</v>
      </c>
      <c r="K1368">
        <v>0</v>
      </c>
      <c r="L1368" s="4" t="s">
        <v>2042</v>
      </c>
      <c r="M1368" s="4" t="str">
        <f t="shared" si="191"/>
        <v>10/29/2022</v>
      </c>
      <c r="N1368" s="1">
        <f t="shared" ca="1" si="192"/>
        <v>46064</v>
      </c>
      <c r="O1368" s="6" t="e">
        <f t="shared" ca="1" si="193"/>
        <v>#VALUE!</v>
      </c>
      <c r="P1368">
        <v>5</v>
      </c>
      <c r="Q1368">
        <f t="shared" si="194"/>
        <v>27668</v>
      </c>
      <c r="R1368" s="2">
        <f t="shared" si="195"/>
        <v>13834</v>
      </c>
      <c r="S1368" s="2" t="str">
        <f t="shared" si="196"/>
        <v xml:space="preserve"> Not Achieved</v>
      </c>
      <c r="T1368" s="2" t="str">
        <f t="shared" si="197"/>
        <v>poor</v>
      </c>
      <c r="U1368" s="2"/>
    </row>
    <row r="1369" spans="1:21" x14ac:dyDescent="0.3">
      <c r="A1369">
        <v>1368</v>
      </c>
      <c r="B1369" t="s">
        <v>2043</v>
      </c>
      <c r="C1369" t="str">
        <f t="shared" si="189"/>
        <v>EMP_1368</v>
      </c>
      <c r="D1369" t="s">
        <v>15</v>
      </c>
      <c r="E1369" t="str">
        <f t="shared" si="190"/>
        <v>EMP_1368Marketing</v>
      </c>
      <c r="F1369" t="s">
        <v>24</v>
      </c>
      <c r="G1369" t="s">
        <v>13</v>
      </c>
      <c r="H1369">
        <v>27161</v>
      </c>
      <c r="I1369">
        <v>11138</v>
      </c>
      <c r="J1369">
        <v>0</v>
      </c>
      <c r="K1369">
        <v>0</v>
      </c>
      <c r="L1369" s="4">
        <v>43953</v>
      </c>
      <c r="M1369" s="4" t="str">
        <f t="shared" si="191"/>
        <v>2020</v>
      </c>
      <c r="N1369" s="1">
        <f t="shared" ca="1" si="192"/>
        <v>46064</v>
      </c>
      <c r="O1369" s="6">
        <f t="shared" ca="1" si="193"/>
        <v>5</v>
      </c>
      <c r="P1369">
        <v>3</v>
      </c>
      <c r="Q1369">
        <f t="shared" si="194"/>
        <v>38299</v>
      </c>
      <c r="R1369" s="2">
        <f t="shared" si="195"/>
        <v>19149.5</v>
      </c>
      <c r="S1369" s="2" t="str">
        <f t="shared" si="196"/>
        <v xml:space="preserve"> Not Achieved</v>
      </c>
      <c r="T1369" s="2" t="str">
        <f t="shared" si="197"/>
        <v>poor</v>
      </c>
      <c r="U1369" s="2"/>
    </row>
    <row r="1370" spans="1:21" x14ac:dyDescent="0.3">
      <c r="A1370">
        <v>1369</v>
      </c>
      <c r="B1370" t="s">
        <v>2044</v>
      </c>
      <c r="C1370" t="str">
        <f t="shared" si="189"/>
        <v>EMP_1369</v>
      </c>
      <c r="D1370" t="s">
        <v>15</v>
      </c>
      <c r="E1370" t="str">
        <f t="shared" si="190"/>
        <v>EMP_1369Marketing</v>
      </c>
      <c r="F1370" t="s">
        <v>24</v>
      </c>
      <c r="G1370" t="s">
        <v>13</v>
      </c>
      <c r="H1370">
        <v>28780</v>
      </c>
      <c r="I1370">
        <v>9533</v>
      </c>
      <c r="J1370">
        <v>0</v>
      </c>
      <c r="K1370">
        <v>0</v>
      </c>
      <c r="L1370" s="4" t="s">
        <v>993</v>
      </c>
      <c r="M1370" s="4" t="str">
        <f t="shared" si="191"/>
        <v>9/30/2019</v>
      </c>
      <c r="N1370" s="1">
        <f t="shared" ca="1" si="192"/>
        <v>46064</v>
      </c>
      <c r="O1370" s="6" t="e">
        <f t="shared" ca="1" si="193"/>
        <v>#VALUE!</v>
      </c>
      <c r="P1370">
        <v>1</v>
      </c>
      <c r="Q1370">
        <f t="shared" si="194"/>
        <v>38313</v>
      </c>
      <c r="R1370" s="2">
        <f t="shared" si="195"/>
        <v>19156.5</v>
      </c>
      <c r="S1370" s="2" t="str">
        <f t="shared" si="196"/>
        <v xml:space="preserve"> Not Achieved</v>
      </c>
      <c r="T1370" s="2" t="str">
        <f t="shared" si="197"/>
        <v>poor</v>
      </c>
      <c r="U1370" s="2"/>
    </row>
    <row r="1371" spans="1:21" x14ac:dyDescent="0.3">
      <c r="A1371">
        <v>1370</v>
      </c>
      <c r="B1371" t="s">
        <v>2045</v>
      </c>
      <c r="C1371" t="str">
        <f t="shared" si="189"/>
        <v>EMP_1370</v>
      </c>
      <c r="D1371" t="s">
        <v>15</v>
      </c>
      <c r="E1371" t="str">
        <f t="shared" si="190"/>
        <v>EMP_1370HR</v>
      </c>
      <c r="F1371" t="s">
        <v>12</v>
      </c>
      <c r="G1371" t="s">
        <v>25</v>
      </c>
      <c r="H1371">
        <v>48086</v>
      </c>
      <c r="I1371">
        <v>13291</v>
      </c>
      <c r="J1371">
        <v>0</v>
      </c>
      <c r="K1371">
        <v>0</v>
      </c>
      <c r="L1371" s="4" t="s">
        <v>41</v>
      </c>
      <c r="M1371" s="4" t="str">
        <f t="shared" si="191"/>
        <v>11/19/2023</v>
      </c>
      <c r="N1371" s="1">
        <f t="shared" ca="1" si="192"/>
        <v>46064</v>
      </c>
      <c r="O1371" s="6" t="e">
        <f t="shared" ca="1" si="193"/>
        <v>#VALUE!</v>
      </c>
      <c r="P1371">
        <v>2</v>
      </c>
      <c r="Q1371">
        <f t="shared" si="194"/>
        <v>61377</v>
      </c>
      <c r="R1371" s="2">
        <f t="shared" si="195"/>
        <v>30688.5</v>
      </c>
      <c r="S1371" s="2" t="str">
        <f t="shared" si="196"/>
        <v xml:space="preserve"> Not Achieved</v>
      </c>
      <c r="T1371" s="2" t="str">
        <f t="shared" si="197"/>
        <v>Good</v>
      </c>
      <c r="U1371" s="2"/>
    </row>
    <row r="1372" spans="1:21" x14ac:dyDescent="0.3">
      <c r="A1372">
        <v>1371</v>
      </c>
      <c r="B1372" t="s">
        <v>2046</v>
      </c>
      <c r="C1372" t="str">
        <f t="shared" si="189"/>
        <v>EMP_1371</v>
      </c>
      <c r="D1372" t="s">
        <v>11</v>
      </c>
      <c r="E1372" t="str">
        <f t="shared" si="190"/>
        <v>EMP_1371HR</v>
      </c>
      <c r="F1372" t="s">
        <v>12</v>
      </c>
      <c r="G1372" t="s">
        <v>22</v>
      </c>
      <c r="H1372">
        <v>75764</v>
      </c>
      <c r="I1372">
        <v>13344</v>
      </c>
      <c r="J1372">
        <v>0</v>
      </c>
      <c r="K1372">
        <v>0</v>
      </c>
      <c r="L1372" s="4" t="s">
        <v>2047</v>
      </c>
      <c r="M1372" s="4" t="str">
        <f t="shared" si="191"/>
        <v>8/19/2019</v>
      </c>
      <c r="N1372" s="1">
        <f t="shared" ca="1" si="192"/>
        <v>46064</v>
      </c>
      <c r="O1372" s="6" t="e">
        <f t="shared" ca="1" si="193"/>
        <v>#VALUE!</v>
      </c>
      <c r="P1372">
        <v>1</v>
      </c>
      <c r="Q1372">
        <f t="shared" si="194"/>
        <v>89108</v>
      </c>
      <c r="R1372" s="2">
        <f t="shared" si="195"/>
        <v>44554</v>
      </c>
      <c r="S1372" s="2" t="str">
        <f t="shared" si="196"/>
        <v xml:space="preserve"> Not Achieved</v>
      </c>
      <c r="T1372" s="2" t="str">
        <f t="shared" si="197"/>
        <v xml:space="preserve"> Excellent</v>
      </c>
      <c r="U1372" s="2"/>
    </row>
    <row r="1373" spans="1:21" x14ac:dyDescent="0.3">
      <c r="A1373">
        <v>1372</v>
      </c>
      <c r="B1373" t="s">
        <v>2048</v>
      </c>
      <c r="C1373" t="str">
        <f t="shared" si="189"/>
        <v>EMP_1372</v>
      </c>
      <c r="D1373" t="s">
        <v>11</v>
      </c>
      <c r="E1373" t="str">
        <f t="shared" si="190"/>
        <v>EMP_1372HR</v>
      </c>
      <c r="F1373" t="s">
        <v>12</v>
      </c>
      <c r="G1373" t="s">
        <v>16</v>
      </c>
      <c r="H1373">
        <v>56680</v>
      </c>
      <c r="I1373">
        <v>9930</v>
      </c>
      <c r="J1373">
        <v>0</v>
      </c>
      <c r="K1373">
        <v>0</v>
      </c>
      <c r="L1373" s="4" t="s">
        <v>2049</v>
      </c>
      <c r="M1373" s="4" t="str">
        <f t="shared" si="191"/>
        <v>1/29/2019</v>
      </c>
      <c r="N1373" s="1">
        <f t="shared" ca="1" si="192"/>
        <v>46064</v>
      </c>
      <c r="O1373" s="6" t="e">
        <f t="shared" ca="1" si="193"/>
        <v>#VALUE!</v>
      </c>
      <c r="P1373">
        <v>4</v>
      </c>
      <c r="Q1373">
        <f t="shared" si="194"/>
        <v>66610</v>
      </c>
      <c r="R1373" s="2">
        <f t="shared" si="195"/>
        <v>33305</v>
      </c>
      <c r="S1373" s="2" t="str">
        <f t="shared" si="196"/>
        <v xml:space="preserve"> Not Achieved</v>
      </c>
      <c r="T1373" s="2" t="str">
        <f t="shared" si="197"/>
        <v xml:space="preserve"> Excellent</v>
      </c>
      <c r="U1373" s="2"/>
    </row>
    <row r="1374" spans="1:21" x14ac:dyDescent="0.3">
      <c r="A1374">
        <v>1373</v>
      </c>
      <c r="B1374" t="s">
        <v>2050</v>
      </c>
      <c r="C1374" t="str">
        <f t="shared" si="189"/>
        <v>EMP_1373</v>
      </c>
      <c r="D1374" t="s">
        <v>15</v>
      </c>
      <c r="E1374" t="str">
        <f t="shared" si="190"/>
        <v>EMP_1373Marketing</v>
      </c>
      <c r="F1374" t="s">
        <v>24</v>
      </c>
      <c r="G1374" t="s">
        <v>19</v>
      </c>
      <c r="H1374">
        <v>71584</v>
      </c>
      <c r="I1374">
        <v>14911</v>
      </c>
      <c r="J1374">
        <v>0</v>
      </c>
      <c r="K1374">
        <v>0</v>
      </c>
      <c r="L1374" s="4">
        <v>44169</v>
      </c>
      <c r="M1374" s="4" t="str">
        <f t="shared" si="191"/>
        <v>2020</v>
      </c>
      <c r="N1374" s="1">
        <f t="shared" ca="1" si="192"/>
        <v>46064</v>
      </c>
      <c r="O1374" s="6">
        <f t="shared" ca="1" si="193"/>
        <v>5</v>
      </c>
      <c r="P1374">
        <v>3</v>
      </c>
      <c r="Q1374">
        <f t="shared" si="194"/>
        <v>86495</v>
      </c>
      <c r="R1374" s="2">
        <f t="shared" si="195"/>
        <v>43247.5</v>
      </c>
      <c r="S1374" s="2" t="str">
        <f t="shared" si="196"/>
        <v xml:space="preserve"> Not Achieved</v>
      </c>
      <c r="T1374" s="2" t="str">
        <f t="shared" si="197"/>
        <v xml:space="preserve"> Excellent</v>
      </c>
      <c r="U1374" s="2"/>
    </row>
    <row r="1375" spans="1:21" x14ac:dyDescent="0.3">
      <c r="A1375">
        <v>1374</v>
      </c>
      <c r="B1375" t="s">
        <v>2051</v>
      </c>
      <c r="C1375" t="str">
        <f t="shared" si="189"/>
        <v>EMP_1374</v>
      </c>
      <c r="D1375" t="s">
        <v>15</v>
      </c>
      <c r="E1375" t="str">
        <f t="shared" si="190"/>
        <v>EMP_1374Finance</v>
      </c>
      <c r="F1375" t="s">
        <v>18</v>
      </c>
      <c r="G1375" t="s">
        <v>19</v>
      </c>
      <c r="H1375">
        <v>46876</v>
      </c>
      <c r="I1375">
        <v>9251</v>
      </c>
      <c r="J1375">
        <v>0</v>
      </c>
      <c r="K1375">
        <v>0</v>
      </c>
      <c r="L1375" s="4">
        <v>44565</v>
      </c>
      <c r="M1375" s="4" t="str">
        <f t="shared" si="191"/>
        <v>2022</v>
      </c>
      <c r="N1375" s="1">
        <f t="shared" ca="1" si="192"/>
        <v>46064</v>
      </c>
      <c r="O1375" s="6">
        <f t="shared" ca="1" si="193"/>
        <v>4</v>
      </c>
      <c r="P1375">
        <v>3</v>
      </c>
      <c r="Q1375">
        <f t="shared" si="194"/>
        <v>56127</v>
      </c>
      <c r="R1375" s="2">
        <f t="shared" si="195"/>
        <v>28063.5</v>
      </c>
      <c r="S1375" s="2" t="str">
        <f t="shared" si="196"/>
        <v xml:space="preserve"> Not Achieved</v>
      </c>
      <c r="T1375" s="2" t="str">
        <f t="shared" si="197"/>
        <v>Good</v>
      </c>
      <c r="U1375" s="2"/>
    </row>
    <row r="1376" spans="1:21" x14ac:dyDescent="0.3">
      <c r="A1376">
        <v>1375</v>
      </c>
      <c r="B1376" t="s">
        <v>2052</v>
      </c>
      <c r="C1376" t="str">
        <f t="shared" si="189"/>
        <v>EMP_1375</v>
      </c>
      <c r="D1376" t="s">
        <v>11</v>
      </c>
      <c r="E1376" t="str">
        <f t="shared" si="190"/>
        <v>EMP_1375HR</v>
      </c>
      <c r="F1376" t="s">
        <v>12</v>
      </c>
      <c r="G1376" t="s">
        <v>25</v>
      </c>
      <c r="H1376">
        <v>30855</v>
      </c>
      <c r="I1376">
        <v>8110</v>
      </c>
      <c r="J1376">
        <v>0</v>
      </c>
      <c r="K1376">
        <v>0</v>
      </c>
      <c r="L1376" s="4">
        <v>45601</v>
      </c>
      <c r="M1376" s="4" t="str">
        <f t="shared" si="191"/>
        <v>2024</v>
      </c>
      <c r="N1376" s="1">
        <f t="shared" ca="1" si="192"/>
        <v>46064</v>
      </c>
      <c r="O1376" s="6">
        <f t="shared" ca="1" si="193"/>
        <v>1</v>
      </c>
      <c r="P1376">
        <v>2</v>
      </c>
      <c r="Q1376">
        <f t="shared" si="194"/>
        <v>38965</v>
      </c>
      <c r="R1376" s="2">
        <f t="shared" si="195"/>
        <v>19482.5</v>
      </c>
      <c r="S1376" s="2" t="str">
        <f t="shared" si="196"/>
        <v xml:space="preserve"> Not Achieved</v>
      </c>
      <c r="T1376" s="2" t="str">
        <f t="shared" si="197"/>
        <v>Average</v>
      </c>
      <c r="U1376" s="2"/>
    </row>
    <row r="1377" spans="1:21" x14ac:dyDescent="0.3">
      <c r="A1377">
        <v>1376</v>
      </c>
      <c r="B1377" t="s">
        <v>2053</v>
      </c>
      <c r="C1377" t="str">
        <f t="shared" si="189"/>
        <v>EMP_1376</v>
      </c>
      <c r="D1377" t="s">
        <v>15</v>
      </c>
      <c r="E1377" t="str">
        <f t="shared" si="190"/>
        <v>EMP_1376IT</v>
      </c>
      <c r="F1377" t="s">
        <v>21</v>
      </c>
      <c r="G1377" t="s">
        <v>25</v>
      </c>
      <c r="H1377">
        <v>72234</v>
      </c>
      <c r="I1377">
        <v>13285</v>
      </c>
      <c r="J1377">
        <v>0</v>
      </c>
      <c r="K1377">
        <v>0</v>
      </c>
      <c r="L1377" s="4" t="s">
        <v>2054</v>
      </c>
      <c r="M1377" s="4" t="str">
        <f t="shared" si="191"/>
        <v>2/13/2021</v>
      </c>
      <c r="N1377" s="1">
        <f t="shared" ca="1" si="192"/>
        <v>46064</v>
      </c>
      <c r="O1377" s="6" t="e">
        <f t="shared" ca="1" si="193"/>
        <v>#VALUE!</v>
      </c>
      <c r="P1377">
        <v>3</v>
      </c>
      <c r="Q1377">
        <f t="shared" si="194"/>
        <v>85519</v>
      </c>
      <c r="R1377" s="2">
        <f t="shared" si="195"/>
        <v>42759.5</v>
      </c>
      <c r="S1377" s="2" t="str">
        <f t="shared" si="196"/>
        <v xml:space="preserve"> Not Achieved</v>
      </c>
      <c r="T1377" s="2" t="str">
        <f t="shared" si="197"/>
        <v xml:space="preserve"> Excellent</v>
      </c>
      <c r="U1377" s="2"/>
    </row>
    <row r="1378" spans="1:21" x14ac:dyDescent="0.3">
      <c r="A1378">
        <v>1377</v>
      </c>
      <c r="B1378" t="s">
        <v>2055</v>
      </c>
      <c r="C1378" t="str">
        <f t="shared" si="189"/>
        <v>EMP_1377</v>
      </c>
      <c r="D1378" t="s">
        <v>15</v>
      </c>
      <c r="E1378" t="str">
        <f t="shared" si="190"/>
        <v>EMP_1377Marketing</v>
      </c>
      <c r="F1378" t="s">
        <v>24</v>
      </c>
      <c r="G1378" t="s">
        <v>25</v>
      </c>
      <c r="H1378">
        <v>60204</v>
      </c>
      <c r="I1378">
        <v>3477</v>
      </c>
      <c r="J1378">
        <v>0</v>
      </c>
      <c r="K1378">
        <v>0</v>
      </c>
      <c r="L1378" s="4">
        <v>44748</v>
      </c>
      <c r="M1378" s="4" t="str">
        <f t="shared" si="191"/>
        <v>2022</v>
      </c>
      <c r="N1378" s="1">
        <f t="shared" ca="1" si="192"/>
        <v>46064</v>
      </c>
      <c r="O1378" s="6">
        <f t="shared" ca="1" si="193"/>
        <v>3</v>
      </c>
      <c r="P1378">
        <v>5</v>
      </c>
      <c r="Q1378">
        <f t="shared" si="194"/>
        <v>63681</v>
      </c>
      <c r="R1378" s="2">
        <f t="shared" si="195"/>
        <v>31840.5</v>
      </c>
      <c r="S1378" s="2" t="str">
        <f t="shared" si="196"/>
        <v xml:space="preserve"> Not Achieved</v>
      </c>
      <c r="T1378" s="2" t="str">
        <f t="shared" si="197"/>
        <v xml:space="preserve"> Excellent</v>
      </c>
      <c r="U1378" s="2"/>
    </row>
    <row r="1379" spans="1:21" x14ac:dyDescent="0.3">
      <c r="A1379">
        <v>1378</v>
      </c>
      <c r="B1379" t="s">
        <v>2056</v>
      </c>
      <c r="C1379" t="str">
        <f t="shared" si="189"/>
        <v>EMP_1378</v>
      </c>
      <c r="D1379" t="s">
        <v>11</v>
      </c>
      <c r="E1379" t="str">
        <f t="shared" si="190"/>
        <v>EMP_1378IT</v>
      </c>
      <c r="F1379" t="s">
        <v>21</v>
      </c>
      <c r="G1379" t="s">
        <v>13</v>
      </c>
      <c r="H1379">
        <v>27411</v>
      </c>
      <c r="I1379">
        <v>11078</v>
      </c>
      <c r="J1379">
        <v>0</v>
      </c>
      <c r="K1379">
        <v>0</v>
      </c>
      <c r="L1379" s="4" t="s">
        <v>2057</v>
      </c>
      <c r="M1379" s="4" t="str">
        <f t="shared" si="191"/>
        <v>12/22/2024</v>
      </c>
      <c r="N1379" s="1">
        <f t="shared" ca="1" si="192"/>
        <v>46064</v>
      </c>
      <c r="O1379" s="6" t="e">
        <f t="shared" ca="1" si="193"/>
        <v>#VALUE!</v>
      </c>
      <c r="P1379">
        <v>2</v>
      </c>
      <c r="Q1379">
        <f t="shared" si="194"/>
        <v>38489</v>
      </c>
      <c r="R1379" s="2">
        <f t="shared" si="195"/>
        <v>19244.5</v>
      </c>
      <c r="S1379" s="2" t="str">
        <f t="shared" si="196"/>
        <v xml:space="preserve"> Not Achieved</v>
      </c>
      <c r="T1379" s="2" t="str">
        <f t="shared" si="197"/>
        <v>poor</v>
      </c>
      <c r="U1379" s="2"/>
    </row>
    <row r="1380" spans="1:21" x14ac:dyDescent="0.3">
      <c r="A1380">
        <v>1379</v>
      </c>
      <c r="B1380" t="s">
        <v>2058</v>
      </c>
      <c r="C1380" t="str">
        <f t="shared" si="189"/>
        <v>EMP_1379</v>
      </c>
      <c r="D1380" t="s">
        <v>15</v>
      </c>
      <c r="E1380" t="str">
        <f t="shared" si="190"/>
        <v>EMP_1379IT</v>
      </c>
      <c r="F1380" t="s">
        <v>21</v>
      </c>
      <c r="G1380" t="s">
        <v>22</v>
      </c>
      <c r="H1380">
        <v>64229</v>
      </c>
      <c r="I1380">
        <v>6514</v>
      </c>
      <c r="J1380">
        <v>0</v>
      </c>
      <c r="K1380">
        <v>0</v>
      </c>
      <c r="L1380" s="4" t="s">
        <v>2059</v>
      </c>
      <c r="M1380" s="4" t="str">
        <f t="shared" si="191"/>
        <v>12/31/2019</v>
      </c>
      <c r="N1380" s="1">
        <f t="shared" ca="1" si="192"/>
        <v>46064</v>
      </c>
      <c r="O1380" s="6" t="e">
        <f t="shared" ca="1" si="193"/>
        <v>#VALUE!</v>
      </c>
      <c r="P1380">
        <v>4</v>
      </c>
      <c r="Q1380">
        <f t="shared" si="194"/>
        <v>70743</v>
      </c>
      <c r="R1380" s="2">
        <f t="shared" si="195"/>
        <v>35371.5</v>
      </c>
      <c r="S1380" s="2" t="str">
        <f t="shared" si="196"/>
        <v xml:space="preserve"> Not Achieved</v>
      </c>
      <c r="T1380" s="2" t="str">
        <f t="shared" si="197"/>
        <v xml:space="preserve"> Excellent</v>
      </c>
      <c r="U1380" s="2"/>
    </row>
    <row r="1381" spans="1:21" x14ac:dyDescent="0.3">
      <c r="A1381">
        <v>1380</v>
      </c>
      <c r="B1381" t="s">
        <v>2060</v>
      </c>
      <c r="C1381" t="str">
        <f t="shared" si="189"/>
        <v>EMP_1380</v>
      </c>
      <c r="D1381" t="s">
        <v>15</v>
      </c>
      <c r="E1381" t="str">
        <f t="shared" si="190"/>
        <v>EMP_1380HR</v>
      </c>
      <c r="F1381" t="s">
        <v>12</v>
      </c>
      <c r="G1381" t="s">
        <v>25</v>
      </c>
      <c r="H1381">
        <v>62144</v>
      </c>
      <c r="I1381">
        <v>6668</v>
      </c>
      <c r="J1381">
        <v>0</v>
      </c>
      <c r="K1381">
        <v>0</v>
      </c>
      <c r="L1381" s="4" t="s">
        <v>2026</v>
      </c>
      <c r="M1381" s="4" t="str">
        <f t="shared" si="191"/>
        <v>6/15/2023</v>
      </c>
      <c r="N1381" s="1">
        <f t="shared" ca="1" si="192"/>
        <v>46064</v>
      </c>
      <c r="O1381" s="6" t="e">
        <f t="shared" ca="1" si="193"/>
        <v>#VALUE!</v>
      </c>
      <c r="P1381">
        <v>1</v>
      </c>
      <c r="Q1381">
        <f t="shared" si="194"/>
        <v>68812</v>
      </c>
      <c r="R1381" s="2">
        <f t="shared" si="195"/>
        <v>34406</v>
      </c>
      <c r="S1381" s="2" t="str">
        <f t="shared" si="196"/>
        <v xml:space="preserve"> Not Achieved</v>
      </c>
      <c r="T1381" s="2" t="str">
        <f t="shared" si="197"/>
        <v xml:space="preserve"> Excellent</v>
      </c>
      <c r="U1381" s="2"/>
    </row>
    <row r="1382" spans="1:21" x14ac:dyDescent="0.3">
      <c r="A1382">
        <v>1381</v>
      </c>
      <c r="B1382" t="s">
        <v>2061</v>
      </c>
      <c r="C1382" t="str">
        <f t="shared" si="189"/>
        <v>EMP_1381</v>
      </c>
      <c r="D1382" t="s">
        <v>11</v>
      </c>
      <c r="E1382" t="str">
        <f t="shared" si="190"/>
        <v>EMP_1381Finance</v>
      </c>
      <c r="F1382" t="s">
        <v>18</v>
      </c>
      <c r="G1382" t="s">
        <v>25</v>
      </c>
      <c r="H1382">
        <v>40997</v>
      </c>
      <c r="I1382">
        <v>3525</v>
      </c>
      <c r="J1382">
        <v>0</v>
      </c>
      <c r="K1382">
        <v>0</v>
      </c>
      <c r="L1382" s="4" t="s">
        <v>2062</v>
      </c>
      <c r="M1382" s="4" t="str">
        <f t="shared" si="191"/>
        <v>7/14/2023</v>
      </c>
      <c r="N1382" s="1">
        <f t="shared" ca="1" si="192"/>
        <v>46064</v>
      </c>
      <c r="O1382" s="6" t="e">
        <f t="shared" ca="1" si="193"/>
        <v>#VALUE!</v>
      </c>
      <c r="P1382">
        <v>5</v>
      </c>
      <c r="Q1382">
        <f t="shared" si="194"/>
        <v>44522</v>
      </c>
      <c r="R1382" s="2">
        <f t="shared" si="195"/>
        <v>22261</v>
      </c>
      <c r="S1382" s="2" t="str">
        <f t="shared" si="196"/>
        <v xml:space="preserve"> Not Achieved</v>
      </c>
      <c r="T1382" s="2" t="str">
        <f t="shared" si="197"/>
        <v>Good</v>
      </c>
      <c r="U1382" s="2"/>
    </row>
    <row r="1383" spans="1:21" x14ac:dyDescent="0.3">
      <c r="A1383">
        <v>1382</v>
      </c>
      <c r="B1383" t="s">
        <v>2063</v>
      </c>
      <c r="C1383" t="str">
        <f t="shared" si="189"/>
        <v>EMP_1382</v>
      </c>
      <c r="D1383" t="s">
        <v>15</v>
      </c>
      <c r="E1383" t="str">
        <f t="shared" si="190"/>
        <v>EMP_1382Marketing</v>
      </c>
      <c r="F1383" t="s">
        <v>24</v>
      </c>
      <c r="G1383" t="s">
        <v>22</v>
      </c>
      <c r="H1383">
        <v>63651</v>
      </c>
      <c r="I1383">
        <v>7405</v>
      </c>
      <c r="J1383">
        <v>0</v>
      </c>
      <c r="K1383">
        <v>0</v>
      </c>
      <c r="L1383" s="4" t="s">
        <v>1949</v>
      </c>
      <c r="M1383" s="4" t="str">
        <f t="shared" si="191"/>
        <v>6/16/2018</v>
      </c>
      <c r="N1383" s="1">
        <f t="shared" ca="1" si="192"/>
        <v>46064</v>
      </c>
      <c r="O1383" s="6" t="e">
        <f t="shared" ca="1" si="193"/>
        <v>#VALUE!</v>
      </c>
      <c r="P1383">
        <v>1</v>
      </c>
      <c r="Q1383">
        <f t="shared" si="194"/>
        <v>71056</v>
      </c>
      <c r="R1383" s="2">
        <f t="shared" si="195"/>
        <v>35528</v>
      </c>
      <c r="S1383" s="2" t="str">
        <f t="shared" si="196"/>
        <v xml:space="preserve"> Not Achieved</v>
      </c>
      <c r="T1383" s="2" t="str">
        <f t="shared" si="197"/>
        <v xml:space="preserve"> Excellent</v>
      </c>
      <c r="U1383" s="2"/>
    </row>
    <row r="1384" spans="1:21" x14ac:dyDescent="0.3">
      <c r="A1384">
        <v>1383</v>
      </c>
      <c r="B1384" t="s">
        <v>2064</v>
      </c>
      <c r="C1384" t="str">
        <f t="shared" si="189"/>
        <v>EMP_1383</v>
      </c>
      <c r="D1384" t="s">
        <v>15</v>
      </c>
      <c r="E1384" t="str">
        <f t="shared" si="190"/>
        <v>EMP_1383Finance</v>
      </c>
      <c r="F1384" t="s">
        <v>18</v>
      </c>
      <c r="G1384" t="s">
        <v>13</v>
      </c>
      <c r="H1384">
        <v>71189</v>
      </c>
      <c r="I1384">
        <v>2991</v>
      </c>
      <c r="J1384">
        <v>0</v>
      </c>
      <c r="K1384">
        <v>0</v>
      </c>
      <c r="L1384" s="4" t="s">
        <v>2065</v>
      </c>
      <c r="M1384" s="4" t="str">
        <f t="shared" si="191"/>
        <v>11/22/2022</v>
      </c>
      <c r="N1384" s="1">
        <f t="shared" ca="1" si="192"/>
        <v>46064</v>
      </c>
      <c r="O1384" s="6" t="e">
        <f t="shared" ca="1" si="193"/>
        <v>#VALUE!</v>
      </c>
      <c r="P1384">
        <v>4</v>
      </c>
      <c r="Q1384">
        <f t="shared" si="194"/>
        <v>74180</v>
      </c>
      <c r="R1384" s="2">
        <f t="shared" si="195"/>
        <v>37090</v>
      </c>
      <c r="S1384" s="2" t="str">
        <f t="shared" si="196"/>
        <v xml:space="preserve"> Not Achieved</v>
      </c>
      <c r="T1384" s="2" t="str">
        <f t="shared" si="197"/>
        <v xml:space="preserve"> Excellent</v>
      </c>
      <c r="U1384" s="2"/>
    </row>
    <row r="1385" spans="1:21" x14ac:dyDescent="0.3">
      <c r="A1385">
        <v>1384</v>
      </c>
      <c r="B1385" t="s">
        <v>2066</v>
      </c>
      <c r="C1385" t="str">
        <f t="shared" si="189"/>
        <v>EMP_1384</v>
      </c>
      <c r="D1385" t="s">
        <v>15</v>
      </c>
      <c r="E1385" t="str">
        <f t="shared" si="190"/>
        <v>EMP_1384Finance</v>
      </c>
      <c r="F1385" t="s">
        <v>18</v>
      </c>
      <c r="G1385" t="s">
        <v>16</v>
      </c>
      <c r="H1385">
        <v>36564</v>
      </c>
      <c r="I1385">
        <v>13004</v>
      </c>
      <c r="J1385">
        <v>0</v>
      </c>
      <c r="K1385">
        <v>0</v>
      </c>
      <c r="L1385" s="4">
        <v>44473</v>
      </c>
      <c r="M1385" s="4" t="str">
        <f t="shared" si="191"/>
        <v>2021</v>
      </c>
      <c r="N1385" s="1">
        <f t="shared" ca="1" si="192"/>
        <v>46064</v>
      </c>
      <c r="O1385" s="6">
        <f t="shared" ca="1" si="193"/>
        <v>4</v>
      </c>
      <c r="P1385">
        <v>2</v>
      </c>
      <c r="Q1385">
        <f t="shared" si="194"/>
        <v>49568</v>
      </c>
      <c r="R1385" s="2">
        <f t="shared" si="195"/>
        <v>24784</v>
      </c>
      <c r="S1385" s="2" t="str">
        <f t="shared" si="196"/>
        <v xml:space="preserve"> Not Achieved</v>
      </c>
      <c r="T1385" s="2" t="str">
        <f t="shared" si="197"/>
        <v>Average</v>
      </c>
      <c r="U1385" s="2"/>
    </row>
    <row r="1386" spans="1:21" x14ac:dyDescent="0.3">
      <c r="A1386">
        <v>1385</v>
      </c>
      <c r="B1386" t="s">
        <v>2067</v>
      </c>
      <c r="C1386" t="str">
        <f t="shared" si="189"/>
        <v>EMP_1385</v>
      </c>
      <c r="D1386" t="s">
        <v>15</v>
      </c>
      <c r="E1386" t="str">
        <f t="shared" si="190"/>
        <v>EMP_1385Sales</v>
      </c>
      <c r="F1386" t="s">
        <v>7</v>
      </c>
      <c r="G1386" t="s">
        <v>22</v>
      </c>
      <c r="H1386">
        <v>51563</v>
      </c>
      <c r="I1386">
        <v>3227</v>
      </c>
      <c r="J1386">
        <v>76214</v>
      </c>
      <c r="K1386">
        <v>175333</v>
      </c>
      <c r="L1386" s="4" t="s">
        <v>2068</v>
      </c>
      <c r="M1386" s="4" t="str">
        <f t="shared" si="191"/>
        <v>7/24/2022</v>
      </c>
      <c r="N1386" s="1">
        <f t="shared" ca="1" si="192"/>
        <v>46064</v>
      </c>
      <c r="O1386" s="6" t="e">
        <f t="shared" ca="1" si="193"/>
        <v>#VALUE!</v>
      </c>
      <c r="P1386">
        <v>5</v>
      </c>
      <c r="Q1386">
        <f t="shared" si="194"/>
        <v>54790</v>
      </c>
      <c r="R1386" s="2">
        <f t="shared" si="195"/>
        <v>27395</v>
      </c>
      <c r="S1386" s="2" t="str">
        <f t="shared" si="196"/>
        <v xml:space="preserve"> Not Achieved</v>
      </c>
      <c r="T1386" s="2" t="str">
        <f t="shared" si="197"/>
        <v xml:space="preserve"> Excellent</v>
      </c>
      <c r="U1386" s="2"/>
    </row>
    <row r="1387" spans="1:21" x14ac:dyDescent="0.3">
      <c r="A1387">
        <v>1386</v>
      </c>
      <c r="B1387" t="s">
        <v>2069</v>
      </c>
      <c r="C1387" t="str">
        <f t="shared" si="189"/>
        <v>EMP_1386</v>
      </c>
      <c r="D1387" t="s">
        <v>11</v>
      </c>
      <c r="E1387" t="str">
        <f t="shared" si="190"/>
        <v>EMP_1386IT</v>
      </c>
      <c r="F1387" t="s">
        <v>21</v>
      </c>
      <c r="G1387" t="s">
        <v>16</v>
      </c>
      <c r="H1387">
        <v>32704</v>
      </c>
      <c r="I1387">
        <v>2815</v>
      </c>
      <c r="J1387">
        <v>0</v>
      </c>
      <c r="K1387">
        <v>0</v>
      </c>
      <c r="L1387" s="4">
        <v>44106</v>
      </c>
      <c r="M1387" s="4" t="str">
        <f t="shared" si="191"/>
        <v>2020</v>
      </c>
      <c r="N1387" s="1">
        <f t="shared" ca="1" si="192"/>
        <v>46064</v>
      </c>
      <c r="O1387" s="6">
        <f t="shared" ca="1" si="193"/>
        <v>5</v>
      </c>
      <c r="P1387">
        <v>1</v>
      </c>
      <c r="Q1387">
        <f t="shared" si="194"/>
        <v>35519</v>
      </c>
      <c r="R1387" s="2">
        <f t="shared" si="195"/>
        <v>17759.5</v>
      </c>
      <c r="S1387" s="2" t="str">
        <f t="shared" si="196"/>
        <v xml:space="preserve"> Not Achieved</v>
      </c>
      <c r="T1387" s="2" t="str">
        <f t="shared" si="197"/>
        <v>Average</v>
      </c>
      <c r="U1387" s="2"/>
    </row>
    <row r="1388" spans="1:21" x14ac:dyDescent="0.3">
      <c r="A1388">
        <v>1387</v>
      </c>
      <c r="B1388" t="s">
        <v>2070</v>
      </c>
      <c r="C1388" t="str">
        <f t="shared" si="189"/>
        <v>EMP_1387</v>
      </c>
      <c r="D1388" t="s">
        <v>15</v>
      </c>
      <c r="E1388" t="str">
        <f t="shared" si="190"/>
        <v>EMP_1387Marketing</v>
      </c>
      <c r="F1388" t="s">
        <v>24</v>
      </c>
      <c r="G1388" t="s">
        <v>13</v>
      </c>
      <c r="H1388">
        <v>41726</v>
      </c>
      <c r="I1388">
        <v>11891</v>
      </c>
      <c r="J1388">
        <v>0</v>
      </c>
      <c r="K1388">
        <v>0</v>
      </c>
      <c r="L1388" s="4" t="s">
        <v>2071</v>
      </c>
      <c r="M1388" s="4" t="str">
        <f t="shared" si="191"/>
        <v>2/16/2020</v>
      </c>
      <c r="N1388" s="1">
        <f t="shared" ca="1" si="192"/>
        <v>46064</v>
      </c>
      <c r="O1388" s="6" t="e">
        <f t="shared" ca="1" si="193"/>
        <v>#VALUE!</v>
      </c>
      <c r="P1388">
        <v>1</v>
      </c>
      <c r="Q1388">
        <f t="shared" si="194"/>
        <v>53617</v>
      </c>
      <c r="R1388" s="2">
        <f t="shared" si="195"/>
        <v>26808.5</v>
      </c>
      <c r="S1388" s="2" t="str">
        <f t="shared" si="196"/>
        <v xml:space="preserve"> Not Achieved</v>
      </c>
      <c r="T1388" s="2" t="str">
        <f t="shared" si="197"/>
        <v>Good</v>
      </c>
      <c r="U1388" s="2"/>
    </row>
    <row r="1389" spans="1:21" x14ac:dyDescent="0.3">
      <c r="A1389">
        <v>1388</v>
      </c>
      <c r="B1389" t="s">
        <v>2072</v>
      </c>
      <c r="C1389" t="str">
        <f t="shared" si="189"/>
        <v>EMP_1388</v>
      </c>
      <c r="D1389" t="s">
        <v>15</v>
      </c>
      <c r="E1389" t="str">
        <f t="shared" si="190"/>
        <v>EMP_1388Finance</v>
      </c>
      <c r="F1389" t="s">
        <v>18</v>
      </c>
      <c r="G1389" t="s">
        <v>19</v>
      </c>
      <c r="H1389">
        <v>50553</v>
      </c>
      <c r="I1389">
        <v>6674</v>
      </c>
      <c r="J1389">
        <v>0</v>
      </c>
      <c r="K1389">
        <v>0</v>
      </c>
      <c r="L1389" s="4">
        <v>43497</v>
      </c>
      <c r="M1389" s="4" t="str">
        <f t="shared" si="191"/>
        <v>2019</v>
      </c>
      <c r="N1389" s="1">
        <f t="shared" ca="1" si="192"/>
        <v>46064</v>
      </c>
      <c r="O1389" s="6">
        <f t="shared" ca="1" si="193"/>
        <v>7</v>
      </c>
      <c r="P1389">
        <v>2</v>
      </c>
      <c r="Q1389">
        <f t="shared" si="194"/>
        <v>57227</v>
      </c>
      <c r="R1389" s="2">
        <f t="shared" si="195"/>
        <v>28613.5</v>
      </c>
      <c r="S1389" s="2" t="str">
        <f t="shared" si="196"/>
        <v xml:space="preserve"> Not Achieved</v>
      </c>
      <c r="T1389" s="2" t="str">
        <f t="shared" si="197"/>
        <v xml:space="preserve"> Excellent</v>
      </c>
      <c r="U1389" s="2"/>
    </row>
    <row r="1390" spans="1:21" x14ac:dyDescent="0.3">
      <c r="A1390">
        <v>1389</v>
      </c>
      <c r="B1390" t="s">
        <v>2073</v>
      </c>
      <c r="C1390" t="str">
        <f t="shared" si="189"/>
        <v>EMP_1389</v>
      </c>
      <c r="D1390" t="s">
        <v>11</v>
      </c>
      <c r="E1390" t="str">
        <f t="shared" si="190"/>
        <v>EMP_1389Marketing</v>
      </c>
      <c r="F1390" t="s">
        <v>24</v>
      </c>
      <c r="G1390" t="s">
        <v>13</v>
      </c>
      <c r="H1390">
        <v>56563</v>
      </c>
      <c r="I1390">
        <v>12197</v>
      </c>
      <c r="J1390">
        <v>0</v>
      </c>
      <c r="K1390">
        <v>0</v>
      </c>
      <c r="L1390" s="4" t="s">
        <v>350</v>
      </c>
      <c r="M1390" s="4" t="str">
        <f t="shared" si="191"/>
        <v>2/25/2021</v>
      </c>
      <c r="N1390" s="1">
        <f t="shared" ca="1" si="192"/>
        <v>46064</v>
      </c>
      <c r="O1390" s="6" t="e">
        <f t="shared" ca="1" si="193"/>
        <v>#VALUE!</v>
      </c>
      <c r="P1390">
        <v>3</v>
      </c>
      <c r="Q1390">
        <f t="shared" si="194"/>
        <v>68760</v>
      </c>
      <c r="R1390" s="2">
        <f t="shared" si="195"/>
        <v>34380</v>
      </c>
      <c r="S1390" s="2" t="str">
        <f t="shared" si="196"/>
        <v xml:space="preserve"> Not Achieved</v>
      </c>
      <c r="T1390" s="2" t="str">
        <f t="shared" si="197"/>
        <v xml:space="preserve"> Excellent</v>
      </c>
      <c r="U1390" s="2"/>
    </row>
    <row r="1391" spans="1:21" x14ac:dyDescent="0.3">
      <c r="A1391">
        <v>1390</v>
      </c>
      <c r="B1391" t="s">
        <v>2074</v>
      </c>
      <c r="C1391" t="str">
        <f t="shared" si="189"/>
        <v>EMP_1390</v>
      </c>
      <c r="D1391" t="s">
        <v>15</v>
      </c>
      <c r="E1391" t="str">
        <f t="shared" si="190"/>
        <v>EMP_1390Sales</v>
      </c>
      <c r="F1391" t="s">
        <v>7</v>
      </c>
      <c r="G1391" t="s">
        <v>13</v>
      </c>
      <c r="H1391">
        <v>57522</v>
      </c>
      <c r="I1391">
        <v>7509</v>
      </c>
      <c r="J1391">
        <v>53254</v>
      </c>
      <c r="K1391">
        <v>234826</v>
      </c>
      <c r="L1391" s="4">
        <v>45391</v>
      </c>
      <c r="M1391" s="4" t="str">
        <f t="shared" si="191"/>
        <v>2024</v>
      </c>
      <c r="N1391" s="1">
        <f t="shared" ca="1" si="192"/>
        <v>46064</v>
      </c>
      <c r="O1391" s="6">
        <f t="shared" ca="1" si="193"/>
        <v>1</v>
      </c>
      <c r="P1391">
        <v>4</v>
      </c>
      <c r="Q1391">
        <f t="shared" si="194"/>
        <v>65031</v>
      </c>
      <c r="R1391" s="2">
        <f t="shared" si="195"/>
        <v>32515.5</v>
      </c>
      <c r="S1391" s="2" t="str">
        <f t="shared" si="196"/>
        <v xml:space="preserve"> Not Achieved</v>
      </c>
      <c r="T1391" s="2" t="str">
        <f t="shared" si="197"/>
        <v xml:space="preserve"> Excellent</v>
      </c>
      <c r="U1391" s="2"/>
    </row>
    <row r="1392" spans="1:21" x14ac:dyDescent="0.3">
      <c r="A1392">
        <v>1391</v>
      </c>
      <c r="B1392" t="s">
        <v>2075</v>
      </c>
      <c r="C1392" t="str">
        <f t="shared" si="189"/>
        <v>EMP_1391</v>
      </c>
      <c r="D1392" t="s">
        <v>11</v>
      </c>
      <c r="E1392" t="str">
        <f t="shared" si="190"/>
        <v>EMP_1391IT</v>
      </c>
      <c r="F1392" t="s">
        <v>21</v>
      </c>
      <c r="G1392" t="s">
        <v>13</v>
      </c>
      <c r="H1392">
        <v>63961</v>
      </c>
      <c r="I1392">
        <v>8830</v>
      </c>
      <c r="J1392">
        <v>0</v>
      </c>
      <c r="K1392">
        <v>0</v>
      </c>
      <c r="L1392" s="4">
        <v>43801</v>
      </c>
      <c r="M1392" s="4" t="str">
        <f t="shared" si="191"/>
        <v>2019</v>
      </c>
      <c r="N1392" s="1">
        <f t="shared" ca="1" si="192"/>
        <v>46064</v>
      </c>
      <c r="O1392" s="6">
        <f t="shared" ca="1" si="193"/>
        <v>6</v>
      </c>
      <c r="P1392">
        <v>1</v>
      </c>
      <c r="Q1392">
        <f t="shared" si="194"/>
        <v>72791</v>
      </c>
      <c r="R1392" s="2">
        <f t="shared" si="195"/>
        <v>36395.5</v>
      </c>
      <c r="S1392" s="2" t="str">
        <f t="shared" si="196"/>
        <v xml:space="preserve"> Not Achieved</v>
      </c>
      <c r="T1392" s="2" t="str">
        <f t="shared" si="197"/>
        <v xml:space="preserve"> Excellent</v>
      </c>
      <c r="U1392" s="2"/>
    </row>
    <row r="1393" spans="1:21" x14ac:dyDescent="0.3">
      <c r="A1393">
        <v>1392</v>
      </c>
      <c r="B1393" t="s">
        <v>2076</v>
      </c>
      <c r="C1393" t="str">
        <f t="shared" si="189"/>
        <v>EMP_1392</v>
      </c>
      <c r="D1393" t="s">
        <v>11</v>
      </c>
      <c r="E1393" t="str">
        <f t="shared" si="190"/>
        <v>EMP_1392IT</v>
      </c>
      <c r="F1393" t="s">
        <v>21</v>
      </c>
      <c r="G1393" t="s">
        <v>25</v>
      </c>
      <c r="H1393">
        <v>39188</v>
      </c>
      <c r="I1393">
        <v>9196</v>
      </c>
      <c r="J1393">
        <v>0</v>
      </c>
      <c r="K1393">
        <v>0</v>
      </c>
      <c r="L1393" s="4">
        <v>44047</v>
      </c>
      <c r="M1393" s="4" t="str">
        <f t="shared" si="191"/>
        <v>2020</v>
      </c>
      <c r="N1393" s="1">
        <f t="shared" ca="1" si="192"/>
        <v>46064</v>
      </c>
      <c r="O1393" s="6">
        <f t="shared" ca="1" si="193"/>
        <v>5</v>
      </c>
      <c r="P1393">
        <v>1</v>
      </c>
      <c r="Q1393">
        <f t="shared" si="194"/>
        <v>48384</v>
      </c>
      <c r="R1393" s="2">
        <f t="shared" si="195"/>
        <v>24192</v>
      </c>
      <c r="S1393" s="2" t="str">
        <f t="shared" si="196"/>
        <v xml:space="preserve"> Not Achieved</v>
      </c>
      <c r="T1393" s="2" t="str">
        <f t="shared" si="197"/>
        <v>Average</v>
      </c>
      <c r="U1393" s="2"/>
    </row>
    <row r="1394" spans="1:21" x14ac:dyDescent="0.3">
      <c r="A1394">
        <v>1393</v>
      </c>
      <c r="B1394" t="s">
        <v>2077</v>
      </c>
      <c r="C1394" t="str">
        <f t="shared" si="189"/>
        <v>EMP_1393</v>
      </c>
      <c r="D1394" t="s">
        <v>15</v>
      </c>
      <c r="E1394" t="str">
        <f t="shared" si="190"/>
        <v>EMP_1393Sales</v>
      </c>
      <c r="F1394" t="s">
        <v>7</v>
      </c>
      <c r="G1394" t="s">
        <v>25</v>
      </c>
      <c r="H1394">
        <v>22521</v>
      </c>
      <c r="I1394">
        <v>10357</v>
      </c>
      <c r="J1394">
        <v>97319</v>
      </c>
      <c r="K1394">
        <v>205763</v>
      </c>
      <c r="L1394" s="4">
        <v>45571</v>
      </c>
      <c r="M1394" s="4" t="str">
        <f t="shared" si="191"/>
        <v>2024</v>
      </c>
      <c r="N1394" s="1">
        <f t="shared" ca="1" si="192"/>
        <v>46064</v>
      </c>
      <c r="O1394" s="6">
        <f t="shared" ca="1" si="193"/>
        <v>1</v>
      </c>
      <c r="P1394">
        <v>2</v>
      </c>
      <c r="Q1394">
        <f t="shared" si="194"/>
        <v>32878</v>
      </c>
      <c r="R1394" s="2">
        <f t="shared" si="195"/>
        <v>16439</v>
      </c>
      <c r="S1394" s="2" t="str">
        <f t="shared" si="196"/>
        <v xml:space="preserve"> Not Achieved</v>
      </c>
      <c r="T1394" s="2" t="str">
        <f t="shared" si="197"/>
        <v>poor</v>
      </c>
      <c r="U1394" s="2"/>
    </row>
    <row r="1395" spans="1:21" x14ac:dyDescent="0.3">
      <c r="A1395">
        <v>1394</v>
      </c>
      <c r="B1395" t="s">
        <v>2078</v>
      </c>
      <c r="C1395" t="str">
        <f t="shared" si="189"/>
        <v>EMP_1394</v>
      </c>
      <c r="D1395" t="s">
        <v>15</v>
      </c>
      <c r="E1395" t="str">
        <f t="shared" si="190"/>
        <v>EMP_1394Sales</v>
      </c>
      <c r="F1395" t="s">
        <v>7</v>
      </c>
      <c r="G1395" t="s">
        <v>25</v>
      </c>
      <c r="H1395">
        <v>64925</v>
      </c>
      <c r="I1395">
        <v>14740</v>
      </c>
      <c r="J1395">
        <v>274231</v>
      </c>
      <c r="K1395">
        <v>149286</v>
      </c>
      <c r="L1395" s="4">
        <v>44627</v>
      </c>
      <c r="M1395" s="4" t="str">
        <f t="shared" si="191"/>
        <v>2022</v>
      </c>
      <c r="N1395" s="1">
        <f t="shared" ca="1" si="192"/>
        <v>46064</v>
      </c>
      <c r="O1395" s="6">
        <f t="shared" ca="1" si="193"/>
        <v>3</v>
      </c>
      <c r="P1395">
        <v>5</v>
      </c>
      <c r="Q1395">
        <f t="shared" si="194"/>
        <v>79665</v>
      </c>
      <c r="R1395" s="2">
        <f t="shared" si="195"/>
        <v>39832.5</v>
      </c>
      <c r="S1395" s="2" t="str">
        <f t="shared" si="196"/>
        <v>Achieved</v>
      </c>
      <c r="T1395" s="2" t="str">
        <f t="shared" si="197"/>
        <v xml:space="preserve"> Excellent</v>
      </c>
      <c r="U1395" s="2"/>
    </row>
    <row r="1396" spans="1:21" x14ac:dyDescent="0.3">
      <c r="A1396">
        <v>1395</v>
      </c>
      <c r="B1396" t="s">
        <v>2079</v>
      </c>
      <c r="C1396" t="str">
        <f t="shared" si="189"/>
        <v>EMP_1395</v>
      </c>
      <c r="D1396" t="s">
        <v>15</v>
      </c>
      <c r="E1396" t="str">
        <f t="shared" si="190"/>
        <v>EMP_1395Marketing</v>
      </c>
      <c r="F1396" t="s">
        <v>24</v>
      </c>
      <c r="G1396" t="s">
        <v>25</v>
      </c>
      <c r="H1396">
        <v>73138</v>
      </c>
      <c r="I1396">
        <v>2005</v>
      </c>
      <c r="J1396">
        <v>0</v>
      </c>
      <c r="K1396">
        <v>0</v>
      </c>
      <c r="L1396" s="4" t="s">
        <v>80</v>
      </c>
      <c r="M1396" s="4" t="str">
        <f t="shared" si="191"/>
        <v>6/22/2020</v>
      </c>
      <c r="N1396" s="1">
        <f t="shared" ca="1" si="192"/>
        <v>46064</v>
      </c>
      <c r="O1396" s="6" t="e">
        <f t="shared" ca="1" si="193"/>
        <v>#VALUE!</v>
      </c>
      <c r="P1396">
        <v>5</v>
      </c>
      <c r="Q1396">
        <f t="shared" si="194"/>
        <v>75143</v>
      </c>
      <c r="R1396" s="2">
        <f t="shared" si="195"/>
        <v>37571.5</v>
      </c>
      <c r="S1396" s="2" t="str">
        <f t="shared" si="196"/>
        <v xml:space="preserve"> Not Achieved</v>
      </c>
      <c r="T1396" s="2" t="str">
        <f t="shared" si="197"/>
        <v xml:space="preserve"> Excellent</v>
      </c>
      <c r="U1396" s="2"/>
    </row>
    <row r="1397" spans="1:21" x14ac:dyDescent="0.3">
      <c r="A1397">
        <v>1396</v>
      </c>
      <c r="B1397" t="s">
        <v>2080</v>
      </c>
      <c r="C1397" t="str">
        <f t="shared" si="189"/>
        <v>EMP_1396</v>
      </c>
      <c r="D1397" t="s">
        <v>11</v>
      </c>
      <c r="E1397" t="str">
        <f t="shared" si="190"/>
        <v>EMP_1396Finance</v>
      </c>
      <c r="F1397" t="s">
        <v>18</v>
      </c>
      <c r="G1397" t="s">
        <v>16</v>
      </c>
      <c r="H1397">
        <v>43584</v>
      </c>
      <c r="I1397">
        <v>6827</v>
      </c>
      <c r="J1397">
        <v>0</v>
      </c>
      <c r="K1397">
        <v>0</v>
      </c>
      <c r="L1397" s="4">
        <v>44357</v>
      </c>
      <c r="M1397" s="4" t="str">
        <f t="shared" si="191"/>
        <v>2021</v>
      </c>
      <c r="N1397" s="1">
        <f t="shared" ca="1" si="192"/>
        <v>46064</v>
      </c>
      <c r="O1397" s="6">
        <f t="shared" ca="1" si="193"/>
        <v>4</v>
      </c>
      <c r="P1397">
        <v>1</v>
      </c>
      <c r="Q1397">
        <f t="shared" si="194"/>
        <v>50411</v>
      </c>
      <c r="R1397" s="2">
        <f t="shared" si="195"/>
        <v>25205.5</v>
      </c>
      <c r="S1397" s="2" t="str">
        <f t="shared" si="196"/>
        <v xml:space="preserve"> Not Achieved</v>
      </c>
      <c r="T1397" s="2" t="str">
        <f t="shared" si="197"/>
        <v>Good</v>
      </c>
      <c r="U1397" s="2"/>
    </row>
    <row r="1398" spans="1:21" x14ac:dyDescent="0.3">
      <c r="A1398">
        <v>1397</v>
      </c>
      <c r="B1398" t="s">
        <v>2081</v>
      </c>
      <c r="C1398" t="str">
        <f t="shared" si="189"/>
        <v>EMP_1397</v>
      </c>
      <c r="D1398" t="s">
        <v>11</v>
      </c>
      <c r="E1398" t="str">
        <f t="shared" si="190"/>
        <v>EMP_1397IT</v>
      </c>
      <c r="F1398" t="s">
        <v>21</v>
      </c>
      <c r="G1398" t="s">
        <v>13</v>
      </c>
      <c r="H1398">
        <v>22531</v>
      </c>
      <c r="I1398">
        <v>8090</v>
      </c>
      <c r="J1398">
        <v>0</v>
      </c>
      <c r="K1398">
        <v>0</v>
      </c>
      <c r="L1398" s="4" t="s">
        <v>2082</v>
      </c>
      <c r="M1398" s="4" t="str">
        <f t="shared" si="191"/>
        <v>12/18/2019</v>
      </c>
      <c r="N1398" s="1">
        <f t="shared" ca="1" si="192"/>
        <v>46064</v>
      </c>
      <c r="O1398" s="6" t="e">
        <f t="shared" ca="1" si="193"/>
        <v>#VALUE!</v>
      </c>
      <c r="P1398">
        <v>4</v>
      </c>
      <c r="Q1398">
        <f t="shared" si="194"/>
        <v>30621</v>
      </c>
      <c r="R1398" s="2">
        <f t="shared" si="195"/>
        <v>15310.5</v>
      </c>
      <c r="S1398" s="2" t="str">
        <f t="shared" si="196"/>
        <v xml:space="preserve"> Not Achieved</v>
      </c>
      <c r="T1398" s="2" t="str">
        <f t="shared" si="197"/>
        <v>poor</v>
      </c>
      <c r="U1398" s="2"/>
    </row>
    <row r="1399" spans="1:21" x14ac:dyDescent="0.3">
      <c r="A1399">
        <v>1398</v>
      </c>
      <c r="B1399" t="s">
        <v>2083</v>
      </c>
      <c r="C1399" t="str">
        <f t="shared" si="189"/>
        <v>EMP_1398</v>
      </c>
      <c r="D1399" t="s">
        <v>15</v>
      </c>
      <c r="E1399" t="str">
        <f t="shared" si="190"/>
        <v>EMP_1398IT</v>
      </c>
      <c r="F1399" t="s">
        <v>21</v>
      </c>
      <c r="G1399" t="s">
        <v>22</v>
      </c>
      <c r="H1399">
        <v>29009</v>
      </c>
      <c r="I1399">
        <v>7490</v>
      </c>
      <c r="J1399">
        <v>0</v>
      </c>
      <c r="K1399">
        <v>0</v>
      </c>
      <c r="L1399" s="4" t="s">
        <v>2084</v>
      </c>
      <c r="M1399" s="4" t="str">
        <f t="shared" si="191"/>
        <v>11/25/2022</v>
      </c>
      <c r="N1399" s="1">
        <f t="shared" ca="1" si="192"/>
        <v>46064</v>
      </c>
      <c r="O1399" s="6" t="e">
        <f t="shared" ca="1" si="193"/>
        <v>#VALUE!</v>
      </c>
      <c r="P1399">
        <v>4</v>
      </c>
      <c r="Q1399">
        <f t="shared" si="194"/>
        <v>36499</v>
      </c>
      <c r="R1399" s="2">
        <f t="shared" si="195"/>
        <v>18249.5</v>
      </c>
      <c r="S1399" s="2" t="str">
        <f t="shared" si="196"/>
        <v xml:space="preserve"> Not Achieved</v>
      </c>
      <c r="T1399" s="2" t="str">
        <f t="shared" si="197"/>
        <v>poor</v>
      </c>
      <c r="U1399" s="2"/>
    </row>
    <row r="1400" spans="1:21" x14ac:dyDescent="0.3">
      <c r="A1400">
        <v>1399</v>
      </c>
      <c r="B1400" t="s">
        <v>2085</v>
      </c>
      <c r="C1400" t="str">
        <f t="shared" si="189"/>
        <v>EMP_1399</v>
      </c>
      <c r="D1400" t="s">
        <v>15</v>
      </c>
      <c r="E1400" t="str">
        <f t="shared" si="190"/>
        <v>EMP_1399HR</v>
      </c>
      <c r="F1400" t="s">
        <v>12</v>
      </c>
      <c r="G1400" t="s">
        <v>22</v>
      </c>
      <c r="H1400">
        <v>40617</v>
      </c>
      <c r="I1400">
        <v>12979</v>
      </c>
      <c r="J1400">
        <v>0</v>
      </c>
      <c r="K1400">
        <v>0</v>
      </c>
      <c r="L1400" s="4" t="s">
        <v>910</v>
      </c>
      <c r="M1400" s="4" t="str">
        <f t="shared" si="191"/>
        <v>3/16/2020</v>
      </c>
      <c r="N1400" s="1">
        <f t="shared" ca="1" si="192"/>
        <v>46064</v>
      </c>
      <c r="O1400" s="6" t="e">
        <f t="shared" ca="1" si="193"/>
        <v>#VALUE!</v>
      </c>
      <c r="P1400">
        <v>3</v>
      </c>
      <c r="Q1400">
        <f t="shared" si="194"/>
        <v>53596</v>
      </c>
      <c r="R1400" s="2">
        <f t="shared" si="195"/>
        <v>26798</v>
      </c>
      <c r="S1400" s="2" t="str">
        <f t="shared" si="196"/>
        <v xml:space="preserve"> Not Achieved</v>
      </c>
      <c r="T1400" s="2" t="str">
        <f t="shared" si="197"/>
        <v>Good</v>
      </c>
      <c r="U1400" s="2"/>
    </row>
    <row r="1401" spans="1:21" x14ac:dyDescent="0.3">
      <c r="A1401">
        <v>1400</v>
      </c>
      <c r="B1401" t="s">
        <v>2086</v>
      </c>
      <c r="C1401" t="str">
        <f t="shared" si="189"/>
        <v>EMP_1400</v>
      </c>
      <c r="D1401" t="s">
        <v>11</v>
      </c>
      <c r="E1401" t="str">
        <f t="shared" si="190"/>
        <v>EMP_1400Sales</v>
      </c>
      <c r="F1401" t="s">
        <v>7</v>
      </c>
      <c r="G1401" t="s">
        <v>16</v>
      </c>
      <c r="H1401">
        <v>31420</v>
      </c>
      <c r="I1401">
        <v>14992</v>
      </c>
      <c r="J1401">
        <v>294178</v>
      </c>
      <c r="K1401">
        <v>134981</v>
      </c>
      <c r="L1401" s="4">
        <v>44747</v>
      </c>
      <c r="M1401" s="4" t="str">
        <f t="shared" si="191"/>
        <v>2022</v>
      </c>
      <c r="N1401" s="1">
        <f t="shared" ca="1" si="192"/>
        <v>46064</v>
      </c>
      <c r="O1401" s="6">
        <f t="shared" ca="1" si="193"/>
        <v>3</v>
      </c>
      <c r="P1401">
        <v>1</v>
      </c>
      <c r="Q1401">
        <f t="shared" si="194"/>
        <v>46412</v>
      </c>
      <c r="R1401" s="2">
        <f t="shared" si="195"/>
        <v>23206</v>
      </c>
      <c r="S1401" s="2" t="str">
        <f t="shared" si="196"/>
        <v>Achieved</v>
      </c>
      <c r="T1401" s="2" t="str">
        <f t="shared" si="197"/>
        <v>Average</v>
      </c>
      <c r="U1401" s="2"/>
    </row>
    <row r="1402" spans="1:21" x14ac:dyDescent="0.3">
      <c r="A1402">
        <v>1401</v>
      </c>
      <c r="B1402" t="s">
        <v>2087</v>
      </c>
      <c r="C1402" t="str">
        <f t="shared" si="189"/>
        <v>EMP_1401</v>
      </c>
      <c r="D1402" t="s">
        <v>15</v>
      </c>
      <c r="E1402" t="str">
        <f t="shared" si="190"/>
        <v>EMP_1401IT</v>
      </c>
      <c r="F1402" t="s">
        <v>21</v>
      </c>
      <c r="G1402" t="s">
        <v>25</v>
      </c>
      <c r="H1402">
        <v>33709</v>
      </c>
      <c r="I1402">
        <v>2420</v>
      </c>
      <c r="J1402">
        <v>0</v>
      </c>
      <c r="K1402">
        <v>0</v>
      </c>
      <c r="L1402" s="4" t="s">
        <v>2088</v>
      </c>
      <c r="M1402" s="4" t="str">
        <f t="shared" si="191"/>
        <v>4/28/2024</v>
      </c>
      <c r="N1402" s="1">
        <f t="shared" ca="1" si="192"/>
        <v>46064</v>
      </c>
      <c r="O1402" s="6" t="e">
        <f t="shared" ca="1" si="193"/>
        <v>#VALUE!</v>
      </c>
      <c r="P1402">
        <v>4</v>
      </c>
      <c r="Q1402">
        <f t="shared" si="194"/>
        <v>36129</v>
      </c>
      <c r="R1402" s="2">
        <f t="shared" si="195"/>
        <v>18064.5</v>
      </c>
      <c r="S1402" s="2" t="str">
        <f t="shared" si="196"/>
        <v xml:space="preserve"> Not Achieved</v>
      </c>
      <c r="T1402" s="2" t="str">
        <f t="shared" si="197"/>
        <v>Average</v>
      </c>
      <c r="U1402" s="2"/>
    </row>
    <row r="1403" spans="1:21" x14ac:dyDescent="0.3">
      <c r="A1403">
        <v>1402</v>
      </c>
      <c r="B1403" t="s">
        <v>2089</v>
      </c>
      <c r="C1403" t="str">
        <f t="shared" si="189"/>
        <v>EMP_1402</v>
      </c>
      <c r="D1403" t="s">
        <v>11</v>
      </c>
      <c r="E1403" t="str">
        <f t="shared" si="190"/>
        <v>EMP_1402Sales</v>
      </c>
      <c r="F1403" t="s">
        <v>7</v>
      </c>
      <c r="G1403" t="s">
        <v>19</v>
      </c>
      <c r="H1403">
        <v>42861</v>
      </c>
      <c r="I1403">
        <v>2611</v>
      </c>
      <c r="J1403">
        <v>85044</v>
      </c>
      <c r="K1403">
        <v>146538</v>
      </c>
      <c r="L1403" s="4" t="s">
        <v>1517</v>
      </c>
      <c r="M1403" s="4" t="str">
        <f t="shared" si="191"/>
        <v>9/19/2021</v>
      </c>
      <c r="N1403" s="1">
        <f t="shared" ca="1" si="192"/>
        <v>46064</v>
      </c>
      <c r="O1403" s="6" t="e">
        <f t="shared" ca="1" si="193"/>
        <v>#VALUE!</v>
      </c>
      <c r="P1403">
        <v>3</v>
      </c>
      <c r="Q1403">
        <f t="shared" si="194"/>
        <v>45472</v>
      </c>
      <c r="R1403" s="2">
        <f t="shared" si="195"/>
        <v>22736</v>
      </c>
      <c r="S1403" s="2" t="str">
        <f t="shared" si="196"/>
        <v xml:space="preserve"> Not Achieved</v>
      </c>
      <c r="T1403" s="2" t="str">
        <f t="shared" si="197"/>
        <v>Good</v>
      </c>
      <c r="U1403" s="2"/>
    </row>
    <row r="1404" spans="1:21" x14ac:dyDescent="0.3">
      <c r="A1404">
        <v>1403</v>
      </c>
      <c r="B1404" t="s">
        <v>2090</v>
      </c>
      <c r="C1404" t="str">
        <f t="shared" si="189"/>
        <v>EMP_1403</v>
      </c>
      <c r="D1404" t="s">
        <v>11</v>
      </c>
      <c r="E1404" t="str">
        <f t="shared" si="190"/>
        <v>EMP_1403IT</v>
      </c>
      <c r="F1404" t="s">
        <v>21</v>
      </c>
      <c r="G1404" t="s">
        <v>19</v>
      </c>
      <c r="H1404">
        <v>31513</v>
      </c>
      <c r="I1404">
        <v>10558</v>
      </c>
      <c r="J1404">
        <v>0</v>
      </c>
      <c r="K1404">
        <v>0</v>
      </c>
      <c r="L1404" s="4" t="s">
        <v>2091</v>
      </c>
      <c r="M1404" s="4" t="str">
        <f t="shared" si="191"/>
        <v>8/15/2022</v>
      </c>
      <c r="N1404" s="1">
        <f t="shared" ca="1" si="192"/>
        <v>46064</v>
      </c>
      <c r="O1404" s="6" t="e">
        <f t="shared" ca="1" si="193"/>
        <v>#VALUE!</v>
      </c>
      <c r="P1404">
        <v>5</v>
      </c>
      <c r="Q1404">
        <f t="shared" si="194"/>
        <v>42071</v>
      </c>
      <c r="R1404" s="2">
        <f t="shared" si="195"/>
        <v>21035.5</v>
      </c>
      <c r="S1404" s="2" t="str">
        <f t="shared" si="196"/>
        <v xml:space="preserve"> Not Achieved</v>
      </c>
      <c r="T1404" s="2" t="str">
        <f t="shared" si="197"/>
        <v>Average</v>
      </c>
      <c r="U1404" s="2"/>
    </row>
    <row r="1405" spans="1:21" x14ac:dyDescent="0.3">
      <c r="A1405">
        <v>1404</v>
      </c>
      <c r="B1405" t="s">
        <v>2092</v>
      </c>
      <c r="C1405" t="str">
        <f t="shared" si="189"/>
        <v>EMP_1404</v>
      </c>
      <c r="D1405" t="s">
        <v>11</v>
      </c>
      <c r="E1405" t="str">
        <f t="shared" si="190"/>
        <v>EMP_1404HR</v>
      </c>
      <c r="F1405" t="s">
        <v>12</v>
      </c>
      <c r="G1405" t="s">
        <v>25</v>
      </c>
      <c r="H1405">
        <v>25097</v>
      </c>
      <c r="I1405">
        <v>9530</v>
      </c>
      <c r="J1405">
        <v>0</v>
      </c>
      <c r="K1405">
        <v>0</v>
      </c>
      <c r="L1405" s="4" t="s">
        <v>2093</v>
      </c>
      <c r="M1405" s="4" t="str">
        <f t="shared" si="191"/>
        <v>2/19/2021</v>
      </c>
      <c r="N1405" s="1">
        <f t="shared" ca="1" si="192"/>
        <v>46064</v>
      </c>
      <c r="O1405" s="6" t="e">
        <f t="shared" ca="1" si="193"/>
        <v>#VALUE!</v>
      </c>
      <c r="P1405">
        <v>5</v>
      </c>
      <c r="Q1405">
        <f t="shared" si="194"/>
        <v>34627</v>
      </c>
      <c r="R1405" s="2">
        <f t="shared" si="195"/>
        <v>17313.5</v>
      </c>
      <c r="S1405" s="2" t="str">
        <f t="shared" si="196"/>
        <v xml:space="preserve"> Not Achieved</v>
      </c>
      <c r="T1405" s="2" t="str">
        <f t="shared" si="197"/>
        <v>poor</v>
      </c>
      <c r="U1405" s="2"/>
    </row>
    <row r="1406" spans="1:21" x14ac:dyDescent="0.3">
      <c r="A1406">
        <v>1405</v>
      </c>
      <c r="B1406" t="s">
        <v>2094</v>
      </c>
      <c r="C1406" t="str">
        <f t="shared" si="189"/>
        <v>EMP_1405</v>
      </c>
      <c r="D1406" t="s">
        <v>11</v>
      </c>
      <c r="E1406" t="str">
        <f t="shared" si="190"/>
        <v>EMP_1405Marketing</v>
      </c>
      <c r="F1406" t="s">
        <v>24</v>
      </c>
      <c r="G1406" t="s">
        <v>25</v>
      </c>
      <c r="H1406">
        <v>23268</v>
      </c>
      <c r="I1406">
        <v>5747</v>
      </c>
      <c r="J1406">
        <v>0</v>
      </c>
      <c r="K1406">
        <v>0</v>
      </c>
      <c r="L1406" s="4">
        <v>44502</v>
      </c>
      <c r="M1406" s="4" t="str">
        <f t="shared" si="191"/>
        <v>2021</v>
      </c>
      <c r="N1406" s="1">
        <f t="shared" ca="1" si="192"/>
        <v>46064</v>
      </c>
      <c r="O1406" s="6">
        <f t="shared" ca="1" si="193"/>
        <v>4</v>
      </c>
      <c r="P1406">
        <v>3</v>
      </c>
      <c r="Q1406">
        <f t="shared" si="194"/>
        <v>29015</v>
      </c>
      <c r="R1406" s="2">
        <f t="shared" si="195"/>
        <v>14507.5</v>
      </c>
      <c r="S1406" s="2" t="str">
        <f t="shared" si="196"/>
        <v xml:space="preserve"> Not Achieved</v>
      </c>
      <c r="T1406" s="2" t="str">
        <f t="shared" si="197"/>
        <v>poor</v>
      </c>
      <c r="U1406" s="2"/>
    </row>
    <row r="1407" spans="1:21" x14ac:dyDescent="0.3">
      <c r="A1407">
        <v>1406</v>
      </c>
      <c r="B1407" t="s">
        <v>2095</v>
      </c>
      <c r="C1407" t="str">
        <f t="shared" si="189"/>
        <v>EMP_1406</v>
      </c>
      <c r="D1407" t="s">
        <v>15</v>
      </c>
      <c r="E1407" t="str">
        <f t="shared" si="190"/>
        <v>EMP_1406HR</v>
      </c>
      <c r="F1407" t="s">
        <v>12</v>
      </c>
      <c r="G1407" t="s">
        <v>22</v>
      </c>
      <c r="H1407">
        <v>58896</v>
      </c>
      <c r="I1407">
        <v>8326</v>
      </c>
      <c r="J1407">
        <v>0</v>
      </c>
      <c r="K1407">
        <v>0</v>
      </c>
      <c r="L1407" s="4" t="s">
        <v>2096</v>
      </c>
      <c r="M1407" s="4" t="str">
        <f t="shared" si="191"/>
        <v>4/28/2020</v>
      </c>
      <c r="N1407" s="1">
        <f t="shared" ca="1" si="192"/>
        <v>46064</v>
      </c>
      <c r="O1407" s="6" t="e">
        <f t="shared" ca="1" si="193"/>
        <v>#VALUE!</v>
      </c>
      <c r="P1407">
        <v>1</v>
      </c>
      <c r="Q1407">
        <f t="shared" si="194"/>
        <v>67222</v>
      </c>
      <c r="R1407" s="2">
        <f t="shared" si="195"/>
        <v>33611</v>
      </c>
      <c r="S1407" s="2" t="str">
        <f t="shared" si="196"/>
        <v xml:space="preserve"> Not Achieved</v>
      </c>
      <c r="T1407" s="2" t="str">
        <f t="shared" si="197"/>
        <v xml:space="preserve"> Excellent</v>
      </c>
      <c r="U1407" s="2"/>
    </row>
    <row r="1408" spans="1:21" x14ac:dyDescent="0.3">
      <c r="A1408">
        <v>1407</v>
      </c>
      <c r="B1408" t="s">
        <v>2097</v>
      </c>
      <c r="C1408" t="str">
        <f t="shared" si="189"/>
        <v>EMP_1407</v>
      </c>
      <c r="D1408" t="s">
        <v>11</v>
      </c>
      <c r="E1408" t="str">
        <f t="shared" si="190"/>
        <v>EMP_1407HR</v>
      </c>
      <c r="F1408" t="s">
        <v>12</v>
      </c>
      <c r="G1408" t="s">
        <v>16</v>
      </c>
      <c r="H1408">
        <v>23087</v>
      </c>
      <c r="I1408">
        <v>13297</v>
      </c>
      <c r="J1408">
        <v>0</v>
      </c>
      <c r="K1408">
        <v>0</v>
      </c>
      <c r="L1408" s="4" t="s">
        <v>2098</v>
      </c>
      <c r="M1408" s="4" t="str">
        <f t="shared" si="191"/>
        <v>1/31/2018</v>
      </c>
      <c r="N1408" s="1">
        <f t="shared" ca="1" si="192"/>
        <v>46064</v>
      </c>
      <c r="O1408" s="6" t="e">
        <f t="shared" ca="1" si="193"/>
        <v>#VALUE!</v>
      </c>
      <c r="P1408">
        <v>4</v>
      </c>
      <c r="Q1408">
        <f t="shared" si="194"/>
        <v>36384</v>
      </c>
      <c r="R1408" s="2">
        <f t="shared" si="195"/>
        <v>18192</v>
      </c>
      <c r="S1408" s="2" t="str">
        <f t="shared" si="196"/>
        <v xml:space="preserve"> Not Achieved</v>
      </c>
      <c r="T1408" s="2" t="str">
        <f t="shared" si="197"/>
        <v>poor</v>
      </c>
      <c r="U1408" s="2"/>
    </row>
    <row r="1409" spans="1:21" x14ac:dyDescent="0.3">
      <c r="A1409">
        <v>1408</v>
      </c>
      <c r="B1409" t="s">
        <v>2099</v>
      </c>
      <c r="C1409" t="str">
        <f t="shared" si="189"/>
        <v>EMP_1408</v>
      </c>
      <c r="D1409" t="s">
        <v>11</v>
      </c>
      <c r="E1409" t="str">
        <f t="shared" si="190"/>
        <v>EMP_1408IT</v>
      </c>
      <c r="F1409" t="s">
        <v>21</v>
      </c>
      <c r="G1409" t="s">
        <v>25</v>
      </c>
      <c r="H1409">
        <v>63168</v>
      </c>
      <c r="I1409">
        <v>10189</v>
      </c>
      <c r="J1409">
        <v>0</v>
      </c>
      <c r="K1409">
        <v>0</v>
      </c>
      <c r="L1409" s="4">
        <v>44685</v>
      </c>
      <c r="M1409" s="4" t="str">
        <f t="shared" si="191"/>
        <v>2022</v>
      </c>
      <c r="N1409" s="1">
        <f t="shared" ca="1" si="192"/>
        <v>46064</v>
      </c>
      <c r="O1409" s="6">
        <f t="shared" ca="1" si="193"/>
        <v>3</v>
      </c>
      <c r="P1409">
        <v>4</v>
      </c>
      <c r="Q1409">
        <f t="shared" si="194"/>
        <v>73357</v>
      </c>
      <c r="R1409" s="2">
        <f t="shared" si="195"/>
        <v>36678.5</v>
      </c>
      <c r="S1409" s="2" t="str">
        <f t="shared" si="196"/>
        <v xml:space="preserve"> Not Achieved</v>
      </c>
      <c r="T1409" s="2" t="str">
        <f t="shared" si="197"/>
        <v xml:space="preserve"> Excellent</v>
      </c>
      <c r="U1409" s="2"/>
    </row>
    <row r="1410" spans="1:21" x14ac:dyDescent="0.3">
      <c r="A1410">
        <v>1409</v>
      </c>
      <c r="B1410" t="s">
        <v>2100</v>
      </c>
      <c r="C1410" t="str">
        <f t="shared" si="189"/>
        <v>EMP_1409</v>
      </c>
      <c r="D1410" t="s">
        <v>15</v>
      </c>
      <c r="E1410" t="str">
        <f t="shared" si="190"/>
        <v>EMP_1409IT</v>
      </c>
      <c r="F1410" t="s">
        <v>21</v>
      </c>
      <c r="G1410" t="s">
        <v>13</v>
      </c>
      <c r="H1410">
        <v>26843</v>
      </c>
      <c r="I1410">
        <v>10722</v>
      </c>
      <c r="J1410">
        <v>0</v>
      </c>
      <c r="K1410">
        <v>0</v>
      </c>
      <c r="L1410" s="4">
        <v>45270</v>
      </c>
      <c r="M1410" s="4" t="str">
        <f t="shared" si="191"/>
        <v>2023</v>
      </c>
      <c r="N1410" s="1">
        <f t="shared" ca="1" si="192"/>
        <v>46064</v>
      </c>
      <c r="O1410" s="6">
        <f t="shared" ca="1" si="193"/>
        <v>2</v>
      </c>
      <c r="P1410">
        <v>1</v>
      </c>
      <c r="Q1410">
        <f t="shared" si="194"/>
        <v>37565</v>
      </c>
      <c r="R1410" s="2">
        <f t="shared" si="195"/>
        <v>18782.5</v>
      </c>
      <c r="S1410" s="2" t="str">
        <f t="shared" si="196"/>
        <v xml:space="preserve"> Not Achieved</v>
      </c>
      <c r="T1410" s="2" t="str">
        <f t="shared" si="197"/>
        <v>poor</v>
      </c>
      <c r="U1410" s="2"/>
    </row>
    <row r="1411" spans="1:21" x14ac:dyDescent="0.3">
      <c r="A1411">
        <v>1410</v>
      </c>
      <c r="B1411" t="s">
        <v>2101</v>
      </c>
      <c r="C1411" t="str">
        <f t="shared" ref="C1411:C1474" si="198">UPPER(B1411)</f>
        <v>EMP_1410</v>
      </c>
      <c r="D1411" t="s">
        <v>11</v>
      </c>
      <c r="E1411" t="str">
        <f t="shared" ref="E1411:E1474" si="199">_xlfn.CONCAT(C1411,F1411)</f>
        <v>EMP_1410Finance</v>
      </c>
      <c r="F1411" t="s">
        <v>18</v>
      </c>
      <c r="G1411" t="s">
        <v>22</v>
      </c>
      <c r="H1411">
        <v>70996</v>
      </c>
      <c r="I1411">
        <v>7291</v>
      </c>
      <c r="J1411">
        <v>0</v>
      </c>
      <c r="K1411">
        <v>0</v>
      </c>
      <c r="L1411" s="4" t="s">
        <v>844</v>
      </c>
      <c r="M1411" s="4" t="str">
        <f t="shared" ref="M1411:M1474" si="200">TEXT(L1411,"yyyy")</f>
        <v>12/20/2023</v>
      </c>
      <c r="N1411" s="1">
        <f t="shared" ref="N1411:N1474" ca="1" si="201">TODAY()</f>
        <v>46064</v>
      </c>
      <c r="O1411" s="6" t="e">
        <f t="shared" ref="O1411:O1474" ca="1" si="202">DATEDIF(L1411, TODAY(), "y")</f>
        <v>#VALUE!</v>
      </c>
      <c r="P1411">
        <v>5</v>
      </c>
      <c r="Q1411">
        <f t="shared" ref="Q1411:Q1474" si="203">SUM(H1411,I1411)</f>
        <v>78287</v>
      </c>
      <c r="R1411" s="2">
        <f t="shared" ref="R1411:R1474" si="204">AVERAGE(H1411,I1411)</f>
        <v>39143.5</v>
      </c>
      <c r="S1411" s="2" t="str">
        <f t="shared" ref="S1411:S1474" si="205">IF(J1411&gt;K1411,"Achieved"," Not Achieved")</f>
        <v xml:space="preserve"> Not Achieved</v>
      </c>
      <c r="T1411" s="2" t="str">
        <f t="shared" ref="T1411:T1474" si="206">_xlfn.IFS(H1411&gt;=50000," Excellent",H1411&gt;=40000,"Good",H1411&gt;=30000,"Average",H1411&lt;30000,"poor")</f>
        <v xml:space="preserve"> Excellent</v>
      </c>
      <c r="U1411" s="2"/>
    </row>
    <row r="1412" spans="1:21" x14ac:dyDescent="0.3">
      <c r="A1412">
        <v>1411</v>
      </c>
      <c r="B1412" t="s">
        <v>2102</v>
      </c>
      <c r="C1412" t="str">
        <f t="shared" si="198"/>
        <v>EMP_1411</v>
      </c>
      <c r="D1412" t="s">
        <v>11</v>
      </c>
      <c r="E1412" t="str">
        <f t="shared" si="199"/>
        <v>EMP_1411HR</v>
      </c>
      <c r="F1412" t="s">
        <v>12</v>
      </c>
      <c r="G1412" t="s">
        <v>13</v>
      </c>
      <c r="H1412">
        <v>20208</v>
      </c>
      <c r="I1412">
        <v>3181</v>
      </c>
      <c r="J1412">
        <v>0</v>
      </c>
      <c r="K1412">
        <v>0</v>
      </c>
      <c r="L1412" s="4">
        <v>44293</v>
      </c>
      <c r="M1412" s="4" t="str">
        <f t="shared" si="200"/>
        <v>2021</v>
      </c>
      <c r="N1412" s="1">
        <f t="shared" ca="1" si="201"/>
        <v>46064</v>
      </c>
      <c r="O1412" s="6">
        <f t="shared" ca="1" si="202"/>
        <v>4</v>
      </c>
      <c r="P1412">
        <v>3</v>
      </c>
      <c r="Q1412">
        <f t="shared" si="203"/>
        <v>23389</v>
      </c>
      <c r="R1412" s="2">
        <f t="shared" si="204"/>
        <v>11694.5</v>
      </c>
      <c r="S1412" s="2" t="str">
        <f t="shared" si="205"/>
        <v xml:space="preserve"> Not Achieved</v>
      </c>
      <c r="T1412" s="2" t="str">
        <f t="shared" si="206"/>
        <v>poor</v>
      </c>
      <c r="U1412" s="2"/>
    </row>
    <row r="1413" spans="1:21" x14ac:dyDescent="0.3">
      <c r="A1413">
        <v>1412</v>
      </c>
      <c r="B1413" t="s">
        <v>2103</v>
      </c>
      <c r="C1413" t="str">
        <f t="shared" si="198"/>
        <v>EMP_1412</v>
      </c>
      <c r="D1413" t="s">
        <v>11</v>
      </c>
      <c r="E1413" t="str">
        <f t="shared" si="199"/>
        <v>EMP_1412HR</v>
      </c>
      <c r="F1413" t="s">
        <v>12</v>
      </c>
      <c r="G1413" t="s">
        <v>13</v>
      </c>
      <c r="H1413">
        <v>69129</v>
      </c>
      <c r="I1413">
        <v>13607</v>
      </c>
      <c r="J1413">
        <v>0</v>
      </c>
      <c r="K1413">
        <v>0</v>
      </c>
      <c r="L1413" s="4">
        <v>43466</v>
      </c>
      <c r="M1413" s="4" t="str">
        <f t="shared" si="200"/>
        <v>2019</v>
      </c>
      <c r="N1413" s="1">
        <f t="shared" ca="1" si="201"/>
        <v>46064</v>
      </c>
      <c r="O1413" s="6">
        <f t="shared" ca="1" si="202"/>
        <v>7</v>
      </c>
      <c r="P1413">
        <v>1</v>
      </c>
      <c r="Q1413">
        <f t="shared" si="203"/>
        <v>82736</v>
      </c>
      <c r="R1413" s="2">
        <f t="shared" si="204"/>
        <v>41368</v>
      </c>
      <c r="S1413" s="2" t="str">
        <f t="shared" si="205"/>
        <v xml:space="preserve"> Not Achieved</v>
      </c>
      <c r="T1413" s="2" t="str">
        <f t="shared" si="206"/>
        <v xml:space="preserve"> Excellent</v>
      </c>
      <c r="U1413" s="2"/>
    </row>
    <row r="1414" spans="1:21" x14ac:dyDescent="0.3">
      <c r="A1414">
        <v>1413</v>
      </c>
      <c r="B1414" t="s">
        <v>2104</v>
      </c>
      <c r="C1414" t="str">
        <f t="shared" si="198"/>
        <v>EMP_1413</v>
      </c>
      <c r="D1414" t="s">
        <v>11</v>
      </c>
      <c r="E1414" t="str">
        <f t="shared" si="199"/>
        <v>EMP_1413HR</v>
      </c>
      <c r="F1414" t="s">
        <v>12</v>
      </c>
      <c r="G1414" t="s">
        <v>19</v>
      </c>
      <c r="H1414">
        <v>64382</v>
      </c>
      <c r="I1414">
        <v>10909</v>
      </c>
      <c r="J1414">
        <v>0</v>
      </c>
      <c r="K1414">
        <v>0</v>
      </c>
      <c r="L1414" s="4">
        <v>43287</v>
      </c>
      <c r="M1414" s="4" t="str">
        <f t="shared" si="200"/>
        <v>2018</v>
      </c>
      <c r="N1414" s="1">
        <f t="shared" ca="1" si="201"/>
        <v>46064</v>
      </c>
      <c r="O1414" s="6">
        <f t="shared" ca="1" si="202"/>
        <v>7</v>
      </c>
      <c r="P1414">
        <v>4</v>
      </c>
      <c r="Q1414">
        <f t="shared" si="203"/>
        <v>75291</v>
      </c>
      <c r="R1414" s="2">
        <f t="shared" si="204"/>
        <v>37645.5</v>
      </c>
      <c r="S1414" s="2" t="str">
        <f t="shared" si="205"/>
        <v xml:space="preserve"> Not Achieved</v>
      </c>
      <c r="T1414" s="2" t="str">
        <f t="shared" si="206"/>
        <v xml:space="preserve"> Excellent</v>
      </c>
      <c r="U1414" s="2"/>
    </row>
    <row r="1415" spans="1:21" x14ac:dyDescent="0.3">
      <c r="A1415">
        <v>1414</v>
      </c>
      <c r="B1415" t="s">
        <v>2105</v>
      </c>
      <c r="C1415" t="str">
        <f t="shared" si="198"/>
        <v>EMP_1414</v>
      </c>
      <c r="D1415" t="s">
        <v>15</v>
      </c>
      <c r="E1415" t="str">
        <f t="shared" si="199"/>
        <v>EMP_1414HR</v>
      </c>
      <c r="F1415" t="s">
        <v>12</v>
      </c>
      <c r="G1415" t="s">
        <v>16</v>
      </c>
      <c r="H1415">
        <v>75561</v>
      </c>
      <c r="I1415">
        <v>11636</v>
      </c>
      <c r="J1415">
        <v>0</v>
      </c>
      <c r="K1415">
        <v>0</v>
      </c>
      <c r="L1415" s="4" t="s">
        <v>2106</v>
      </c>
      <c r="M1415" s="4" t="str">
        <f t="shared" si="200"/>
        <v>1/20/2021</v>
      </c>
      <c r="N1415" s="1">
        <f t="shared" ca="1" si="201"/>
        <v>46064</v>
      </c>
      <c r="O1415" s="6" t="e">
        <f t="shared" ca="1" si="202"/>
        <v>#VALUE!</v>
      </c>
      <c r="P1415">
        <v>4</v>
      </c>
      <c r="Q1415">
        <f t="shared" si="203"/>
        <v>87197</v>
      </c>
      <c r="R1415" s="2">
        <f t="shared" si="204"/>
        <v>43598.5</v>
      </c>
      <c r="S1415" s="2" t="str">
        <f t="shared" si="205"/>
        <v xml:space="preserve"> Not Achieved</v>
      </c>
      <c r="T1415" s="2" t="str">
        <f t="shared" si="206"/>
        <v xml:space="preserve"> Excellent</v>
      </c>
      <c r="U1415" s="2"/>
    </row>
    <row r="1416" spans="1:21" x14ac:dyDescent="0.3">
      <c r="A1416">
        <v>1415</v>
      </c>
      <c r="B1416" t="s">
        <v>2107</v>
      </c>
      <c r="C1416" t="str">
        <f t="shared" si="198"/>
        <v>EMP_1415</v>
      </c>
      <c r="D1416" t="s">
        <v>15</v>
      </c>
      <c r="E1416" t="str">
        <f t="shared" si="199"/>
        <v>EMP_1415IT</v>
      </c>
      <c r="F1416" t="s">
        <v>21</v>
      </c>
      <c r="G1416" t="s">
        <v>16</v>
      </c>
      <c r="H1416">
        <v>23477</v>
      </c>
      <c r="I1416">
        <v>11726</v>
      </c>
      <c r="J1416">
        <v>0</v>
      </c>
      <c r="K1416">
        <v>0</v>
      </c>
      <c r="L1416" s="4" t="s">
        <v>2108</v>
      </c>
      <c r="M1416" s="4" t="str">
        <f t="shared" si="200"/>
        <v>10/22/2020</v>
      </c>
      <c r="N1416" s="1">
        <f t="shared" ca="1" si="201"/>
        <v>46064</v>
      </c>
      <c r="O1416" s="6" t="e">
        <f t="shared" ca="1" si="202"/>
        <v>#VALUE!</v>
      </c>
      <c r="P1416">
        <v>2</v>
      </c>
      <c r="Q1416">
        <f t="shared" si="203"/>
        <v>35203</v>
      </c>
      <c r="R1416" s="2">
        <f t="shared" si="204"/>
        <v>17601.5</v>
      </c>
      <c r="S1416" s="2" t="str">
        <f t="shared" si="205"/>
        <v xml:space="preserve"> Not Achieved</v>
      </c>
      <c r="T1416" s="2" t="str">
        <f t="shared" si="206"/>
        <v>poor</v>
      </c>
      <c r="U1416" s="2"/>
    </row>
    <row r="1417" spans="1:21" x14ac:dyDescent="0.3">
      <c r="A1417">
        <v>1416</v>
      </c>
      <c r="B1417" t="s">
        <v>2109</v>
      </c>
      <c r="C1417" t="str">
        <f t="shared" si="198"/>
        <v>EMP_1416</v>
      </c>
      <c r="D1417" t="s">
        <v>11</v>
      </c>
      <c r="E1417" t="str">
        <f t="shared" si="199"/>
        <v>EMP_1416Finance</v>
      </c>
      <c r="F1417" t="s">
        <v>18</v>
      </c>
      <c r="G1417" t="s">
        <v>22</v>
      </c>
      <c r="H1417">
        <v>21778</v>
      </c>
      <c r="I1417">
        <v>7466</v>
      </c>
      <c r="J1417">
        <v>0</v>
      </c>
      <c r="K1417">
        <v>0</v>
      </c>
      <c r="L1417" s="4" t="s">
        <v>1748</v>
      </c>
      <c r="M1417" s="4" t="str">
        <f t="shared" si="200"/>
        <v>3/19/2024</v>
      </c>
      <c r="N1417" s="1">
        <f t="shared" ca="1" si="201"/>
        <v>46064</v>
      </c>
      <c r="O1417" s="6" t="e">
        <f t="shared" ca="1" si="202"/>
        <v>#VALUE!</v>
      </c>
      <c r="P1417">
        <v>3</v>
      </c>
      <c r="Q1417">
        <f t="shared" si="203"/>
        <v>29244</v>
      </c>
      <c r="R1417" s="2">
        <f t="shared" si="204"/>
        <v>14622</v>
      </c>
      <c r="S1417" s="2" t="str">
        <f t="shared" si="205"/>
        <v xml:space="preserve"> Not Achieved</v>
      </c>
      <c r="T1417" s="2" t="str">
        <f t="shared" si="206"/>
        <v>poor</v>
      </c>
      <c r="U1417" s="2"/>
    </row>
    <row r="1418" spans="1:21" x14ac:dyDescent="0.3">
      <c r="A1418">
        <v>1417</v>
      </c>
      <c r="B1418" t="s">
        <v>2110</v>
      </c>
      <c r="C1418" t="str">
        <f t="shared" si="198"/>
        <v>EMP_1417</v>
      </c>
      <c r="D1418" t="s">
        <v>11</v>
      </c>
      <c r="E1418" t="str">
        <f t="shared" si="199"/>
        <v>EMP_1417IT</v>
      </c>
      <c r="F1418" t="s">
        <v>21</v>
      </c>
      <c r="G1418" t="s">
        <v>22</v>
      </c>
      <c r="H1418">
        <v>58801</v>
      </c>
      <c r="I1418">
        <v>14613</v>
      </c>
      <c r="J1418">
        <v>0</v>
      </c>
      <c r="K1418">
        <v>0</v>
      </c>
      <c r="L1418" s="4" t="s">
        <v>2111</v>
      </c>
      <c r="M1418" s="4" t="str">
        <f t="shared" si="200"/>
        <v>4/19/2024</v>
      </c>
      <c r="N1418" s="1">
        <f t="shared" ca="1" si="201"/>
        <v>46064</v>
      </c>
      <c r="O1418" s="6" t="e">
        <f t="shared" ca="1" si="202"/>
        <v>#VALUE!</v>
      </c>
      <c r="P1418">
        <v>1</v>
      </c>
      <c r="Q1418">
        <f t="shared" si="203"/>
        <v>73414</v>
      </c>
      <c r="R1418" s="2">
        <f t="shared" si="204"/>
        <v>36707</v>
      </c>
      <c r="S1418" s="2" t="str">
        <f t="shared" si="205"/>
        <v xml:space="preserve"> Not Achieved</v>
      </c>
      <c r="T1418" s="2" t="str">
        <f t="shared" si="206"/>
        <v xml:space="preserve"> Excellent</v>
      </c>
      <c r="U1418" s="2"/>
    </row>
    <row r="1419" spans="1:21" x14ac:dyDescent="0.3">
      <c r="A1419">
        <v>1418</v>
      </c>
      <c r="B1419" t="s">
        <v>2112</v>
      </c>
      <c r="C1419" t="str">
        <f t="shared" si="198"/>
        <v>EMP_1418</v>
      </c>
      <c r="D1419" t="s">
        <v>15</v>
      </c>
      <c r="E1419" t="str">
        <f t="shared" si="199"/>
        <v>EMP_1418IT</v>
      </c>
      <c r="F1419" t="s">
        <v>21</v>
      </c>
      <c r="G1419" t="s">
        <v>25</v>
      </c>
      <c r="H1419">
        <v>32762</v>
      </c>
      <c r="I1419">
        <v>5197</v>
      </c>
      <c r="J1419">
        <v>0</v>
      </c>
      <c r="K1419">
        <v>0</v>
      </c>
      <c r="L1419" s="4">
        <v>45423</v>
      </c>
      <c r="M1419" s="4" t="str">
        <f t="shared" si="200"/>
        <v>2024</v>
      </c>
      <c r="N1419" s="1">
        <f t="shared" ca="1" si="201"/>
        <v>46064</v>
      </c>
      <c r="O1419" s="6">
        <f t="shared" ca="1" si="202"/>
        <v>1</v>
      </c>
      <c r="P1419">
        <v>5</v>
      </c>
      <c r="Q1419">
        <f t="shared" si="203"/>
        <v>37959</v>
      </c>
      <c r="R1419" s="2">
        <f t="shared" si="204"/>
        <v>18979.5</v>
      </c>
      <c r="S1419" s="2" t="str">
        <f t="shared" si="205"/>
        <v xml:space="preserve"> Not Achieved</v>
      </c>
      <c r="T1419" s="2" t="str">
        <f t="shared" si="206"/>
        <v>Average</v>
      </c>
      <c r="U1419" s="2"/>
    </row>
    <row r="1420" spans="1:21" x14ac:dyDescent="0.3">
      <c r="A1420">
        <v>1419</v>
      </c>
      <c r="B1420" t="s">
        <v>2113</v>
      </c>
      <c r="C1420" t="str">
        <f t="shared" si="198"/>
        <v>EMP_1419</v>
      </c>
      <c r="D1420" t="s">
        <v>15</v>
      </c>
      <c r="E1420" t="str">
        <f t="shared" si="199"/>
        <v>EMP_1419Marketing</v>
      </c>
      <c r="F1420" t="s">
        <v>24</v>
      </c>
      <c r="G1420" t="s">
        <v>22</v>
      </c>
      <c r="H1420">
        <v>67003</v>
      </c>
      <c r="I1420">
        <v>14545</v>
      </c>
      <c r="J1420">
        <v>0</v>
      </c>
      <c r="K1420">
        <v>0</v>
      </c>
      <c r="L1420" s="4" t="s">
        <v>2114</v>
      </c>
      <c r="M1420" s="4" t="str">
        <f t="shared" si="200"/>
        <v>7/21/2019</v>
      </c>
      <c r="N1420" s="1">
        <f t="shared" ca="1" si="201"/>
        <v>46064</v>
      </c>
      <c r="O1420" s="6" t="e">
        <f t="shared" ca="1" si="202"/>
        <v>#VALUE!</v>
      </c>
      <c r="P1420">
        <v>1</v>
      </c>
      <c r="Q1420">
        <f t="shared" si="203"/>
        <v>81548</v>
      </c>
      <c r="R1420" s="2">
        <f t="shared" si="204"/>
        <v>40774</v>
      </c>
      <c r="S1420" s="2" t="str">
        <f t="shared" si="205"/>
        <v xml:space="preserve"> Not Achieved</v>
      </c>
      <c r="T1420" s="2" t="str">
        <f t="shared" si="206"/>
        <v xml:space="preserve"> Excellent</v>
      </c>
      <c r="U1420" s="2"/>
    </row>
    <row r="1421" spans="1:21" x14ac:dyDescent="0.3">
      <c r="A1421">
        <v>1420</v>
      </c>
      <c r="B1421" t="s">
        <v>2115</v>
      </c>
      <c r="C1421" t="str">
        <f t="shared" si="198"/>
        <v>EMP_1420</v>
      </c>
      <c r="D1421" t="s">
        <v>15</v>
      </c>
      <c r="E1421" t="str">
        <f t="shared" si="199"/>
        <v>EMP_1420HR</v>
      </c>
      <c r="F1421" t="s">
        <v>12</v>
      </c>
      <c r="G1421" t="s">
        <v>13</v>
      </c>
      <c r="H1421">
        <v>74526</v>
      </c>
      <c r="I1421">
        <v>7003</v>
      </c>
      <c r="J1421">
        <v>0</v>
      </c>
      <c r="K1421">
        <v>0</v>
      </c>
      <c r="L1421" s="4">
        <v>43867</v>
      </c>
      <c r="M1421" s="4" t="str">
        <f t="shared" si="200"/>
        <v>2020</v>
      </c>
      <c r="N1421" s="1">
        <f t="shared" ca="1" si="201"/>
        <v>46064</v>
      </c>
      <c r="O1421" s="6">
        <f t="shared" ca="1" si="202"/>
        <v>6</v>
      </c>
      <c r="P1421">
        <v>2</v>
      </c>
      <c r="Q1421">
        <f t="shared" si="203"/>
        <v>81529</v>
      </c>
      <c r="R1421" s="2">
        <f t="shared" si="204"/>
        <v>40764.5</v>
      </c>
      <c r="S1421" s="2" t="str">
        <f t="shared" si="205"/>
        <v xml:space="preserve"> Not Achieved</v>
      </c>
      <c r="T1421" s="2" t="str">
        <f t="shared" si="206"/>
        <v xml:space="preserve"> Excellent</v>
      </c>
      <c r="U1421" s="2"/>
    </row>
    <row r="1422" spans="1:21" x14ac:dyDescent="0.3">
      <c r="A1422">
        <v>1421</v>
      </c>
      <c r="B1422" t="s">
        <v>2116</v>
      </c>
      <c r="C1422" t="str">
        <f t="shared" si="198"/>
        <v>EMP_1421</v>
      </c>
      <c r="D1422" t="s">
        <v>15</v>
      </c>
      <c r="E1422" t="str">
        <f t="shared" si="199"/>
        <v>EMP_1421Marketing</v>
      </c>
      <c r="F1422" t="s">
        <v>24</v>
      </c>
      <c r="G1422" t="s">
        <v>19</v>
      </c>
      <c r="H1422">
        <v>62011</v>
      </c>
      <c r="I1422">
        <v>13756</v>
      </c>
      <c r="J1422">
        <v>0</v>
      </c>
      <c r="K1422">
        <v>0</v>
      </c>
      <c r="L1422" s="4">
        <v>44655</v>
      </c>
      <c r="M1422" s="4" t="str">
        <f t="shared" si="200"/>
        <v>2022</v>
      </c>
      <c r="N1422" s="1">
        <f t="shared" ca="1" si="201"/>
        <v>46064</v>
      </c>
      <c r="O1422" s="6">
        <f t="shared" ca="1" si="202"/>
        <v>3</v>
      </c>
      <c r="P1422">
        <v>5</v>
      </c>
      <c r="Q1422">
        <f t="shared" si="203"/>
        <v>75767</v>
      </c>
      <c r="R1422" s="2">
        <f t="shared" si="204"/>
        <v>37883.5</v>
      </c>
      <c r="S1422" s="2" t="str">
        <f t="shared" si="205"/>
        <v xml:space="preserve"> Not Achieved</v>
      </c>
      <c r="T1422" s="2" t="str">
        <f t="shared" si="206"/>
        <v xml:space="preserve"> Excellent</v>
      </c>
      <c r="U1422" s="2"/>
    </row>
    <row r="1423" spans="1:21" x14ac:dyDescent="0.3">
      <c r="A1423">
        <v>1422</v>
      </c>
      <c r="B1423" t="s">
        <v>2117</v>
      </c>
      <c r="C1423" t="str">
        <f t="shared" si="198"/>
        <v>EMP_1422</v>
      </c>
      <c r="D1423" t="s">
        <v>11</v>
      </c>
      <c r="E1423" t="str">
        <f t="shared" si="199"/>
        <v>EMP_1422HR</v>
      </c>
      <c r="F1423" t="s">
        <v>12</v>
      </c>
      <c r="G1423" t="s">
        <v>13</v>
      </c>
      <c r="H1423">
        <v>77951</v>
      </c>
      <c r="I1423">
        <v>7175</v>
      </c>
      <c r="J1423">
        <v>0</v>
      </c>
      <c r="K1423">
        <v>0</v>
      </c>
      <c r="L1423" s="4">
        <v>43108</v>
      </c>
      <c r="M1423" s="4" t="str">
        <f t="shared" si="200"/>
        <v>2018</v>
      </c>
      <c r="N1423" s="1">
        <f t="shared" ca="1" si="201"/>
        <v>46064</v>
      </c>
      <c r="O1423" s="6">
        <f t="shared" ca="1" si="202"/>
        <v>8</v>
      </c>
      <c r="P1423">
        <v>3</v>
      </c>
      <c r="Q1423">
        <f t="shared" si="203"/>
        <v>85126</v>
      </c>
      <c r="R1423" s="2">
        <f t="shared" si="204"/>
        <v>42563</v>
      </c>
      <c r="S1423" s="2" t="str">
        <f t="shared" si="205"/>
        <v xml:space="preserve"> Not Achieved</v>
      </c>
      <c r="T1423" s="2" t="str">
        <f t="shared" si="206"/>
        <v xml:space="preserve"> Excellent</v>
      </c>
      <c r="U1423" s="2"/>
    </row>
    <row r="1424" spans="1:21" x14ac:dyDescent="0.3">
      <c r="A1424">
        <v>1423</v>
      </c>
      <c r="B1424" t="s">
        <v>2118</v>
      </c>
      <c r="C1424" t="str">
        <f t="shared" si="198"/>
        <v>EMP_1423</v>
      </c>
      <c r="D1424" t="s">
        <v>15</v>
      </c>
      <c r="E1424" t="str">
        <f t="shared" si="199"/>
        <v>EMP_1423HR</v>
      </c>
      <c r="F1424" t="s">
        <v>12</v>
      </c>
      <c r="G1424" t="s">
        <v>25</v>
      </c>
      <c r="H1424">
        <v>32586</v>
      </c>
      <c r="I1424">
        <v>5129</v>
      </c>
      <c r="J1424">
        <v>0</v>
      </c>
      <c r="K1424">
        <v>0</v>
      </c>
      <c r="L1424" s="4">
        <v>44441</v>
      </c>
      <c r="M1424" s="4" t="str">
        <f t="shared" si="200"/>
        <v>2021</v>
      </c>
      <c r="N1424" s="1">
        <f t="shared" ca="1" si="201"/>
        <v>46064</v>
      </c>
      <c r="O1424" s="6">
        <f t="shared" ca="1" si="202"/>
        <v>4</v>
      </c>
      <c r="P1424">
        <v>2</v>
      </c>
      <c r="Q1424">
        <f t="shared" si="203"/>
        <v>37715</v>
      </c>
      <c r="R1424" s="2">
        <f t="shared" si="204"/>
        <v>18857.5</v>
      </c>
      <c r="S1424" s="2" t="str">
        <f t="shared" si="205"/>
        <v xml:space="preserve"> Not Achieved</v>
      </c>
      <c r="T1424" s="2" t="str">
        <f t="shared" si="206"/>
        <v>Average</v>
      </c>
      <c r="U1424" s="2"/>
    </row>
    <row r="1425" spans="1:21" x14ac:dyDescent="0.3">
      <c r="A1425">
        <v>1424</v>
      </c>
      <c r="B1425" t="s">
        <v>2119</v>
      </c>
      <c r="C1425" t="str">
        <f t="shared" si="198"/>
        <v>EMP_1424</v>
      </c>
      <c r="D1425" t="s">
        <v>15</v>
      </c>
      <c r="E1425" t="str">
        <f t="shared" si="199"/>
        <v>EMP_1424HR</v>
      </c>
      <c r="F1425" t="s">
        <v>12</v>
      </c>
      <c r="G1425" t="s">
        <v>25</v>
      </c>
      <c r="H1425">
        <v>41058</v>
      </c>
      <c r="I1425">
        <v>11122</v>
      </c>
      <c r="J1425">
        <v>0</v>
      </c>
      <c r="K1425">
        <v>0</v>
      </c>
      <c r="L1425" s="4" t="s">
        <v>515</v>
      </c>
      <c r="M1425" s="4" t="str">
        <f t="shared" si="200"/>
        <v>10/18/2024</v>
      </c>
      <c r="N1425" s="1">
        <f t="shared" ca="1" si="201"/>
        <v>46064</v>
      </c>
      <c r="O1425" s="6" t="e">
        <f t="shared" ca="1" si="202"/>
        <v>#VALUE!</v>
      </c>
      <c r="P1425">
        <v>2</v>
      </c>
      <c r="Q1425">
        <f t="shared" si="203"/>
        <v>52180</v>
      </c>
      <c r="R1425" s="2">
        <f t="shared" si="204"/>
        <v>26090</v>
      </c>
      <c r="S1425" s="2" t="str">
        <f t="shared" si="205"/>
        <v xml:space="preserve"> Not Achieved</v>
      </c>
      <c r="T1425" s="2" t="str">
        <f t="shared" si="206"/>
        <v>Good</v>
      </c>
      <c r="U1425" s="2"/>
    </row>
    <row r="1426" spans="1:21" x14ac:dyDescent="0.3">
      <c r="A1426">
        <v>1425</v>
      </c>
      <c r="B1426" t="s">
        <v>2120</v>
      </c>
      <c r="C1426" t="str">
        <f t="shared" si="198"/>
        <v>EMP_1425</v>
      </c>
      <c r="D1426" t="s">
        <v>11</v>
      </c>
      <c r="E1426" t="str">
        <f t="shared" si="199"/>
        <v>EMP_1425HR</v>
      </c>
      <c r="F1426" t="s">
        <v>12</v>
      </c>
      <c r="G1426" t="s">
        <v>25</v>
      </c>
      <c r="H1426">
        <v>35278</v>
      </c>
      <c r="I1426">
        <v>14474</v>
      </c>
      <c r="J1426">
        <v>0</v>
      </c>
      <c r="K1426">
        <v>0</v>
      </c>
      <c r="L1426" s="4" t="s">
        <v>605</v>
      </c>
      <c r="M1426" s="4" t="str">
        <f t="shared" si="200"/>
        <v>12/20/2019</v>
      </c>
      <c r="N1426" s="1">
        <f t="shared" ca="1" si="201"/>
        <v>46064</v>
      </c>
      <c r="O1426" s="6" t="e">
        <f t="shared" ca="1" si="202"/>
        <v>#VALUE!</v>
      </c>
      <c r="P1426">
        <v>2</v>
      </c>
      <c r="Q1426">
        <f t="shared" si="203"/>
        <v>49752</v>
      </c>
      <c r="R1426" s="2">
        <f t="shared" si="204"/>
        <v>24876</v>
      </c>
      <c r="S1426" s="2" t="str">
        <f t="shared" si="205"/>
        <v xml:space="preserve"> Not Achieved</v>
      </c>
      <c r="T1426" s="2" t="str">
        <f t="shared" si="206"/>
        <v>Average</v>
      </c>
      <c r="U1426" s="2"/>
    </row>
    <row r="1427" spans="1:21" x14ac:dyDescent="0.3">
      <c r="A1427">
        <v>1426</v>
      </c>
      <c r="B1427" t="s">
        <v>2121</v>
      </c>
      <c r="C1427" t="str">
        <f t="shared" si="198"/>
        <v>EMP_1426</v>
      </c>
      <c r="D1427" t="s">
        <v>15</v>
      </c>
      <c r="E1427" t="str">
        <f t="shared" si="199"/>
        <v>EMP_1426Finance</v>
      </c>
      <c r="F1427" t="s">
        <v>18</v>
      </c>
      <c r="G1427" t="s">
        <v>13</v>
      </c>
      <c r="H1427">
        <v>69758</v>
      </c>
      <c r="I1427">
        <v>11380</v>
      </c>
      <c r="J1427">
        <v>0</v>
      </c>
      <c r="K1427">
        <v>0</v>
      </c>
      <c r="L1427" s="4" t="s">
        <v>2122</v>
      </c>
      <c r="M1427" s="4" t="str">
        <f t="shared" si="200"/>
        <v>12/26/2019</v>
      </c>
      <c r="N1427" s="1">
        <f t="shared" ca="1" si="201"/>
        <v>46064</v>
      </c>
      <c r="O1427" s="6" t="e">
        <f t="shared" ca="1" si="202"/>
        <v>#VALUE!</v>
      </c>
      <c r="P1427">
        <v>2</v>
      </c>
      <c r="Q1427">
        <f t="shared" si="203"/>
        <v>81138</v>
      </c>
      <c r="R1427" s="2">
        <f t="shared" si="204"/>
        <v>40569</v>
      </c>
      <c r="S1427" s="2" t="str">
        <f t="shared" si="205"/>
        <v xml:space="preserve"> Not Achieved</v>
      </c>
      <c r="T1427" s="2" t="str">
        <f t="shared" si="206"/>
        <v xml:space="preserve"> Excellent</v>
      </c>
      <c r="U1427" s="2"/>
    </row>
    <row r="1428" spans="1:21" x14ac:dyDescent="0.3">
      <c r="A1428">
        <v>1427</v>
      </c>
      <c r="B1428" t="s">
        <v>2123</v>
      </c>
      <c r="C1428" t="str">
        <f t="shared" si="198"/>
        <v>EMP_1427</v>
      </c>
      <c r="D1428" t="s">
        <v>11</v>
      </c>
      <c r="E1428" t="str">
        <f t="shared" si="199"/>
        <v>EMP_1427HR</v>
      </c>
      <c r="F1428" t="s">
        <v>12</v>
      </c>
      <c r="G1428" t="s">
        <v>22</v>
      </c>
      <c r="H1428">
        <v>58820</v>
      </c>
      <c r="I1428">
        <v>13793</v>
      </c>
      <c r="J1428">
        <v>0</v>
      </c>
      <c r="K1428">
        <v>0</v>
      </c>
      <c r="L1428" s="4" t="s">
        <v>2124</v>
      </c>
      <c r="M1428" s="4" t="str">
        <f t="shared" si="200"/>
        <v>12/29/2023</v>
      </c>
      <c r="N1428" s="1">
        <f t="shared" ca="1" si="201"/>
        <v>46064</v>
      </c>
      <c r="O1428" s="6" t="e">
        <f t="shared" ca="1" si="202"/>
        <v>#VALUE!</v>
      </c>
      <c r="P1428">
        <v>5</v>
      </c>
      <c r="Q1428">
        <f t="shared" si="203"/>
        <v>72613</v>
      </c>
      <c r="R1428" s="2">
        <f t="shared" si="204"/>
        <v>36306.5</v>
      </c>
      <c r="S1428" s="2" t="str">
        <f t="shared" si="205"/>
        <v xml:space="preserve"> Not Achieved</v>
      </c>
      <c r="T1428" s="2" t="str">
        <f t="shared" si="206"/>
        <v xml:space="preserve"> Excellent</v>
      </c>
      <c r="U1428" s="2"/>
    </row>
    <row r="1429" spans="1:21" x14ac:dyDescent="0.3">
      <c r="A1429">
        <v>1428</v>
      </c>
      <c r="B1429" t="s">
        <v>2125</v>
      </c>
      <c r="C1429" t="str">
        <f t="shared" si="198"/>
        <v>EMP_1428</v>
      </c>
      <c r="D1429" t="s">
        <v>11</v>
      </c>
      <c r="E1429" t="str">
        <f t="shared" si="199"/>
        <v>EMP_1428Finance</v>
      </c>
      <c r="F1429" t="s">
        <v>18</v>
      </c>
      <c r="G1429" t="s">
        <v>16</v>
      </c>
      <c r="H1429">
        <v>29651</v>
      </c>
      <c r="I1429">
        <v>14405</v>
      </c>
      <c r="J1429">
        <v>0</v>
      </c>
      <c r="K1429">
        <v>0</v>
      </c>
      <c r="L1429" s="4">
        <v>44599</v>
      </c>
      <c r="M1429" s="4" t="str">
        <f t="shared" si="200"/>
        <v>2022</v>
      </c>
      <c r="N1429" s="1">
        <f t="shared" ca="1" si="201"/>
        <v>46064</v>
      </c>
      <c r="O1429" s="6">
        <f t="shared" ca="1" si="202"/>
        <v>4</v>
      </c>
      <c r="P1429">
        <v>5</v>
      </c>
      <c r="Q1429">
        <f t="shared" si="203"/>
        <v>44056</v>
      </c>
      <c r="R1429" s="2">
        <f t="shared" si="204"/>
        <v>22028</v>
      </c>
      <c r="S1429" s="2" t="str">
        <f t="shared" si="205"/>
        <v xml:space="preserve"> Not Achieved</v>
      </c>
      <c r="T1429" s="2" t="str">
        <f t="shared" si="206"/>
        <v>poor</v>
      </c>
      <c r="U1429" s="2"/>
    </row>
    <row r="1430" spans="1:21" x14ac:dyDescent="0.3">
      <c r="A1430">
        <v>1429</v>
      </c>
      <c r="B1430" t="s">
        <v>2126</v>
      </c>
      <c r="C1430" t="str">
        <f t="shared" si="198"/>
        <v>EMP_1429</v>
      </c>
      <c r="D1430" t="s">
        <v>11</v>
      </c>
      <c r="E1430" t="str">
        <f t="shared" si="199"/>
        <v>EMP_1429Marketing</v>
      </c>
      <c r="F1430" t="s">
        <v>24</v>
      </c>
      <c r="G1430" t="s">
        <v>16</v>
      </c>
      <c r="H1430">
        <v>28251</v>
      </c>
      <c r="I1430">
        <v>8620</v>
      </c>
      <c r="J1430">
        <v>0</v>
      </c>
      <c r="K1430">
        <v>0</v>
      </c>
      <c r="L1430" s="4" t="s">
        <v>1043</v>
      </c>
      <c r="M1430" s="4" t="str">
        <f t="shared" si="200"/>
        <v>3/15/2021</v>
      </c>
      <c r="N1430" s="1">
        <f t="shared" ca="1" si="201"/>
        <v>46064</v>
      </c>
      <c r="O1430" s="6" t="e">
        <f t="shared" ca="1" si="202"/>
        <v>#VALUE!</v>
      </c>
      <c r="P1430">
        <v>1</v>
      </c>
      <c r="Q1430">
        <f t="shared" si="203"/>
        <v>36871</v>
      </c>
      <c r="R1430" s="2">
        <f t="shared" si="204"/>
        <v>18435.5</v>
      </c>
      <c r="S1430" s="2" t="str">
        <f t="shared" si="205"/>
        <v xml:space="preserve"> Not Achieved</v>
      </c>
      <c r="T1430" s="2" t="str">
        <f t="shared" si="206"/>
        <v>poor</v>
      </c>
      <c r="U1430" s="2"/>
    </row>
    <row r="1431" spans="1:21" x14ac:dyDescent="0.3">
      <c r="A1431">
        <v>1430</v>
      </c>
      <c r="B1431" t="s">
        <v>2127</v>
      </c>
      <c r="C1431" t="str">
        <f t="shared" si="198"/>
        <v>EMP_1430</v>
      </c>
      <c r="D1431" t="s">
        <v>15</v>
      </c>
      <c r="E1431" t="str">
        <f t="shared" si="199"/>
        <v>EMP_1430HR</v>
      </c>
      <c r="F1431" t="s">
        <v>12</v>
      </c>
      <c r="G1431" t="s">
        <v>25</v>
      </c>
      <c r="H1431">
        <v>64692</v>
      </c>
      <c r="I1431">
        <v>5854</v>
      </c>
      <c r="J1431">
        <v>0</v>
      </c>
      <c r="K1431">
        <v>0</v>
      </c>
      <c r="L1431" s="4">
        <v>45394</v>
      </c>
      <c r="M1431" s="4" t="str">
        <f t="shared" si="200"/>
        <v>2024</v>
      </c>
      <c r="N1431" s="1">
        <f t="shared" ca="1" si="201"/>
        <v>46064</v>
      </c>
      <c r="O1431" s="6">
        <f t="shared" ca="1" si="202"/>
        <v>1</v>
      </c>
      <c r="P1431">
        <v>1</v>
      </c>
      <c r="Q1431">
        <f t="shared" si="203"/>
        <v>70546</v>
      </c>
      <c r="R1431" s="2">
        <f t="shared" si="204"/>
        <v>35273</v>
      </c>
      <c r="S1431" s="2" t="str">
        <f t="shared" si="205"/>
        <v xml:space="preserve"> Not Achieved</v>
      </c>
      <c r="T1431" s="2" t="str">
        <f t="shared" si="206"/>
        <v xml:space="preserve"> Excellent</v>
      </c>
      <c r="U1431" s="2"/>
    </row>
    <row r="1432" spans="1:21" x14ac:dyDescent="0.3">
      <c r="A1432">
        <v>1431</v>
      </c>
      <c r="B1432" t="s">
        <v>2128</v>
      </c>
      <c r="C1432" t="str">
        <f t="shared" si="198"/>
        <v>EMP_1431</v>
      </c>
      <c r="D1432" t="s">
        <v>11</v>
      </c>
      <c r="E1432" t="str">
        <f t="shared" si="199"/>
        <v>EMP_1431Marketing</v>
      </c>
      <c r="F1432" t="s">
        <v>24</v>
      </c>
      <c r="G1432" t="s">
        <v>25</v>
      </c>
      <c r="H1432">
        <v>79782</v>
      </c>
      <c r="I1432">
        <v>7093</v>
      </c>
      <c r="J1432">
        <v>0</v>
      </c>
      <c r="K1432">
        <v>0</v>
      </c>
      <c r="L1432" s="4" t="s">
        <v>2129</v>
      </c>
      <c r="M1432" s="4" t="str">
        <f t="shared" si="200"/>
        <v>4/16/2024</v>
      </c>
      <c r="N1432" s="1">
        <f t="shared" ca="1" si="201"/>
        <v>46064</v>
      </c>
      <c r="O1432" s="6" t="e">
        <f t="shared" ca="1" si="202"/>
        <v>#VALUE!</v>
      </c>
      <c r="P1432">
        <v>1</v>
      </c>
      <c r="Q1432">
        <f t="shared" si="203"/>
        <v>86875</v>
      </c>
      <c r="R1432" s="2">
        <f t="shared" si="204"/>
        <v>43437.5</v>
      </c>
      <c r="S1432" s="2" t="str">
        <f t="shared" si="205"/>
        <v xml:space="preserve"> Not Achieved</v>
      </c>
      <c r="T1432" s="2" t="str">
        <f t="shared" si="206"/>
        <v xml:space="preserve"> Excellent</v>
      </c>
      <c r="U1432" s="2"/>
    </row>
    <row r="1433" spans="1:21" x14ac:dyDescent="0.3">
      <c r="A1433">
        <v>1432</v>
      </c>
      <c r="B1433" t="s">
        <v>2130</v>
      </c>
      <c r="C1433" t="str">
        <f t="shared" si="198"/>
        <v>EMP_1432</v>
      </c>
      <c r="D1433" t="s">
        <v>11</v>
      </c>
      <c r="E1433" t="str">
        <f t="shared" si="199"/>
        <v>EMP_1432Finance</v>
      </c>
      <c r="F1433" t="s">
        <v>18</v>
      </c>
      <c r="G1433" t="s">
        <v>16</v>
      </c>
      <c r="H1433">
        <v>56014</v>
      </c>
      <c r="I1433">
        <v>7144</v>
      </c>
      <c r="J1433">
        <v>0</v>
      </c>
      <c r="K1433">
        <v>0</v>
      </c>
      <c r="L1433" s="4" t="s">
        <v>2093</v>
      </c>
      <c r="M1433" s="4" t="str">
        <f t="shared" si="200"/>
        <v>2/19/2021</v>
      </c>
      <c r="N1433" s="1">
        <f t="shared" ca="1" si="201"/>
        <v>46064</v>
      </c>
      <c r="O1433" s="6" t="e">
        <f t="shared" ca="1" si="202"/>
        <v>#VALUE!</v>
      </c>
      <c r="P1433">
        <v>2</v>
      </c>
      <c r="Q1433">
        <f t="shared" si="203"/>
        <v>63158</v>
      </c>
      <c r="R1433" s="2">
        <f t="shared" si="204"/>
        <v>31579</v>
      </c>
      <c r="S1433" s="2" t="str">
        <f t="shared" si="205"/>
        <v xml:space="preserve"> Not Achieved</v>
      </c>
      <c r="T1433" s="2" t="str">
        <f t="shared" si="206"/>
        <v xml:space="preserve"> Excellent</v>
      </c>
      <c r="U1433" s="2"/>
    </row>
    <row r="1434" spans="1:21" x14ac:dyDescent="0.3">
      <c r="A1434">
        <v>1433</v>
      </c>
      <c r="B1434" t="s">
        <v>2131</v>
      </c>
      <c r="C1434" t="str">
        <f t="shared" si="198"/>
        <v>EMP_1433</v>
      </c>
      <c r="D1434" t="s">
        <v>11</v>
      </c>
      <c r="E1434" t="str">
        <f t="shared" si="199"/>
        <v>EMP_1433Sales</v>
      </c>
      <c r="F1434" t="s">
        <v>7</v>
      </c>
      <c r="G1434" t="s">
        <v>25</v>
      </c>
      <c r="H1434">
        <v>53106</v>
      </c>
      <c r="I1434">
        <v>3996</v>
      </c>
      <c r="J1434">
        <v>246369</v>
      </c>
      <c r="K1434">
        <v>123883</v>
      </c>
      <c r="L1434" s="4" t="s">
        <v>800</v>
      </c>
      <c r="M1434" s="4" t="str">
        <f t="shared" si="200"/>
        <v>4/16/2018</v>
      </c>
      <c r="N1434" s="1">
        <f t="shared" ca="1" si="201"/>
        <v>46064</v>
      </c>
      <c r="O1434" s="6" t="e">
        <f t="shared" ca="1" si="202"/>
        <v>#VALUE!</v>
      </c>
      <c r="P1434">
        <v>5</v>
      </c>
      <c r="Q1434">
        <f t="shared" si="203"/>
        <v>57102</v>
      </c>
      <c r="R1434" s="2">
        <f t="shared" si="204"/>
        <v>28551</v>
      </c>
      <c r="S1434" s="2" t="str">
        <f t="shared" si="205"/>
        <v>Achieved</v>
      </c>
      <c r="T1434" s="2" t="str">
        <f t="shared" si="206"/>
        <v xml:space="preserve"> Excellent</v>
      </c>
      <c r="U1434" s="2"/>
    </row>
    <row r="1435" spans="1:21" x14ac:dyDescent="0.3">
      <c r="A1435">
        <v>1434</v>
      </c>
      <c r="B1435" t="s">
        <v>2132</v>
      </c>
      <c r="C1435" t="str">
        <f t="shared" si="198"/>
        <v>EMP_1434</v>
      </c>
      <c r="D1435" t="s">
        <v>11</v>
      </c>
      <c r="E1435" t="str">
        <f t="shared" si="199"/>
        <v>EMP_1434Sales</v>
      </c>
      <c r="F1435" t="s">
        <v>7</v>
      </c>
      <c r="G1435" t="s">
        <v>22</v>
      </c>
      <c r="H1435">
        <v>41347</v>
      </c>
      <c r="I1435">
        <v>5726</v>
      </c>
      <c r="J1435">
        <v>61284</v>
      </c>
      <c r="K1435">
        <v>119600</v>
      </c>
      <c r="L1435" s="4" t="s">
        <v>2133</v>
      </c>
      <c r="M1435" s="4" t="str">
        <f t="shared" si="200"/>
        <v>7/19/2018</v>
      </c>
      <c r="N1435" s="1">
        <f t="shared" ca="1" si="201"/>
        <v>46064</v>
      </c>
      <c r="O1435" s="6" t="e">
        <f t="shared" ca="1" si="202"/>
        <v>#VALUE!</v>
      </c>
      <c r="P1435">
        <v>4</v>
      </c>
      <c r="Q1435">
        <f t="shared" si="203"/>
        <v>47073</v>
      </c>
      <c r="R1435" s="2">
        <f t="shared" si="204"/>
        <v>23536.5</v>
      </c>
      <c r="S1435" s="2" t="str">
        <f t="shared" si="205"/>
        <v xml:space="preserve"> Not Achieved</v>
      </c>
      <c r="T1435" s="2" t="str">
        <f t="shared" si="206"/>
        <v>Good</v>
      </c>
      <c r="U1435" s="2"/>
    </row>
    <row r="1436" spans="1:21" x14ac:dyDescent="0.3">
      <c r="A1436">
        <v>1435</v>
      </c>
      <c r="B1436" t="s">
        <v>2134</v>
      </c>
      <c r="C1436" t="str">
        <f t="shared" si="198"/>
        <v>EMP_1435</v>
      </c>
      <c r="D1436" t="s">
        <v>15</v>
      </c>
      <c r="E1436" t="str">
        <f t="shared" si="199"/>
        <v>EMP_1435Marketing</v>
      </c>
      <c r="F1436" t="s">
        <v>24</v>
      </c>
      <c r="G1436" t="s">
        <v>19</v>
      </c>
      <c r="H1436">
        <v>29410</v>
      </c>
      <c r="I1436">
        <v>8209</v>
      </c>
      <c r="J1436">
        <v>0</v>
      </c>
      <c r="K1436">
        <v>0</v>
      </c>
      <c r="L1436" s="4">
        <v>43258</v>
      </c>
      <c r="M1436" s="4" t="str">
        <f t="shared" si="200"/>
        <v>2018</v>
      </c>
      <c r="N1436" s="1">
        <f t="shared" ca="1" si="201"/>
        <v>46064</v>
      </c>
      <c r="O1436" s="6">
        <f t="shared" ca="1" si="202"/>
        <v>7</v>
      </c>
      <c r="P1436">
        <v>1</v>
      </c>
      <c r="Q1436">
        <f t="shared" si="203"/>
        <v>37619</v>
      </c>
      <c r="R1436" s="2">
        <f t="shared" si="204"/>
        <v>18809.5</v>
      </c>
      <c r="S1436" s="2" t="str">
        <f t="shared" si="205"/>
        <v xml:space="preserve"> Not Achieved</v>
      </c>
      <c r="T1436" s="2" t="str">
        <f t="shared" si="206"/>
        <v>poor</v>
      </c>
      <c r="U1436" s="2"/>
    </row>
    <row r="1437" spans="1:21" x14ac:dyDescent="0.3">
      <c r="A1437">
        <v>1436</v>
      </c>
      <c r="B1437" t="s">
        <v>2135</v>
      </c>
      <c r="C1437" t="str">
        <f t="shared" si="198"/>
        <v>EMP_1436</v>
      </c>
      <c r="D1437" t="s">
        <v>11</v>
      </c>
      <c r="E1437" t="str">
        <f t="shared" si="199"/>
        <v>EMP_1436HR</v>
      </c>
      <c r="F1437" t="s">
        <v>12</v>
      </c>
      <c r="G1437" t="s">
        <v>22</v>
      </c>
      <c r="H1437">
        <v>58109</v>
      </c>
      <c r="I1437">
        <v>5560</v>
      </c>
      <c r="J1437">
        <v>0</v>
      </c>
      <c r="K1437">
        <v>0</v>
      </c>
      <c r="L1437" s="4">
        <v>44868</v>
      </c>
      <c r="M1437" s="4" t="str">
        <f t="shared" si="200"/>
        <v>2022</v>
      </c>
      <c r="N1437" s="1">
        <f t="shared" ca="1" si="201"/>
        <v>46064</v>
      </c>
      <c r="O1437" s="6">
        <f t="shared" ca="1" si="202"/>
        <v>3</v>
      </c>
      <c r="P1437">
        <v>2</v>
      </c>
      <c r="Q1437">
        <f t="shared" si="203"/>
        <v>63669</v>
      </c>
      <c r="R1437" s="2">
        <f t="shared" si="204"/>
        <v>31834.5</v>
      </c>
      <c r="S1437" s="2" t="str">
        <f t="shared" si="205"/>
        <v xml:space="preserve"> Not Achieved</v>
      </c>
      <c r="T1437" s="2" t="str">
        <f t="shared" si="206"/>
        <v xml:space="preserve"> Excellent</v>
      </c>
      <c r="U1437" s="2"/>
    </row>
    <row r="1438" spans="1:21" x14ac:dyDescent="0.3">
      <c r="A1438">
        <v>1437</v>
      </c>
      <c r="B1438" t="s">
        <v>2136</v>
      </c>
      <c r="C1438" t="str">
        <f t="shared" si="198"/>
        <v>EMP_1437</v>
      </c>
      <c r="D1438" t="s">
        <v>15</v>
      </c>
      <c r="E1438" t="str">
        <f t="shared" si="199"/>
        <v>EMP_1437HR</v>
      </c>
      <c r="F1438" t="s">
        <v>12</v>
      </c>
      <c r="G1438" t="s">
        <v>25</v>
      </c>
      <c r="H1438">
        <v>60843</v>
      </c>
      <c r="I1438">
        <v>7700</v>
      </c>
      <c r="J1438">
        <v>0</v>
      </c>
      <c r="K1438">
        <v>0</v>
      </c>
      <c r="L1438" s="4" t="s">
        <v>1017</v>
      </c>
      <c r="M1438" s="4" t="str">
        <f t="shared" si="200"/>
        <v>11/17/2023</v>
      </c>
      <c r="N1438" s="1">
        <f t="shared" ca="1" si="201"/>
        <v>46064</v>
      </c>
      <c r="O1438" s="6" t="e">
        <f t="shared" ca="1" si="202"/>
        <v>#VALUE!</v>
      </c>
      <c r="P1438">
        <v>1</v>
      </c>
      <c r="Q1438">
        <f t="shared" si="203"/>
        <v>68543</v>
      </c>
      <c r="R1438" s="2">
        <f t="shared" si="204"/>
        <v>34271.5</v>
      </c>
      <c r="S1438" s="2" t="str">
        <f t="shared" si="205"/>
        <v xml:space="preserve"> Not Achieved</v>
      </c>
      <c r="T1438" s="2" t="str">
        <f t="shared" si="206"/>
        <v xml:space="preserve"> Excellent</v>
      </c>
      <c r="U1438" s="2"/>
    </row>
    <row r="1439" spans="1:21" x14ac:dyDescent="0.3">
      <c r="A1439">
        <v>1438</v>
      </c>
      <c r="B1439" t="s">
        <v>2137</v>
      </c>
      <c r="C1439" t="str">
        <f t="shared" si="198"/>
        <v>EMP_1438</v>
      </c>
      <c r="D1439" t="s">
        <v>15</v>
      </c>
      <c r="E1439" t="str">
        <f t="shared" si="199"/>
        <v>EMP_1438HR</v>
      </c>
      <c r="F1439" t="s">
        <v>12</v>
      </c>
      <c r="G1439" t="s">
        <v>13</v>
      </c>
      <c r="H1439">
        <v>63934</v>
      </c>
      <c r="I1439">
        <v>4386</v>
      </c>
      <c r="J1439">
        <v>0</v>
      </c>
      <c r="K1439">
        <v>0</v>
      </c>
      <c r="L1439" s="4">
        <v>43531</v>
      </c>
      <c r="M1439" s="4" t="str">
        <f t="shared" si="200"/>
        <v>2019</v>
      </c>
      <c r="N1439" s="1">
        <f t="shared" ca="1" si="201"/>
        <v>46064</v>
      </c>
      <c r="O1439" s="6">
        <f t="shared" ca="1" si="202"/>
        <v>6</v>
      </c>
      <c r="P1439">
        <v>1</v>
      </c>
      <c r="Q1439">
        <f t="shared" si="203"/>
        <v>68320</v>
      </c>
      <c r="R1439" s="2">
        <f t="shared" si="204"/>
        <v>34160</v>
      </c>
      <c r="S1439" s="2" t="str">
        <f t="shared" si="205"/>
        <v xml:space="preserve"> Not Achieved</v>
      </c>
      <c r="T1439" s="2" t="str">
        <f t="shared" si="206"/>
        <v xml:space="preserve"> Excellent</v>
      </c>
      <c r="U1439" s="2"/>
    </row>
    <row r="1440" spans="1:21" x14ac:dyDescent="0.3">
      <c r="A1440">
        <v>1439</v>
      </c>
      <c r="B1440" t="s">
        <v>2138</v>
      </c>
      <c r="C1440" t="str">
        <f t="shared" si="198"/>
        <v>EMP_1439</v>
      </c>
      <c r="D1440" t="s">
        <v>15</v>
      </c>
      <c r="E1440" t="str">
        <f t="shared" si="199"/>
        <v>EMP_1439HR</v>
      </c>
      <c r="F1440" t="s">
        <v>12</v>
      </c>
      <c r="G1440" t="s">
        <v>16</v>
      </c>
      <c r="H1440">
        <v>44502</v>
      </c>
      <c r="I1440">
        <v>13529</v>
      </c>
      <c r="J1440">
        <v>0</v>
      </c>
      <c r="K1440">
        <v>0</v>
      </c>
      <c r="L1440" s="4">
        <v>45515</v>
      </c>
      <c r="M1440" s="4" t="str">
        <f t="shared" si="200"/>
        <v>2024</v>
      </c>
      <c r="N1440" s="1">
        <f t="shared" ca="1" si="201"/>
        <v>46064</v>
      </c>
      <c r="O1440" s="6">
        <f t="shared" ca="1" si="202"/>
        <v>1</v>
      </c>
      <c r="P1440">
        <v>4</v>
      </c>
      <c r="Q1440">
        <f t="shared" si="203"/>
        <v>58031</v>
      </c>
      <c r="R1440" s="2">
        <f t="shared" si="204"/>
        <v>29015.5</v>
      </c>
      <c r="S1440" s="2" t="str">
        <f t="shared" si="205"/>
        <v xml:space="preserve"> Not Achieved</v>
      </c>
      <c r="T1440" s="2" t="str">
        <f t="shared" si="206"/>
        <v>Good</v>
      </c>
      <c r="U1440" s="2"/>
    </row>
    <row r="1441" spans="1:21" x14ac:dyDescent="0.3">
      <c r="A1441">
        <v>1440</v>
      </c>
      <c r="B1441" t="s">
        <v>2139</v>
      </c>
      <c r="C1441" t="str">
        <f t="shared" si="198"/>
        <v>EMP_1440</v>
      </c>
      <c r="D1441" t="s">
        <v>15</v>
      </c>
      <c r="E1441" t="str">
        <f t="shared" si="199"/>
        <v>EMP_1440Finance</v>
      </c>
      <c r="F1441" t="s">
        <v>18</v>
      </c>
      <c r="G1441" t="s">
        <v>16</v>
      </c>
      <c r="H1441">
        <v>59802</v>
      </c>
      <c r="I1441">
        <v>11299</v>
      </c>
      <c r="J1441">
        <v>0</v>
      </c>
      <c r="K1441">
        <v>0</v>
      </c>
      <c r="L1441" s="4" t="s">
        <v>2140</v>
      </c>
      <c r="M1441" s="4" t="str">
        <f t="shared" si="200"/>
        <v>9/29/2024</v>
      </c>
      <c r="N1441" s="1">
        <f t="shared" ca="1" si="201"/>
        <v>46064</v>
      </c>
      <c r="O1441" s="6" t="e">
        <f t="shared" ca="1" si="202"/>
        <v>#VALUE!</v>
      </c>
      <c r="P1441">
        <v>1</v>
      </c>
      <c r="Q1441">
        <f t="shared" si="203"/>
        <v>71101</v>
      </c>
      <c r="R1441" s="2">
        <f t="shared" si="204"/>
        <v>35550.5</v>
      </c>
      <c r="S1441" s="2" t="str">
        <f t="shared" si="205"/>
        <v xml:space="preserve"> Not Achieved</v>
      </c>
      <c r="T1441" s="2" t="str">
        <f t="shared" si="206"/>
        <v xml:space="preserve"> Excellent</v>
      </c>
      <c r="U1441" s="2"/>
    </row>
    <row r="1442" spans="1:21" x14ac:dyDescent="0.3">
      <c r="A1442">
        <v>1441</v>
      </c>
      <c r="B1442" t="s">
        <v>2141</v>
      </c>
      <c r="C1442" t="str">
        <f t="shared" si="198"/>
        <v>EMP_1441</v>
      </c>
      <c r="D1442" t="s">
        <v>11</v>
      </c>
      <c r="E1442" t="str">
        <f t="shared" si="199"/>
        <v>EMP_1441IT</v>
      </c>
      <c r="F1442" t="s">
        <v>21</v>
      </c>
      <c r="G1442" t="s">
        <v>16</v>
      </c>
      <c r="H1442">
        <v>76529</v>
      </c>
      <c r="I1442">
        <v>12877</v>
      </c>
      <c r="J1442">
        <v>0</v>
      </c>
      <c r="K1442">
        <v>0</v>
      </c>
      <c r="L1442" s="4" t="s">
        <v>165</v>
      </c>
      <c r="M1442" s="4" t="str">
        <f t="shared" si="200"/>
        <v>11/29/2022</v>
      </c>
      <c r="N1442" s="1">
        <f t="shared" ca="1" si="201"/>
        <v>46064</v>
      </c>
      <c r="O1442" s="6" t="e">
        <f t="shared" ca="1" si="202"/>
        <v>#VALUE!</v>
      </c>
      <c r="P1442">
        <v>3</v>
      </c>
      <c r="Q1442">
        <f t="shared" si="203"/>
        <v>89406</v>
      </c>
      <c r="R1442" s="2">
        <f t="shared" si="204"/>
        <v>44703</v>
      </c>
      <c r="S1442" s="2" t="str">
        <f t="shared" si="205"/>
        <v xml:space="preserve"> Not Achieved</v>
      </c>
      <c r="T1442" s="2" t="str">
        <f t="shared" si="206"/>
        <v xml:space="preserve"> Excellent</v>
      </c>
      <c r="U1442" s="2"/>
    </row>
    <row r="1443" spans="1:21" x14ac:dyDescent="0.3">
      <c r="A1443">
        <v>1442</v>
      </c>
      <c r="B1443" t="s">
        <v>2142</v>
      </c>
      <c r="C1443" t="str">
        <f t="shared" si="198"/>
        <v>EMP_1442</v>
      </c>
      <c r="D1443" t="s">
        <v>15</v>
      </c>
      <c r="E1443" t="str">
        <f t="shared" si="199"/>
        <v>EMP_1442HR</v>
      </c>
      <c r="F1443" t="s">
        <v>12</v>
      </c>
      <c r="G1443" t="s">
        <v>13</v>
      </c>
      <c r="H1443">
        <v>41179</v>
      </c>
      <c r="I1443">
        <v>10425</v>
      </c>
      <c r="J1443">
        <v>0</v>
      </c>
      <c r="K1443">
        <v>0</v>
      </c>
      <c r="L1443" s="4" t="s">
        <v>1322</v>
      </c>
      <c r="M1443" s="4" t="str">
        <f t="shared" si="200"/>
        <v>2/27/2021</v>
      </c>
      <c r="N1443" s="1">
        <f t="shared" ca="1" si="201"/>
        <v>46064</v>
      </c>
      <c r="O1443" s="6" t="e">
        <f t="shared" ca="1" si="202"/>
        <v>#VALUE!</v>
      </c>
      <c r="P1443">
        <v>3</v>
      </c>
      <c r="Q1443">
        <f t="shared" si="203"/>
        <v>51604</v>
      </c>
      <c r="R1443" s="2">
        <f t="shared" si="204"/>
        <v>25802</v>
      </c>
      <c r="S1443" s="2" t="str">
        <f t="shared" si="205"/>
        <v xml:space="preserve"> Not Achieved</v>
      </c>
      <c r="T1443" s="2" t="str">
        <f t="shared" si="206"/>
        <v>Good</v>
      </c>
      <c r="U1443" s="2"/>
    </row>
    <row r="1444" spans="1:21" x14ac:dyDescent="0.3">
      <c r="A1444">
        <v>1443</v>
      </c>
      <c r="B1444" t="s">
        <v>2143</v>
      </c>
      <c r="C1444" t="str">
        <f t="shared" si="198"/>
        <v>EMP_1443</v>
      </c>
      <c r="D1444" t="s">
        <v>15</v>
      </c>
      <c r="E1444" t="str">
        <f t="shared" si="199"/>
        <v>EMP_1443Finance</v>
      </c>
      <c r="F1444" t="s">
        <v>18</v>
      </c>
      <c r="G1444" t="s">
        <v>16</v>
      </c>
      <c r="H1444">
        <v>77620</v>
      </c>
      <c r="I1444">
        <v>12240</v>
      </c>
      <c r="J1444">
        <v>0</v>
      </c>
      <c r="K1444">
        <v>0</v>
      </c>
      <c r="L1444" s="4" t="s">
        <v>402</v>
      </c>
      <c r="M1444" s="4" t="str">
        <f t="shared" si="200"/>
        <v>10/17/2021</v>
      </c>
      <c r="N1444" s="1">
        <f t="shared" ca="1" si="201"/>
        <v>46064</v>
      </c>
      <c r="O1444" s="6" t="e">
        <f t="shared" ca="1" si="202"/>
        <v>#VALUE!</v>
      </c>
      <c r="P1444">
        <v>2</v>
      </c>
      <c r="Q1444">
        <f t="shared" si="203"/>
        <v>89860</v>
      </c>
      <c r="R1444" s="2">
        <f t="shared" si="204"/>
        <v>44930</v>
      </c>
      <c r="S1444" s="2" t="str">
        <f t="shared" si="205"/>
        <v xml:space="preserve"> Not Achieved</v>
      </c>
      <c r="T1444" s="2" t="str">
        <f t="shared" si="206"/>
        <v xml:space="preserve"> Excellent</v>
      </c>
      <c r="U1444" s="2"/>
    </row>
    <row r="1445" spans="1:21" x14ac:dyDescent="0.3">
      <c r="A1445">
        <v>1444</v>
      </c>
      <c r="B1445" t="s">
        <v>2144</v>
      </c>
      <c r="C1445" t="str">
        <f t="shared" si="198"/>
        <v>EMP_1444</v>
      </c>
      <c r="D1445" t="s">
        <v>11</v>
      </c>
      <c r="E1445" t="str">
        <f t="shared" si="199"/>
        <v>EMP_1444IT</v>
      </c>
      <c r="F1445" t="s">
        <v>21</v>
      </c>
      <c r="G1445" t="s">
        <v>22</v>
      </c>
      <c r="H1445">
        <v>48965</v>
      </c>
      <c r="I1445">
        <v>9353</v>
      </c>
      <c r="J1445">
        <v>0</v>
      </c>
      <c r="K1445">
        <v>0</v>
      </c>
      <c r="L1445" s="4">
        <v>43497</v>
      </c>
      <c r="M1445" s="4" t="str">
        <f t="shared" si="200"/>
        <v>2019</v>
      </c>
      <c r="N1445" s="1">
        <f t="shared" ca="1" si="201"/>
        <v>46064</v>
      </c>
      <c r="O1445" s="6">
        <f t="shared" ca="1" si="202"/>
        <v>7</v>
      </c>
      <c r="P1445">
        <v>5</v>
      </c>
      <c r="Q1445">
        <f t="shared" si="203"/>
        <v>58318</v>
      </c>
      <c r="R1445" s="2">
        <f t="shared" si="204"/>
        <v>29159</v>
      </c>
      <c r="S1445" s="2" t="str">
        <f t="shared" si="205"/>
        <v xml:space="preserve"> Not Achieved</v>
      </c>
      <c r="T1445" s="2" t="str">
        <f t="shared" si="206"/>
        <v>Good</v>
      </c>
      <c r="U1445" s="2"/>
    </row>
    <row r="1446" spans="1:21" x14ac:dyDescent="0.3">
      <c r="A1446">
        <v>1445</v>
      </c>
      <c r="B1446" t="s">
        <v>2145</v>
      </c>
      <c r="C1446" t="str">
        <f t="shared" si="198"/>
        <v>EMP_1445</v>
      </c>
      <c r="D1446" t="s">
        <v>11</v>
      </c>
      <c r="E1446" t="str">
        <f t="shared" si="199"/>
        <v>EMP_1445Sales</v>
      </c>
      <c r="F1446" t="s">
        <v>7</v>
      </c>
      <c r="G1446" t="s">
        <v>22</v>
      </c>
      <c r="H1446">
        <v>66160</v>
      </c>
      <c r="I1446">
        <v>14676</v>
      </c>
      <c r="J1446">
        <v>120821</v>
      </c>
      <c r="K1446">
        <v>236745</v>
      </c>
      <c r="L1446" s="4">
        <v>43806</v>
      </c>
      <c r="M1446" s="4" t="str">
        <f t="shared" si="200"/>
        <v>2019</v>
      </c>
      <c r="N1446" s="1">
        <f t="shared" ca="1" si="201"/>
        <v>46064</v>
      </c>
      <c r="O1446" s="6">
        <f t="shared" ca="1" si="202"/>
        <v>6</v>
      </c>
      <c r="P1446">
        <v>3</v>
      </c>
      <c r="Q1446">
        <f t="shared" si="203"/>
        <v>80836</v>
      </c>
      <c r="R1446" s="2">
        <f t="shared" si="204"/>
        <v>40418</v>
      </c>
      <c r="S1446" s="2" t="str">
        <f t="shared" si="205"/>
        <v xml:space="preserve"> Not Achieved</v>
      </c>
      <c r="T1446" s="2" t="str">
        <f t="shared" si="206"/>
        <v xml:space="preserve"> Excellent</v>
      </c>
      <c r="U1446" s="2"/>
    </row>
    <row r="1447" spans="1:21" x14ac:dyDescent="0.3">
      <c r="A1447">
        <v>1446</v>
      </c>
      <c r="B1447" t="s">
        <v>2146</v>
      </c>
      <c r="C1447" t="str">
        <f t="shared" si="198"/>
        <v>EMP_1446</v>
      </c>
      <c r="D1447" t="s">
        <v>15</v>
      </c>
      <c r="E1447" t="str">
        <f t="shared" si="199"/>
        <v>EMP_1446Marketing</v>
      </c>
      <c r="F1447" t="s">
        <v>24</v>
      </c>
      <c r="G1447" t="s">
        <v>13</v>
      </c>
      <c r="H1447">
        <v>67770</v>
      </c>
      <c r="I1447">
        <v>8071</v>
      </c>
      <c r="J1447">
        <v>0</v>
      </c>
      <c r="K1447">
        <v>0</v>
      </c>
      <c r="L1447" s="4" t="s">
        <v>702</v>
      </c>
      <c r="M1447" s="4" t="str">
        <f t="shared" si="200"/>
        <v>12/14/2024</v>
      </c>
      <c r="N1447" s="1">
        <f t="shared" ca="1" si="201"/>
        <v>46064</v>
      </c>
      <c r="O1447" s="6" t="e">
        <f t="shared" ca="1" si="202"/>
        <v>#VALUE!</v>
      </c>
      <c r="P1447">
        <v>5</v>
      </c>
      <c r="Q1447">
        <f t="shared" si="203"/>
        <v>75841</v>
      </c>
      <c r="R1447" s="2">
        <f t="shared" si="204"/>
        <v>37920.5</v>
      </c>
      <c r="S1447" s="2" t="str">
        <f t="shared" si="205"/>
        <v xml:space="preserve"> Not Achieved</v>
      </c>
      <c r="T1447" s="2" t="str">
        <f t="shared" si="206"/>
        <v xml:space="preserve"> Excellent</v>
      </c>
      <c r="U1447" s="2"/>
    </row>
    <row r="1448" spans="1:21" x14ac:dyDescent="0.3">
      <c r="A1448">
        <v>1447</v>
      </c>
      <c r="B1448" t="s">
        <v>2147</v>
      </c>
      <c r="C1448" t="str">
        <f t="shared" si="198"/>
        <v>EMP_1447</v>
      </c>
      <c r="D1448" t="s">
        <v>11</v>
      </c>
      <c r="E1448" t="str">
        <f t="shared" si="199"/>
        <v>EMP_1447HR</v>
      </c>
      <c r="F1448" t="s">
        <v>12</v>
      </c>
      <c r="G1448" t="s">
        <v>19</v>
      </c>
      <c r="H1448">
        <v>43902</v>
      </c>
      <c r="I1448">
        <v>5768</v>
      </c>
      <c r="J1448">
        <v>0</v>
      </c>
      <c r="K1448">
        <v>0</v>
      </c>
      <c r="L1448" s="4">
        <v>44447</v>
      </c>
      <c r="M1448" s="4" t="str">
        <f t="shared" si="200"/>
        <v>2021</v>
      </c>
      <c r="N1448" s="1">
        <f t="shared" ca="1" si="201"/>
        <v>46064</v>
      </c>
      <c r="O1448" s="6">
        <f t="shared" ca="1" si="202"/>
        <v>4</v>
      </c>
      <c r="P1448">
        <v>4</v>
      </c>
      <c r="Q1448">
        <f t="shared" si="203"/>
        <v>49670</v>
      </c>
      <c r="R1448" s="2">
        <f t="shared" si="204"/>
        <v>24835</v>
      </c>
      <c r="S1448" s="2" t="str">
        <f t="shared" si="205"/>
        <v xml:space="preserve"> Not Achieved</v>
      </c>
      <c r="T1448" s="2" t="str">
        <f t="shared" si="206"/>
        <v>Good</v>
      </c>
      <c r="U1448" s="2"/>
    </row>
    <row r="1449" spans="1:21" x14ac:dyDescent="0.3">
      <c r="A1449">
        <v>1448</v>
      </c>
      <c r="B1449" t="s">
        <v>2148</v>
      </c>
      <c r="C1449" t="str">
        <f t="shared" si="198"/>
        <v>EMP_1448</v>
      </c>
      <c r="D1449" t="s">
        <v>15</v>
      </c>
      <c r="E1449" t="str">
        <f t="shared" si="199"/>
        <v>EMP_1448Sales</v>
      </c>
      <c r="F1449" t="s">
        <v>7</v>
      </c>
      <c r="G1449" t="s">
        <v>19</v>
      </c>
      <c r="H1449">
        <v>70648</v>
      </c>
      <c r="I1449">
        <v>14825</v>
      </c>
      <c r="J1449">
        <v>112884</v>
      </c>
      <c r="K1449">
        <v>159043</v>
      </c>
      <c r="L1449" s="4">
        <v>43618</v>
      </c>
      <c r="M1449" s="4" t="str">
        <f t="shared" si="200"/>
        <v>2019</v>
      </c>
      <c r="N1449" s="1">
        <f t="shared" ca="1" si="201"/>
        <v>46064</v>
      </c>
      <c r="O1449" s="6">
        <f t="shared" ca="1" si="202"/>
        <v>6</v>
      </c>
      <c r="P1449">
        <v>1</v>
      </c>
      <c r="Q1449">
        <f t="shared" si="203"/>
        <v>85473</v>
      </c>
      <c r="R1449" s="2">
        <f t="shared" si="204"/>
        <v>42736.5</v>
      </c>
      <c r="S1449" s="2" t="str">
        <f t="shared" si="205"/>
        <v xml:space="preserve"> Not Achieved</v>
      </c>
      <c r="T1449" s="2" t="str">
        <f t="shared" si="206"/>
        <v xml:space="preserve"> Excellent</v>
      </c>
      <c r="U1449" s="2"/>
    </row>
    <row r="1450" spans="1:21" x14ac:dyDescent="0.3">
      <c r="A1450">
        <v>1449</v>
      </c>
      <c r="B1450" t="s">
        <v>2149</v>
      </c>
      <c r="C1450" t="str">
        <f t="shared" si="198"/>
        <v>EMP_1449</v>
      </c>
      <c r="D1450" t="s">
        <v>11</v>
      </c>
      <c r="E1450" t="str">
        <f t="shared" si="199"/>
        <v>EMP_1449Marketing</v>
      </c>
      <c r="F1450" t="s">
        <v>24</v>
      </c>
      <c r="G1450" t="s">
        <v>25</v>
      </c>
      <c r="H1450">
        <v>55038</v>
      </c>
      <c r="I1450">
        <v>13698</v>
      </c>
      <c r="J1450">
        <v>0</v>
      </c>
      <c r="K1450">
        <v>0</v>
      </c>
      <c r="L1450" s="4">
        <v>44813</v>
      </c>
      <c r="M1450" s="4" t="str">
        <f t="shared" si="200"/>
        <v>2022</v>
      </c>
      <c r="N1450" s="1">
        <f t="shared" ca="1" si="201"/>
        <v>46064</v>
      </c>
      <c r="O1450" s="6">
        <f t="shared" ca="1" si="202"/>
        <v>3</v>
      </c>
      <c r="P1450">
        <v>3</v>
      </c>
      <c r="Q1450">
        <f t="shared" si="203"/>
        <v>68736</v>
      </c>
      <c r="R1450" s="2">
        <f t="shared" si="204"/>
        <v>34368</v>
      </c>
      <c r="S1450" s="2" t="str">
        <f t="shared" si="205"/>
        <v xml:space="preserve"> Not Achieved</v>
      </c>
      <c r="T1450" s="2" t="str">
        <f t="shared" si="206"/>
        <v xml:space="preserve"> Excellent</v>
      </c>
      <c r="U1450" s="2"/>
    </row>
    <row r="1451" spans="1:21" x14ac:dyDescent="0.3">
      <c r="A1451">
        <v>1450</v>
      </c>
      <c r="B1451" t="s">
        <v>2150</v>
      </c>
      <c r="C1451" t="str">
        <f t="shared" si="198"/>
        <v>EMP_1450</v>
      </c>
      <c r="D1451" t="s">
        <v>11</v>
      </c>
      <c r="E1451" t="str">
        <f t="shared" si="199"/>
        <v>EMP_1450HR</v>
      </c>
      <c r="F1451" t="s">
        <v>12</v>
      </c>
      <c r="G1451" t="s">
        <v>13</v>
      </c>
      <c r="H1451">
        <v>67603</v>
      </c>
      <c r="I1451">
        <v>13921</v>
      </c>
      <c r="J1451">
        <v>0</v>
      </c>
      <c r="K1451">
        <v>0</v>
      </c>
      <c r="L1451" s="4" t="s">
        <v>2151</v>
      </c>
      <c r="M1451" s="4" t="str">
        <f t="shared" si="200"/>
        <v>1/26/2022</v>
      </c>
      <c r="N1451" s="1">
        <f t="shared" ca="1" si="201"/>
        <v>46064</v>
      </c>
      <c r="O1451" s="6" t="e">
        <f t="shared" ca="1" si="202"/>
        <v>#VALUE!</v>
      </c>
      <c r="P1451">
        <v>1</v>
      </c>
      <c r="Q1451">
        <f t="shared" si="203"/>
        <v>81524</v>
      </c>
      <c r="R1451" s="2">
        <f t="shared" si="204"/>
        <v>40762</v>
      </c>
      <c r="S1451" s="2" t="str">
        <f t="shared" si="205"/>
        <v xml:space="preserve"> Not Achieved</v>
      </c>
      <c r="T1451" s="2" t="str">
        <f t="shared" si="206"/>
        <v xml:space="preserve"> Excellent</v>
      </c>
      <c r="U1451" s="2"/>
    </row>
    <row r="1452" spans="1:21" x14ac:dyDescent="0.3">
      <c r="A1452">
        <v>1451</v>
      </c>
      <c r="B1452" t="s">
        <v>2152</v>
      </c>
      <c r="C1452" t="str">
        <f t="shared" si="198"/>
        <v>EMP_1451</v>
      </c>
      <c r="D1452" t="s">
        <v>15</v>
      </c>
      <c r="E1452" t="str">
        <f t="shared" si="199"/>
        <v>EMP_1451HR</v>
      </c>
      <c r="F1452" t="s">
        <v>12</v>
      </c>
      <c r="G1452" t="s">
        <v>25</v>
      </c>
      <c r="H1452">
        <v>48703</v>
      </c>
      <c r="I1452">
        <v>8672</v>
      </c>
      <c r="J1452">
        <v>0</v>
      </c>
      <c r="K1452">
        <v>0</v>
      </c>
      <c r="L1452" s="4" t="s">
        <v>155</v>
      </c>
      <c r="M1452" s="4" t="str">
        <f t="shared" si="200"/>
        <v>7/28/2018</v>
      </c>
      <c r="N1452" s="1">
        <f t="shared" ca="1" si="201"/>
        <v>46064</v>
      </c>
      <c r="O1452" s="6" t="e">
        <f t="shared" ca="1" si="202"/>
        <v>#VALUE!</v>
      </c>
      <c r="P1452">
        <v>1</v>
      </c>
      <c r="Q1452">
        <f t="shared" si="203"/>
        <v>57375</v>
      </c>
      <c r="R1452" s="2">
        <f t="shared" si="204"/>
        <v>28687.5</v>
      </c>
      <c r="S1452" s="2" t="str">
        <f t="shared" si="205"/>
        <v xml:space="preserve"> Not Achieved</v>
      </c>
      <c r="T1452" s="2" t="str">
        <f t="shared" si="206"/>
        <v>Good</v>
      </c>
      <c r="U1452" s="2"/>
    </row>
    <row r="1453" spans="1:21" x14ac:dyDescent="0.3">
      <c r="A1453">
        <v>1452</v>
      </c>
      <c r="B1453" t="s">
        <v>2153</v>
      </c>
      <c r="C1453" t="str">
        <f t="shared" si="198"/>
        <v>EMP_1452</v>
      </c>
      <c r="D1453" t="s">
        <v>11</v>
      </c>
      <c r="E1453" t="str">
        <f t="shared" si="199"/>
        <v>EMP_1452Finance</v>
      </c>
      <c r="F1453" t="s">
        <v>18</v>
      </c>
      <c r="G1453" t="s">
        <v>22</v>
      </c>
      <c r="H1453">
        <v>43586</v>
      </c>
      <c r="I1453">
        <v>11684</v>
      </c>
      <c r="J1453">
        <v>0</v>
      </c>
      <c r="K1453">
        <v>0</v>
      </c>
      <c r="L1453" s="4" t="s">
        <v>1698</v>
      </c>
      <c r="M1453" s="4" t="str">
        <f t="shared" si="200"/>
        <v>2/22/2019</v>
      </c>
      <c r="N1453" s="1">
        <f t="shared" ca="1" si="201"/>
        <v>46064</v>
      </c>
      <c r="O1453" s="6" t="e">
        <f t="shared" ca="1" si="202"/>
        <v>#VALUE!</v>
      </c>
      <c r="P1453">
        <v>2</v>
      </c>
      <c r="Q1453">
        <f t="shared" si="203"/>
        <v>55270</v>
      </c>
      <c r="R1453" s="2">
        <f t="shared" si="204"/>
        <v>27635</v>
      </c>
      <c r="S1453" s="2" t="str">
        <f t="shared" si="205"/>
        <v xml:space="preserve"> Not Achieved</v>
      </c>
      <c r="T1453" s="2" t="str">
        <f t="shared" si="206"/>
        <v>Good</v>
      </c>
      <c r="U1453" s="2"/>
    </row>
    <row r="1454" spans="1:21" x14ac:dyDescent="0.3">
      <c r="A1454">
        <v>1453</v>
      </c>
      <c r="B1454" t="s">
        <v>2154</v>
      </c>
      <c r="C1454" t="str">
        <f t="shared" si="198"/>
        <v>EMP_1453</v>
      </c>
      <c r="D1454" t="s">
        <v>15</v>
      </c>
      <c r="E1454" t="str">
        <f t="shared" si="199"/>
        <v>EMP_1453HR</v>
      </c>
      <c r="F1454" t="s">
        <v>12</v>
      </c>
      <c r="G1454" t="s">
        <v>13</v>
      </c>
      <c r="H1454">
        <v>78287</v>
      </c>
      <c r="I1454">
        <v>10613</v>
      </c>
      <c r="J1454">
        <v>0</v>
      </c>
      <c r="K1454">
        <v>0</v>
      </c>
      <c r="L1454" s="4" t="s">
        <v>2155</v>
      </c>
      <c r="M1454" s="4" t="str">
        <f t="shared" si="200"/>
        <v>6/16/2024</v>
      </c>
      <c r="N1454" s="1">
        <f t="shared" ca="1" si="201"/>
        <v>46064</v>
      </c>
      <c r="O1454" s="6" t="e">
        <f t="shared" ca="1" si="202"/>
        <v>#VALUE!</v>
      </c>
      <c r="P1454">
        <v>5</v>
      </c>
      <c r="Q1454">
        <f t="shared" si="203"/>
        <v>88900</v>
      </c>
      <c r="R1454" s="2">
        <f t="shared" si="204"/>
        <v>44450</v>
      </c>
      <c r="S1454" s="2" t="str">
        <f t="shared" si="205"/>
        <v xml:space="preserve"> Not Achieved</v>
      </c>
      <c r="T1454" s="2" t="str">
        <f t="shared" si="206"/>
        <v xml:space="preserve"> Excellent</v>
      </c>
      <c r="U1454" s="2"/>
    </row>
    <row r="1455" spans="1:21" x14ac:dyDescent="0.3">
      <c r="A1455">
        <v>1454</v>
      </c>
      <c r="B1455" t="s">
        <v>2156</v>
      </c>
      <c r="C1455" t="str">
        <f t="shared" si="198"/>
        <v>EMP_1454</v>
      </c>
      <c r="D1455" t="s">
        <v>11</v>
      </c>
      <c r="E1455" t="str">
        <f t="shared" si="199"/>
        <v>EMP_1454Finance</v>
      </c>
      <c r="F1455" t="s">
        <v>18</v>
      </c>
      <c r="G1455" t="s">
        <v>16</v>
      </c>
      <c r="H1455">
        <v>61203</v>
      </c>
      <c r="I1455">
        <v>5316</v>
      </c>
      <c r="J1455">
        <v>0</v>
      </c>
      <c r="K1455">
        <v>0</v>
      </c>
      <c r="L1455" s="4" t="s">
        <v>1987</v>
      </c>
      <c r="M1455" s="4" t="str">
        <f t="shared" si="200"/>
        <v>10/15/2021</v>
      </c>
      <c r="N1455" s="1">
        <f t="shared" ca="1" si="201"/>
        <v>46064</v>
      </c>
      <c r="O1455" s="6" t="e">
        <f t="shared" ca="1" si="202"/>
        <v>#VALUE!</v>
      </c>
      <c r="P1455">
        <v>3</v>
      </c>
      <c r="Q1455">
        <f t="shared" si="203"/>
        <v>66519</v>
      </c>
      <c r="R1455" s="2">
        <f t="shared" si="204"/>
        <v>33259.5</v>
      </c>
      <c r="S1455" s="2" t="str">
        <f t="shared" si="205"/>
        <v xml:space="preserve"> Not Achieved</v>
      </c>
      <c r="T1455" s="2" t="str">
        <f t="shared" si="206"/>
        <v xml:space="preserve"> Excellent</v>
      </c>
      <c r="U1455" s="2"/>
    </row>
    <row r="1456" spans="1:21" x14ac:dyDescent="0.3">
      <c r="A1456">
        <v>1455</v>
      </c>
      <c r="B1456" t="s">
        <v>2157</v>
      </c>
      <c r="C1456" t="str">
        <f t="shared" si="198"/>
        <v>EMP_1455</v>
      </c>
      <c r="D1456" t="s">
        <v>15</v>
      </c>
      <c r="E1456" t="str">
        <f t="shared" si="199"/>
        <v>EMP_1455Finance</v>
      </c>
      <c r="F1456" t="s">
        <v>18</v>
      </c>
      <c r="G1456" t="s">
        <v>25</v>
      </c>
      <c r="H1456">
        <v>45113</v>
      </c>
      <c r="I1456">
        <v>5963</v>
      </c>
      <c r="J1456">
        <v>0</v>
      </c>
      <c r="K1456">
        <v>0</v>
      </c>
      <c r="L1456" s="4">
        <v>43416</v>
      </c>
      <c r="M1456" s="4" t="str">
        <f t="shared" si="200"/>
        <v>2018</v>
      </c>
      <c r="N1456" s="1">
        <f t="shared" ca="1" si="201"/>
        <v>46064</v>
      </c>
      <c r="O1456" s="6">
        <f t="shared" ca="1" si="202"/>
        <v>7</v>
      </c>
      <c r="P1456">
        <v>2</v>
      </c>
      <c r="Q1456">
        <f t="shared" si="203"/>
        <v>51076</v>
      </c>
      <c r="R1456" s="2">
        <f t="shared" si="204"/>
        <v>25538</v>
      </c>
      <c r="S1456" s="2" t="str">
        <f t="shared" si="205"/>
        <v xml:space="preserve"> Not Achieved</v>
      </c>
      <c r="T1456" s="2" t="str">
        <f t="shared" si="206"/>
        <v>Good</v>
      </c>
      <c r="U1456" s="2"/>
    </row>
    <row r="1457" spans="1:21" x14ac:dyDescent="0.3">
      <c r="A1457">
        <v>1456</v>
      </c>
      <c r="B1457" t="s">
        <v>2158</v>
      </c>
      <c r="C1457" t="str">
        <f t="shared" si="198"/>
        <v>EMP_1456</v>
      </c>
      <c r="D1457" t="s">
        <v>11</v>
      </c>
      <c r="E1457" t="str">
        <f t="shared" si="199"/>
        <v>EMP_1456Finance</v>
      </c>
      <c r="F1457" t="s">
        <v>18</v>
      </c>
      <c r="G1457" t="s">
        <v>16</v>
      </c>
      <c r="H1457">
        <v>77858</v>
      </c>
      <c r="I1457">
        <v>11468</v>
      </c>
      <c r="J1457">
        <v>0</v>
      </c>
      <c r="K1457">
        <v>0</v>
      </c>
      <c r="L1457" s="4">
        <v>44931</v>
      </c>
      <c r="M1457" s="4" t="str">
        <f t="shared" si="200"/>
        <v>2023</v>
      </c>
      <c r="N1457" s="1">
        <f t="shared" ca="1" si="201"/>
        <v>46064</v>
      </c>
      <c r="O1457" s="6">
        <f t="shared" ca="1" si="202"/>
        <v>3</v>
      </c>
      <c r="P1457">
        <v>5</v>
      </c>
      <c r="Q1457">
        <f t="shared" si="203"/>
        <v>89326</v>
      </c>
      <c r="R1457" s="2">
        <f t="shared" si="204"/>
        <v>44663</v>
      </c>
      <c r="S1457" s="2" t="str">
        <f t="shared" si="205"/>
        <v xml:space="preserve"> Not Achieved</v>
      </c>
      <c r="T1457" s="2" t="str">
        <f t="shared" si="206"/>
        <v xml:space="preserve"> Excellent</v>
      </c>
      <c r="U1457" s="2"/>
    </row>
    <row r="1458" spans="1:21" x14ac:dyDescent="0.3">
      <c r="A1458">
        <v>1457</v>
      </c>
      <c r="B1458" t="s">
        <v>2159</v>
      </c>
      <c r="C1458" t="str">
        <f t="shared" si="198"/>
        <v>EMP_1457</v>
      </c>
      <c r="D1458" t="s">
        <v>15</v>
      </c>
      <c r="E1458" t="str">
        <f t="shared" si="199"/>
        <v>EMP_1457HR</v>
      </c>
      <c r="F1458" t="s">
        <v>12</v>
      </c>
      <c r="G1458" t="s">
        <v>22</v>
      </c>
      <c r="H1458">
        <v>77065</v>
      </c>
      <c r="I1458">
        <v>10038</v>
      </c>
      <c r="J1458">
        <v>0</v>
      </c>
      <c r="K1458">
        <v>0</v>
      </c>
      <c r="L1458" s="4" t="s">
        <v>2160</v>
      </c>
      <c r="M1458" s="4" t="str">
        <f t="shared" si="200"/>
        <v>4/21/2023</v>
      </c>
      <c r="N1458" s="1">
        <f t="shared" ca="1" si="201"/>
        <v>46064</v>
      </c>
      <c r="O1458" s="6" t="e">
        <f t="shared" ca="1" si="202"/>
        <v>#VALUE!</v>
      </c>
      <c r="P1458">
        <v>1</v>
      </c>
      <c r="Q1458">
        <f t="shared" si="203"/>
        <v>87103</v>
      </c>
      <c r="R1458" s="2">
        <f t="shared" si="204"/>
        <v>43551.5</v>
      </c>
      <c r="S1458" s="2" t="str">
        <f t="shared" si="205"/>
        <v xml:space="preserve"> Not Achieved</v>
      </c>
      <c r="T1458" s="2" t="str">
        <f t="shared" si="206"/>
        <v xml:space="preserve"> Excellent</v>
      </c>
      <c r="U1458" s="2"/>
    </row>
    <row r="1459" spans="1:21" x14ac:dyDescent="0.3">
      <c r="A1459">
        <v>1458</v>
      </c>
      <c r="B1459" t="s">
        <v>2161</v>
      </c>
      <c r="C1459" t="str">
        <f t="shared" si="198"/>
        <v>EMP_1458</v>
      </c>
      <c r="D1459" t="s">
        <v>15</v>
      </c>
      <c r="E1459" t="str">
        <f t="shared" si="199"/>
        <v>EMP_1458Sales</v>
      </c>
      <c r="F1459" t="s">
        <v>7</v>
      </c>
      <c r="G1459" t="s">
        <v>19</v>
      </c>
      <c r="H1459">
        <v>28538</v>
      </c>
      <c r="I1459">
        <v>8536</v>
      </c>
      <c r="J1459">
        <v>69790</v>
      </c>
      <c r="K1459">
        <v>192847</v>
      </c>
      <c r="L1459" s="4" t="s">
        <v>537</v>
      </c>
      <c r="M1459" s="4" t="str">
        <f t="shared" si="200"/>
        <v>12/14/2022</v>
      </c>
      <c r="N1459" s="1">
        <f t="shared" ca="1" si="201"/>
        <v>46064</v>
      </c>
      <c r="O1459" s="6" t="e">
        <f t="shared" ca="1" si="202"/>
        <v>#VALUE!</v>
      </c>
      <c r="P1459">
        <v>3</v>
      </c>
      <c r="Q1459">
        <f t="shared" si="203"/>
        <v>37074</v>
      </c>
      <c r="R1459" s="2">
        <f t="shared" si="204"/>
        <v>18537</v>
      </c>
      <c r="S1459" s="2" t="str">
        <f t="shared" si="205"/>
        <v xml:space="preserve"> Not Achieved</v>
      </c>
      <c r="T1459" s="2" t="str">
        <f t="shared" si="206"/>
        <v>poor</v>
      </c>
      <c r="U1459" s="2"/>
    </row>
    <row r="1460" spans="1:21" x14ac:dyDescent="0.3">
      <c r="A1460">
        <v>1459</v>
      </c>
      <c r="B1460" t="s">
        <v>2162</v>
      </c>
      <c r="C1460" t="str">
        <f t="shared" si="198"/>
        <v>EMP_1459</v>
      </c>
      <c r="D1460" t="s">
        <v>11</v>
      </c>
      <c r="E1460" t="str">
        <f t="shared" si="199"/>
        <v>EMP_1459Finance</v>
      </c>
      <c r="F1460" t="s">
        <v>18</v>
      </c>
      <c r="G1460" t="s">
        <v>22</v>
      </c>
      <c r="H1460">
        <v>41421</v>
      </c>
      <c r="I1460">
        <v>3843</v>
      </c>
      <c r="J1460">
        <v>0</v>
      </c>
      <c r="K1460">
        <v>0</v>
      </c>
      <c r="L1460" s="4" t="s">
        <v>2163</v>
      </c>
      <c r="M1460" s="4" t="str">
        <f t="shared" si="200"/>
        <v>11/16/2018</v>
      </c>
      <c r="N1460" s="1">
        <f t="shared" ca="1" si="201"/>
        <v>46064</v>
      </c>
      <c r="O1460" s="6" t="e">
        <f t="shared" ca="1" si="202"/>
        <v>#VALUE!</v>
      </c>
      <c r="P1460">
        <v>2</v>
      </c>
      <c r="Q1460">
        <f t="shared" si="203"/>
        <v>45264</v>
      </c>
      <c r="R1460" s="2">
        <f t="shared" si="204"/>
        <v>22632</v>
      </c>
      <c r="S1460" s="2" t="str">
        <f t="shared" si="205"/>
        <v xml:space="preserve"> Not Achieved</v>
      </c>
      <c r="T1460" s="2" t="str">
        <f t="shared" si="206"/>
        <v>Good</v>
      </c>
      <c r="U1460" s="2"/>
    </row>
    <row r="1461" spans="1:21" x14ac:dyDescent="0.3">
      <c r="A1461">
        <v>1460</v>
      </c>
      <c r="B1461" t="s">
        <v>2164</v>
      </c>
      <c r="C1461" t="str">
        <f t="shared" si="198"/>
        <v>EMP_1460</v>
      </c>
      <c r="D1461" t="s">
        <v>11</v>
      </c>
      <c r="E1461" t="str">
        <f t="shared" si="199"/>
        <v>EMP_1460Sales</v>
      </c>
      <c r="F1461" t="s">
        <v>7</v>
      </c>
      <c r="G1461" t="s">
        <v>25</v>
      </c>
      <c r="H1461">
        <v>35210</v>
      </c>
      <c r="I1461">
        <v>13700</v>
      </c>
      <c r="J1461">
        <v>171383</v>
      </c>
      <c r="K1461">
        <v>241268</v>
      </c>
      <c r="L1461" s="4" t="s">
        <v>274</v>
      </c>
      <c r="M1461" s="4" t="str">
        <f t="shared" si="200"/>
        <v>8/31/2023</v>
      </c>
      <c r="N1461" s="1">
        <f t="shared" ca="1" si="201"/>
        <v>46064</v>
      </c>
      <c r="O1461" s="6" t="e">
        <f t="shared" ca="1" si="202"/>
        <v>#VALUE!</v>
      </c>
      <c r="P1461">
        <v>3</v>
      </c>
      <c r="Q1461">
        <f t="shared" si="203"/>
        <v>48910</v>
      </c>
      <c r="R1461" s="2">
        <f t="shared" si="204"/>
        <v>24455</v>
      </c>
      <c r="S1461" s="2" t="str">
        <f t="shared" si="205"/>
        <v xml:space="preserve"> Not Achieved</v>
      </c>
      <c r="T1461" s="2" t="str">
        <f t="shared" si="206"/>
        <v>Average</v>
      </c>
      <c r="U1461" s="2"/>
    </row>
    <row r="1462" spans="1:21" x14ac:dyDescent="0.3">
      <c r="A1462">
        <v>1461</v>
      </c>
      <c r="B1462" t="s">
        <v>2165</v>
      </c>
      <c r="C1462" t="str">
        <f t="shared" si="198"/>
        <v>EMP_1461</v>
      </c>
      <c r="D1462" t="s">
        <v>11</v>
      </c>
      <c r="E1462" t="str">
        <f t="shared" si="199"/>
        <v>EMP_1461HR</v>
      </c>
      <c r="F1462" t="s">
        <v>12</v>
      </c>
      <c r="G1462" t="s">
        <v>16</v>
      </c>
      <c r="H1462">
        <v>46363</v>
      </c>
      <c r="I1462">
        <v>2545</v>
      </c>
      <c r="J1462">
        <v>0</v>
      </c>
      <c r="K1462">
        <v>0</v>
      </c>
      <c r="L1462" s="4" t="s">
        <v>2166</v>
      </c>
      <c r="M1462" s="4" t="str">
        <f t="shared" si="200"/>
        <v>7/25/2018</v>
      </c>
      <c r="N1462" s="1">
        <f t="shared" ca="1" si="201"/>
        <v>46064</v>
      </c>
      <c r="O1462" s="6" t="e">
        <f t="shared" ca="1" si="202"/>
        <v>#VALUE!</v>
      </c>
      <c r="P1462">
        <v>1</v>
      </c>
      <c r="Q1462">
        <f t="shared" si="203"/>
        <v>48908</v>
      </c>
      <c r="R1462" s="2">
        <f t="shared" si="204"/>
        <v>24454</v>
      </c>
      <c r="S1462" s="2" t="str">
        <f t="shared" si="205"/>
        <v xml:space="preserve"> Not Achieved</v>
      </c>
      <c r="T1462" s="2" t="str">
        <f t="shared" si="206"/>
        <v>Good</v>
      </c>
      <c r="U1462" s="2"/>
    </row>
    <row r="1463" spans="1:21" x14ac:dyDescent="0.3">
      <c r="A1463">
        <v>1462</v>
      </c>
      <c r="B1463" t="s">
        <v>2167</v>
      </c>
      <c r="C1463" t="str">
        <f t="shared" si="198"/>
        <v>EMP_1462</v>
      </c>
      <c r="D1463" t="s">
        <v>15</v>
      </c>
      <c r="E1463" t="str">
        <f t="shared" si="199"/>
        <v>EMP_1462IT</v>
      </c>
      <c r="F1463" t="s">
        <v>21</v>
      </c>
      <c r="G1463" t="s">
        <v>16</v>
      </c>
      <c r="H1463">
        <v>33408</v>
      </c>
      <c r="I1463">
        <v>14914</v>
      </c>
      <c r="J1463">
        <v>0</v>
      </c>
      <c r="K1463">
        <v>0</v>
      </c>
      <c r="L1463" s="4" t="s">
        <v>2168</v>
      </c>
      <c r="M1463" s="4" t="str">
        <f t="shared" si="200"/>
        <v>8/31/2024</v>
      </c>
      <c r="N1463" s="1">
        <f t="shared" ca="1" si="201"/>
        <v>46064</v>
      </c>
      <c r="O1463" s="6" t="e">
        <f t="shared" ca="1" si="202"/>
        <v>#VALUE!</v>
      </c>
      <c r="P1463">
        <v>2</v>
      </c>
      <c r="Q1463">
        <f t="shared" si="203"/>
        <v>48322</v>
      </c>
      <c r="R1463" s="2">
        <f t="shared" si="204"/>
        <v>24161</v>
      </c>
      <c r="S1463" s="2" t="str">
        <f t="shared" si="205"/>
        <v xml:space="preserve"> Not Achieved</v>
      </c>
      <c r="T1463" s="2" t="str">
        <f t="shared" si="206"/>
        <v>Average</v>
      </c>
      <c r="U1463" s="2"/>
    </row>
    <row r="1464" spans="1:21" x14ac:dyDescent="0.3">
      <c r="A1464">
        <v>1463</v>
      </c>
      <c r="B1464" t="s">
        <v>2169</v>
      </c>
      <c r="C1464" t="str">
        <f t="shared" si="198"/>
        <v>EMP_1463</v>
      </c>
      <c r="D1464" t="s">
        <v>11</v>
      </c>
      <c r="E1464" t="str">
        <f t="shared" si="199"/>
        <v>EMP_1463HR</v>
      </c>
      <c r="F1464" t="s">
        <v>12</v>
      </c>
      <c r="G1464" t="s">
        <v>13</v>
      </c>
      <c r="H1464">
        <v>78154</v>
      </c>
      <c r="I1464">
        <v>8043</v>
      </c>
      <c r="J1464">
        <v>0</v>
      </c>
      <c r="K1464">
        <v>0</v>
      </c>
      <c r="L1464" s="4" t="s">
        <v>2170</v>
      </c>
      <c r="M1464" s="4" t="str">
        <f t="shared" si="200"/>
        <v>11/21/2024</v>
      </c>
      <c r="N1464" s="1">
        <f t="shared" ca="1" si="201"/>
        <v>46064</v>
      </c>
      <c r="O1464" s="6" t="e">
        <f t="shared" ca="1" si="202"/>
        <v>#VALUE!</v>
      </c>
      <c r="P1464">
        <v>2</v>
      </c>
      <c r="Q1464">
        <f t="shared" si="203"/>
        <v>86197</v>
      </c>
      <c r="R1464" s="2">
        <f t="shared" si="204"/>
        <v>43098.5</v>
      </c>
      <c r="S1464" s="2" t="str">
        <f t="shared" si="205"/>
        <v xml:space="preserve"> Not Achieved</v>
      </c>
      <c r="T1464" s="2" t="str">
        <f t="shared" si="206"/>
        <v xml:space="preserve"> Excellent</v>
      </c>
      <c r="U1464" s="2"/>
    </row>
    <row r="1465" spans="1:21" x14ac:dyDescent="0.3">
      <c r="A1465">
        <v>1464</v>
      </c>
      <c r="B1465" t="s">
        <v>2171</v>
      </c>
      <c r="C1465" t="str">
        <f t="shared" si="198"/>
        <v>EMP_1464</v>
      </c>
      <c r="D1465" t="s">
        <v>15</v>
      </c>
      <c r="E1465" t="str">
        <f t="shared" si="199"/>
        <v>EMP_1464Marketing</v>
      </c>
      <c r="F1465" t="s">
        <v>24</v>
      </c>
      <c r="G1465" t="s">
        <v>16</v>
      </c>
      <c r="H1465">
        <v>66284</v>
      </c>
      <c r="I1465">
        <v>7372</v>
      </c>
      <c r="J1465">
        <v>0</v>
      </c>
      <c r="K1465">
        <v>0</v>
      </c>
      <c r="L1465" s="4" t="s">
        <v>2172</v>
      </c>
      <c r="M1465" s="4" t="str">
        <f t="shared" si="200"/>
        <v>2/21/2022</v>
      </c>
      <c r="N1465" s="1">
        <f t="shared" ca="1" si="201"/>
        <v>46064</v>
      </c>
      <c r="O1465" s="6" t="e">
        <f t="shared" ca="1" si="202"/>
        <v>#VALUE!</v>
      </c>
      <c r="P1465">
        <v>3</v>
      </c>
      <c r="Q1465">
        <f t="shared" si="203"/>
        <v>73656</v>
      </c>
      <c r="R1465" s="2">
        <f t="shared" si="204"/>
        <v>36828</v>
      </c>
      <c r="S1465" s="2" t="str">
        <f t="shared" si="205"/>
        <v xml:space="preserve"> Not Achieved</v>
      </c>
      <c r="T1465" s="2" t="str">
        <f t="shared" si="206"/>
        <v xml:space="preserve"> Excellent</v>
      </c>
      <c r="U1465" s="2"/>
    </row>
    <row r="1466" spans="1:21" x14ac:dyDescent="0.3">
      <c r="A1466">
        <v>1465</v>
      </c>
      <c r="B1466" t="s">
        <v>2173</v>
      </c>
      <c r="C1466" t="str">
        <f t="shared" si="198"/>
        <v>EMP_1465</v>
      </c>
      <c r="D1466" t="s">
        <v>15</v>
      </c>
      <c r="E1466" t="str">
        <f t="shared" si="199"/>
        <v>EMP_1465IT</v>
      </c>
      <c r="F1466" t="s">
        <v>21</v>
      </c>
      <c r="G1466" t="s">
        <v>13</v>
      </c>
      <c r="H1466">
        <v>37413</v>
      </c>
      <c r="I1466">
        <v>2182</v>
      </c>
      <c r="J1466">
        <v>0</v>
      </c>
      <c r="K1466">
        <v>0</v>
      </c>
      <c r="L1466" s="4">
        <v>43407</v>
      </c>
      <c r="M1466" s="4" t="str">
        <f t="shared" si="200"/>
        <v>2018</v>
      </c>
      <c r="N1466" s="1">
        <f t="shared" ca="1" si="201"/>
        <v>46064</v>
      </c>
      <c r="O1466" s="6">
        <f t="shared" ca="1" si="202"/>
        <v>7</v>
      </c>
      <c r="P1466">
        <v>5</v>
      </c>
      <c r="Q1466">
        <f t="shared" si="203"/>
        <v>39595</v>
      </c>
      <c r="R1466" s="2">
        <f t="shared" si="204"/>
        <v>19797.5</v>
      </c>
      <c r="S1466" s="2" t="str">
        <f t="shared" si="205"/>
        <v xml:space="preserve"> Not Achieved</v>
      </c>
      <c r="T1466" s="2" t="str">
        <f t="shared" si="206"/>
        <v>Average</v>
      </c>
      <c r="U1466" s="2"/>
    </row>
    <row r="1467" spans="1:21" x14ac:dyDescent="0.3">
      <c r="A1467">
        <v>1466</v>
      </c>
      <c r="B1467" t="s">
        <v>2174</v>
      </c>
      <c r="C1467" t="str">
        <f t="shared" si="198"/>
        <v>EMP_1466</v>
      </c>
      <c r="D1467" t="s">
        <v>15</v>
      </c>
      <c r="E1467" t="str">
        <f t="shared" si="199"/>
        <v>EMP_1466Sales</v>
      </c>
      <c r="F1467" t="s">
        <v>7</v>
      </c>
      <c r="G1467" t="s">
        <v>22</v>
      </c>
      <c r="H1467">
        <v>52448</v>
      </c>
      <c r="I1467">
        <v>7524</v>
      </c>
      <c r="J1467">
        <v>285612</v>
      </c>
      <c r="K1467">
        <v>132671</v>
      </c>
      <c r="L1467" s="4" t="s">
        <v>1341</v>
      </c>
      <c r="M1467" s="4" t="str">
        <f t="shared" si="200"/>
        <v>5/27/2021</v>
      </c>
      <c r="N1467" s="1">
        <f t="shared" ca="1" si="201"/>
        <v>46064</v>
      </c>
      <c r="O1467" s="6" t="e">
        <f t="shared" ca="1" si="202"/>
        <v>#VALUE!</v>
      </c>
      <c r="P1467">
        <v>5</v>
      </c>
      <c r="Q1467">
        <f t="shared" si="203"/>
        <v>59972</v>
      </c>
      <c r="R1467" s="2">
        <f t="shared" si="204"/>
        <v>29986</v>
      </c>
      <c r="S1467" s="2" t="str">
        <f t="shared" si="205"/>
        <v>Achieved</v>
      </c>
      <c r="T1467" s="2" t="str">
        <f t="shared" si="206"/>
        <v xml:space="preserve"> Excellent</v>
      </c>
      <c r="U1467" s="2"/>
    </row>
    <row r="1468" spans="1:21" x14ac:dyDescent="0.3">
      <c r="A1468">
        <v>1467</v>
      </c>
      <c r="B1468" t="s">
        <v>2175</v>
      </c>
      <c r="C1468" t="str">
        <f t="shared" si="198"/>
        <v>EMP_1467</v>
      </c>
      <c r="D1468" t="s">
        <v>15</v>
      </c>
      <c r="E1468" t="str">
        <f t="shared" si="199"/>
        <v>EMP_1467Finance</v>
      </c>
      <c r="F1468" t="s">
        <v>18</v>
      </c>
      <c r="G1468" t="s">
        <v>22</v>
      </c>
      <c r="H1468">
        <v>74623</v>
      </c>
      <c r="I1468">
        <v>3748</v>
      </c>
      <c r="J1468">
        <v>0</v>
      </c>
      <c r="K1468">
        <v>0</v>
      </c>
      <c r="L1468" s="4">
        <v>43436</v>
      </c>
      <c r="M1468" s="4" t="str">
        <f t="shared" si="200"/>
        <v>2018</v>
      </c>
      <c r="N1468" s="1">
        <f t="shared" ca="1" si="201"/>
        <v>46064</v>
      </c>
      <c r="O1468" s="6">
        <f t="shared" ca="1" si="202"/>
        <v>7</v>
      </c>
      <c r="P1468">
        <v>5</v>
      </c>
      <c r="Q1468">
        <f t="shared" si="203"/>
        <v>78371</v>
      </c>
      <c r="R1468" s="2">
        <f t="shared" si="204"/>
        <v>39185.5</v>
      </c>
      <c r="S1468" s="2" t="str">
        <f t="shared" si="205"/>
        <v xml:space="preserve"> Not Achieved</v>
      </c>
      <c r="T1468" s="2" t="str">
        <f t="shared" si="206"/>
        <v xml:space="preserve"> Excellent</v>
      </c>
      <c r="U1468" s="2"/>
    </row>
    <row r="1469" spans="1:21" x14ac:dyDescent="0.3">
      <c r="A1469">
        <v>1468</v>
      </c>
      <c r="B1469" t="s">
        <v>2176</v>
      </c>
      <c r="C1469" t="str">
        <f t="shared" si="198"/>
        <v>EMP_1468</v>
      </c>
      <c r="D1469" t="s">
        <v>11</v>
      </c>
      <c r="E1469" t="str">
        <f t="shared" si="199"/>
        <v>EMP_1468Sales</v>
      </c>
      <c r="F1469" t="s">
        <v>7</v>
      </c>
      <c r="G1469" t="s">
        <v>25</v>
      </c>
      <c r="H1469">
        <v>52138</v>
      </c>
      <c r="I1469">
        <v>11046</v>
      </c>
      <c r="J1469">
        <v>225036</v>
      </c>
      <c r="K1469">
        <v>214343</v>
      </c>
      <c r="L1469" s="4">
        <v>45204</v>
      </c>
      <c r="M1469" s="4" t="str">
        <f t="shared" si="200"/>
        <v>2023</v>
      </c>
      <c r="N1469" s="1">
        <f t="shared" ca="1" si="201"/>
        <v>46064</v>
      </c>
      <c r="O1469" s="6">
        <f t="shared" ca="1" si="202"/>
        <v>2</v>
      </c>
      <c r="P1469">
        <v>5</v>
      </c>
      <c r="Q1469">
        <f t="shared" si="203"/>
        <v>63184</v>
      </c>
      <c r="R1469" s="2">
        <f t="shared" si="204"/>
        <v>31592</v>
      </c>
      <c r="S1469" s="2" t="str">
        <f t="shared" si="205"/>
        <v>Achieved</v>
      </c>
      <c r="T1469" s="2" t="str">
        <f t="shared" si="206"/>
        <v xml:space="preserve"> Excellent</v>
      </c>
      <c r="U1469" s="2"/>
    </row>
    <row r="1470" spans="1:21" x14ac:dyDescent="0.3">
      <c r="A1470">
        <v>1469</v>
      </c>
      <c r="B1470" t="s">
        <v>2177</v>
      </c>
      <c r="C1470" t="str">
        <f t="shared" si="198"/>
        <v>EMP_1469</v>
      </c>
      <c r="D1470" t="s">
        <v>11</v>
      </c>
      <c r="E1470" t="str">
        <f t="shared" si="199"/>
        <v>EMP_1469IT</v>
      </c>
      <c r="F1470" t="s">
        <v>21</v>
      </c>
      <c r="G1470" t="s">
        <v>16</v>
      </c>
      <c r="H1470">
        <v>71154</v>
      </c>
      <c r="I1470">
        <v>10676</v>
      </c>
      <c r="J1470">
        <v>0</v>
      </c>
      <c r="K1470">
        <v>0</v>
      </c>
      <c r="L1470" s="4">
        <v>44256</v>
      </c>
      <c r="M1470" s="4" t="str">
        <f t="shared" si="200"/>
        <v>2021</v>
      </c>
      <c r="N1470" s="1">
        <f t="shared" ca="1" si="201"/>
        <v>46064</v>
      </c>
      <c r="O1470" s="6">
        <f t="shared" ca="1" si="202"/>
        <v>4</v>
      </c>
      <c r="P1470">
        <v>2</v>
      </c>
      <c r="Q1470">
        <f t="shared" si="203"/>
        <v>81830</v>
      </c>
      <c r="R1470" s="2">
        <f t="shared" si="204"/>
        <v>40915</v>
      </c>
      <c r="S1470" s="2" t="str">
        <f t="shared" si="205"/>
        <v xml:space="preserve"> Not Achieved</v>
      </c>
      <c r="T1470" s="2" t="str">
        <f t="shared" si="206"/>
        <v xml:space="preserve"> Excellent</v>
      </c>
      <c r="U1470" s="2"/>
    </row>
    <row r="1471" spans="1:21" x14ac:dyDescent="0.3">
      <c r="A1471">
        <v>1470</v>
      </c>
      <c r="B1471" t="s">
        <v>2178</v>
      </c>
      <c r="C1471" t="str">
        <f t="shared" si="198"/>
        <v>EMP_1470</v>
      </c>
      <c r="D1471" t="s">
        <v>11</v>
      </c>
      <c r="E1471" t="str">
        <f t="shared" si="199"/>
        <v>EMP_1470Marketing</v>
      </c>
      <c r="F1471" t="s">
        <v>24</v>
      </c>
      <c r="G1471" t="s">
        <v>16</v>
      </c>
      <c r="H1471">
        <v>52923</v>
      </c>
      <c r="I1471">
        <v>11361</v>
      </c>
      <c r="J1471">
        <v>0</v>
      </c>
      <c r="K1471">
        <v>0</v>
      </c>
      <c r="L1471" s="4">
        <v>45078</v>
      </c>
      <c r="M1471" s="4" t="str">
        <f t="shared" si="200"/>
        <v>2023</v>
      </c>
      <c r="N1471" s="1">
        <f t="shared" ca="1" si="201"/>
        <v>46064</v>
      </c>
      <c r="O1471" s="6">
        <f t="shared" ca="1" si="202"/>
        <v>2</v>
      </c>
      <c r="P1471">
        <v>2</v>
      </c>
      <c r="Q1471">
        <f t="shared" si="203"/>
        <v>64284</v>
      </c>
      <c r="R1471" s="2">
        <f t="shared" si="204"/>
        <v>32142</v>
      </c>
      <c r="S1471" s="2" t="str">
        <f t="shared" si="205"/>
        <v xml:space="preserve"> Not Achieved</v>
      </c>
      <c r="T1471" s="2" t="str">
        <f t="shared" si="206"/>
        <v xml:space="preserve"> Excellent</v>
      </c>
      <c r="U1471" s="2"/>
    </row>
    <row r="1472" spans="1:21" x14ac:dyDescent="0.3">
      <c r="A1472">
        <v>1471</v>
      </c>
      <c r="B1472" t="s">
        <v>2179</v>
      </c>
      <c r="C1472" t="str">
        <f t="shared" si="198"/>
        <v>EMP_1471</v>
      </c>
      <c r="D1472" t="s">
        <v>15</v>
      </c>
      <c r="E1472" t="str">
        <f t="shared" si="199"/>
        <v>EMP_1471Finance</v>
      </c>
      <c r="F1472" t="s">
        <v>18</v>
      </c>
      <c r="G1472" t="s">
        <v>13</v>
      </c>
      <c r="H1472">
        <v>63007</v>
      </c>
      <c r="I1472">
        <v>10680</v>
      </c>
      <c r="J1472">
        <v>0</v>
      </c>
      <c r="K1472">
        <v>0</v>
      </c>
      <c r="L1472" s="4" t="s">
        <v>2180</v>
      </c>
      <c r="M1472" s="4" t="str">
        <f t="shared" si="200"/>
        <v>8/31/2018</v>
      </c>
      <c r="N1472" s="1">
        <f t="shared" ca="1" si="201"/>
        <v>46064</v>
      </c>
      <c r="O1472" s="6" t="e">
        <f t="shared" ca="1" si="202"/>
        <v>#VALUE!</v>
      </c>
      <c r="P1472">
        <v>2</v>
      </c>
      <c r="Q1472">
        <f t="shared" si="203"/>
        <v>73687</v>
      </c>
      <c r="R1472" s="2">
        <f t="shared" si="204"/>
        <v>36843.5</v>
      </c>
      <c r="S1472" s="2" t="str">
        <f t="shared" si="205"/>
        <v xml:space="preserve"> Not Achieved</v>
      </c>
      <c r="T1472" s="2" t="str">
        <f t="shared" si="206"/>
        <v xml:space="preserve"> Excellent</v>
      </c>
      <c r="U1472" s="2"/>
    </row>
    <row r="1473" spans="1:21" x14ac:dyDescent="0.3">
      <c r="A1473">
        <v>1472</v>
      </c>
      <c r="B1473" t="s">
        <v>2181</v>
      </c>
      <c r="C1473" t="str">
        <f t="shared" si="198"/>
        <v>EMP_1472</v>
      </c>
      <c r="D1473" t="s">
        <v>15</v>
      </c>
      <c r="E1473" t="str">
        <f t="shared" si="199"/>
        <v>EMP_1472Marketing</v>
      </c>
      <c r="F1473" t="s">
        <v>24</v>
      </c>
      <c r="G1473" t="s">
        <v>22</v>
      </c>
      <c r="H1473">
        <v>66692</v>
      </c>
      <c r="I1473">
        <v>6513</v>
      </c>
      <c r="J1473">
        <v>0</v>
      </c>
      <c r="K1473">
        <v>0</v>
      </c>
      <c r="L1473" s="4" t="s">
        <v>2182</v>
      </c>
      <c r="M1473" s="4" t="str">
        <f t="shared" si="200"/>
        <v>11/26/2019</v>
      </c>
      <c r="N1473" s="1">
        <f t="shared" ca="1" si="201"/>
        <v>46064</v>
      </c>
      <c r="O1473" s="6" t="e">
        <f t="shared" ca="1" si="202"/>
        <v>#VALUE!</v>
      </c>
      <c r="P1473">
        <v>5</v>
      </c>
      <c r="Q1473">
        <f t="shared" si="203"/>
        <v>73205</v>
      </c>
      <c r="R1473" s="2">
        <f t="shared" si="204"/>
        <v>36602.5</v>
      </c>
      <c r="S1473" s="2" t="str">
        <f t="shared" si="205"/>
        <v xml:space="preserve"> Not Achieved</v>
      </c>
      <c r="T1473" s="2" t="str">
        <f t="shared" si="206"/>
        <v xml:space="preserve"> Excellent</v>
      </c>
      <c r="U1473" s="2"/>
    </row>
    <row r="1474" spans="1:21" x14ac:dyDescent="0.3">
      <c r="A1474">
        <v>1473</v>
      </c>
      <c r="B1474" t="s">
        <v>2183</v>
      </c>
      <c r="C1474" t="str">
        <f t="shared" si="198"/>
        <v>EMP_1473</v>
      </c>
      <c r="D1474" t="s">
        <v>11</v>
      </c>
      <c r="E1474" t="str">
        <f t="shared" si="199"/>
        <v>EMP_1473Finance</v>
      </c>
      <c r="F1474" t="s">
        <v>18</v>
      </c>
      <c r="G1474" t="s">
        <v>13</v>
      </c>
      <c r="H1474">
        <v>76570</v>
      </c>
      <c r="I1474">
        <v>6637</v>
      </c>
      <c r="J1474">
        <v>0</v>
      </c>
      <c r="K1474">
        <v>0</v>
      </c>
      <c r="L1474" s="4" t="s">
        <v>2184</v>
      </c>
      <c r="M1474" s="4" t="str">
        <f t="shared" si="200"/>
        <v>11/16/2021</v>
      </c>
      <c r="N1474" s="1">
        <f t="shared" ca="1" si="201"/>
        <v>46064</v>
      </c>
      <c r="O1474" s="6" t="e">
        <f t="shared" ca="1" si="202"/>
        <v>#VALUE!</v>
      </c>
      <c r="P1474">
        <v>4</v>
      </c>
      <c r="Q1474">
        <f t="shared" si="203"/>
        <v>83207</v>
      </c>
      <c r="R1474" s="2">
        <f t="shared" si="204"/>
        <v>41603.5</v>
      </c>
      <c r="S1474" s="2" t="str">
        <f t="shared" si="205"/>
        <v xml:space="preserve"> Not Achieved</v>
      </c>
      <c r="T1474" s="2" t="str">
        <f t="shared" si="206"/>
        <v xml:space="preserve"> Excellent</v>
      </c>
      <c r="U1474" s="2"/>
    </row>
    <row r="1475" spans="1:21" x14ac:dyDescent="0.3">
      <c r="A1475">
        <v>1474</v>
      </c>
      <c r="B1475" t="s">
        <v>2185</v>
      </c>
      <c r="C1475" t="str">
        <f t="shared" ref="C1475:C1538" si="207">UPPER(B1475)</f>
        <v>EMP_1474</v>
      </c>
      <c r="D1475" t="s">
        <v>11</v>
      </c>
      <c r="E1475" t="str">
        <f t="shared" ref="E1475:E1538" si="208">_xlfn.CONCAT(C1475,F1475)</f>
        <v>EMP_1474IT</v>
      </c>
      <c r="F1475" t="s">
        <v>21</v>
      </c>
      <c r="G1475" t="s">
        <v>16</v>
      </c>
      <c r="H1475">
        <v>79737</v>
      </c>
      <c r="I1475">
        <v>4462</v>
      </c>
      <c r="J1475">
        <v>0</v>
      </c>
      <c r="K1475">
        <v>0</v>
      </c>
      <c r="L1475" s="4" t="s">
        <v>2186</v>
      </c>
      <c r="M1475" s="4" t="str">
        <f t="shared" ref="M1475:M1538" si="209">TEXT(L1475,"yyyy")</f>
        <v>3/15/2024</v>
      </c>
      <c r="N1475" s="1">
        <f t="shared" ref="N1475:N1538" ca="1" si="210">TODAY()</f>
        <v>46064</v>
      </c>
      <c r="O1475" s="6" t="e">
        <f t="shared" ref="O1475:O1538" ca="1" si="211">DATEDIF(L1475, TODAY(), "y")</f>
        <v>#VALUE!</v>
      </c>
      <c r="P1475">
        <v>1</v>
      </c>
      <c r="Q1475">
        <f t="shared" ref="Q1475:Q1538" si="212">SUM(H1475,I1475)</f>
        <v>84199</v>
      </c>
      <c r="R1475" s="2">
        <f t="shared" ref="R1475:R1538" si="213">AVERAGE(H1475,I1475)</f>
        <v>42099.5</v>
      </c>
      <c r="S1475" s="2" t="str">
        <f t="shared" ref="S1475:S1538" si="214">IF(J1475&gt;K1475,"Achieved"," Not Achieved")</f>
        <v xml:space="preserve"> Not Achieved</v>
      </c>
      <c r="T1475" s="2" t="str">
        <f t="shared" ref="T1475:T1538" si="215">_xlfn.IFS(H1475&gt;=50000," Excellent",H1475&gt;=40000,"Good",H1475&gt;=30000,"Average",H1475&lt;30000,"poor")</f>
        <v xml:space="preserve"> Excellent</v>
      </c>
      <c r="U1475" s="2"/>
    </row>
    <row r="1476" spans="1:21" x14ac:dyDescent="0.3">
      <c r="A1476">
        <v>1475</v>
      </c>
      <c r="B1476" t="s">
        <v>2187</v>
      </c>
      <c r="C1476" t="str">
        <f t="shared" si="207"/>
        <v>EMP_1475</v>
      </c>
      <c r="D1476" t="s">
        <v>11</v>
      </c>
      <c r="E1476" t="str">
        <f t="shared" si="208"/>
        <v>EMP_1475Marketing</v>
      </c>
      <c r="F1476" t="s">
        <v>24</v>
      </c>
      <c r="G1476" t="s">
        <v>25</v>
      </c>
      <c r="H1476">
        <v>51082</v>
      </c>
      <c r="I1476">
        <v>14126</v>
      </c>
      <c r="J1476">
        <v>0</v>
      </c>
      <c r="K1476">
        <v>0</v>
      </c>
      <c r="L1476" s="4">
        <v>44810</v>
      </c>
      <c r="M1476" s="4" t="str">
        <f t="shared" si="209"/>
        <v>2022</v>
      </c>
      <c r="N1476" s="1">
        <f t="shared" ca="1" si="210"/>
        <v>46064</v>
      </c>
      <c r="O1476" s="6">
        <f t="shared" ca="1" si="211"/>
        <v>3</v>
      </c>
      <c r="P1476">
        <v>3</v>
      </c>
      <c r="Q1476">
        <f t="shared" si="212"/>
        <v>65208</v>
      </c>
      <c r="R1476" s="2">
        <f t="shared" si="213"/>
        <v>32604</v>
      </c>
      <c r="S1476" s="2" t="str">
        <f t="shared" si="214"/>
        <v xml:space="preserve"> Not Achieved</v>
      </c>
      <c r="T1476" s="2" t="str">
        <f t="shared" si="215"/>
        <v xml:space="preserve"> Excellent</v>
      </c>
      <c r="U1476" s="2"/>
    </row>
    <row r="1477" spans="1:21" x14ac:dyDescent="0.3">
      <c r="A1477">
        <v>1476</v>
      </c>
      <c r="B1477" t="s">
        <v>2188</v>
      </c>
      <c r="C1477" t="str">
        <f t="shared" si="207"/>
        <v>EMP_1476</v>
      </c>
      <c r="D1477" t="s">
        <v>11</v>
      </c>
      <c r="E1477" t="str">
        <f t="shared" si="208"/>
        <v>EMP_1476Marketing</v>
      </c>
      <c r="F1477" t="s">
        <v>24</v>
      </c>
      <c r="G1477" t="s">
        <v>25</v>
      </c>
      <c r="H1477">
        <v>73123</v>
      </c>
      <c r="I1477">
        <v>10880</v>
      </c>
      <c r="J1477">
        <v>0</v>
      </c>
      <c r="K1477">
        <v>0</v>
      </c>
      <c r="L1477" s="4">
        <v>43258</v>
      </c>
      <c r="M1477" s="4" t="str">
        <f t="shared" si="209"/>
        <v>2018</v>
      </c>
      <c r="N1477" s="1">
        <f t="shared" ca="1" si="210"/>
        <v>46064</v>
      </c>
      <c r="O1477" s="6">
        <f t="shared" ca="1" si="211"/>
        <v>7</v>
      </c>
      <c r="P1477">
        <v>2</v>
      </c>
      <c r="Q1477">
        <f t="shared" si="212"/>
        <v>84003</v>
      </c>
      <c r="R1477" s="2">
        <f t="shared" si="213"/>
        <v>42001.5</v>
      </c>
      <c r="S1477" s="2" t="str">
        <f t="shared" si="214"/>
        <v xml:space="preserve"> Not Achieved</v>
      </c>
      <c r="T1477" s="2" t="str">
        <f t="shared" si="215"/>
        <v xml:space="preserve"> Excellent</v>
      </c>
      <c r="U1477" s="2"/>
    </row>
    <row r="1478" spans="1:21" x14ac:dyDescent="0.3">
      <c r="A1478">
        <v>1477</v>
      </c>
      <c r="B1478" t="s">
        <v>2189</v>
      </c>
      <c r="C1478" t="str">
        <f t="shared" si="207"/>
        <v>EMP_1477</v>
      </c>
      <c r="D1478" t="s">
        <v>11</v>
      </c>
      <c r="E1478" t="str">
        <f t="shared" si="208"/>
        <v>EMP_1477Marketing</v>
      </c>
      <c r="F1478" t="s">
        <v>24</v>
      </c>
      <c r="G1478" t="s">
        <v>19</v>
      </c>
      <c r="H1478">
        <v>73525</v>
      </c>
      <c r="I1478">
        <v>2303</v>
      </c>
      <c r="J1478">
        <v>0</v>
      </c>
      <c r="K1478">
        <v>0</v>
      </c>
      <c r="L1478" s="4" t="s">
        <v>2166</v>
      </c>
      <c r="M1478" s="4" t="str">
        <f t="shared" si="209"/>
        <v>7/25/2018</v>
      </c>
      <c r="N1478" s="1">
        <f t="shared" ca="1" si="210"/>
        <v>46064</v>
      </c>
      <c r="O1478" s="6" t="e">
        <f t="shared" ca="1" si="211"/>
        <v>#VALUE!</v>
      </c>
      <c r="P1478">
        <v>3</v>
      </c>
      <c r="Q1478">
        <f t="shared" si="212"/>
        <v>75828</v>
      </c>
      <c r="R1478" s="2">
        <f t="shared" si="213"/>
        <v>37914</v>
      </c>
      <c r="S1478" s="2" t="str">
        <f t="shared" si="214"/>
        <v xml:space="preserve"> Not Achieved</v>
      </c>
      <c r="T1478" s="2" t="str">
        <f t="shared" si="215"/>
        <v xml:space="preserve"> Excellent</v>
      </c>
      <c r="U1478" s="2"/>
    </row>
    <row r="1479" spans="1:21" x14ac:dyDescent="0.3">
      <c r="A1479">
        <v>1478</v>
      </c>
      <c r="B1479" t="s">
        <v>2190</v>
      </c>
      <c r="C1479" t="str">
        <f t="shared" si="207"/>
        <v>EMP_1478</v>
      </c>
      <c r="D1479" t="s">
        <v>11</v>
      </c>
      <c r="E1479" t="str">
        <f t="shared" si="208"/>
        <v>EMP_1478HR</v>
      </c>
      <c r="F1479" t="s">
        <v>12</v>
      </c>
      <c r="G1479" t="s">
        <v>25</v>
      </c>
      <c r="H1479">
        <v>79740</v>
      </c>
      <c r="I1479">
        <v>8542</v>
      </c>
      <c r="J1479">
        <v>0</v>
      </c>
      <c r="K1479">
        <v>0</v>
      </c>
      <c r="L1479" s="4" t="s">
        <v>2191</v>
      </c>
      <c r="M1479" s="4" t="str">
        <f t="shared" si="209"/>
        <v>7/29/2018</v>
      </c>
      <c r="N1479" s="1">
        <f t="shared" ca="1" si="210"/>
        <v>46064</v>
      </c>
      <c r="O1479" s="6" t="e">
        <f t="shared" ca="1" si="211"/>
        <v>#VALUE!</v>
      </c>
      <c r="P1479">
        <v>3</v>
      </c>
      <c r="Q1479">
        <f t="shared" si="212"/>
        <v>88282</v>
      </c>
      <c r="R1479" s="2">
        <f t="shared" si="213"/>
        <v>44141</v>
      </c>
      <c r="S1479" s="2" t="str">
        <f t="shared" si="214"/>
        <v xml:space="preserve"> Not Achieved</v>
      </c>
      <c r="T1479" s="2" t="str">
        <f t="shared" si="215"/>
        <v xml:space="preserve"> Excellent</v>
      </c>
      <c r="U1479" s="2"/>
    </row>
    <row r="1480" spans="1:21" x14ac:dyDescent="0.3">
      <c r="A1480">
        <v>1479</v>
      </c>
      <c r="B1480" t="s">
        <v>2192</v>
      </c>
      <c r="C1480" t="str">
        <f t="shared" si="207"/>
        <v>EMP_1479</v>
      </c>
      <c r="D1480" t="s">
        <v>11</v>
      </c>
      <c r="E1480" t="str">
        <f t="shared" si="208"/>
        <v>EMP_1479Sales</v>
      </c>
      <c r="F1480" t="s">
        <v>7</v>
      </c>
      <c r="G1480" t="s">
        <v>16</v>
      </c>
      <c r="H1480">
        <v>57151</v>
      </c>
      <c r="I1480">
        <v>11691</v>
      </c>
      <c r="J1480">
        <v>156897</v>
      </c>
      <c r="K1480">
        <v>198259</v>
      </c>
      <c r="L1480" s="4" t="s">
        <v>1505</v>
      </c>
      <c r="M1480" s="4" t="str">
        <f t="shared" si="209"/>
        <v>9/13/2020</v>
      </c>
      <c r="N1480" s="1">
        <f t="shared" ca="1" si="210"/>
        <v>46064</v>
      </c>
      <c r="O1480" s="6" t="e">
        <f t="shared" ca="1" si="211"/>
        <v>#VALUE!</v>
      </c>
      <c r="P1480">
        <v>3</v>
      </c>
      <c r="Q1480">
        <f t="shared" si="212"/>
        <v>68842</v>
      </c>
      <c r="R1480" s="2">
        <f t="shared" si="213"/>
        <v>34421</v>
      </c>
      <c r="S1480" s="2" t="str">
        <f t="shared" si="214"/>
        <v xml:space="preserve"> Not Achieved</v>
      </c>
      <c r="T1480" s="2" t="str">
        <f t="shared" si="215"/>
        <v xml:space="preserve"> Excellent</v>
      </c>
      <c r="U1480" s="2"/>
    </row>
    <row r="1481" spans="1:21" x14ac:dyDescent="0.3">
      <c r="A1481">
        <v>1480</v>
      </c>
      <c r="B1481" t="s">
        <v>2193</v>
      </c>
      <c r="C1481" t="str">
        <f t="shared" si="207"/>
        <v>EMP_1480</v>
      </c>
      <c r="D1481" t="s">
        <v>15</v>
      </c>
      <c r="E1481" t="str">
        <f t="shared" si="208"/>
        <v>EMP_1480IT</v>
      </c>
      <c r="F1481" t="s">
        <v>21</v>
      </c>
      <c r="G1481" t="s">
        <v>25</v>
      </c>
      <c r="H1481">
        <v>59561</v>
      </c>
      <c r="I1481">
        <v>12113</v>
      </c>
      <c r="J1481">
        <v>0</v>
      </c>
      <c r="K1481">
        <v>0</v>
      </c>
      <c r="L1481" s="4" t="s">
        <v>2194</v>
      </c>
      <c r="M1481" s="4" t="str">
        <f t="shared" si="209"/>
        <v>5/30/2022</v>
      </c>
      <c r="N1481" s="1">
        <f t="shared" ca="1" si="210"/>
        <v>46064</v>
      </c>
      <c r="O1481" s="6" t="e">
        <f t="shared" ca="1" si="211"/>
        <v>#VALUE!</v>
      </c>
      <c r="P1481">
        <v>4</v>
      </c>
      <c r="Q1481">
        <f t="shared" si="212"/>
        <v>71674</v>
      </c>
      <c r="R1481" s="2">
        <f t="shared" si="213"/>
        <v>35837</v>
      </c>
      <c r="S1481" s="2" t="str">
        <f t="shared" si="214"/>
        <v xml:space="preserve"> Not Achieved</v>
      </c>
      <c r="T1481" s="2" t="str">
        <f t="shared" si="215"/>
        <v xml:space="preserve"> Excellent</v>
      </c>
      <c r="U1481" s="2"/>
    </row>
    <row r="1482" spans="1:21" x14ac:dyDescent="0.3">
      <c r="A1482">
        <v>1481</v>
      </c>
      <c r="B1482" t="s">
        <v>2195</v>
      </c>
      <c r="C1482" t="str">
        <f t="shared" si="207"/>
        <v>EMP_1481</v>
      </c>
      <c r="D1482" t="s">
        <v>11</v>
      </c>
      <c r="E1482" t="str">
        <f t="shared" si="208"/>
        <v>EMP_1481Sales</v>
      </c>
      <c r="F1482" t="s">
        <v>7</v>
      </c>
      <c r="G1482" t="s">
        <v>16</v>
      </c>
      <c r="H1482">
        <v>26378</v>
      </c>
      <c r="I1482">
        <v>5718</v>
      </c>
      <c r="J1482">
        <v>278453</v>
      </c>
      <c r="K1482">
        <v>140028</v>
      </c>
      <c r="L1482" s="4" t="s">
        <v>2196</v>
      </c>
      <c r="M1482" s="4" t="str">
        <f t="shared" si="209"/>
        <v>7/15/2023</v>
      </c>
      <c r="N1482" s="1">
        <f t="shared" ca="1" si="210"/>
        <v>46064</v>
      </c>
      <c r="O1482" s="6" t="e">
        <f t="shared" ca="1" si="211"/>
        <v>#VALUE!</v>
      </c>
      <c r="P1482">
        <v>5</v>
      </c>
      <c r="Q1482">
        <f t="shared" si="212"/>
        <v>32096</v>
      </c>
      <c r="R1482" s="2">
        <f t="shared" si="213"/>
        <v>16048</v>
      </c>
      <c r="S1482" s="2" t="str">
        <f t="shared" si="214"/>
        <v>Achieved</v>
      </c>
      <c r="T1482" s="2" t="str">
        <f t="shared" si="215"/>
        <v>poor</v>
      </c>
      <c r="U1482" s="2"/>
    </row>
    <row r="1483" spans="1:21" x14ac:dyDescent="0.3">
      <c r="A1483">
        <v>1482</v>
      </c>
      <c r="B1483" t="s">
        <v>2197</v>
      </c>
      <c r="C1483" t="str">
        <f t="shared" si="207"/>
        <v>EMP_1482</v>
      </c>
      <c r="D1483" t="s">
        <v>15</v>
      </c>
      <c r="E1483" t="str">
        <f t="shared" si="208"/>
        <v>EMP_1482IT</v>
      </c>
      <c r="F1483" t="s">
        <v>21</v>
      </c>
      <c r="G1483" t="s">
        <v>25</v>
      </c>
      <c r="H1483">
        <v>64018</v>
      </c>
      <c r="I1483">
        <v>11963</v>
      </c>
      <c r="J1483">
        <v>0</v>
      </c>
      <c r="K1483">
        <v>0</v>
      </c>
      <c r="L1483" s="4" t="s">
        <v>2198</v>
      </c>
      <c r="M1483" s="4" t="str">
        <f t="shared" si="209"/>
        <v>11/15/2020</v>
      </c>
      <c r="N1483" s="1">
        <f t="shared" ca="1" si="210"/>
        <v>46064</v>
      </c>
      <c r="O1483" s="6" t="e">
        <f t="shared" ca="1" si="211"/>
        <v>#VALUE!</v>
      </c>
      <c r="P1483">
        <v>4</v>
      </c>
      <c r="Q1483">
        <f t="shared" si="212"/>
        <v>75981</v>
      </c>
      <c r="R1483" s="2">
        <f t="shared" si="213"/>
        <v>37990.5</v>
      </c>
      <c r="S1483" s="2" t="str">
        <f t="shared" si="214"/>
        <v xml:space="preserve"> Not Achieved</v>
      </c>
      <c r="T1483" s="2" t="str">
        <f t="shared" si="215"/>
        <v xml:space="preserve"> Excellent</v>
      </c>
      <c r="U1483" s="2"/>
    </row>
    <row r="1484" spans="1:21" x14ac:dyDescent="0.3">
      <c r="A1484">
        <v>1483</v>
      </c>
      <c r="B1484" t="s">
        <v>2199</v>
      </c>
      <c r="C1484" t="str">
        <f t="shared" si="207"/>
        <v>EMP_1483</v>
      </c>
      <c r="D1484" t="s">
        <v>11</v>
      </c>
      <c r="E1484" t="str">
        <f t="shared" si="208"/>
        <v>EMP_1483Finance</v>
      </c>
      <c r="F1484" t="s">
        <v>18</v>
      </c>
      <c r="G1484" t="s">
        <v>22</v>
      </c>
      <c r="H1484">
        <v>51333</v>
      </c>
      <c r="I1484">
        <v>12656</v>
      </c>
      <c r="J1484">
        <v>0</v>
      </c>
      <c r="K1484">
        <v>0</v>
      </c>
      <c r="L1484" s="4" t="s">
        <v>640</v>
      </c>
      <c r="M1484" s="4" t="str">
        <f t="shared" si="209"/>
        <v>6/15/2022</v>
      </c>
      <c r="N1484" s="1">
        <f t="shared" ca="1" si="210"/>
        <v>46064</v>
      </c>
      <c r="O1484" s="6" t="e">
        <f t="shared" ca="1" si="211"/>
        <v>#VALUE!</v>
      </c>
      <c r="P1484">
        <v>4</v>
      </c>
      <c r="Q1484">
        <f t="shared" si="212"/>
        <v>63989</v>
      </c>
      <c r="R1484" s="2">
        <f t="shared" si="213"/>
        <v>31994.5</v>
      </c>
      <c r="S1484" s="2" t="str">
        <f t="shared" si="214"/>
        <v xml:space="preserve"> Not Achieved</v>
      </c>
      <c r="T1484" s="2" t="str">
        <f t="shared" si="215"/>
        <v xml:space="preserve"> Excellent</v>
      </c>
      <c r="U1484" s="2"/>
    </row>
    <row r="1485" spans="1:21" x14ac:dyDescent="0.3">
      <c r="A1485">
        <v>1484</v>
      </c>
      <c r="B1485" t="s">
        <v>2200</v>
      </c>
      <c r="C1485" t="str">
        <f t="shared" si="207"/>
        <v>EMP_1484</v>
      </c>
      <c r="D1485" t="s">
        <v>11</v>
      </c>
      <c r="E1485" t="str">
        <f t="shared" si="208"/>
        <v>EMP_1484Sales</v>
      </c>
      <c r="F1485" t="s">
        <v>7</v>
      </c>
      <c r="G1485" t="s">
        <v>13</v>
      </c>
      <c r="H1485">
        <v>36754</v>
      </c>
      <c r="I1485">
        <v>10270</v>
      </c>
      <c r="J1485">
        <v>128022</v>
      </c>
      <c r="K1485">
        <v>154632</v>
      </c>
      <c r="L1485" s="4">
        <v>43741</v>
      </c>
      <c r="M1485" s="4" t="str">
        <f t="shared" si="209"/>
        <v>2019</v>
      </c>
      <c r="N1485" s="1">
        <f t="shared" ca="1" si="210"/>
        <v>46064</v>
      </c>
      <c r="O1485" s="6">
        <f t="shared" ca="1" si="211"/>
        <v>6</v>
      </c>
      <c r="P1485">
        <v>5</v>
      </c>
      <c r="Q1485">
        <f t="shared" si="212"/>
        <v>47024</v>
      </c>
      <c r="R1485" s="2">
        <f t="shared" si="213"/>
        <v>23512</v>
      </c>
      <c r="S1485" s="2" t="str">
        <f t="shared" si="214"/>
        <v xml:space="preserve"> Not Achieved</v>
      </c>
      <c r="T1485" s="2" t="str">
        <f t="shared" si="215"/>
        <v>Average</v>
      </c>
      <c r="U1485" s="2"/>
    </row>
    <row r="1486" spans="1:21" x14ac:dyDescent="0.3">
      <c r="A1486">
        <v>1485</v>
      </c>
      <c r="B1486" t="s">
        <v>2201</v>
      </c>
      <c r="C1486" t="str">
        <f t="shared" si="207"/>
        <v>EMP_1485</v>
      </c>
      <c r="D1486" t="s">
        <v>15</v>
      </c>
      <c r="E1486" t="str">
        <f t="shared" si="208"/>
        <v>EMP_1485IT</v>
      </c>
      <c r="F1486" t="s">
        <v>21</v>
      </c>
      <c r="G1486" t="s">
        <v>16</v>
      </c>
      <c r="H1486">
        <v>68200</v>
      </c>
      <c r="I1486">
        <v>13106</v>
      </c>
      <c r="J1486">
        <v>0</v>
      </c>
      <c r="K1486">
        <v>0</v>
      </c>
      <c r="L1486" s="4" t="s">
        <v>74</v>
      </c>
      <c r="M1486" s="4" t="str">
        <f t="shared" si="209"/>
        <v>6/28/2020</v>
      </c>
      <c r="N1486" s="1">
        <f t="shared" ca="1" si="210"/>
        <v>46064</v>
      </c>
      <c r="O1486" s="6" t="e">
        <f t="shared" ca="1" si="211"/>
        <v>#VALUE!</v>
      </c>
      <c r="P1486">
        <v>4</v>
      </c>
      <c r="Q1486">
        <f t="shared" si="212"/>
        <v>81306</v>
      </c>
      <c r="R1486" s="2">
        <f t="shared" si="213"/>
        <v>40653</v>
      </c>
      <c r="S1486" s="2" t="str">
        <f t="shared" si="214"/>
        <v xml:space="preserve"> Not Achieved</v>
      </c>
      <c r="T1486" s="2" t="str">
        <f t="shared" si="215"/>
        <v xml:space="preserve"> Excellent</v>
      </c>
      <c r="U1486" s="2"/>
    </row>
    <row r="1487" spans="1:21" x14ac:dyDescent="0.3">
      <c r="A1487">
        <v>1486</v>
      </c>
      <c r="B1487" t="s">
        <v>2202</v>
      </c>
      <c r="C1487" t="str">
        <f t="shared" si="207"/>
        <v>EMP_1486</v>
      </c>
      <c r="D1487" t="s">
        <v>15</v>
      </c>
      <c r="E1487" t="str">
        <f t="shared" si="208"/>
        <v>EMP_1486Sales</v>
      </c>
      <c r="F1487" t="s">
        <v>7</v>
      </c>
      <c r="G1487" t="s">
        <v>16</v>
      </c>
      <c r="H1487">
        <v>32409</v>
      </c>
      <c r="I1487">
        <v>4735</v>
      </c>
      <c r="J1487">
        <v>137572</v>
      </c>
      <c r="K1487">
        <v>230121</v>
      </c>
      <c r="L1487" s="4">
        <v>44533</v>
      </c>
      <c r="M1487" s="4" t="str">
        <f t="shared" si="209"/>
        <v>2021</v>
      </c>
      <c r="N1487" s="1">
        <f t="shared" ca="1" si="210"/>
        <v>46064</v>
      </c>
      <c r="O1487" s="6">
        <f t="shared" ca="1" si="211"/>
        <v>4</v>
      </c>
      <c r="P1487">
        <v>2</v>
      </c>
      <c r="Q1487">
        <f t="shared" si="212"/>
        <v>37144</v>
      </c>
      <c r="R1487" s="2">
        <f t="shared" si="213"/>
        <v>18572</v>
      </c>
      <c r="S1487" s="2" t="str">
        <f t="shared" si="214"/>
        <v xml:space="preserve"> Not Achieved</v>
      </c>
      <c r="T1487" s="2" t="str">
        <f t="shared" si="215"/>
        <v>Average</v>
      </c>
      <c r="U1487" s="2"/>
    </row>
    <row r="1488" spans="1:21" x14ac:dyDescent="0.3">
      <c r="A1488">
        <v>1487</v>
      </c>
      <c r="B1488" t="s">
        <v>2203</v>
      </c>
      <c r="C1488" t="str">
        <f t="shared" si="207"/>
        <v>EMP_1487</v>
      </c>
      <c r="D1488" t="s">
        <v>11</v>
      </c>
      <c r="E1488" t="str">
        <f t="shared" si="208"/>
        <v>EMP_1487HR</v>
      </c>
      <c r="F1488" t="s">
        <v>12</v>
      </c>
      <c r="G1488" t="s">
        <v>16</v>
      </c>
      <c r="H1488">
        <v>68386</v>
      </c>
      <c r="I1488">
        <v>8017</v>
      </c>
      <c r="J1488">
        <v>0</v>
      </c>
      <c r="K1488">
        <v>0</v>
      </c>
      <c r="L1488" s="4">
        <v>43625</v>
      </c>
      <c r="M1488" s="4" t="str">
        <f t="shared" si="209"/>
        <v>2019</v>
      </c>
      <c r="N1488" s="1">
        <f t="shared" ca="1" si="210"/>
        <v>46064</v>
      </c>
      <c r="O1488" s="6">
        <f t="shared" ca="1" si="211"/>
        <v>6</v>
      </c>
      <c r="P1488">
        <v>5</v>
      </c>
      <c r="Q1488">
        <f t="shared" si="212"/>
        <v>76403</v>
      </c>
      <c r="R1488" s="2">
        <f t="shared" si="213"/>
        <v>38201.5</v>
      </c>
      <c r="S1488" s="2" t="str">
        <f t="shared" si="214"/>
        <v xml:space="preserve"> Not Achieved</v>
      </c>
      <c r="T1488" s="2" t="str">
        <f t="shared" si="215"/>
        <v xml:space="preserve"> Excellent</v>
      </c>
      <c r="U1488" s="2"/>
    </row>
    <row r="1489" spans="1:21" x14ac:dyDescent="0.3">
      <c r="A1489">
        <v>1488</v>
      </c>
      <c r="B1489" t="s">
        <v>2204</v>
      </c>
      <c r="C1489" t="str">
        <f t="shared" si="207"/>
        <v>EMP_1488</v>
      </c>
      <c r="D1489" t="s">
        <v>11</v>
      </c>
      <c r="E1489" t="str">
        <f t="shared" si="208"/>
        <v>EMP_1488IT</v>
      </c>
      <c r="F1489" t="s">
        <v>21</v>
      </c>
      <c r="G1489" t="s">
        <v>13</v>
      </c>
      <c r="H1489">
        <v>32689</v>
      </c>
      <c r="I1489">
        <v>13865</v>
      </c>
      <c r="J1489">
        <v>0</v>
      </c>
      <c r="K1489">
        <v>0</v>
      </c>
      <c r="L1489" s="4">
        <v>44900</v>
      </c>
      <c r="M1489" s="4" t="str">
        <f t="shared" si="209"/>
        <v>2022</v>
      </c>
      <c r="N1489" s="1">
        <f t="shared" ca="1" si="210"/>
        <v>46064</v>
      </c>
      <c r="O1489" s="6">
        <f t="shared" ca="1" si="211"/>
        <v>3</v>
      </c>
      <c r="P1489">
        <v>2</v>
      </c>
      <c r="Q1489">
        <f t="shared" si="212"/>
        <v>46554</v>
      </c>
      <c r="R1489" s="2">
        <f t="shared" si="213"/>
        <v>23277</v>
      </c>
      <c r="S1489" s="2" t="str">
        <f t="shared" si="214"/>
        <v xml:space="preserve"> Not Achieved</v>
      </c>
      <c r="T1489" s="2" t="str">
        <f t="shared" si="215"/>
        <v>Average</v>
      </c>
      <c r="U1489" s="2"/>
    </row>
    <row r="1490" spans="1:21" x14ac:dyDescent="0.3">
      <c r="A1490">
        <v>1489</v>
      </c>
      <c r="B1490" t="s">
        <v>2205</v>
      </c>
      <c r="C1490" t="str">
        <f t="shared" si="207"/>
        <v>EMP_1489</v>
      </c>
      <c r="D1490" t="s">
        <v>15</v>
      </c>
      <c r="E1490" t="str">
        <f t="shared" si="208"/>
        <v>EMP_1489IT</v>
      </c>
      <c r="F1490" t="s">
        <v>21</v>
      </c>
      <c r="G1490" t="s">
        <v>22</v>
      </c>
      <c r="H1490">
        <v>40322</v>
      </c>
      <c r="I1490">
        <v>8895</v>
      </c>
      <c r="J1490">
        <v>0</v>
      </c>
      <c r="K1490">
        <v>0</v>
      </c>
      <c r="L1490" s="4">
        <v>45574</v>
      </c>
      <c r="M1490" s="4" t="str">
        <f t="shared" si="209"/>
        <v>2024</v>
      </c>
      <c r="N1490" s="1">
        <f t="shared" ca="1" si="210"/>
        <v>46064</v>
      </c>
      <c r="O1490" s="6">
        <f t="shared" ca="1" si="211"/>
        <v>1</v>
      </c>
      <c r="P1490">
        <v>2</v>
      </c>
      <c r="Q1490">
        <f t="shared" si="212"/>
        <v>49217</v>
      </c>
      <c r="R1490" s="2">
        <f t="shared" si="213"/>
        <v>24608.5</v>
      </c>
      <c r="S1490" s="2" t="str">
        <f t="shared" si="214"/>
        <v xml:space="preserve"> Not Achieved</v>
      </c>
      <c r="T1490" s="2" t="str">
        <f t="shared" si="215"/>
        <v>Good</v>
      </c>
      <c r="U1490" s="2"/>
    </row>
    <row r="1491" spans="1:21" x14ac:dyDescent="0.3">
      <c r="A1491">
        <v>1490</v>
      </c>
      <c r="B1491" t="s">
        <v>2206</v>
      </c>
      <c r="C1491" t="str">
        <f t="shared" si="207"/>
        <v>EMP_1490</v>
      </c>
      <c r="D1491" t="s">
        <v>15</v>
      </c>
      <c r="E1491" t="str">
        <f t="shared" si="208"/>
        <v>EMP_1490Sales</v>
      </c>
      <c r="F1491" t="s">
        <v>7</v>
      </c>
      <c r="G1491" t="s">
        <v>19</v>
      </c>
      <c r="H1491">
        <v>56434</v>
      </c>
      <c r="I1491">
        <v>4217</v>
      </c>
      <c r="J1491">
        <v>99605</v>
      </c>
      <c r="K1491">
        <v>228756</v>
      </c>
      <c r="L1491" s="4" t="s">
        <v>1707</v>
      </c>
      <c r="M1491" s="4" t="str">
        <f t="shared" si="209"/>
        <v>5/19/2023</v>
      </c>
      <c r="N1491" s="1">
        <f t="shared" ca="1" si="210"/>
        <v>46064</v>
      </c>
      <c r="O1491" s="6" t="e">
        <f t="shared" ca="1" si="211"/>
        <v>#VALUE!</v>
      </c>
      <c r="P1491">
        <v>4</v>
      </c>
      <c r="Q1491">
        <f t="shared" si="212"/>
        <v>60651</v>
      </c>
      <c r="R1491" s="2">
        <f t="shared" si="213"/>
        <v>30325.5</v>
      </c>
      <c r="S1491" s="2" t="str">
        <f t="shared" si="214"/>
        <v xml:space="preserve"> Not Achieved</v>
      </c>
      <c r="T1491" s="2" t="str">
        <f t="shared" si="215"/>
        <v xml:space="preserve"> Excellent</v>
      </c>
      <c r="U1491" s="2"/>
    </row>
    <row r="1492" spans="1:21" x14ac:dyDescent="0.3">
      <c r="A1492">
        <v>1491</v>
      </c>
      <c r="B1492" t="s">
        <v>2207</v>
      </c>
      <c r="C1492" t="str">
        <f t="shared" si="207"/>
        <v>EMP_1491</v>
      </c>
      <c r="D1492" t="s">
        <v>15</v>
      </c>
      <c r="E1492" t="str">
        <f t="shared" si="208"/>
        <v>EMP_1491Finance</v>
      </c>
      <c r="F1492" t="s">
        <v>18</v>
      </c>
      <c r="G1492" t="s">
        <v>16</v>
      </c>
      <c r="H1492">
        <v>31600</v>
      </c>
      <c r="I1492">
        <v>10332</v>
      </c>
      <c r="J1492">
        <v>0</v>
      </c>
      <c r="K1492">
        <v>0</v>
      </c>
      <c r="L1492" s="4">
        <v>45544</v>
      </c>
      <c r="M1492" s="4" t="str">
        <f t="shared" si="209"/>
        <v>2024</v>
      </c>
      <c r="N1492" s="1">
        <f t="shared" ca="1" si="210"/>
        <v>46064</v>
      </c>
      <c r="O1492" s="6">
        <f t="shared" ca="1" si="211"/>
        <v>1</v>
      </c>
      <c r="P1492">
        <v>4</v>
      </c>
      <c r="Q1492">
        <f t="shared" si="212"/>
        <v>41932</v>
      </c>
      <c r="R1492" s="2">
        <f t="shared" si="213"/>
        <v>20966</v>
      </c>
      <c r="S1492" s="2" t="str">
        <f t="shared" si="214"/>
        <v xml:space="preserve"> Not Achieved</v>
      </c>
      <c r="T1492" s="2" t="str">
        <f t="shared" si="215"/>
        <v>Average</v>
      </c>
      <c r="U1492" s="2"/>
    </row>
    <row r="1493" spans="1:21" x14ac:dyDescent="0.3">
      <c r="A1493">
        <v>1492</v>
      </c>
      <c r="B1493" t="s">
        <v>2208</v>
      </c>
      <c r="C1493" t="str">
        <f t="shared" si="207"/>
        <v>EMP_1492</v>
      </c>
      <c r="D1493" t="s">
        <v>15</v>
      </c>
      <c r="E1493" t="str">
        <f t="shared" si="208"/>
        <v>EMP_1492IT</v>
      </c>
      <c r="F1493" t="s">
        <v>21</v>
      </c>
      <c r="G1493" t="s">
        <v>22</v>
      </c>
      <c r="H1493">
        <v>27348</v>
      </c>
      <c r="I1493">
        <v>10840</v>
      </c>
      <c r="J1493">
        <v>0</v>
      </c>
      <c r="K1493">
        <v>0</v>
      </c>
      <c r="L1493" s="4" t="s">
        <v>2209</v>
      </c>
      <c r="M1493" s="4" t="str">
        <f t="shared" si="209"/>
        <v>1/25/2024</v>
      </c>
      <c r="N1493" s="1">
        <f t="shared" ca="1" si="210"/>
        <v>46064</v>
      </c>
      <c r="O1493" s="6" t="e">
        <f t="shared" ca="1" si="211"/>
        <v>#VALUE!</v>
      </c>
      <c r="P1493">
        <v>1</v>
      </c>
      <c r="Q1493">
        <f t="shared" si="212"/>
        <v>38188</v>
      </c>
      <c r="R1493" s="2">
        <f t="shared" si="213"/>
        <v>19094</v>
      </c>
      <c r="S1493" s="2" t="str">
        <f t="shared" si="214"/>
        <v xml:space="preserve"> Not Achieved</v>
      </c>
      <c r="T1493" s="2" t="str">
        <f t="shared" si="215"/>
        <v>poor</v>
      </c>
      <c r="U1493" s="2"/>
    </row>
    <row r="1494" spans="1:21" x14ac:dyDescent="0.3">
      <c r="A1494">
        <v>1493</v>
      </c>
      <c r="B1494" t="s">
        <v>2210</v>
      </c>
      <c r="C1494" t="str">
        <f t="shared" si="207"/>
        <v>EMP_1493</v>
      </c>
      <c r="D1494" t="s">
        <v>15</v>
      </c>
      <c r="E1494" t="str">
        <f t="shared" si="208"/>
        <v>EMP_1493HR</v>
      </c>
      <c r="F1494" t="s">
        <v>12</v>
      </c>
      <c r="G1494" t="s">
        <v>13</v>
      </c>
      <c r="H1494">
        <v>32622</v>
      </c>
      <c r="I1494">
        <v>11393</v>
      </c>
      <c r="J1494">
        <v>0</v>
      </c>
      <c r="K1494">
        <v>0</v>
      </c>
      <c r="L1494" s="4">
        <v>43800</v>
      </c>
      <c r="M1494" s="4" t="str">
        <f t="shared" si="209"/>
        <v>2019</v>
      </c>
      <c r="N1494" s="1">
        <f t="shared" ca="1" si="210"/>
        <v>46064</v>
      </c>
      <c r="O1494" s="6">
        <f t="shared" ca="1" si="211"/>
        <v>6</v>
      </c>
      <c r="P1494">
        <v>3</v>
      </c>
      <c r="Q1494">
        <f t="shared" si="212"/>
        <v>44015</v>
      </c>
      <c r="R1494" s="2">
        <f t="shared" si="213"/>
        <v>22007.5</v>
      </c>
      <c r="S1494" s="2" t="str">
        <f t="shared" si="214"/>
        <v xml:space="preserve"> Not Achieved</v>
      </c>
      <c r="T1494" s="2" t="str">
        <f t="shared" si="215"/>
        <v>Average</v>
      </c>
      <c r="U1494" s="2"/>
    </row>
    <row r="1495" spans="1:21" x14ac:dyDescent="0.3">
      <c r="A1495">
        <v>1494</v>
      </c>
      <c r="B1495" t="s">
        <v>2211</v>
      </c>
      <c r="C1495" t="str">
        <f t="shared" si="207"/>
        <v>EMP_1494</v>
      </c>
      <c r="D1495" t="s">
        <v>15</v>
      </c>
      <c r="E1495" t="str">
        <f t="shared" si="208"/>
        <v>EMP_1494Sales</v>
      </c>
      <c r="F1495" t="s">
        <v>7</v>
      </c>
      <c r="G1495" t="s">
        <v>13</v>
      </c>
      <c r="H1495">
        <v>23342</v>
      </c>
      <c r="I1495">
        <v>8317</v>
      </c>
      <c r="J1495">
        <v>187660</v>
      </c>
      <c r="K1495">
        <v>125406</v>
      </c>
      <c r="L1495" s="4" t="s">
        <v>2212</v>
      </c>
      <c r="M1495" s="4" t="str">
        <f t="shared" si="209"/>
        <v>6/19/2018</v>
      </c>
      <c r="N1495" s="1">
        <f t="shared" ca="1" si="210"/>
        <v>46064</v>
      </c>
      <c r="O1495" s="6" t="e">
        <f t="shared" ca="1" si="211"/>
        <v>#VALUE!</v>
      </c>
      <c r="P1495">
        <v>2</v>
      </c>
      <c r="Q1495">
        <f t="shared" si="212"/>
        <v>31659</v>
      </c>
      <c r="R1495" s="2">
        <f t="shared" si="213"/>
        <v>15829.5</v>
      </c>
      <c r="S1495" s="2" t="str">
        <f t="shared" si="214"/>
        <v>Achieved</v>
      </c>
      <c r="T1495" s="2" t="str">
        <f t="shared" si="215"/>
        <v>poor</v>
      </c>
      <c r="U1495" s="2"/>
    </row>
    <row r="1496" spans="1:21" x14ac:dyDescent="0.3">
      <c r="A1496">
        <v>1495</v>
      </c>
      <c r="B1496" t="s">
        <v>2213</v>
      </c>
      <c r="C1496" t="str">
        <f t="shared" si="207"/>
        <v>EMP_1495</v>
      </c>
      <c r="D1496" t="s">
        <v>11</v>
      </c>
      <c r="E1496" t="str">
        <f t="shared" si="208"/>
        <v>EMP_1495Finance</v>
      </c>
      <c r="F1496" t="s">
        <v>18</v>
      </c>
      <c r="G1496" t="s">
        <v>25</v>
      </c>
      <c r="H1496">
        <v>25653</v>
      </c>
      <c r="I1496">
        <v>6367</v>
      </c>
      <c r="J1496">
        <v>0</v>
      </c>
      <c r="K1496">
        <v>0</v>
      </c>
      <c r="L1496" s="4" t="s">
        <v>2214</v>
      </c>
      <c r="M1496" s="4" t="str">
        <f t="shared" si="209"/>
        <v>3/31/2018</v>
      </c>
      <c r="N1496" s="1">
        <f t="shared" ca="1" si="210"/>
        <v>46064</v>
      </c>
      <c r="O1496" s="6" t="e">
        <f t="shared" ca="1" si="211"/>
        <v>#VALUE!</v>
      </c>
      <c r="P1496">
        <v>5</v>
      </c>
      <c r="Q1496">
        <f t="shared" si="212"/>
        <v>32020</v>
      </c>
      <c r="R1496" s="2">
        <f t="shared" si="213"/>
        <v>16010</v>
      </c>
      <c r="S1496" s="2" t="str">
        <f t="shared" si="214"/>
        <v xml:space="preserve"> Not Achieved</v>
      </c>
      <c r="T1496" s="2" t="str">
        <f t="shared" si="215"/>
        <v>poor</v>
      </c>
      <c r="U1496" s="2"/>
    </row>
    <row r="1497" spans="1:21" x14ac:dyDescent="0.3">
      <c r="A1497">
        <v>1496</v>
      </c>
      <c r="B1497" t="s">
        <v>2215</v>
      </c>
      <c r="C1497" t="str">
        <f t="shared" si="207"/>
        <v>EMP_1496</v>
      </c>
      <c r="D1497" t="s">
        <v>15</v>
      </c>
      <c r="E1497" t="str">
        <f t="shared" si="208"/>
        <v>EMP_1496HR</v>
      </c>
      <c r="F1497" t="s">
        <v>12</v>
      </c>
      <c r="G1497" t="s">
        <v>16</v>
      </c>
      <c r="H1497">
        <v>48650</v>
      </c>
      <c r="I1497">
        <v>14545</v>
      </c>
      <c r="J1497">
        <v>0</v>
      </c>
      <c r="K1497">
        <v>0</v>
      </c>
      <c r="L1497" s="4" t="s">
        <v>2216</v>
      </c>
      <c r="M1497" s="4" t="str">
        <f t="shared" si="209"/>
        <v>6/30/2021</v>
      </c>
      <c r="N1497" s="1">
        <f t="shared" ca="1" si="210"/>
        <v>46064</v>
      </c>
      <c r="O1497" s="6" t="e">
        <f t="shared" ca="1" si="211"/>
        <v>#VALUE!</v>
      </c>
      <c r="P1497">
        <v>2</v>
      </c>
      <c r="Q1497">
        <f t="shared" si="212"/>
        <v>63195</v>
      </c>
      <c r="R1497" s="2">
        <f t="shared" si="213"/>
        <v>31597.5</v>
      </c>
      <c r="S1497" s="2" t="str">
        <f t="shared" si="214"/>
        <v xml:space="preserve"> Not Achieved</v>
      </c>
      <c r="T1497" s="2" t="str">
        <f t="shared" si="215"/>
        <v>Good</v>
      </c>
      <c r="U1497" s="2"/>
    </row>
    <row r="1498" spans="1:21" x14ac:dyDescent="0.3">
      <c r="A1498">
        <v>1497</v>
      </c>
      <c r="B1498" t="s">
        <v>2217</v>
      </c>
      <c r="C1498" t="str">
        <f t="shared" si="207"/>
        <v>EMP_1497</v>
      </c>
      <c r="D1498" t="s">
        <v>11</v>
      </c>
      <c r="E1498" t="str">
        <f t="shared" si="208"/>
        <v>EMP_1497Sales</v>
      </c>
      <c r="F1498" t="s">
        <v>7</v>
      </c>
      <c r="G1498" t="s">
        <v>22</v>
      </c>
      <c r="H1498">
        <v>61014</v>
      </c>
      <c r="I1498">
        <v>5711</v>
      </c>
      <c r="J1498">
        <v>154587</v>
      </c>
      <c r="K1498">
        <v>245596</v>
      </c>
      <c r="L1498" s="4">
        <v>43139</v>
      </c>
      <c r="M1498" s="4" t="str">
        <f t="shared" si="209"/>
        <v>2018</v>
      </c>
      <c r="N1498" s="1">
        <f t="shared" ca="1" si="210"/>
        <v>46064</v>
      </c>
      <c r="O1498" s="6">
        <f t="shared" ca="1" si="211"/>
        <v>8</v>
      </c>
      <c r="P1498">
        <v>4</v>
      </c>
      <c r="Q1498">
        <f t="shared" si="212"/>
        <v>66725</v>
      </c>
      <c r="R1498" s="2">
        <f t="shared" si="213"/>
        <v>33362.5</v>
      </c>
      <c r="S1498" s="2" t="str">
        <f t="shared" si="214"/>
        <v xml:space="preserve"> Not Achieved</v>
      </c>
      <c r="T1498" s="2" t="str">
        <f t="shared" si="215"/>
        <v xml:space="preserve"> Excellent</v>
      </c>
      <c r="U1498" s="2"/>
    </row>
    <row r="1499" spans="1:21" x14ac:dyDescent="0.3">
      <c r="A1499">
        <v>1498</v>
      </c>
      <c r="B1499" t="s">
        <v>2218</v>
      </c>
      <c r="C1499" t="str">
        <f t="shared" si="207"/>
        <v>EMP_1498</v>
      </c>
      <c r="D1499" t="s">
        <v>11</v>
      </c>
      <c r="E1499" t="str">
        <f t="shared" si="208"/>
        <v>EMP_1498Finance</v>
      </c>
      <c r="F1499" t="s">
        <v>18</v>
      </c>
      <c r="G1499" t="s">
        <v>13</v>
      </c>
      <c r="H1499">
        <v>61277</v>
      </c>
      <c r="I1499">
        <v>6601</v>
      </c>
      <c r="J1499">
        <v>0</v>
      </c>
      <c r="K1499">
        <v>0</v>
      </c>
      <c r="L1499" s="4" t="s">
        <v>881</v>
      </c>
      <c r="M1499" s="4" t="str">
        <f t="shared" si="209"/>
        <v>4/21/2022</v>
      </c>
      <c r="N1499" s="1">
        <f t="shared" ca="1" si="210"/>
        <v>46064</v>
      </c>
      <c r="O1499" s="6" t="e">
        <f t="shared" ca="1" si="211"/>
        <v>#VALUE!</v>
      </c>
      <c r="P1499">
        <v>3</v>
      </c>
      <c r="Q1499">
        <f t="shared" si="212"/>
        <v>67878</v>
      </c>
      <c r="R1499" s="2">
        <f t="shared" si="213"/>
        <v>33939</v>
      </c>
      <c r="S1499" s="2" t="str">
        <f t="shared" si="214"/>
        <v xml:space="preserve"> Not Achieved</v>
      </c>
      <c r="T1499" s="2" t="str">
        <f t="shared" si="215"/>
        <v xml:space="preserve"> Excellent</v>
      </c>
      <c r="U1499" s="2"/>
    </row>
    <row r="1500" spans="1:21" x14ac:dyDescent="0.3">
      <c r="A1500">
        <v>1499</v>
      </c>
      <c r="B1500" t="s">
        <v>2219</v>
      </c>
      <c r="C1500" t="str">
        <f t="shared" si="207"/>
        <v>EMP_1499</v>
      </c>
      <c r="D1500" t="s">
        <v>11</v>
      </c>
      <c r="E1500" t="str">
        <f t="shared" si="208"/>
        <v>EMP_1499HR</v>
      </c>
      <c r="F1500" t="s">
        <v>12</v>
      </c>
      <c r="G1500" t="s">
        <v>22</v>
      </c>
      <c r="H1500">
        <v>76805</v>
      </c>
      <c r="I1500">
        <v>14144</v>
      </c>
      <c r="J1500">
        <v>0</v>
      </c>
      <c r="K1500">
        <v>0</v>
      </c>
      <c r="L1500" s="4">
        <v>43505</v>
      </c>
      <c r="M1500" s="4" t="str">
        <f t="shared" si="209"/>
        <v>2019</v>
      </c>
      <c r="N1500" s="1">
        <f t="shared" ca="1" si="210"/>
        <v>46064</v>
      </c>
      <c r="O1500" s="6">
        <f t="shared" ca="1" si="211"/>
        <v>7</v>
      </c>
      <c r="P1500">
        <v>5</v>
      </c>
      <c r="Q1500">
        <f t="shared" si="212"/>
        <v>90949</v>
      </c>
      <c r="R1500" s="2">
        <f t="shared" si="213"/>
        <v>45474.5</v>
      </c>
      <c r="S1500" s="2" t="str">
        <f t="shared" si="214"/>
        <v xml:space="preserve"> Not Achieved</v>
      </c>
      <c r="T1500" s="2" t="str">
        <f t="shared" si="215"/>
        <v xml:space="preserve"> Excellent</v>
      </c>
      <c r="U1500" s="2"/>
    </row>
    <row r="1501" spans="1:21" x14ac:dyDescent="0.3">
      <c r="A1501">
        <v>1500</v>
      </c>
      <c r="B1501" t="s">
        <v>2220</v>
      </c>
      <c r="C1501" t="str">
        <f t="shared" si="207"/>
        <v>EMP_1500</v>
      </c>
      <c r="D1501" t="s">
        <v>11</v>
      </c>
      <c r="E1501" t="str">
        <f t="shared" si="208"/>
        <v>EMP_1500Finance</v>
      </c>
      <c r="F1501" t="s">
        <v>18</v>
      </c>
      <c r="G1501" t="s">
        <v>19</v>
      </c>
      <c r="H1501">
        <v>35815</v>
      </c>
      <c r="I1501">
        <v>3529</v>
      </c>
      <c r="J1501">
        <v>0</v>
      </c>
      <c r="K1501">
        <v>0</v>
      </c>
      <c r="L1501" s="4">
        <v>44723</v>
      </c>
      <c r="M1501" s="4" t="str">
        <f t="shared" si="209"/>
        <v>2022</v>
      </c>
      <c r="N1501" s="1">
        <f t="shared" ca="1" si="210"/>
        <v>46064</v>
      </c>
      <c r="O1501" s="6">
        <f t="shared" ca="1" si="211"/>
        <v>3</v>
      </c>
      <c r="P1501">
        <v>2</v>
      </c>
      <c r="Q1501">
        <f t="shared" si="212"/>
        <v>39344</v>
      </c>
      <c r="R1501" s="2">
        <f t="shared" si="213"/>
        <v>19672</v>
      </c>
      <c r="S1501" s="2" t="str">
        <f t="shared" si="214"/>
        <v xml:space="preserve"> Not Achieved</v>
      </c>
      <c r="T1501" s="2" t="str">
        <f t="shared" si="215"/>
        <v>Average</v>
      </c>
      <c r="U1501" s="2"/>
    </row>
    <row r="1502" spans="1:21" x14ac:dyDescent="0.3">
      <c r="A1502">
        <v>1501</v>
      </c>
      <c r="B1502" t="s">
        <v>2221</v>
      </c>
      <c r="C1502" t="str">
        <f t="shared" si="207"/>
        <v>EMP_1501</v>
      </c>
      <c r="D1502" t="s">
        <v>15</v>
      </c>
      <c r="E1502" t="str">
        <f t="shared" si="208"/>
        <v>EMP_1501IT</v>
      </c>
      <c r="F1502" t="s">
        <v>21</v>
      </c>
      <c r="G1502" t="s">
        <v>19</v>
      </c>
      <c r="H1502">
        <v>32389</v>
      </c>
      <c r="I1502">
        <v>7173</v>
      </c>
      <c r="J1502">
        <v>0</v>
      </c>
      <c r="K1502">
        <v>0</v>
      </c>
      <c r="L1502" s="4">
        <v>44512</v>
      </c>
      <c r="M1502" s="4" t="str">
        <f t="shared" si="209"/>
        <v>2021</v>
      </c>
      <c r="N1502" s="1">
        <f t="shared" ca="1" si="210"/>
        <v>46064</v>
      </c>
      <c r="O1502" s="6">
        <f t="shared" ca="1" si="211"/>
        <v>4</v>
      </c>
      <c r="P1502">
        <v>3</v>
      </c>
      <c r="Q1502">
        <f t="shared" si="212"/>
        <v>39562</v>
      </c>
      <c r="R1502" s="2">
        <f t="shared" si="213"/>
        <v>19781</v>
      </c>
      <c r="S1502" s="2" t="str">
        <f t="shared" si="214"/>
        <v xml:space="preserve"> Not Achieved</v>
      </c>
      <c r="T1502" s="2" t="str">
        <f t="shared" si="215"/>
        <v>Average</v>
      </c>
      <c r="U1502" s="2"/>
    </row>
    <row r="1503" spans="1:21" x14ac:dyDescent="0.3">
      <c r="A1503">
        <v>1502</v>
      </c>
      <c r="B1503" t="s">
        <v>2222</v>
      </c>
      <c r="C1503" t="str">
        <f t="shared" si="207"/>
        <v>EMP_1502</v>
      </c>
      <c r="D1503" t="s">
        <v>11</v>
      </c>
      <c r="E1503" t="str">
        <f t="shared" si="208"/>
        <v>EMP_1502Marketing</v>
      </c>
      <c r="F1503" t="s">
        <v>24</v>
      </c>
      <c r="G1503" t="s">
        <v>13</v>
      </c>
      <c r="H1503">
        <v>24419</v>
      </c>
      <c r="I1503">
        <v>2274</v>
      </c>
      <c r="J1503">
        <v>0</v>
      </c>
      <c r="K1503">
        <v>0</v>
      </c>
      <c r="L1503" s="4" t="s">
        <v>2223</v>
      </c>
      <c r="M1503" s="4" t="str">
        <f t="shared" si="209"/>
        <v>7/19/2020</v>
      </c>
      <c r="N1503" s="1">
        <f t="shared" ca="1" si="210"/>
        <v>46064</v>
      </c>
      <c r="O1503" s="6" t="e">
        <f t="shared" ca="1" si="211"/>
        <v>#VALUE!</v>
      </c>
      <c r="P1503">
        <v>2</v>
      </c>
      <c r="Q1503">
        <f t="shared" si="212"/>
        <v>26693</v>
      </c>
      <c r="R1503" s="2">
        <f t="shared" si="213"/>
        <v>13346.5</v>
      </c>
      <c r="S1503" s="2" t="str">
        <f t="shared" si="214"/>
        <v xml:space="preserve"> Not Achieved</v>
      </c>
      <c r="T1503" s="2" t="str">
        <f t="shared" si="215"/>
        <v>poor</v>
      </c>
      <c r="U1503" s="2"/>
    </row>
    <row r="1504" spans="1:21" x14ac:dyDescent="0.3">
      <c r="A1504">
        <v>1503</v>
      </c>
      <c r="B1504" t="s">
        <v>2224</v>
      </c>
      <c r="C1504" t="str">
        <f t="shared" si="207"/>
        <v>EMP_1503</v>
      </c>
      <c r="D1504" t="s">
        <v>15</v>
      </c>
      <c r="E1504" t="str">
        <f t="shared" si="208"/>
        <v>EMP_1503IT</v>
      </c>
      <c r="F1504" t="s">
        <v>21</v>
      </c>
      <c r="G1504" t="s">
        <v>25</v>
      </c>
      <c r="H1504">
        <v>56005</v>
      </c>
      <c r="I1504">
        <v>2389</v>
      </c>
      <c r="J1504">
        <v>0</v>
      </c>
      <c r="K1504">
        <v>0</v>
      </c>
      <c r="L1504" s="4" t="s">
        <v>2225</v>
      </c>
      <c r="M1504" s="4" t="str">
        <f t="shared" si="209"/>
        <v>5/15/2019</v>
      </c>
      <c r="N1504" s="1">
        <f t="shared" ca="1" si="210"/>
        <v>46064</v>
      </c>
      <c r="O1504" s="6" t="e">
        <f t="shared" ca="1" si="211"/>
        <v>#VALUE!</v>
      </c>
      <c r="P1504">
        <v>5</v>
      </c>
      <c r="Q1504">
        <f t="shared" si="212"/>
        <v>58394</v>
      </c>
      <c r="R1504" s="2">
        <f t="shared" si="213"/>
        <v>29197</v>
      </c>
      <c r="S1504" s="2" t="str">
        <f t="shared" si="214"/>
        <v xml:space="preserve"> Not Achieved</v>
      </c>
      <c r="T1504" s="2" t="str">
        <f t="shared" si="215"/>
        <v xml:space="preserve"> Excellent</v>
      </c>
      <c r="U1504" s="2"/>
    </row>
    <row r="1505" spans="1:21" x14ac:dyDescent="0.3">
      <c r="A1505">
        <v>1504</v>
      </c>
      <c r="B1505" t="s">
        <v>2226</v>
      </c>
      <c r="C1505" t="str">
        <f t="shared" si="207"/>
        <v>EMP_1504</v>
      </c>
      <c r="D1505" t="s">
        <v>15</v>
      </c>
      <c r="E1505" t="str">
        <f t="shared" si="208"/>
        <v>EMP_1504Sales</v>
      </c>
      <c r="F1505" t="s">
        <v>7</v>
      </c>
      <c r="G1505" t="s">
        <v>25</v>
      </c>
      <c r="H1505">
        <v>57268</v>
      </c>
      <c r="I1505">
        <v>7750</v>
      </c>
      <c r="J1505">
        <v>254789</v>
      </c>
      <c r="K1505">
        <v>105237</v>
      </c>
      <c r="L1505" s="4">
        <v>44443</v>
      </c>
      <c r="M1505" s="4" t="str">
        <f t="shared" si="209"/>
        <v>2021</v>
      </c>
      <c r="N1505" s="1">
        <f t="shared" ca="1" si="210"/>
        <v>46064</v>
      </c>
      <c r="O1505" s="6">
        <f t="shared" ca="1" si="211"/>
        <v>4</v>
      </c>
      <c r="P1505">
        <v>2</v>
      </c>
      <c r="Q1505">
        <f t="shared" si="212"/>
        <v>65018</v>
      </c>
      <c r="R1505" s="2">
        <f t="shared" si="213"/>
        <v>32509</v>
      </c>
      <c r="S1505" s="2" t="str">
        <f t="shared" si="214"/>
        <v>Achieved</v>
      </c>
      <c r="T1505" s="2" t="str">
        <f t="shared" si="215"/>
        <v xml:space="preserve"> Excellent</v>
      </c>
      <c r="U1505" s="2"/>
    </row>
    <row r="1506" spans="1:21" x14ac:dyDescent="0.3">
      <c r="A1506">
        <v>1505</v>
      </c>
      <c r="B1506" t="s">
        <v>2227</v>
      </c>
      <c r="C1506" t="str">
        <f t="shared" si="207"/>
        <v>EMP_1505</v>
      </c>
      <c r="D1506" t="s">
        <v>11</v>
      </c>
      <c r="E1506" t="str">
        <f t="shared" si="208"/>
        <v>EMP_1505Sales</v>
      </c>
      <c r="F1506" t="s">
        <v>7</v>
      </c>
      <c r="G1506" t="s">
        <v>25</v>
      </c>
      <c r="H1506">
        <v>28142</v>
      </c>
      <c r="I1506">
        <v>7070</v>
      </c>
      <c r="J1506">
        <v>96282</v>
      </c>
      <c r="K1506">
        <v>96381</v>
      </c>
      <c r="L1506" s="4" t="s">
        <v>671</v>
      </c>
      <c r="M1506" s="4" t="str">
        <f t="shared" si="209"/>
        <v>10/28/2018</v>
      </c>
      <c r="N1506" s="1">
        <f t="shared" ca="1" si="210"/>
        <v>46064</v>
      </c>
      <c r="O1506" s="6" t="e">
        <f t="shared" ca="1" si="211"/>
        <v>#VALUE!</v>
      </c>
      <c r="P1506">
        <v>2</v>
      </c>
      <c r="Q1506">
        <f t="shared" si="212"/>
        <v>35212</v>
      </c>
      <c r="R1506" s="2">
        <f t="shared" si="213"/>
        <v>17606</v>
      </c>
      <c r="S1506" s="2" t="str">
        <f t="shared" si="214"/>
        <v xml:space="preserve"> Not Achieved</v>
      </c>
      <c r="T1506" s="2" t="str">
        <f t="shared" si="215"/>
        <v>poor</v>
      </c>
      <c r="U1506" s="2"/>
    </row>
    <row r="1507" spans="1:21" x14ac:dyDescent="0.3">
      <c r="A1507">
        <v>1506</v>
      </c>
      <c r="B1507" t="s">
        <v>2228</v>
      </c>
      <c r="C1507" t="str">
        <f t="shared" si="207"/>
        <v>EMP_1506</v>
      </c>
      <c r="D1507" t="s">
        <v>15</v>
      </c>
      <c r="E1507" t="str">
        <f t="shared" si="208"/>
        <v>EMP_1506HR</v>
      </c>
      <c r="F1507" t="s">
        <v>12</v>
      </c>
      <c r="G1507" t="s">
        <v>19</v>
      </c>
      <c r="H1507">
        <v>61859</v>
      </c>
      <c r="I1507">
        <v>11698</v>
      </c>
      <c r="J1507">
        <v>0</v>
      </c>
      <c r="K1507">
        <v>0</v>
      </c>
      <c r="L1507" s="4">
        <v>44845</v>
      </c>
      <c r="M1507" s="4" t="str">
        <f t="shared" si="209"/>
        <v>2022</v>
      </c>
      <c r="N1507" s="1">
        <f t="shared" ca="1" si="210"/>
        <v>46064</v>
      </c>
      <c r="O1507" s="6">
        <f t="shared" ca="1" si="211"/>
        <v>3</v>
      </c>
      <c r="P1507">
        <v>1</v>
      </c>
      <c r="Q1507">
        <f t="shared" si="212"/>
        <v>73557</v>
      </c>
      <c r="R1507" s="2">
        <f t="shared" si="213"/>
        <v>36778.5</v>
      </c>
      <c r="S1507" s="2" t="str">
        <f t="shared" si="214"/>
        <v xml:space="preserve"> Not Achieved</v>
      </c>
      <c r="T1507" s="2" t="str">
        <f t="shared" si="215"/>
        <v xml:space="preserve"> Excellent</v>
      </c>
      <c r="U1507" s="2"/>
    </row>
    <row r="1508" spans="1:21" x14ac:dyDescent="0.3">
      <c r="A1508">
        <v>1507</v>
      </c>
      <c r="B1508" t="s">
        <v>2229</v>
      </c>
      <c r="C1508" t="str">
        <f t="shared" si="207"/>
        <v>EMP_1507</v>
      </c>
      <c r="D1508" t="s">
        <v>15</v>
      </c>
      <c r="E1508" t="str">
        <f t="shared" si="208"/>
        <v>EMP_1507HR</v>
      </c>
      <c r="F1508" t="s">
        <v>12</v>
      </c>
      <c r="G1508" t="s">
        <v>19</v>
      </c>
      <c r="H1508">
        <v>44413</v>
      </c>
      <c r="I1508">
        <v>8443</v>
      </c>
      <c r="J1508">
        <v>0</v>
      </c>
      <c r="K1508">
        <v>0</v>
      </c>
      <c r="L1508" s="4">
        <v>44601</v>
      </c>
      <c r="M1508" s="4" t="str">
        <f t="shared" si="209"/>
        <v>2022</v>
      </c>
      <c r="N1508" s="1">
        <f t="shared" ca="1" si="210"/>
        <v>46064</v>
      </c>
      <c r="O1508" s="6">
        <f t="shared" ca="1" si="211"/>
        <v>4</v>
      </c>
      <c r="P1508">
        <v>1</v>
      </c>
      <c r="Q1508">
        <f t="shared" si="212"/>
        <v>52856</v>
      </c>
      <c r="R1508" s="2">
        <f t="shared" si="213"/>
        <v>26428</v>
      </c>
      <c r="S1508" s="2" t="str">
        <f t="shared" si="214"/>
        <v xml:space="preserve"> Not Achieved</v>
      </c>
      <c r="T1508" s="2" t="str">
        <f t="shared" si="215"/>
        <v>Good</v>
      </c>
      <c r="U1508" s="2"/>
    </row>
    <row r="1509" spans="1:21" x14ac:dyDescent="0.3">
      <c r="A1509">
        <v>1508</v>
      </c>
      <c r="B1509" t="s">
        <v>2230</v>
      </c>
      <c r="C1509" t="str">
        <f t="shared" si="207"/>
        <v>EMP_1508</v>
      </c>
      <c r="D1509" t="s">
        <v>15</v>
      </c>
      <c r="E1509" t="str">
        <f t="shared" si="208"/>
        <v>EMP_1508IT</v>
      </c>
      <c r="F1509" t="s">
        <v>21</v>
      </c>
      <c r="G1509" t="s">
        <v>25</v>
      </c>
      <c r="H1509">
        <v>23218</v>
      </c>
      <c r="I1509">
        <v>7197</v>
      </c>
      <c r="J1509">
        <v>0</v>
      </c>
      <c r="K1509">
        <v>0</v>
      </c>
      <c r="L1509" s="4" t="s">
        <v>2231</v>
      </c>
      <c r="M1509" s="4" t="str">
        <f t="shared" si="209"/>
        <v>6/21/2024</v>
      </c>
      <c r="N1509" s="1">
        <f t="shared" ca="1" si="210"/>
        <v>46064</v>
      </c>
      <c r="O1509" s="6" t="e">
        <f t="shared" ca="1" si="211"/>
        <v>#VALUE!</v>
      </c>
      <c r="P1509">
        <v>4</v>
      </c>
      <c r="Q1509">
        <f t="shared" si="212"/>
        <v>30415</v>
      </c>
      <c r="R1509" s="2">
        <f t="shared" si="213"/>
        <v>15207.5</v>
      </c>
      <c r="S1509" s="2" t="str">
        <f t="shared" si="214"/>
        <v xml:space="preserve"> Not Achieved</v>
      </c>
      <c r="T1509" s="2" t="str">
        <f t="shared" si="215"/>
        <v>poor</v>
      </c>
      <c r="U1509" s="2"/>
    </row>
    <row r="1510" spans="1:21" x14ac:dyDescent="0.3">
      <c r="A1510">
        <v>1509</v>
      </c>
      <c r="B1510" t="s">
        <v>2232</v>
      </c>
      <c r="C1510" t="str">
        <f t="shared" si="207"/>
        <v>EMP_1509</v>
      </c>
      <c r="D1510" t="s">
        <v>11</v>
      </c>
      <c r="E1510" t="str">
        <f t="shared" si="208"/>
        <v>EMP_1509IT</v>
      </c>
      <c r="F1510" t="s">
        <v>21</v>
      </c>
      <c r="G1510" t="s">
        <v>19</v>
      </c>
      <c r="H1510">
        <v>43495</v>
      </c>
      <c r="I1510">
        <v>9487</v>
      </c>
      <c r="J1510">
        <v>0</v>
      </c>
      <c r="K1510">
        <v>0</v>
      </c>
      <c r="L1510" s="4">
        <v>44902</v>
      </c>
      <c r="M1510" s="4" t="str">
        <f t="shared" si="209"/>
        <v>2022</v>
      </c>
      <c r="N1510" s="1">
        <f t="shared" ca="1" si="210"/>
        <v>46064</v>
      </c>
      <c r="O1510" s="6">
        <f t="shared" ca="1" si="211"/>
        <v>3</v>
      </c>
      <c r="P1510">
        <v>5</v>
      </c>
      <c r="Q1510">
        <f t="shared" si="212"/>
        <v>52982</v>
      </c>
      <c r="R1510" s="2">
        <f t="shared" si="213"/>
        <v>26491</v>
      </c>
      <c r="S1510" s="2" t="str">
        <f t="shared" si="214"/>
        <v xml:space="preserve"> Not Achieved</v>
      </c>
      <c r="T1510" s="2" t="str">
        <f t="shared" si="215"/>
        <v>Good</v>
      </c>
      <c r="U1510" s="2"/>
    </row>
    <row r="1511" spans="1:21" x14ac:dyDescent="0.3">
      <c r="A1511">
        <v>1510</v>
      </c>
      <c r="B1511" t="s">
        <v>2233</v>
      </c>
      <c r="C1511" t="str">
        <f t="shared" si="207"/>
        <v>EMP_1510</v>
      </c>
      <c r="D1511" t="s">
        <v>11</v>
      </c>
      <c r="E1511" t="str">
        <f t="shared" si="208"/>
        <v>EMP_1510IT</v>
      </c>
      <c r="F1511" t="s">
        <v>21</v>
      </c>
      <c r="G1511" t="s">
        <v>19</v>
      </c>
      <c r="H1511">
        <v>35448</v>
      </c>
      <c r="I1511">
        <v>13264</v>
      </c>
      <c r="J1511">
        <v>0</v>
      </c>
      <c r="K1511">
        <v>0</v>
      </c>
      <c r="L1511" s="4">
        <v>45445</v>
      </c>
      <c r="M1511" s="4" t="str">
        <f t="shared" si="209"/>
        <v>2024</v>
      </c>
      <c r="N1511" s="1">
        <f t="shared" ca="1" si="210"/>
        <v>46064</v>
      </c>
      <c r="O1511" s="6">
        <f t="shared" ca="1" si="211"/>
        <v>1</v>
      </c>
      <c r="P1511">
        <v>1</v>
      </c>
      <c r="Q1511">
        <f t="shared" si="212"/>
        <v>48712</v>
      </c>
      <c r="R1511" s="2">
        <f t="shared" si="213"/>
        <v>24356</v>
      </c>
      <c r="S1511" s="2" t="str">
        <f t="shared" si="214"/>
        <v xml:space="preserve"> Not Achieved</v>
      </c>
      <c r="T1511" s="2" t="str">
        <f t="shared" si="215"/>
        <v>Average</v>
      </c>
      <c r="U1511" s="2"/>
    </row>
    <row r="1512" spans="1:21" x14ac:dyDescent="0.3">
      <c r="A1512">
        <v>1511</v>
      </c>
      <c r="B1512" t="s">
        <v>2234</v>
      </c>
      <c r="C1512" t="str">
        <f t="shared" si="207"/>
        <v>EMP_1511</v>
      </c>
      <c r="D1512" t="s">
        <v>15</v>
      </c>
      <c r="E1512" t="str">
        <f t="shared" si="208"/>
        <v>EMP_1511Finance</v>
      </c>
      <c r="F1512" t="s">
        <v>18</v>
      </c>
      <c r="G1512" t="s">
        <v>19</v>
      </c>
      <c r="H1512">
        <v>67713</v>
      </c>
      <c r="I1512">
        <v>2167</v>
      </c>
      <c r="J1512">
        <v>0</v>
      </c>
      <c r="K1512">
        <v>0</v>
      </c>
      <c r="L1512" s="4">
        <v>44480</v>
      </c>
      <c r="M1512" s="4" t="str">
        <f t="shared" si="209"/>
        <v>2021</v>
      </c>
      <c r="N1512" s="1">
        <f t="shared" ca="1" si="210"/>
        <v>46064</v>
      </c>
      <c r="O1512" s="6">
        <f t="shared" ca="1" si="211"/>
        <v>4</v>
      </c>
      <c r="P1512">
        <v>5</v>
      </c>
      <c r="Q1512">
        <f t="shared" si="212"/>
        <v>69880</v>
      </c>
      <c r="R1512" s="2">
        <f t="shared" si="213"/>
        <v>34940</v>
      </c>
      <c r="S1512" s="2" t="str">
        <f t="shared" si="214"/>
        <v xml:space="preserve"> Not Achieved</v>
      </c>
      <c r="T1512" s="2" t="str">
        <f t="shared" si="215"/>
        <v xml:space="preserve"> Excellent</v>
      </c>
      <c r="U1512" s="2"/>
    </row>
    <row r="1513" spans="1:21" x14ac:dyDescent="0.3">
      <c r="A1513">
        <v>1512</v>
      </c>
      <c r="B1513" t="s">
        <v>2235</v>
      </c>
      <c r="C1513" t="str">
        <f t="shared" si="207"/>
        <v>EMP_1512</v>
      </c>
      <c r="D1513" t="s">
        <v>15</v>
      </c>
      <c r="E1513" t="str">
        <f t="shared" si="208"/>
        <v>EMP_1512Sales</v>
      </c>
      <c r="F1513" t="s">
        <v>7</v>
      </c>
      <c r="G1513" t="s">
        <v>19</v>
      </c>
      <c r="H1513">
        <v>49703</v>
      </c>
      <c r="I1513">
        <v>8857</v>
      </c>
      <c r="J1513">
        <v>248603</v>
      </c>
      <c r="K1513">
        <v>136520</v>
      </c>
      <c r="L1513" s="4">
        <v>44236</v>
      </c>
      <c r="M1513" s="4" t="str">
        <f t="shared" si="209"/>
        <v>2021</v>
      </c>
      <c r="N1513" s="1">
        <f t="shared" ca="1" si="210"/>
        <v>46064</v>
      </c>
      <c r="O1513" s="6">
        <f t="shared" ca="1" si="211"/>
        <v>5</v>
      </c>
      <c r="P1513">
        <v>1</v>
      </c>
      <c r="Q1513">
        <f t="shared" si="212"/>
        <v>58560</v>
      </c>
      <c r="R1513" s="2">
        <f t="shared" si="213"/>
        <v>29280</v>
      </c>
      <c r="S1513" s="2" t="str">
        <f t="shared" si="214"/>
        <v>Achieved</v>
      </c>
      <c r="T1513" s="2" t="str">
        <f t="shared" si="215"/>
        <v>Good</v>
      </c>
      <c r="U1513" s="2"/>
    </row>
    <row r="1514" spans="1:21" x14ac:dyDescent="0.3">
      <c r="A1514">
        <v>1513</v>
      </c>
      <c r="B1514" t="s">
        <v>2236</v>
      </c>
      <c r="C1514" t="str">
        <f t="shared" si="207"/>
        <v>EMP_1513</v>
      </c>
      <c r="D1514" t="s">
        <v>15</v>
      </c>
      <c r="E1514" t="str">
        <f t="shared" si="208"/>
        <v>EMP_1513HR</v>
      </c>
      <c r="F1514" t="s">
        <v>12</v>
      </c>
      <c r="G1514" t="s">
        <v>13</v>
      </c>
      <c r="H1514">
        <v>23227</v>
      </c>
      <c r="I1514">
        <v>7941</v>
      </c>
      <c r="J1514">
        <v>0</v>
      </c>
      <c r="K1514">
        <v>0</v>
      </c>
      <c r="L1514" s="4">
        <v>44602</v>
      </c>
      <c r="M1514" s="4" t="str">
        <f t="shared" si="209"/>
        <v>2022</v>
      </c>
      <c r="N1514" s="1">
        <f t="shared" ca="1" si="210"/>
        <v>46064</v>
      </c>
      <c r="O1514" s="6">
        <f t="shared" ca="1" si="211"/>
        <v>4</v>
      </c>
      <c r="P1514">
        <v>5</v>
      </c>
      <c r="Q1514">
        <f t="shared" si="212"/>
        <v>31168</v>
      </c>
      <c r="R1514" s="2">
        <f t="shared" si="213"/>
        <v>15584</v>
      </c>
      <c r="S1514" s="2" t="str">
        <f t="shared" si="214"/>
        <v xml:space="preserve"> Not Achieved</v>
      </c>
      <c r="T1514" s="2" t="str">
        <f t="shared" si="215"/>
        <v>poor</v>
      </c>
      <c r="U1514" s="2"/>
    </row>
    <row r="1515" spans="1:21" x14ac:dyDescent="0.3">
      <c r="A1515">
        <v>1514</v>
      </c>
      <c r="B1515" t="s">
        <v>2237</v>
      </c>
      <c r="C1515" t="str">
        <f t="shared" si="207"/>
        <v>EMP_1514</v>
      </c>
      <c r="D1515" t="s">
        <v>15</v>
      </c>
      <c r="E1515" t="str">
        <f t="shared" si="208"/>
        <v>EMP_1514Sales</v>
      </c>
      <c r="F1515" t="s">
        <v>7</v>
      </c>
      <c r="G1515" t="s">
        <v>16</v>
      </c>
      <c r="H1515">
        <v>78731</v>
      </c>
      <c r="I1515">
        <v>5435</v>
      </c>
      <c r="J1515">
        <v>104020</v>
      </c>
      <c r="K1515">
        <v>97167</v>
      </c>
      <c r="L1515" s="4" t="s">
        <v>2238</v>
      </c>
      <c r="M1515" s="4" t="str">
        <f t="shared" si="209"/>
        <v>12/15/2023</v>
      </c>
      <c r="N1515" s="1">
        <f t="shared" ca="1" si="210"/>
        <v>46064</v>
      </c>
      <c r="O1515" s="6" t="e">
        <f t="shared" ca="1" si="211"/>
        <v>#VALUE!</v>
      </c>
      <c r="P1515">
        <v>1</v>
      </c>
      <c r="Q1515">
        <f t="shared" si="212"/>
        <v>84166</v>
      </c>
      <c r="R1515" s="2">
        <f t="shared" si="213"/>
        <v>42083</v>
      </c>
      <c r="S1515" s="2" t="str">
        <f t="shared" si="214"/>
        <v>Achieved</v>
      </c>
      <c r="T1515" s="2" t="str">
        <f t="shared" si="215"/>
        <v xml:space="preserve"> Excellent</v>
      </c>
      <c r="U1515" s="2"/>
    </row>
    <row r="1516" spans="1:21" x14ac:dyDescent="0.3">
      <c r="A1516">
        <v>1515</v>
      </c>
      <c r="B1516" t="s">
        <v>2239</v>
      </c>
      <c r="C1516" t="str">
        <f t="shared" si="207"/>
        <v>EMP_1515</v>
      </c>
      <c r="D1516" t="s">
        <v>15</v>
      </c>
      <c r="E1516" t="str">
        <f t="shared" si="208"/>
        <v>EMP_1515Marketing</v>
      </c>
      <c r="F1516" t="s">
        <v>24</v>
      </c>
      <c r="G1516" t="s">
        <v>19</v>
      </c>
      <c r="H1516">
        <v>63811</v>
      </c>
      <c r="I1516">
        <v>3214</v>
      </c>
      <c r="J1516">
        <v>0</v>
      </c>
      <c r="K1516">
        <v>0</v>
      </c>
      <c r="L1516" s="4" t="s">
        <v>2240</v>
      </c>
      <c r="M1516" s="4" t="str">
        <f t="shared" si="209"/>
        <v>1/19/2018</v>
      </c>
      <c r="N1516" s="1">
        <f t="shared" ca="1" si="210"/>
        <v>46064</v>
      </c>
      <c r="O1516" s="6" t="e">
        <f t="shared" ca="1" si="211"/>
        <v>#VALUE!</v>
      </c>
      <c r="P1516">
        <v>5</v>
      </c>
      <c r="Q1516">
        <f t="shared" si="212"/>
        <v>67025</v>
      </c>
      <c r="R1516" s="2">
        <f t="shared" si="213"/>
        <v>33512.5</v>
      </c>
      <c r="S1516" s="2" t="str">
        <f t="shared" si="214"/>
        <v xml:space="preserve"> Not Achieved</v>
      </c>
      <c r="T1516" s="2" t="str">
        <f t="shared" si="215"/>
        <v xml:space="preserve"> Excellent</v>
      </c>
      <c r="U1516" s="2"/>
    </row>
    <row r="1517" spans="1:21" x14ac:dyDescent="0.3">
      <c r="A1517">
        <v>1516</v>
      </c>
      <c r="B1517" t="s">
        <v>2241</v>
      </c>
      <c r="C1517" t="str">
        <f t="shared" si="207"/>
        <v>EMP_1516</v>
      </c>
      <c r="D1517" t="s">
        <v>11</v>
      </c>
      <c r="E1517" t="str">
        <f t="shared" si="208"/>
        <v>EMP_1516Marketing</v>
      </c>
      <c r="F1517" t="s">
        <v>24</v>
      </c>
      <c r="G1517" t="s">
        <v>19</v>
      </c>
      <c r="H1517">
        <v>74334</v>
      </c>
      <c r="I1517">
        <v>4099</v>
      </c>
      <c r="J1517">
        <v>0</v>
      </c>
      <c r="K1517">
        <v>0</v>
      </c>
      <c r="L1517" s="4" t="s">
        <v>2242</v>
      </c>
      <c r="M1517" s="4" t="str">
        <f t="shared" si="209"/>
        <v>5/24/2024</v>
      </c>
      <c r="N1517" s="1">
        <f t="shared" ca="1" si="210"/>
        <v>46064</v>
      </c>
      <c r="O1517" s="6" t="e">
        <f t="shared" ca="1" si="211"/>
        <v>#VALUE!</v>
      </c>
      <c r="P1517">
        <v>1</v>
      </c>
      <c r="Q1517">
        <f t="shared" si="212"/>
        <v>78433</v>
      </c>
      <c r="R1517" s="2">
        <f t="shared" si="213"/>
        <v>39216.5</v>
      </c>
      <c r="S1517" s="2" t="str">
        <f t="shared" si="214"/>
        <v xml:space="preserve"> Not Achieved</v>
      </c>
      <c r="T1517" s="2" t="str">
        <f t="shared" si="215"/>
        <v xml:space="preserve"> Excellent</v>
      </c>
      <c r="U1517" s="2"/>
    </row>
    <row r="1518" spans="1:21" x14ac:dyDescent="0.3">
      <c r="A1518">
        <v>1517</v>
      </c>
      <c r="B1518" t="s">
        <v>2243</v>
      </c>
      <c r="C1518" t="str">
        <f t="shared" si="207"/>
        <v>EMP_1517</v>
      </c>
      <c r="D1518" t="s">
        <v>15</v>
      </c>
      <c r="E1518" t="str">
        <f t="shared" si="208"/>
        <v>EMP_1517Sales</v>
      </c>
      <c r="F1518" t="s">
        <v>7</v>
      </c>
      <c r="G1518" t="s">
        <v>19</v>
      </c>
      <c r="H1518">
        <v>38075</v>
      </c>
      <c r="I1518">
        <v>2629</v>
      </c>
      <c r="J1518">
        <v>70853</v>
      </c>
      <c r="K1518">
        <v>248261</v>
      </c>
      <c r="L1518" s="4" t="s">
        <v>2244</v>
      </c>
      <c r="M1518" s="4" t="str">
        <f t="shared" si="209"/>
        <v>7/29/2023</v>
      </c>
      <c r="N1518" s="1">
        <f t="shared" ca="1" si="210"/>
        <v>46064</v>
      </c>
      <c r="O1518" s="6" t="e">
        <f t="shared" ca="1" si="211"/>
        <v>#VALUE!</v>
      </c>
      <c r="P1518">
        <v>3</v>
      </c>
      <c r="Q1518">
        <f t="shared" si="212"/>
        <v>40704</v>
      </c>
      <c r="R1518" s="2">
        <f t="shared" si="213"/>
        <v>20352</v>
      </c>
      <c r="S1518" s="2" t="str">
        <f t="shared" si="214"/>
        <v xml:space="preserve"> Not Achieved</v>
      </c>
      <c r="T1518" s="2" t="str">
        <f t="shared" si="215"/>
        <v>Average</v>
      </c>
      <c r="U1518" s="2"/>
    </row>
    <row r="1519" spans="1:21" x14ac:dyDescent="0.3">
      <c r="A1519">
        <v>1518</v>
      </c>
      <c r="B1519" t="s">
        <v>2245</v>
      </c>
      <c r="C1519" t="str">
        <f t="shared" si="207"/>
        <v>EMP_1518</v>
      </c>
      <c r="D1519" t="s">
        <v>11</v>
      </c>
      <c r="E1519" t="str">
        <f t="shared" si="208"/>
        <v>EMP_1518HR</v>
      </c>
      <c r="F1519" t="s">
        <v>12</v>
      </c>
      <c r="G1519" t="s">
        <v>22</v>
      </c>
      <c r="H1519">
        <v>54802</v>
      </c>
      <c r="I1519">
        <v>3592</v>
      </c>
      <c r="J1519">
        <v>0</v>
      </c>
      <c r="K1519">
        <v>0</v>
      </c>
      <c r="L1519" s="4">
        <v>43689</v>
      </c>
      <c r="M1519" s="4" t="str">
        <f t="shared" si="209"/>
        <v>2019</v>
      </c>
      <c r="N1519" s="1">
        <f t="shared" ca="1" si="210"/>
        <v>46064</v>
      </c>
      <c r="O1519" s="6">
        <f t="shared" ca="1" si="211"/>
        <v>6</v>
      </c>
      <c r="P1519">
        <v>4</v>
      </c>
      <c r="Q1519">
        <f t="shared" si="212"/>
        <v>58394</v>
      </c>
      <c r="R1519" s="2">
        <f t="shared" si="213"/>
        <v>29197</v>
      </c>
      <c r="S1519" s="2" t="str">
        <f t="shared" si="214"/>
        <v xml:space="preserve"> Not Achieved</v>
      </c>
      <c r="T1519" s="2" t="str">
        <f t="shared" si="215"/>
        <v xml:space="preserve"> Excellent</v>
      </c>
      <c r="U1519" s="2"/>
    </row>
    <row r="1520" spans="1:21" x14ac:dyDescent="0.3">
      <c r="A1520">
        <v>1519</v>
      </c>
      <c r="B1520" t="s">
        <v>2246</v>
      </c>
      <c r="C1520" t="str">
        <f t="shared" si="207"/>
        <v>EMP_1519</v>
      </c>
      <c r="D1520" t="s">
        <v>15</v>
      </c>
      <c r="E1520" t="str">
        <f t="shared" si="208"/>
        <v>EMP_1519IT</v>
      </c>
      <c r="F1520" t="s">
        <v>21</v>
      </c>
      <c r="G1520" t="s">
        <v>22</v>
      </c>
      <c r="H1520">
        <v>20951</v>
      </c>
      <c r="I1520">
        <v>3612</v>
      </c>
      <c r="J1520">
        <v>0</v>
      </c>
      <c r="K1520">
        <v>0</v>
      </c>
      <c r="L1520" s="4">
        <v>44562</v>
      </c>
      <c r="M1520" s="4" t="str">
        <f t="shared" si="209"/>
        <v>2022</v>
      </c>
      <c r="N1520" s="1">
        <f t="shared" ca="1" si="210"/>
        <v>46064</v>
      </c>
      <c r="O1520" s="6">
        <f t="shared" ca="1" si="211"/>
        <v>4</v>
      </c>
      <c r="P1520">
        <v>1</v>
      </c>
      <c r="Q1520">
        <f t="shared" si="212"/>
        <v>24563</v>
      </c>
      <c r="R1520" s="2">
        <f t="shared" si="213"/>
        <v>12281.5</v>
      </c>
      <c r="S1520" s="2" t="str">
        <f t="shared" si="214"/>
        <v xml:space="preserve"> Not Achieved</v>
      </c>
      <c r="T1520" s="2" t="str">
        <f t="shared" si="215"/>
        <v>poor</v>
      </c>
      <c r="U1520" s="2"/>
    </row>
    <row r="1521" spans="1:21" x14ac:dyDescent="0.3">
      <c r="A1521">
        <v>1520</v>
      </c>
      <c r="B1521" t="s">
        <v>2247</v>
      </c>
      <c r="C1521" t="str">
        <f t="shared" si="207"/>
        <v>EMP_1520</v>
      </c>
      <c r="D1521" t="s">
        <v>11</v>
      </c>
      <c r="E1521" t="str">
        <f t="shared" si="208"/>
        <v>EMP_1520Marketing</v>
      </c>
      <c r="F1521" t="s">
        <v>24</v>
      </c>
      <c r="G1521" t="s">
        <v>22</v>
      </c>
      <c r="H1521">
        <v>63304</v>
      </c>
      <c r="I1521">
        <v>2127</v>
      </c>
      <c r="J1521">
        <v>0</v>
      </c>
      <c r="K1521">
        <v>0</v>
      </c>
      <c r="L1521" s="4" t="s">
        <v>2248</v>
      </c>
      <c r="M1521" s="4" t="str">
        <f t="shared" si="209"/>
        <v>11/24/2023</v>
      </c>
      <c r="N1521" s="1">
        <f t="shared" ca="1" si="210"/>
        <v>46064</v>
      </c>
      <c r="O1521" s="6" t="e">
        <f t="shared" ca="1" si="211"/>
        <v>#VALUE!</v>
      </c>
      <c r="P1521">
        <v>5</v>
      </c>
      <c r="Q1521">
        <f t="shared" si="212"/>
        <v>65431</v>
      </c>
      <c r="R1521" s="2">
        <f t="shared" si="213"/>
        <v>32715.5</v>
      </c>
      <c r="S1521" s="2" t="str">
        <f t="shared" si="214"/>
        <v xml:space="preserve"> Not Achieved</v>
      </c>
      <c r="T1521" s="2" t="str">
        <f t="shared" si="215"/>
        <v xml:space="preserve"> Excellent</v>
      </c>
      <c r="U1521" s="2"/>
    </row>
    <row r="1522" spans="1:21" x14ac:dyDescent="0.3">
      <c r="A1522">
        <v>1521</v>
      </c>
      <c r="B1522" t="s">
        <v>2249</v>
      </c>
      <c r="C1522" t="str">
        <f t="shared" si="207"/>
        <v>EMP_1521</v>
      </c>
      <c r="D1522" t="s">
        <v>11</v>
      </c>
      <c r="E1522" t="str">
        <f t="shared" si="208"/>
        <v>EMP_1521Finance</v>
      </c>
      <c r="F1522" t="s">
        <v>18</v>
      </c>
      <c r="G1522" t="s">
        <v>16</v>
      </c>
      <c r="H1522">
        <v>45558</v>
      </c>
      <c r="I1522">
        <v>3524</v>
      </c>
      <c r="J1522">
        <v>0</v>
      </c>
      <c r="K1522">
        <v>0</v>
      </c>
      <c r="L1522" s="4" t="s">
        <v>2250</v>
      </c>
      <c r="M1522" s="4" t="str">
        <f t="shared" si="209"/>
        <v>12/25/2023</v>
      </c>
      <c r="N1522" s="1">
        <f t="shared" ca="1" si="210"/>
        <v>46064</v>
      </c>
      <c r="O1522" s="6" t="e">
        <f t="shared" ca="1" si="211"/>
        <v>#VALUE!</v>
      </c>
      <c r="P1522">
        <v>4</v>
      </c>
      <c r="Q1522">
        <f t="shared" si="212"/>
        <v>49082</v>
      </c>
      <c r="R1522" s="2">
        <f t="shared" si="213"/>
        <v>24541</v>
      </c>
      <c r="S1522" s="2" t="str">
        <f t="shared" si="214"/>
        <v xml:space="preserve"> Not Achieved</v>
      </c>
      <c r="T1522" s="2" t="str">
        <f t="shared" si="215"/>
        <v>Good</v>
      </c>
      <c r="U1522" s="2"/>
    </row>
    <row r="1523" spans="1:21" x14ac:dyDescent="0.3">
      <c r="A1523">
        <v>1522</v>
      </c>
      <c r="B1523" t="s">
        <v>2251</v>
      </c>
      <c r="C1523" t="str">
        <f t="shared" si="207"/>
        <v>EMP_1522</v>
      </c>
      <c r="D1523" t="s">
        <v>15</v>
      </c>
      <c r="E1523" t="str">
        <f t="shared" si="208"/>
        <v>EMP_1522IT</v>
      </c>
      <c r="F1523" t="s">
        <v>21</v>
      </c>
      <c r="G1523" t="s">
        <v>19</v>
      </c>
      <c r="H1523">
        <v>69239</v>
      </c>
      <c r="I1523">
        <v>2818</v>
      </c>
      <c r="J1523">
        <v>0</v>
      </c>
      <c r="K1523">
        <v>0</v>
      </c>
      <c r="L1523" s="4" t="s">
        <v>966</v>
      </c>
      <c r="M1523" s="4" t="str">
        <f t="shared" si="209"/>
        <v>9/27/2020</v>
      </c>
      <c r="N1523" s="1">
        <f t="shared" ca="1" si="210"/>
        <v>46064</v>
      </c>
      <c r="O1523" s="6" t="e">
        <f t="shared" ca="1" si="211"/>
        <v>#VALUE!</v>
      </c>
      <c r="P1523">
        <v>4</v>
      </c>
      <c r="Q1523">
        <f t="shared" si="212"/>
        <v>72057</v>
      </c>
      <c r="R1523" s="2">
        <f t="shared" si="213"/>
        <v>36028.5</v>
      </c>
      <c r="S1523" s="2" t="str">
        <f t="shared" si="214"/>
        <v xml:space="preserve"> Not Achieved</v>
      </c>
      <c r="T1523" s="2" t="str">
        <f t="shared" si="215"/>
        <v xml:space="preserve"> Excellent</v>
      </c>
      <c r="U1523" s="2"/>
    </row>
    <row r="1524" spans="1:21" x14ac:dyDescent="0.3">
      <c r="A1524">
        <v>1523</v>
      </c>
      <c r="B1524" t="s">
        <v>2252</v>
      </c>
      <c r="C1524" t="str">
        <f t="shared" si="207"/>
        <v>EMP_1523</v>
      </c>
      <c r="D1524" t="s">
        <v>15</v>
      </c>
      <c r="E1524" t="str">
        <f t="shared" si="208"/>
        <v>EMP_1523Finance</v>
      </c>
      <c r="F1524" t="s">
        <v>18</v>
      </c>
      <c r="G1524" t="s">
        <v>13</v>
      </c>
      <c r="H1524">
        <v>28156</v>
      </c>
      <c r="I1524">
        <v>9346</v>
      </c>
      <c r="J1524">
        <v>0</v>
      </c>
      <c r="K1524">
        <v>0</v>
      </c>
      <c r="L1524" s="4" t="s">
        <v>2253</v>
      </c>
      <c r="M1524" s="4" t="str">
        <f t="shared" si="209"/>
        <v>5/31/2019</v>
      </c>
      <c r="N1524" s="1">
        <f t="shared" ca="1" si="210"/>
        <v>46064</v>
      </c>
      <c r="O1524" s="6" t="e">
        <f t="shared" ca="1" si="211"/>
        <v>#VALUE!</v>
      </c>
      <c r="P1524">
        <v>2</v>
      </c>
      <c r="Q1524">
        <f t="shared" si="212"/>
        <v>37502</v>
      </c>
      <c r="R1524" s="2">
        <f t="shared" si="213"/>
        <v>18751</v>
      </c>
      <c r="S1524" s="2" t="str">
        <f t="shared" si="214"/>
        <v xml:space="preserve"> Not Achieved</v>
      </c>
      <c r="T1524" s="2" t="str">
        <f t="shared" si="215"/>
        <v>poor</v>
      </c>
      <c r="U1524" s="2"/>
    </row>
    <row r="1525" spans="1:21" x14ac:dyDescent="0.3">
      <c r="A1525">
        <v>1524</v>
      </c>
      <c r="B1525" t="s">
        <v>2254</v>
      </c>
      <c r="C1525" t="str">
        <f t="shared" si="207"/>
        <v>EMP_1524</v>
      </c>
      <c r="D1525" t="s">
        <v>15</v>
      </c>
      <c r="E1525" t="str">
        <f t="shared" si="208"/>
        <v>EMP_1524IT</v>
      </c>
      <c r="F1525" t="s">
        <v>21</v>
      </c>
      <c r="G1525" t="s">
        <v>19</v>
      </c>
      <c r="H1525">
        <v>77213</v>
      </c>
      <c r="I1525">
        <v>8132</v>
      </c>
      <c r="J1525">
        <v>0</v>
      </c>
      <c r="K1525">
        <v>0</v>
      </c>
      <c r="L1525" s="4" t="s">
        <v>1195</v>
      </c>
      <c r="M1525" s="4" t="str">
        <f t="shared" si="209"/>
        <v>7/27/2024</v>
      </c>
      <c r="N1525" s="1">
        <f t="shared" ca="1" si="210"/>
        <v>46064</v>
      </c>
      <c r="O1525" s="6" t="e">
        <f t="shared" ca="1" si="211"/>
        <v>#VALUE!</v>
      </c>
      <c r="P1525">
        <v>4</v>
      </c>
      <c r="Q1525">
        <f t="shared" si="212"/>
        <v>85345</v>
      </c>
      <c r="R1525" s="2">
        <f t="shared" si="213"/>
        <v>42672.5</v>
      </c>
      <c r="S1525" s="2" t="str">
        <f t="shared" si="214"/>
        <v xml:space="preserve"> Not Achieved</v>
      </c>
      <c r="T1525" s="2" t="str">
        <f t="shared" si="215"/>
        <v xml:space="preserve"> Excellent</v>
      </c>
      <c r="U1525" s="2"/>
    </row>
    <row r="1526" spans="1:21" x14ac:dyDescent="0.3">
      <c r="A1526">
        <v>1525</v>
      </c>
      <c r="B1526" t="s">
        <v>2255</v>
      </c>
      <c r="C1526" t="str">
        <f t="shared" si="207"/>
        <v>EMP_1525</v>
      </c>
      <c r="D1526" t="s">
        <v>11</v>
      </c>
      <c r="E1526" t="str">
        <f t="shared" si="208"/>
        <v>EMP_1525HR</v>
      </c>
      <c r="F1526" t="s">
        <v>12</v>
      </c>
      <c r="G1526" t="s">
        <v>25</v>
      </c>
      <c r="H1526">
        <v>72672</v>
      </c>
      <c r="I1526">
        <v>4424</v>
      </c>
      <c r="J1526">
        <v>0</v>
      </c>
      <c r="K1526">
        <v>0</v>
      </c>
      <c r="L1526" s="4">
        <v>43653</v>
      </c>
      <c r="M1526" s="4" t="str">
        <f t="shared" si="209"/>
        <v>2019</v>
      </c>
      <c r="N1526" s="1">
        <f t="shared" ca="1" si="210"/>
        <v>46064</v>
      </c>
      <c r="O1526" s="6">
        <f t="shared" ca="1" si="211"/>
        <v>6</v>
      </c>
      <c r="P1526">
        <v>1</v>
      </c>
      <c r="Q1526">
        <f t="shared" si="212"/>
        <v>77096</v>
      </c>
      <c r="R1526" s="2">
        <f t="shared" si="213"/>
        <v>38548</v>
      </c>
      <c r="S1526" s="2" t="str">
        <f t="shared" si="214"/>
        <v xml:space="preserve"> Not Achieved</v>
      </c>
      <c r="T1526" s="2" t="str">
        <f t="shared" si="215"/>
        <v xml:space="preserve"> Excellent</v>
      </c>
      <c r="U1526" s="2"/>
    </row>
    <row r="1527" spans="1:21" x14ac:dyDescent="0.3">
      <c r="A1527">
        <v>1526</v>
      </c>
      <c r="B1527" t="s">
        <v>2256</v>
      </c>
      <c r="C1527" t="str">
        <f t="shared" si="207"/>
        <v>EMP_1526</v>
      </c>
      <c r="D1527" t="s">
        <v>11</v>
      </c>
      <c r="E1527" t="str">
        <f t="shared" si="208"/>
        <v>EMP_1526Finance</v>
      </c>
      <c r="F1527" t="s">
        <v>18</v>
      </c>
      <c r="G1527" t="s">
        <v>16</v>
      </c>
      <c r="H1527">
        <v>57672</v>
      </c>
      <c r="I1527">
        <v>11126</v>
      </c>
      <c r="J1527">
        <v>0</v>
      </c>
      <c r="K1527">
        <v>0</v>
      </c>
      <c r="L1527" s="4">
        <v>44081</v>
      </c>
      <c r="M1527" s="4" t="str">
        <f t="shared" si="209"/>
        <v>2020</v>
      </c>
      <c r="N1527" s="1">
        <f t="shared" ca="1" si="210"/>
        <v>46064</v>
      </c>
      <c r="O1527" s="6">
        <f t="shared" ca="1" si="211"/>
        <v>5</v>
      </c>
      <c r="P1527">
        <v>5</v>
      </c>
      <c r="Q1527">
        <f t="shared" si="212"/>
        <v>68798</v>
      </c>
      <c r="R1527" s="2">
        <f t="shared" si="213"/>
        <v>34399</v>
      </c>
      <c r="S1527" s="2" t="str">
        <f t="shared" si="214"/>
        <v xml:space="preserve"> Not Achieved</v>
      </c>
      <c r="T1527" s="2" t="str">
        <f t="shared" si="215"/>
        <v xml:space="preserve"> Excellent</v>
      </c>
      <c r="U1527" s="2"/>
    </row>
    <row r="1528" spans="1:21" x14ac:dyDescent="0.3">
      <c r="A1528">
        <v>1527</v>
      </c>
      <c r="B1528" t="s">
        <v>2257</v>
      </c>
      <c r="C1528" t="str">
        <f t="shared" si="207"/>
        <v>EMP_1527</v>
      </c>
      <c r="D1528" t="s">
        <v>15</v>
      </c>
      <c r="E1528" t="str">
        <f t="shared" si="208"/>
        <v>EMP_1527Finance</v>
      </c>
      <c r="F1528" t="s">
        <v>18</v>
      </c>
      <c r="G1528" t="s">
        <v>22</v>
      </c>
      <c r="H1528">
        <v>58700</v>
      </c>
      <c r="I1528">
        <v>3386</v>
      </c>
      <c r="J1528">
        <v>0</v>
      </c>
      <c r="K1528">
        <v>0</v>
      </c>
      <c r="L1528" s="4" t="s">
        <v>2258</v>
      </c>
      <c r="M1528" s="4" t="str">
        <f t="shared" si="209"/>
        <v>5/31/2020</v>
      </c>
      <c r="N1528" s="1">
        <f t="shared" ca="1" si="210"/>
        <v>46064</v>
      </c>
      <c r="O1528" s="6" t="e">
        <f t="shared" ca="1" si="211"/>
        <v>#VALUE!</v>
      </c>
      <c r="P1528">
        <v>2</v>
      </c>
      <c r="Q1528">
        <f t="shared" si="212"/>
        <v>62086</v>
      </c>
      <c r="R1528" s="2">
        <f t="shared" si="213"/>
        <v>31043</v>
      </c>
      <c r="S1528" s="2" t="str">
        <f t="shared" si="214"/>
        <v xml:space="preserve"> Not Achieved</v>
      </c>
      <c r="T1528" s="2" t="str">
        <f t="shared" si="215"/>
        <v xml:space="preserve"> Excellent</v>
      </c>
      <c r="U1528" s="2"/>
    </row>
    <row r="1529" spans="1:21" x14ac:dyDescent="0.3">
      <c r="A1529">
        <v>1528</v>
      </c>
      <c r="B1529" t="s">
        <v>2259</v>
      </c>
      <c r="C1529" t="str">
        <f t="shared" si="207"/>
        <v>EMP_1528</v>
      </c>
      <c r="D1529" t="s">
        <v>11</v>
      </c>
      <c r="E1529" t="str">
        <f t="shared" si="208"/>
        <v>EMP_1528Finance</v>
      </c>
      <c r="F1529" t="s">
        <v>18</v>
      </c>
      <c r="G1529" t="s">
        <v>22</v>
      </c>
      <c r="H1529">
        <v>32589</v>
      </c>
      <c r="I1529">
        <v>7065</v>
      </c>
      <c r="J1529">
        <v>0</v>
      </c>
      <c r="K1529">
        <v>0</v>
      </c>
      <c r="L1529" s="4">
        <v>45175</v>
      </c>
      <c r="M1529" s="4" t="str">
        <f t="shared" si="209"/>
        <v>2023</v>
      </c>
      <c r="N1529" s="1">
        <f t="shared" ca="1" si="210"/>
        <v>46064</v>
      </c>
      <c r="O1529" s="6">
        <f t="shared" ca="1" si="211"/>
        <v>2</v>
      </c>
      <c r="P1529">
        <v>1</v>
      </c>
      <c r="Q1529">
        <f t="shared" si="212"/>
        <v>39654</v>
      </c>
      <c r="R1529" s="2">
        <f t="shared" si="213"/>
        <v>19827</v>
      </c>
      <c r="S1529" s="2" t="str">
        <f t="shared" si="214"/>
        <v xml:space="preserve"> Not Achieved</v>
      </c>
      <c r="T1529" s="2" t="str">
        <f t="shared" si="215"/>
        <v>Average</v>
      </c>
      <c r="U1529" s="2"/>
    </row>
    <row r="1530" spans="1:21" x14ac:dyDescent="0.3">
      <c r="A1530">
        <v>1529</v>
      </c>
      <c r="B1530" t="s">
        <v>2260</v>
      </c>
      <c r="C1530" t="str">
        <f t="shared" si="207"/>
        <v>EMP_1529</v>
      </c>
      <c r="D1530" t="s">
        <v>15</v>
      </c>
      <c r="E1530" t="str">
        <f t="shared" si="208"/>
        <v>EMP_1529HR</v>
      </c>
      <c r="F1530" t="s">
        <v>12</v>
      </c>
      <c r="G1530" t="s">
        <v>13</v>
      </c>
      <c r="H1530">
        <v>44610</v>
      </c>
      <c r="I1530">
        <v>14852</v>
      </c>
      <c r="J1530">
        <v>0</v>
      </c>
      <c r="K1530">
        <v>0</v>
      </c>
      <c r="L1530" s="4" t="s">
        <v>2261</v>
      </c>
      <c r="M1530" s="4" t="str">
        <f t="shared" si="209"/>
        <v>8/31/2022</v>
      </c>
      <c r="N1530" s="1">
        <f t="shared" ca="1" si="210"/>
        <v>46064</v>
      </c>
      <c r="O1530" s="6" t="e">
        <f t="shared" ca="1" si="211"/>
        <v>#VALUE!</v>
      </c>
      <c r="P1530">
        <v>5</v>
      </c>
      <c r="Q1530">
        <f t="shared" si="212"/>
        <v>59462</v>
      </c>
      <c r="R1530" s="2">
        <f t="shared" si="213"/>
        <v>29731</v>
      </c>
      <c r="S1530" s="2" t="str">
        <f t="shared" si="214"/>
        <v xml:space="preserve"> Not Achieved</v>
      </c>
      <c r="T1530" s="2" t="str">
        <f t="shared" si="215"/>
        <v>Good</v>
      </c>
      <c r="U1530" s="2"/>
    </row>
    <row r="1531" spans="1:21" x14ac:dyDescent="0.3">
      <c r="A1531">
        <v>1530</v>
      </c>
      <c r="B1531" t="s">
        <v>2262</v>
      </c>
      <c r="C1531" t="str">
        <f t="shared" si="207"/>
        <v>EMP_1530</v>
      </c>
      <c r="D1531" t="s">
        <v>11</v>
      </c>
      <c r="E1531" t="str">
        <f t="shared" si="208"/>
        <v>EMP_1530Sales</v>
      </c>
      <c r="F1531" t="s">
        <v>7</v>
      </c>
      <c r="G1531" t="s">
        <v>13</v>
      </c>
      <c r="H1531">
        <v>25400</v>
      </c>
      <c r="I1531">
        <v>4157</v>
      </c>
      <c r="J1531">
        <v>144273</v>
      </c>
      <c r="K1531">
        <v>99600</v>
      </c>
      <c r="L1531" s="4" t="s">
        <v>2035</v>
      </c>
      <c r="M1531" s="4" t="str">
        <f t="shared" si="209"/>
        <v>12/21/2021</v>
      </c>
      <c r="N1531" s="1">
        <f t="shared" ca="1" si="210"/>
        <v>46064</v>
      </c>
      <c r="O1531" s="6" t="e">
        <f t="shared" ca="1" si="211"/>
        <v>#VALUE!</v>
      </c>
      <c r="P1531">
        <v>1</v>
      </c>
      <c r="Q1531">
        <f t="shared" si="212"/>
        <v>29557</v>
      </c>
      <c r="R1531" s="2">
        <f t="shared" si="213"/>
        <v>14778.5</v>
      </c>
      <c r="S1531" s="2" t="str">
        <f t="shared" si="214"/>
        <v>Achieved</v>
      </c>
      <c r="T1531" s="2" t="str">
        <f t="shared" si="215"/>
        <v>poor</v>
      </c>
      <c r="U1531" s="2"/>
    </row>
    <row r="1532" spans="1:21" x14ac:dyDescent="0.3">
      <c r="A1532">
        <v>1531</v>
      </c>
      <c r="B1532" t="s">
        <v>2263</v>
      </c>
      <c r="C1532" t="str">
        <f t="shared" si="207"/>
        <v>EMP_1531</v>
      </c>
      <c r="D1532" t="s">
        <v>11</v>
      </c>
      <c r="E1532" t="str">
        <f t="shared" si="208"/>
        <v>EMP_1531Marketing</v>
      </c>
      <c r="F1532" t="s">
        <v>24</v>
      </c>
      <c r="G1532" t="s">
        <v>22</v>
      </c>
      <c r="H1532">
        <v>50489</v>
      </c>
      <c r="I1532">
        <v>13320</v>
      </c>
      <c r="J1532">
        <v>0</v>
      </c>
      <c r="K1532">
        <v>0</v>
      </c>
      <c r="L1532" s="4" t="s">
        <v>522</v>
      </c>
      <c r="M1532" s="4" t="str">
        <f t="shared" si="209"/>
        <v>3/15/2018</v>
      </c>
      <c r="N1532" s="1">
        <f t="shared" ca="1" si="210"/>
        <v>46064</v>
      </c>
      <c r="O1532" s="6" t="e">
        <f t="shared" ca="1" si="211"/>
        <v>#VALUE!</v>
      </c>
      <c r="P1532">
        <v>3</v>
      </c>
      <c r="Q1532">
        <f t="shared" si="212"/>
        <v>63809</v>
      </c>
      <c r="R1532" s="2">
        <f t="shared" si="213"/>
        <v>31904.5</v>
      </c>
      <c r="S1532" s="2" t="str">
        <f t="shared" si="214"/>
        <v xml:space="preserve"> Not Achieved</v>
      </c>
      <c r="T1532" s="2" t="str">
        <f t="shared" si="215"/>
        <v xml:space="preserve"> Excellent</v>
      </c>
      <c r="U1532" s="2"/>
    </row>
    <row r="1533" spans="1:21" x14ac:dyDescent="0.3">
      <c r="A1533">
        <v>1532</v>
      </c>
      <c r="B1533" t="s">
        <v>2264</v>
      </c>
      <c r="C1533" t="str">
        <f t="shared" si="207"/>
        <v>EMP_1532</v>
      </c>
      <c r="D1533" t="s">
        <v>15</v>
      </c>
      <c r="E1533" t="str">
        <f t="shared" si="208"/>
        <v>EMP_1532IT</v>
      </c>
      <c r="F1533" t="s">
        <v>21</v>
      </c>
      <c r="G1533" t="s">
        <v>25</v>
      </c>
      <c r="H1533">
        <v>59732</v>
      </c>
      <c r="I1533">
        <v>4475</v>
      </c>
      <c r="J1533">
        <v>0</v>
      </c>
      <c r="K1533">
        <v>0</v>
      </c>
      <c r="L1533" s="4">
        <v>44326</v>
      </c>
      <c r="M1533" s="4" t="str">
        <f t="shared" si="209"/>
        <v>2021</v>
      </c>
      <c r="N1533" s="1">
        <f t="shared" ca="1" si="210"/>
        <v>46064</v>
      </c>
      <c r="O1533" s="6">
        <f t="shared" ca="1" si="211"/>
        <v>4</v>
      </c>
      <c r="P1533">
        <v>5</v>
      </c>
      <c r="Q1533">
        <f t="shared" si="212"/>
        <v>64207</v>
      </c>
      <c r="R1533" s="2">
        <f t="shared" si="213"/>
        <v>32103.5</v>
      </c>
      <c r="S1533" s="2" t="str">
        <f t="shared" si="214"/>
        <v xml:space="preserve"> Not Achieved</v>
      </c>
      <c r="T1533" s="2" t="str">
        <f t="shared" si="215"/>
        <v xml:space="preserve"> Excellent</v>
      </c>
      <c r="U1533" s="2"/>
    </row>
    <row r="1534" spans="1:21" x14ac:dyDescent="0.3">
      <c r="A1534">
        <v>1533</v>
      </c>
      <c r="B1534" t="s">
        <v>2265</v>
      </c>
      <c r="C1534" t="str">
        <f t="shared" si="207"/>
        <v>EMP_1533</v>
      </c>
      <c r="D1534" t="s">
        <v>11</v>
      </c>
      <c r="E1534" t="str">
        <f t="shared" si="208"/>
        <v>EMP_1533IT</v>
      </c>
      <c r="F1534" t="s">
        <v>21</v>
      </c>
      <c r="G1534" t="s">
        <v>13</v>
      </c>
      <c r="H1534">
        <v>51236</v>
      </c>
      <c r="I1534">
        <v>7741</v>
      </c>
      <c r="J1534">
        <v>0</v>
      </c>
      <c r="K1534">
        <v>0</v>
      </c>
      <c r="L1534" s="4" t="s">
        <v>1594</v>
      </c>
      <c r="M1534" s="4" t="str">
        <f t="shared" si="209"/>
        <v>1/19/2024</v>
      </c>
      <c r="N1534" s="1">
        <f t="shared" ca="1" si="210"/>
        <v>46064</v>
      </c>
      <c r="O1534" s="6" t="e">
        <f t="shared" ca="1" si="211"/>
        <v>#VALUE!</v>
      </c>
      <c r="P1534">
        <v>3</v>
      </c>
      <c r="Q1534">
        <f t="shared" si="212"/>
        <v>58977</v>
      </c>
      <c r="R1534" s="2">
        <f t="shared" si="213"/>
        <v>29488.5</v>
      </c>
      <c r="S1534" s="2" t="str">
        <f t="shared" si="214"/>
        <v xml:space="preserve"> Not Achieved</v>
      </c>
      <c r="T1534" s="2" t="str">
        <f t="shared" si="215"/>
        <v xml:space="preserve"> Excellent</v>
      </c>
      <c r="U1534" s="2"/>
    </row>
    <row r="1535" spans="1:21" x14ac:dyDescent="0.3">
      <c r="A1535">
        <v>1534</v>
      </c>
      <c r="B1535" t="s">
        <v>2266</v>
      </c>
      <c r="C1535" t="str">
        <f t="shared" si="207"/>
        <v>EMP_1534</v>
      </c>
      <c r="D1535" t="s">
        <v>11</v>
      </c>
      <c r="E1535" t="str">
        <f t="shared" si="208"/>
        <v>EMP_1534Finance</v>
      </c>
      <c r="F1535" t="s">
        <v>18</v>
      </c>
      <c r="G1535" t="s">
        <v>16</v>
      </c>
      <c r="H1535">
        <v>22067</v>
      </c>
      <c r="I1535">
        <v>9283</v>
      </c>
      <c r="J1535">
        <v>0</v>
      </c>
      <c r="K1535">
        <v>0</v>
      </c>
      <c r="L1535" s="4" t="s">
        <v>2267</v>
      </c>
      <c r="M1535" s="4" t="str">
        <f t="shared" si="209"/>
        <v>4/26/2022</v>
      </c>
      <c r="N1535" s="1">
        <f t="shared" ca="1" si="210"/>
        <v>46064</v>
      </c>
      <c r="O1535" s="6" t="e">
        <f t="shared" ca="1" si="211"/>
        <v>#VALUE!</v>
      </c>
      <c r="P1535">
        <v>5</v>
      </c>
      <c r="Q1535">
        <f t="shared" si="212"/>
        <v>31350</v>
      </c>
      <c r="R1535" s="2">
        <f t="shared" si="213"/>
        <v>15675</v>
      </c>
      <c r="S1535" s="2" t="str">
        <f t="shared" si="214"/>
        <v xml:space="preserve"> Not Achieved</v>
      </c>
      <c r="T1535" s="2" t="str">
        <f t="shared" si="215"/>
        <v>poor</v>
      </c>
      <c r="U1535" s="2"/>
    </row>
    <row r="1536" spans="1:21" x14ac:dyDescent="0.3">
      <c r="A1536">
        <v>1535</v>
      </c>
      <c r="B1536" t="s">
        <v>2268</v>
      </c>
      <c r="C1536" t="str">
        <f t="shared" si="207"/>
        <v>EMP_1535</v>
      </c>
      <c r="D1536" t="s">
        <v>11</v>
      </c>
      <c r="E1536" t="str">
        <f t="shared" si="208"/>
        <v>EMP_1535Sales</v>
      </c>
      <c r="F1536" t="s">
        <v>7</v>
      </c>
      <c r="G1536" t="s">
        <v>16</v>
      </c>
      <c r="H1536">
        <v>23010</v>
      </c>
      <c r="I1536">
        <v>13241</v>
      </c>
      <c r="J1536">
        <v>83940</v>
      </c>
      <c r="K1536">
        <v>146498</v>
      </c>
      <c r="L1536" s="4" t="s">
        <v>2269</v>
      </c>
      <c r="M1536" s="4" t="str">
        <f t="shared" si="209"/>
        <v>11/29/2019</v>
      </c>
      <c r="N1536" s="1">
        <f t="shared" ca="1" si="210"/>
        <v>46064</v>
      </c>
      <c r="O1536" s="6" t="e">
        <f t="shared" ca="1" si="211"/>
        <v>#VALUE!</v>
      </c>
      <c r="P1536">
        <v>3</v>
      </c>
      <c r="Q1536">
        <f t="shared" si="212"/>
        <v>36251</v>
      </c>
      <c r="R1536" s="2">
        <f t="shared" si="213"/>
        <v>18125.5</v>
      </c>
      <c r="S1536" s="2" t="str">
        <f t="shared" si="214"/>
        <v xml:space="preserve"> Not Achieved</v>
      </c>
      <c r="T1536" s="2" t="str">
        <f t="shared" si="215"/>
        <v>poor</v>
      </c>
      <c r="U1536" s="2"/>
    </row>
    <row r="1537" spans="1:21" x14ac:dyDescent="0.3">
      <c r="A1537">
        <v>1536</v>
      </c>
      <c r="B1537" t="s">
        <v>2270</v>
      </c>
      <c r="C1537" t="str">
        <f t="shared" si="207"/>
        <v>EMP_1536</v>
      </c>
      <c r="D1537" t="s">
        <v>15</v>
      </c>
      <c r="E1537" t="str">
        <f t="shared" si="208"/>
        <v>EMP_1536Marketing</v>
      </c>
      <c r="F1537" t="s">
        <v>24</v>
      </c>
      <c r="G1537" t="s">
        <v>16</v>
      </c>
      <c r="H1537">
        <v>49304</v>
      </c>
      <c r="I1537">
        <v>6873</v>
      </c>
      <c r="J1537">
        <v>0</v>
      </c>
      <c r="K1537">
        <v>0</v>
      </c>
      <c r="L1537" s="4">
        <v>45334</v>
      </c>
      <c r="M1537" s="4" t="str">
        <f t="shared" si="209"/>
        <v>2024</v>
      </c>
      <c r="N1537" s="1">
        <f t="shared" ca="1" si="210"/>
        <v>46064</v>
      </c>
      <c r="O1537" s="6">
        <f t="shared" ca="1" si="211"/>
        <v>1</v>
      </c>
      <c r="P1537">
        <v>5</v>
      </c>
      <c r="Q1537">
        <f t="shared" si="212"/>
        <v>56177</v>
      </c>
      <c r="R1537" s="2">
        <f t="shared" si="213"/>
        <v>28088.5</v>
      </c>
      <c r="S1537" s="2" t="str">
        <f t="shared" si="214"/>
        <v xml:space="preserve"> Not Achieved</v>
      </c>
      <c r="T1537" s="2" t="str">
        <f t="shared" si="215"/>
        <v>Good</v>
      </c>
      <c r="U1537" s="2"/>
    </row>
    <row r="1538" spans="1:21" x14ac:dyDescent="0.3">
      <c r="A1538">
        <v>1537</v>
      </c>
      <c r="B1538" t="s">
        <v>2271</v>
      </c>
      <c r="C1538" t="str">
        <f t="shared" si="207"/>
        <v>EMP_1537</v>
      </c>
      <c r="D1538" t="s">
        <v>11</v>
      </c>
      <c r="E1538" t="str">
        <f t="shared" si="208"/>
        <v>EMP_1537IT</v>
      </c>
      <c r="F1538" t="s">
        <v>21</v>
      </c>
      <c r="G1538" t="s">
        <v>13</v>
      </c>
      <c r="H1538">
        <v>57046</v>
      </c>
      <c r="I1538">
        <v>2426</v>
      </c>
      <c r="J1538">
        <v>0</v>
      </c>
      <c r="K1538">
        <v>0</v>
      </c>
      <c r="L1538" s="4" t="s">
        <v>2272</v>
      </c>
      <c r="M1538" s="4" t="str">
        <f t="shared" si="209"/>
        <v>8/15/2024</v>
      </c>
      <c r="N1538" s="1">
        <f t="shared" ca="1" si="210"/>
        <v>46064</v>
      </c>
      <c r="O1538" s="6" t="e">
        <f t="shared" ca="1" si="211"/>
        <v>#VALUE!</v>
      </c>
      <c r="P1538">
        <v>2</v>
      </c>
      <c r="Q1538">
        <f t="shared" si="212"/>
        <v>59472</v>
      </c>
      <c r="R1538" s="2">
        <f t="shared" si="213"/>
        <v>29736</v>
      </c>
      <c r="S1538" s="2" t="str">
        <f t="shared" si="214"/>
        <v xml:space="preserve"> Not Achieved</v>
      </c>
      <c r="T1538" s="2" t="str">
        <f t="shared" si="215"/>
        <v xml:space="preserve"> Excellent</v>
      </c>
      <c r="U1538" s="2"/>
    </row>
    <row r="1539" spans="1:21" x14ac:dyDescent="0.3">
      <c r="A1539">
        <v>1538</v>
      </c>
      <c r="B1539" t="s">
        <v>2273</v>
      </c>
      <c r="C1539" t="str">
        <f t="shared" ref="C1539:C1602" si="216">UPPER(B1539)</f>
        <v>EMP_1538</v>
      </c>
      <c r="D1539" t="s">
        <v>15</v>
      </c>
      <c r="E1539" t="str">
        <f t="shared" ref="E1539:E1602" si="217">_xlfn.CONCAT(C1539,F1539)</f>
        <v>EMP_1538IT</v>
      </c>
      <c r="F1539" t="s">
        <v>21</v>
      </c>
      <c r="G1539" t="s">
        <v>22</v>
      </c>
      <c r="H1539">
        <v>57048</v>
      </c>
      <c r="I1539">
        <v>10963</v>
      </c>
      <c r="J1539">
        <v>0</v>
      </c>
      <c r="K1539">
        <v>0</v>
      </c>
      <c r="L1539" s="4">
        <v>45048</v>
      </c>
      <c r="M1539" s="4" t="str">
        <f t="shared" ref="M1539:M1602" si="218">TEXT(L1539,"yyyy")</f>
        <v>2023</v>
      </c>
      <c r="N1539" s="1">
        <f t="shared" ref="N1539:N1602" ca="1" si="219">TODAY()</f>
        <v>46064</v>
      </c>
      <c r="O1539" s="6">
        <f t="shared" ref="O1539:O1602" ca="1" si="220">DATEDIF(L1539, TODAY(), "y")</f>
        <v>2</v>
      </c>
      <c r="P1539">
        <v>4</v>
      </c>
      <c r="Q1539">
        <f t="shared" ref="Q1539:Q1602" si="221">SUM(H1539,I1539)</f>
        <v>68011</v>
      </c>
      <c r="R1539" s="2">
        <f t="shared" ref="R1539:R1602" si="222">AVERAGE(H1539,I1539)</f>
        <v>34005.5</v>
      </c>
      <c r="S1539" s="2" t="str">
        <f t="shared" ref="S1539:S1602" si="223">IF(J1539&gt;K1539,"Achieved"," Not Achieved")</f>
        <v xml:space="preserve"> Not Achieved</v>
      </c>
      <c r="T1539" s="2" t="str">
        <f t="shared" ref="T1539:T1602" si="224">_xlfn.IFS(H1539&gt;=50000," Excellent",H1539&gt;=40000,"Good",H1539&gt;=30000,"Average",H1539&lt;30000,"poor")</f>
        <v xml:space="preserve"> Excellent</v>
      </c>
      <c r="U1539" s="2"/>
    </row>
    <row r="1540" spans="1:21" x14ac:dyDescent="0.3">
      <c r="A1540">
        <v>1539</v>
      </c>
      <c r="B1540" t="s">
        <v>2274</v>
      </c>
      <c r="C1540" t="str">
        <f t="shared" si="216"/>
        <v>EMP_1539</v>
      </c>
      <c r="D1540" t="s">
        <v>15</v>
      </c>
      <c r="E1540" t="str">
        <f t="shared" si="217"/>
        <v>EMP_1539HR</v>
      </c>
      <c r="F1540" t="s">
        <v>12</v>
      </c>
      <c r="G1540" t="s">
        <v>22</v>
      </c>
      <c r="H1540">
        <v>71222</v>
      </c>
      <c r="I1540">
        <v>4294</v>
      </c>
      <c r="J1540">
        <v>0</v>
      </c>
      <c r="K1540">
        <v>0</v>
      </c>
      <c r="L1540" s="4" t="s">
        <v>2275</v>
      </c>
      <c r="M1540" s="4" t="str">
        <f t="shared" si="218"/>
        <v>3/18/2018</v>
      </c>
      <c r="N1540" s="1">
        <f t="shared" ca="1" si="219"/>
        <v>46064</v>
      </c>
      <c r="O1540" s="6" t="e">
        <f t="shared" ca="1" si="220"/>
        <v>#VALUE!</v>
      </c>
      <c r="P1540">
        <v>4</v>
      </c>
      <c r="Q1540">
        <f t="shared" si="221"/>
        <v>75516</v>
      </c>
      <c r="R1540" s="2">
        <f t="shared" si="222"/>
        <v>37758</v>
      </c>
      <c r="S1540" s="2" t="str">
        <f t="shared" si="223"/>
        <v xml:space="preserve"> Not Achieved</v>
      </c>
      <c r="T1540" s="2" t="str">
        <f t="shared" si="224"/>
        <v xml:space="preserve"> Excellent</v>
      </c>
      <c r="U1540" s="2"/>
    </row>
    <row r="1541" spans="1:21" x14ac:dyDescent="0.3">
      <c r="A1541">
        <v>1540</v>
      </c>
      <c r="B1541" t="s">
        <v>2276</v>
      </c>
      <c r="C1541" t="str">
        <f t="shared" si="216"/>
        <v>EMP_1540</v>
      </c>
      <c r="D1541" t="s">
        <v>11</v>
      </c>
      <c r="E1541" t="str">
        <f t="shared" si="217"/>
        <v>EMP_1540Finance</v>
      </c>
      <c r="F1541" t="s">
        <v>18</v>
      </c>
      <c r="G1541" t="s">
        <v>19</v>
      </c>
      <c r="H1541">
        <v>64738</v>
      </c>
      <c r="I1541">
        <v>10886</v>
      </c>
      <c r="J1541">
        <v>0</v>
      </c>
      <c r="K1541">
        <v>0</v>
      </c>
      <c r="L1541" s="4">
        <v>45017</v>
      </c>
      <c r="M1541" s="4" t="str">
        <f t="shared" si="218"/>
        <v>2023</v>
      </c>
      <c r="N1541" s="1">
        <f t="shared" ca="1" si="219"/>
        <v>46064</v>
      </c>
      <c r="O1541" s="6">
        <f t="shared" ca="1" si="220"/>
        <v>2</v>
      </c>
      <c r="P1541">
        <v>4</v>
      </c>
      <c r="Q1541">
        <f t="shared" si="221"/>
        <v>75624</v>
      </c>
      <c r="R1541" s="2">
        <f t="shared" si="222"/>
        <v>37812</v>
      </c>
      <c r="S1541" s="2" t="str">
        <f t="shared" si="223"/>
        <v xml:space="preserve"> Not Achieved</v>
      </c>
      <c r="T1541" s="2" t="str">
        <f t="shared" si="224"/>
        <v xml:space="preserve"> Excellent</v>
      </c>
      <c r="U1541" s="2"/>
    </row>
    <row r="1542" spans="1:21" x14ac:dyDescent="0.3">
      <c r="A1542">
        <v>1541</v>
      </c>
      <c r="B1542" t="s">
        <v>2277</v>
      </c>
      <c r="C1542" t="str">
        <f t="shared" si="216"/>
        <v>EMP_1541</v>
      </c>
      <c r="D1542" t="s">
        <v>11</v>
      </c>
      <c r="E1542" t="str">
        <f t="shared" si="217"/>
        <v>EMP_1541Finance</v>
      </c>
      <c r="F1542" t="s">
        <v>18</v>
      </c>
      <c r="G1542" t="s">
        <v>13</v>
      </c>
      <c r="H1542">
        <v>73748</v>
      </c>
      <c r="I1542">
        <v>4443</v>
      </c>
      <c r="J1542">
        <v>0</v>
      </c>
      <c r="K1542">
        <v>0</v>
      </c>
      <c r="L1542" s="4">
        <v>44995</v>
      </c>
      <c r="M1542" s="4" t="str">
        <f t="shared" si="218"/>
        <v>2023</v>
      </c>
      <c r="N1542" s="1">
        <f t="shared" ca="1" si="219"/>
        <v>46064</v>
      </c>
      <c r="O1542" s="6">
        <f t="shared" ca="1" si="220"/>
        <v>2</v>
      </c>
      <c r="P1542">
        <v>1</v>
      </c>
      <c r="Q1542">
        <f t="shared" si="221"/>
        <v>78191</v>
      </c>
      <c r="R1542" s="2">
        <f t="shared" si="222"/>
        <v>39095.5</v>
      </c>
      <c r="S1542" s="2" t="str">
        <f t="shared" si="223"/>
        <v xml:space="preserve"> Not Achieved</v>
      </c>
      <c r="T1542" s="2" t="str">
        <f t="shared" si="224"/>
        <v xml:space="preserve"> Excellent</v>
      </c>
      <c r="U1542" s="2"/>
    </row>
    <row r="1543" spans="1:21" x14ac:dyDescent="0.3">
      <c r="A1543">
        <v>1542</v>
      </c>
      <c r="B1543" t="s">
        <v>2278</v>
      </c>
      <c r="C1543" t="str">
        <f t="shared" si="216"/>
        <v>EMP_1542</v>
      </c>
      <c r="D1543" t="s">
        <v>15</v>
      </c>
      <c r="E1543" t="str">
        <f t="shared" si="217"/>
        <v>EMP_1542Marketing</v>
      </c>
      <c r="F1543" t="s">
        <v>24</v>
      </c>
      <c r="G1543" t="s">
        <v>25</v>
      </c>
      <c r="H1543">
        <v>31337</v>
      </c>
      <c r="I1543">
        <v>11240</v>
      </c>
      <c r="J1543">
        <v>0</v>
      </c>
      <c r="K1543">
        <v>0</v>
      </c>
      <c r="L1543" s="4" t="s">
        <v>1276</v>
      </c>
      <c r="M1543" s="4" t="str">
        <f t="shared" si="218"/>
        <v>9/18/2020</v>
      </c>
      <c r="N1543" s="1">
        <f t="shared" ca="1" si="219"/>
        <v>46064</v>
      </c>
      <c r="O1543" s="6" t="e">
        <f t="shared" ca="1" si="220"/>
        <v>#VALUE!</v>
      </c>
      <c r="P1543">
        <v>5</v>
      </c>
      <c r="Q1543">
        <f t="shared" si="221"/>
        <v>42577</v>
      </c>
      <c r="R1543" s="2">
        <f t="shared" si="222"/>
        <v>21288.5</v>
      </c>
      <c r="S1543" s="2" t="str">
        <f t="shared" si="223"/>
        <v xml:space="preserve"> Not Achieved</v>
      </c>
      <c r="T1543" s="2" t="str">
        <f t="shared" si="224"/>
        <v>Average</v>
      </c>
      <c r="U1543" s="2"/>
    </row>
    <row r="1544" spans="1:21" x14ac:dyDescent="0.3">
      <c r="A1544">
        <v>1543</v>
      </c>
      <c r="B1544" t="s">
        <v>2279</v>
      </c>
      <c r="C1544" t="str">
        <f t="shared" si="216"/>
        <v>EMP_1543</v>
      </c>
      <c r="D1544" t="s">
        <v>15</v>
      </c>
      <c r="E1544" t="str">
        <f t="shared" si="217"/>
        <v>EMP_1543Finance</v>
      </c>
      <c r="F1544" t="s">
        <v>18</v>
      </c>
      <c r="G1544" t="s">
        <v>19</v>
      </c>
      <c r="H1544">
        <v>61270</v>
      </c>
      <c r="I1544">
        <v>14607</v>
      </c>
      <c r="J1544">
        <v>0</v>
      </c>
      <c r="K1544">
        <v>0</v>
      </c>
      <c r="L1544" s="4" t="s">
        <v>2280</v>
      </c>
      <c r="M1544" s="4" t="str">
        <f t="shared" si="218"/>
        <v>1/27/2023</v>
      </c>
      <c r="N1544" s="1">
        <f t="shared" ca="1" si="219"/>
        <v>46064</v>
      </c>
      <c r="O1544" s="6" t="e">
        <f t="shared" ca="1" si="220"/>
        <v>#VALUE!</v>
      </c>
      <c r="P1544">
        <v>5</v>
      </c>
      <c r="Q1544">
        <f t="shared" si="221"/>
        <v>75877</v>
      </c>
      <c r="R1544" s="2">
        <f t="shared" si="222"/>
        <v>37938.5</v>
      </c>
      <c r="S1544" s="2" t="str">
        <f t="shared" si="223"/>
        <v xml:space="preserve"> Not Achieved</v>
      </c>
      <c r="T1544" s="2" t="str">
        <f t="shared" si="224"/>
        <v xml:space="preserve"> Excellent</v>
      </c>
      <c r="U1544" s="2"/>
    </row>
    <row r="1545" spans="1:21" x14ac:dyDescent="0.3">
      <c r="A1545">
        <v>1544</v>
      </c>
      <c r="B1545" t="s">
        <v>2281</v>
      </c>
      <c r="C1545" t="str">
        <f t="shared" si="216"/>
        <v>EMP_1544</v>
      </c>
      <c r="D1545" t="s">
        <v>15</v>
      </c>
      <c r="E1545" t="str">
        <f t="shared" si="217"/>
        <v>EMP_1544Finance</v>
      </c>
      <c r="F1545" t="s">
        <v>18</v>
      </c>
      <c r="G1545" t="s">
        <v>22</v>
      </c>
      <c r="H1545">
        <v>20126</v>
      </c>
      <c r="I1545">
        <v>12609</v>
      </c>
      <c r="J1545">
        <v>0</v>
      </c>
      <c r="K1545">
        <v>0</v>
      </c>
      <c r="L1545" s="4" t="s">
        <v>2282</v>
      </c>
      <c r="M1545" s="4" t="str">
        <f t="shared" si="218"/>
        <v>4/28/2023</v>
      </c>
      <c r="N1545" s="1">
        <f t="shared" ca="1" si="219"/>
        <v>46064</v>
      </c>
      <c r="O1545" s="6" t="e">
        <f t="shared" ca="1" si="220"/>
        <v>#VALUE!</v>
      </c>
      <c r="P1545">
        <v>5</v>
      </c>
      <c r="Q1545">
        <f t="shared" si="221"/>
        <v>32735</v>
      </c>
      <c r="R1545" s="2">
        <f t="shared" si="222"/>
        <v>16367.5</v>
      </c>
      <c r="S1545" s="2" t="str">
        <f t="shared" si="223"/>
        <v xml:space="preserve"> Not Achieved</v>
      </c>
      <c r="T1545" s="2" t="str">
        <f t="shared" si="224"/>
        <v>poor</v>
      </c>
      <c r="U1545" s="2"/>
    </row>
    <row r="1546" spans="1:21" x14ac:dyDescent="0.3">
      <c r="A1546">
        <v>1545</v>
      </c>
      <c r="B1546" t="s">
        <v>2283</v>
      </c>
      <c r="C1546" t="str">
        <f t="shared" si="216"/>
        <v>EMP_1545</v>
      </c>
      <c r="D1546" t="s">
        <v>15</v>
      </c>
      <c r="E1546" t="str">
        <f t="shared" si="217"/>
        <v>EMP_1545HR</v>
      </c>
      <c r="F1546" t="s">
        <v>12</v>
      </c>
      <c r="G1546" t="s">
        <v>25</v>
      </c>
      <c r="H1546">
        <v>28842</v>
      </c>
      <c r="I1546">
        <v>12153</v>
      </c>
      <c r="J1546">
        <v>0</v>
      </c>
      <c r="K1546">
        <v>0</v>
      </c>
      <c r="L1546" s="4">
        <v>45546</v>
      </c>
      <c r="M1546" s="4" t="str">
        <f t="shared" si="218"/>
        <v>2024</v>
      </c>
      <c r="N1546" s="1">
        <f t="shared" ca="1" si="219"/>
        <v>46064</v>
      </c>
      <c r="O1546" s="6">
        <f t="shared" ca="1" si="220"/>
        <v>1</v>
      </c>
      <c r="P1546">
        <v>3</v>
      </c>
      <c r="Q1546">
        <f t="shared" si="221"/>
        <v>40995</v>
      </c>
      <c r="R1546" s="2">
        <f t="shared" si="222"/>
        <v>20497.5</v>
      </c>
      <c r="S1546" s="2" t="str">
        <f t="shared" si="223"/>
        <v xml:space="preserve"> Not Achieved</v>
      </c>
      <c r="T1546" s="2" t="str">
        <f t="shared" si="224"/>
        <v>poor</v>
      </c>
      <c r="U1546" s="2"/>
    </row>
    <row r="1547" spans="1:21" x14ac:dyDescent="0.3">
      <c r="A1547">
        <v>1546</v>
      </c>
      <c r="B1547" t="s">
        <v>2284</v>
      </c>
      <c r="C1547" t="str">
        <f t="shared" si="216"/>
        <v>EMP_1546</v>
      </c>
      <c r="D1547" t="s">
        <v>11</v>
      </c>
      <c r="E1547" t="str">
        <f t="shared" si="217"/>
        <v>EMP_1546Marketing</v>
      </c>
      <c r="F1547" t="s">
        <v>24</v>
      </c>
      <c r="G1547" t="s">
        <v>19</v>
      </c>
      <c r="H1547">
        <v>79984</v>
      </c>
      <c r="I1547">
        <v>3079</v>
      </c>
      <c r="J1547">
        <v>0</v>
      </c>
      <c r="K1547">
        <v>0</v>
      </c>
      <c r="L1547" s="4" t="s">
        <v>2285</v>
      </c>
      <c r="M1547" s="4" t="str">
        <f t="shared" si="218"/>
        <v>5/26/2018</v>
      </c>
      <c r="N1547" s="1">
        <f t="shared" ca="1" si="219"/>
        <v>46064</v>
      </c>
      <c r="O1547" s="6" t="e">
        <f t="shared" ca="1" si="220"/>
        <v>#VALUE!</v>
      </c>
      <c r="P1547">
        <v>1</v>
      </c>
      <c r="Q1547">
        <f t="shared" si="221"/>
        <v>83063</v>
      </c>
      <c r="R1547" s="2">
        <f t="shared" si="222"/>
        <v>41531.5</v>
      </c>
      <c r="S1547" s="2" t="str">
        <f t="shared" si="223"/>
        <v xml:space="preserve"> Not Achieved</v>
      </c>
      <c r="T1547" s="2" t="str">
        <f t="shared" si="224"/>
        <v xml:space="preserve"> Excellent</v>
      </c>
      <c r="U1547" s="2"/>
    </row>
    <row r="1548" spans="1:21" x14ac:dyDescent="0.3">
      <c r="A1548">
        <v>1547</v>
      </c>
      <c r="B1548" t="s">
        <v>2286</v>
      </c>
      <c r="C1548" t="str">
        <f t="shared" si="216"/>
        <v>EMP_1547</v>
      </c>
      <c r="D1548" t="s">
        <v>11</v>
      </c>
      <c r="E1548" t="str">
        <f t="shared" si="217"/>
        <v>EMP_1547Finance</v>
      </c>
      <c r="F1548" t="s">
        <v>18</v>
      </c>
      <c r="G1548" t="s">
        <v>13</v>
      </c>
      <c r="H1548">
        <v>27306</v>
      </c>
      <c r="I1548">
        <v>7822</v>
      </c>
      <c r="J1548">
        <v>0</v>
      </c>
      <c r="K1548">
        <v>0</v>
      </c>
      <c r="L1548" s="4" t="s">
        <v>1567</v>
      </c>
      <c r="M1548" s="4" t="str">
        <f t="shared" si="218"/>
        <v>4/17/2023</v>
      </c>
      <c r="N1548" s="1">
        <f t="shared" ca="1" si="219"/>
        <v>46064</v>
      </c>
      <c r="O1548" s="6" t="e">
        <f t="shared" ca="1" si="220"/>
        <v>#VALUE!</v>
      </c>
      <c r="P1548">
        <v>4</v>
      </c>
      <c r="Q1548">
        <f t="shared" si="221"/>
        <v>35128</v>
      </c>
      <c r="R1548" s="2">
        <f t="shared" si="222"/>
        <v>17564</v>
      </c>
      <c r="S1548" s="2" t="str">
        <f t="shared" si="223"/>
        <v xml:space="preserve"> Not Achieved</v>
      </c>
      <c r="T1548" s="2" t="str">
        <f t="shared" si="224"/>
        <v>poor</v>
      </c>
      <c r="U1548" s="2"/>
    </row>
    <row r="1549" spans="1:21" x14ac:dyDescent="0.3">
      <c r="A1549">
        <v>1548</v>
      </c>
      <c r="B1549" t="s">
        <v>2287</v>
      </c>
      <c r="C1549" t="str">
        <f t="shared" si="216"/>
        <v>EMP_1548</v>
      </c>
      <c r="D1549" t="s">
        <v>11</v>
      </c>
      <c r="E1549" t="str">
        <f t="shared" si="217"/>
        <v>EMP_1548IT</v>
      </c>
      <c r="F1549" t="s">
        <v>21</v>
      </c>
      <c r="G1549" t="s">
        <v>22</v>
      </c>
      <c r="H1549">
        <v>23626</v>
      </c>
      <c r="I1549">
        <v>2462</v>
      </c>
      <c r="J1549">
        <v>0</v>
      </c>
      <c r="K1549">
        <v>0</v>
      </c>
      <c r="L1549" s="4" t="s">
        <v>2040</v>
      </c>
      <c r="M1549" s="4" t="str">
        <f t="shared" si="218"/>
        <v>1/23/2022</v>
      </c>
      <c r="N1549" s="1">
        <f t="shared" ca="1" si="219"/>
        <v>46064</v>
      </c>
      <c r="O1549" s="6" t="e">
        <f t="shared" ca="1" si="220"/>
        <v>#VALUE!</v>
      </c>
      <c r="P1549">
        <v>4</v>
      </c>
      <c r="Q1549">
        <f t="shared" si="221"/>
        <v>26088</v>
      </c>
      <c r="R1549" s="2">
        <f t="shared" si="222"/>
        <v>13044</v>
      </c>
      <c r="S1549" s="2" t="str">
        <f t="shared" si="223"/>
        <v xml:space="preserve"> Not Achieved</v>
      </c>
      <c r="T1549" s="2" t="str">
        <f t="shared" si="224"/>
        <v>poor</v>
      </c>
      <c r="U1549" s="2"/>
    </row>
    <row r="1550" spans="1:21" x14ac:dyDescent="0.3">
      <c r="A1550">
        <v>1549</v>
      </c>
      <c r="B1550" t="s">
        <v>2288</v>
      </c>
      <c r="C1550" t="str">
        <f t="shared" si="216"/>
        <v>EMP_1549</v>
      </c>
      <c r="D1550" t="s">
        <v>11</v>
      </c>
      <c r="E1550" t="str">
        <f t="shared" si="217"/>
        <v>EMP_1549Marketing</v>
      </c>
      <c r="F1550" t="s">
        <v>24</v>
      </c>
      <c r="G1550" t="s">
        <v>19</v>
      </c>
      <c r="H1550">
        <v>72992</v>
      </c>
      <c r="I1550">
        <v>8272</v>
      </c>
      <c r="J1550">
        <v>0</v>
      </c>
      <c r="K1550">
        <v>0</v>
      </c>
      <c r="L1550" s="4" t="s">
        <v>252</v>
      </c>
      <c r="M1550" s="4" t="str">
        <f t="shared" si="218"/>
        <v>5/16/2021</v>
      </c>
      <c r="N1550" s="1">
        <f t="shared" ca="1" si="219"/>
        <v>46064</v>
      </c>
      <c r="O1550" s="6" t="e">
        <f t="shared" ca="1" si="220"/>
        <v>#VALUE!</v>
      </c>
      <c r="P1550">
        <v>3</v>
      </c>
      <c r="Q1550">
        <f t="shared" si="221"/>
        <v>81264</v>
      </c>
      <c r="R1550" s="2">
        <f t="shared" si="222"/>
        <v>40632</v>
      </c>
      <c r="S1550" s="2" t="str">
        <f t="shared" si="223"/>
        <v xml:space="preserve"> Not Achieved</v>
      </c>
      <c r="T1550" s="2" t="str">
        <f t="shared" si="224"/>
        <v xml:space="preserve"> Excellent</v>
      </c>
      <c r="U1550" s="2"/>
    </row>
    <row r="1551" spans="1:21" x14ac:dyDescent="0.3">
      <c r="A1551">
        <v>1550</v>
      </c>
      <c r="B1551" t="s">
        <v>2289</v>
      </c>
      <c r="C1551" t="str">
        <f t="shared" si="216"/>
        <v>EMP_1550</v>
      </c>
      <c r="D1551" t="s">
        <v>11</v>
      </c>
      <c r="E1551" t="str">
        <f t="shared" si="217"/>
        <v>EMP_1550Sales</v>
      </c>
      <c r="F1551" t="s">
        <v>7</v>
      </c>
      <c r="G1551" t="s">
        <v>16</v>
      </c>
      <c r="H1551">
        <v>67232</v>
      </c>
      <c r="I1551">
        <v>2031</v>
      </c>
      <c r="J1551">
        <v>147892</v>
      </c>
      <c r="K1551">
        <v>143146</v>
      </c>
      <c r="L1551" s="4" t="s">
        <v>2290</v>
      </c>
      <c r="M1551" s="4" t="str">
        <f t="shared" si="218"/>
        <v>8/26/2019</v>
      </c>
      <c r="N1551" s="1">
        <f t="shared" ca="1" si="219"/>
        <v>46064</v>
      </c>
      <c r="O1551" s="6" t="e">
        <f t="shared" ca="1" si="220"/>
        <v>#VALUE!</v>
      </c>
      <c r="P1551">
        <v>3</v>
      </c>
      <c r="Q1551">
        <f t="shared" si="221"/>
        <v>69263</v>
      </c>
      <c r="R1551" s="2">
        <f t="shared" si="222"/>
        <v>34631.5</v>
      </c>
      <c r="S1551" s="2" t="str">
        <f t="shared" si="223"/>
        <v>Achieved</v>
      </c>
      <c r="T1551" s="2" t="str">
        <f t="shared" si="224"/>
        <v xml:space="preserve"> Excellent</v>
      </c>
      <c r="U1551" s="2"/>
    </row>
    <row r="1552" spans="1:21" x14ac:dyDescent="0.3">
      <c r="A1552">
        <v>1551</v>
      </c>
      <c r="B1552" t="s">
        <v>2291</v>
      </c>
      <c r="C1552" t="str">
        <f t="shared" si="216"/>
        <v>EMP_1551</v>
      </c>
      <c r="D1552" t="s">
        <v>15</v>
      </c>
      <c r="E1552" t="str">
        <f t="shared" si="217"/>
        <v>EMP_1551IT</v>
      </c>
      <c r="F1552" t="s">
        <v>21</v>
      </c>
      <c r="G1552" t="s">
        <v>22</v>
      </c>
      <c r="H1552">
        <v>22015</v>
      </c>
      <c r="I1552">
        <v>2494</v>
      </c>
      <c r="J1552">
        <v>0</v>
      </c>
      <c r="K1552">
        <v>0</v>
      </c>
      <c r="L1552" s="4" t="s">
        <v>990</v>
      </c>
      <c r="M1552" s="4" t="str">
        <f t="shared" si="218"/>
        <v>10/31/2018</v>
      </c>
      <c r="N1552" s="1">
        <f t="shared" ca="1" si="219"/>
        <v>46064</v>
      </c>
      <c r="O1552" s="6" t="e">
        <f t="shared" ca="1" si="220"/>
        <v>#VALUE!</v>
      </c>
      <c r="P1552">
        <v>3</v>
      </c>
      <c r="Q1552">
        <f t="shared" si="221"/>
        <v>24509</v>
      </c>
      <c r="R1552" s="2">
        <f t="shared" si="222"/>
        <v>12254.5</v>
      </c>
      <c r="S1552" s="2" t="str">
        <f t="shared" si="223"/>
        <v xml:space="preserve"> Not Achieved</v>
      </c>
      <c r="T1552" s="2" t="str">
        <f t="shared" si="224"/>
        <v>poor</v>
      </c>
      <c r="U1552" s="2"/>
    </row>
    <row r="1553" spans="1:21" x14ac:dyDescent="0.3">
      <c r="A1553">
        <v>1552</v>
      </c>
      <c r="B1553" t="s">
        <v>2292</v>
      </c>
      <c r="C1553" t="str">
        <f t="shared" si="216"/>
        <v>EMP_1552</v>
      </c>
      <c r="D1553" t="s">
        <v>15</v>
      </c>
      <c r="E1553" t="str">
        <f t="shared" si="217"/>
        <v>EMP_1552HR</v>
      </c>
      <c r="F1553" t="s">
        <v>12</v>
      </c>
      <c r="G1553" t="s">
        <v>16</v>
      </c>
      <c r="H1553">
        <v>22292</v>
      </c>
      <c r="I1553">
        <v>10202</v>
      </c>
      <c r="J1553">
        <v>0</v>
      </c>
      <c r="K1553">
        <v>0</v>
      </c>
      <c r="L1553" s="4" t="s">
        <v>777</v>
      </c>
      <c r="M1553" s="4" t="str">
        <f t="shared" si="218"/>
        <v>1/13/2018</v>
      </c>
      <c r="N1553" s="1">
        <f t="shared" ca="1" si="219"/>
        <v>46064</v>
      </c>
      <c r="O1553" s="6" t="e">
        <f t="shared" ca="1" si="220"/>
        <v>#VALUE!</v>
      </c>
      <c r="P1553">
        <v>3</v>
      </c>
      <c r="Q1553">
        <f t="shared" si="221"/>
        <v>32494</v>
      </c>
      <c r="R1553" s="2">
        <f t="shared" si="222"/>
        <v>16247</v>
      </c>
      <c r="S1553" s="2" t="str">
        <f t="shared" si="223"/>
        <v xml:space="preserve"> Not Achieved</v>
      </c>
      <c r="T1553" s="2" t="str">
        <f t="shared" si="224"/>
        <v>poor</v>
      </c>
      <c r="U1553" s="2"/>
    </row>
    <row r="1554" spans="1:21" x14ac:dyDescent="0.3">
      <c r="A1554">
        <v>1553</v>
      </c>
      <c r="B1554" t="s">
        <v>2293</v>
      </c>
      <c r="C1554" t="str">
        <f t="shared" si="216"/>
        <v>EMP_1553</v>
      </c>
      <c r="D1554" t="s">
        <v>11</v>
      </c>
      <c r="E1554" t="str">
        <f t="shared" si="217"/>
        <v>EMP_1553Sales</v>
      </c>
      <c r="F1554" t="s">
        <v>7</v>
      </c>
      <c r="G1554" t="s">
        <v>19</v>
      </c>
      <c r="H1554">
        <v>69567</v>
      </c>
      <c r="I1554">
        <v>7597</v>
      </c>
      <c r="J1554">
        <v>183879</v>
      </c>
      <c r="K1554">
        <v>140639</v>
      </c>
      <c r="L1554" s="4" t="s">
        <v>2294</v>
      </c>
      <c r="M1554" s="4" t="str">
        <f t="shared" si="218"/>
        <v>3/20/2022</v>
      </c>
      <c r="N1554" s="1">
        <f t="shared" ca="1" si="219"/>
        <v>46064</v>
      </c>
      <c r="O1554" s="6" t="e">
        <f t="shared" ca="1" si="220"/>
        <v>#VALUE!</v>
      </c>
      <c r="P1554">
        <v>3</v>
      </c>
      <c r="Q1554">
        <f t="shared" si="221"/>
        <v>77164</v>
      </c>
      <c r="R1554" s="2">
        <f t="shared" si="222"/>
        <v>38582</v>
      </c>
      <c r="S1554" s="2" t="str">
        <f t="shared" si="223"/>
        <v>Achieved</v>
      </c>
      <c r="T1554" s="2" t="str">
        <f t="shared" si="224"/>
        <v xml:space="preserve"> Excellent</v>
      </c>
      <c r="U1554" s="2"/>
    </row>
    <row r="1555" spans="1:21" x14ac:dyDescent="0.3">
      <c r="A1555">
        <v>1554</v>
      </c>
      <c r="B1555" t="s">
        <v>2295</v>
      </c>
      <c r="C1555" t="str">
        <f t="shared" si="216"/>
        <v>EMP_1554</v>
      </c>
      <c r="D1555" t="s">
        <v>11</v>
      </c>
      <c r="E1555" t="str">
        <f t="shared" si="217"/>
        <v>EMP_1554Marketing</v>
      </c>
      <c r="F1555" t="s">
        <v>24</v>
      </c>
      <c r="G1555" t="s">
        <v>19</v>
      </c>
      <c r="H1555">
        <v>63522</v>
      </c>
      <c r="I1555">
        <v>7479</v>
      </c>
      <c r="J1555">
        <v>0</v>
      </c>
      <c r="K1555">
        <v>0</v>
      </c>
      <c r="L1555" s="4">
        <v>43498</v>
      </c>
      <c r="M1555" s="4" t="str">
        <f t="shared" si="218"/>
        <v>2019</v>
      </c>
      <c r="N1555" s="1">
        <f t="shared" ca="1" si="219"/>
        <v>46064</v>
      </c>
      <c r="O1555" s="6">
        <f t="shared" ca="1" si="220"/>
        <v>7</v>
      </c>
      <c r="P1555">
        <v>2</v>
      </c>
      <c r="Q1555">
        <f t="shared" si="221"/>
        <v>71001</v>
      </c>
      <c r="R1555" s="2">
        <f t="shared" si="222"/>
        <v>35500.5</v>
      </c>
      <c r="S1555" s="2" t="str">
        <f t="shared" si="223"/>
        <v xml:space="preserve"> Not Achieved</v>
      </c>
      <c r="T1555" s="2" t="str">
        <f t="shared" si="224"/>
        <v xml:space="preserve"> Excellent</v>
      </c>
      <c r="U1555" s="2"/>
    </row>
    <row r="1556" spans="1:21" x14ac:dyDescent="0.3">
      <c r="A1556">
        <v>1555</v>
      </c>
      <c r="B1556" t="s">
        <v>2296</v>
      </c>
      <c r="C1556" t="str">
        <f t="shared" si="216"/>
        <v>EMP_1555</v>
      </c>
      <c r="D1556" t="s">
        <v>11</v>
      </c>
      <c r="E1556" t="str">
        <f t="shared" si="217"/>
        <v>EMP_1555Sales</v>
      </c>
      <c r="F1556" t="s">
        <v>7</v>
      </c>
      <c r="G1556" t="s">
        <v>19</v>
      </c>
      <c r="H1556">
        <v>34783</v>
      </c>
      <c r="I1556">
        <v>10297</v>
      </c>
      <c r="J1556">
        <v>149238</v>
      </c>
      <c r="K1556">
        <v>237944</v>
      </c>
      <c r="L1556" s="4" t="s">
        <v>652</v>
      </c>
      <c r="M1556" s="4" t="str">
        <f t="shared" si="218"/>
        <v>4/23/2018</v>
      </c>
      <c r="N1556" s="1">
        <f t="shared" ca="1" si="219"/>
        <v>46064</v>
      </c>
      <c r="O1556" s="6" t="e">
        <f t="shared" ca="1" si="220"/>
        <v>#VALUE!</v>
      </c>
      <c r="P1556">
        <v>1</v>
      </c>
      <c r="Q1556">
        <f t="shared" si="221"/>
        <v>45080</v>
      </c>
      <c r="R1556" s="2">
        <f t="shared" si="222"/>
        <v>22540</v>
      </c>
      <c r="S1556" s="2" t="str">
        <f t="shared" si="223"/>
        <v xml:space="preserve"> Not Achieved</v>
      </c>
      <c r="T1556" s="2" t="str">
        <f t="shared" si="224"/>
        <v>Average</v>
      </c>
      <c r="U1556" s="2"/>
    </row>
    <row r="1557" spans="1:21" x14ac:dyDescent="0.3">
      <c r="A1557">
        <v>1556</v>
      </c>
      <c r="B1557" t="s">
        <v>2297</v>
      </c>
      <c r="C1557" t="str">
        <f t="shared" si="216"/>
        <v>EMP_1556</v>
      </c>
      <c r="D1557" t="s">
        <v>15</v>
      </c>
      <c r="E1557" t="str">
        <f t="shared" si="217"/>
        <v>EMP_1556HR</v>
      </c>
      <c r="F1557" t="s">
        <v>12</v>
      </c>
      <c r="G1557" t="s">
        <v>22</v>
      </c>
      <c r="H1557">
        <v>46111</v>
      </c>
      <c r="I1557">
        <v>14886</v>
      </c>
      <c r="J1557">
        <v>0</v>
      </c>
      <c r="K1557">
        <v>0</v>
      </c>
      <c r="L1557" s="4" t="s">
        <v>241</v>
      </c>
      <c r="M1557" s="4" t="str">
        <f t="shared" si="218"/>
        <v>6/15/2018</v>
      </c>
      <c r="N1557" s="1">
        <f t="shared" ca="1" si="219"/>
        <v>46064</v>
      </c>
      <c r="O1557" s="6" t="e">
        <f t="shared" ca="1" si="220"/>
        <v>#VALUE!</v>
      </c>
      <c r="P1557">
        <v>4</v>
      </c>
      <c r="Q1557">
        <f t="shared" si="221"/>
        <v>60997</v>
      </c>
      <c r="R1557" s="2">
        <f t="shared" si="222"/>
        <v>30498.5</v>
      </c>
      <c r="S1557" s="2" t="str">
        <f t="shared" si="223"/>
        <v xml:space="preserve"> Not Achieved</v>
      </c>
      <c r="T1557" s="2" t="str">
        <f t="shared" si="224"/>
        <v>Good</v>
      </c>
      <c r="U1557" s="2"/>
    </row>
    <row r="1558" spans="1:21" x14ac:dyDescent="0.3">
      <c r="A1558">
        <v>1557</v>
      </c>
      <c r="B1558" t="s">
        <v>2298</v>
      </c>
      <c r="C1558" t="str">
        <f t="shared" si="216"/>
        <v>EMP_1557</v>
      </c>
      <c r="D1558" t="s">
        <v>15</v>
      </c>
      <c r="E1558" t="str">
        <f t="shared" si="217"/>
        <v>EMP_1557HR</v>
      </c>
      <c r="F1558" t="s">
        <v>12</v>
      </c>
      <c r="G1558" t="s">
        <v>19</v>
      </c>
      <c r="H1558">
        <v>73599</v>
      </c>
      <c r="I1558">
        <v>12936</v>
      </c>
      <c r="J1558">
        <v>0</v>
      </c>
      <c r="K1558">
        <v>0</v>
      </c>
      <c r="L1558" s="4" t="s">
        <v>2299</v>
      </c>
      <c r="M1558" s="4" t="str">
        <f t="shared" si="218"/>
        <v>11/16/2024</v>
      </c>
      <c r="N1558" s="1">
        <f t="shared" ca="1" si="219"/>
        <v>46064</v>
      </c>
      <c r="O1558" s="6" t="e">
        <f t="shared" ca="1" si="220"/>
        <v>#VALUE!</v>
      </c>
      <c r="P1558">
        <v>2</v>
      </c>
      <c r="Q1558">
        <f t="shared" si="221"/>
        <v>86535</v>
      </c>
      <c r="R1558" s="2">
        <f t="shared" si="222"/>
        <v>43267.5</v>
      </c>
      <c r="S1558" s="2" t="str">
        <f t="shared" si="223"/>
        <v xml:space="preserve"> Not Achieved</v>
      </c>
      <c r="T1558" s="2" t="str">
        <f t="shared" si="224"/>
        <v xml:space="preserve"> Excellent</v>
      </c>
      <c r="U1558" s="2"/>
    </row>
    <row r="1559" spans="1:21" x14ac:dyDescent="0.3">
      <c r="A1559">
        <v>1558</v>
      </c>
      <c r="B1559" t="s">
        <v>2300</v>
      </c>
      <c r="C1559" t="str">
        <f t="shared" si="216"/>
        <v>EMP_1558</v>
      </c>
      <c r="D1559" t="s">
        <v>15</v>
      </c>
      <c r="E1559" t="str">
        <f t="shared" si="217"/>
        <v>EMP_1558Finance</v>
      </c>
      <c r="F1559" t="s">
        <v>18</v>
      </c>
      <c r="G1559" t="s">
        <v>25</v>
      </c>
      <c r="H1559">
        <v>54016</v>
      </c>
      <c r="I1559">
        <v>4376</v>
      </c>
      <c r="J1559">
        <v>0</v>
      </c>
      <c r="K1559">
        <v>0</v>
      </c>
      <c r="L1559" s="4" t="s">
        <v>2301</v>
      </c>
      <c r="M1559" s="4" t="str">
        <f t="shared" si="218"/>
        <v>7/27/2019</v>
      </c>
      <c r="N1559" s="1">
        <f t="shared" ca="1" si="219"/>
        <v>46064</v>
      </c>
      <c r="O1559" s="6" t="e">
        <f t="shared" ca="1" si="220"/>
        <v>#VALUE!</v>
      </c>
      <c r="P1559">
        <v>4</v>
      </c>
      <c r="Q1559">
        <f t="shared" si="221"/>
        <v>58392</v>
      </c>
      <c r="R1559" s="2">
        <f t="shared" si="222"/>
        <v>29196</v>
      </c>
      <c r="S1559" s="2" t="str">
        <f t="shared" si="223"/>
        <v xml:space="preserve"> Not Achieved</v>
      </c>
      <c r="T1559" s="2" t="str">
        <f t="shared" si="224"/>
        <v xml:space="preserve"> Excellent</v>
      </c>
      <c r="U1559" s="2"/>
    </row>
    <row r="1560" spans="1:21" x14ac:dyDescent="0.3">
      <c r="A1560">
        <v>1559</v>
      </c>
      <c r="B1560" t="s">
        <v>2302</v>
      </c>
      <c r="C1560" t="str">
        <f t="shared" si="216"/>
        <v>EMP_1559</v>
      </c>
      <c r="D1560" t="s">
        <v>15</v>
      </c>
      <c r="E1560" t="str">
        <f t="shared" si="217"/>
        <v>EMP_1559Sales</v>
      </c>
      <c r="F1560" t="s">
        <v>7</v>
      </c>
      <c r="G1560" t="s">
        <v>22</v>
      </c>
      <c r="H1560">
        <v>49034</v>
      </c>
      <c r="I1560">
        <v>3940</v>
      </c>
      <c r="J1560">
        <v>76300</v>
      </c>
      <c r="K1560">
        <v>194366</v>
      </c>
      <c r="L1560" s="4" t="s">
        <v>1017</v>
      </c>
      <c r="M1560" s="4" t="str">
        <f t="shared" si="218"/>
        <v>11/17/2023</v>
      </c>
      <c r="N1560" s="1">
        <f t="shared" ca="1" si="219"/>
        <v>46064</v>
      </c>
      <c r="O1560" s="6" t="e">
        <f t="shared" ca="1" si="220"/>
        <v>#VALUE!</v>
      </c>
      <c r="P1560">
        <v>2</v>
      </c>
      <c r="Q1560">
        <f t="shared" si="221"/>
        <v>52974</v>
      </c>
      <c r="R1560" s="2">
        <f t="shared" si="222"/>
        <v>26487</v>
      </c>
      <c r="S1560" s="2" t="str">
        <f t="shared" si="223"/>
        <v xml:space="preserve"> Not Achieved</v>
      </c>
      <c r="T1560" s="2" t="str">
        <f t="shared" si="224"/>
        <v>Good</v>
      </c>
      <c r="U1560" s="2"/>
    </row>
    <row r="1561" spans="1:21" x14ac:dyDescent="0.3">
      <c r="A1561">
        <v>1560</v>
      </c>
      <c r="B1561" t="s">
        <v>2303</v>
      </c>
      <c r="C1561" t="str">
        <f t="shared" si="216"/>
        <v>EMP_1560</v>
      </c>
      <c r="D1561" t="s">
        <v>11</v>
      </c>
      <c r="E1561" t="str">
        <f t="shared" si="217"/>
        <v>EMP_1560Finance</v>
      </c>
      <c r="F1561" t="s">
        <v>18</v>
      </c>
      <c r="G1561" t="s">
        <v>19</v>
      </c>
      <c r="H1561">
        <v>61937</v>
      </c>
      <c r="I1561">
        <v>5970</v>
      </c>
      <c r="J1561">
        <v>0</v>
      </c>
      <c r="K1561">
        <v>0</v>
      </c>
      <c r="L1561" s="4" t="s">
        <v>2304</v>
      </c>
      <c r="M1561" s="4" t="str">
        <f t="shared" si="218"/>
        <v>11/20/2021</v>
      </c>
      <c r="N1561" s="1">
        <f t="shared" ca="1" si="219"/>
        <v>46064</v>
      </c>
      <c r="O1561" s="6" t="e">
        <f t="shared" ca="1" si="220"/>
        <v>#VALUE!</v>
      </c>
      <c r="P1561">
        <v>4</v>
      </c>
      <c r="Q1561">
        <f t="shared" si="221"/>
        <v>67907</v>
      </c>
      <c r="R1561" s="2">
        <f t="shared" si="222"/>
        <v>33953.5</v>
      </c>
      <c r="S1561" s="2" t="str">
        <f t="shared" si="223"/>
        <v xml:space="preserve"> Not Achieved</v>
      </c>
      <c r="T1561" s="2" t="str">
        <f t="shared" si="224"/>
        <v xml:space="preserve"> Excellent</v>
      </c>
      <c r="U1561" s="2"/>
    </row>
    <row r="1562" spans="1:21" x14ac:dyDescent="0.3">
      <c r="A1562">
        <v>1561</v>
      </c>
      <c r="B1562" t="s">
        <v>2305</v>
      </c>
      <c r="C1562" t="str">
        <f t="shared" si="216"/>
        <v>EMP_1561</v>
      </c>
      <c r="D1562" t="s">
        <v>11</v>
      </c>
      <c r="E1562" t="str">
        <f t="shared" si="217"/>
        <v>EMP_1561Finance</v>
      </c>
      <c r="F1562" t="s">
        <v>18</v>
      </c>
      <c r="G1562" t="s">
        <v>13</v>
      </c>
      <c r="H1562">
        <v>60592</v>
      </c>
      <c r="I1562">
        <v>11959</v>
      </c>
      <c r="J1562">
        <v>0</v>
      </c>
      <c r="K1562">
        <v>0</v>
      </c>
      <c r="L1562" s="4">
        <v>44628</v>
      </c>
      <c r="M1562" s="4" t="str">
        <f t="shared" si="218"/>
        <v>2022</v>
      </c>
      <c r="N1562" s="1">
        <f t="shared" ca="1" si="219"/>
        <v>46064</v>
      </c>
      <c r="O1562" s="6">
        <f t="shared" ca="1" si="220"/>
        <v>3</v>
      </c>
      <c r="P1562">
        <v>1</v>
      </c>
      <c r="Q1562">
        <f t="shared" si="221"/>
        <v>72551</v>
      </c>
      <c r="R1562" s="2">
        <f t="shared" si="222"/>
        <v>36275.5</v>
      </c>
      <c r="S1562" s="2" t="str">
        <f t="shared" si="223"/>
        <v xml:space="preserve"> Not Achieved</v>
      </c>
      <c r="T1562" s="2" t="str">
        <f t="shared" si="224"/>
        <v xml:space="preserve"> Excellent</v>
      </c>
      <c r="U1562" s="2"/>
    </row>
    <row r="1563" spans="1:21" x14ac:dyDescent="0.3">
      <c r="A1563">
        <v>1562</v>
      </c>
      <c r="B1563" t="s">
        <v>2306</v>
      </c>
      <c r="C1563" t="str">
        <f t="shared" si="216"/>
        <v>EMP_1562</v>
      </c>
      <c r="D1563" t="s">
        <v>11</v>
      </c>
      <c r="E1563" t="str">
        <f t="shared" si="217"/>
        <v>EMP_1562Marketing</v>
      </c>
      <c r="F1563" t="s">
        <v>24</v>
      </c>
      <c r="G1563" t="s">
        <v>22</v>
      </c>
      <c r="H1563">
        <v>76157</v>
      </c>
      <c r="I1563">
        <v>5059</v>
      </c>
      <c r="J1563">
        <v>0</v>
      </c>
      <c r="K1563">
        <v>0</v>
      </c>
      <c r="L1563" s="4">
        <v>44232</v>
      </c>
      <c r="M1563" s="4" t="str">
        <f t="shared" si="218"/>
        <v>2021</v>
      </c>
      <c r="N1563" s="1">
        <f t="shared" ca="1" si="219"/>
        <v>46064</v>
      </c>
      <c r="O1563" s="6">
        <f t="shared" ca="1" si="220"/>
        <v>5</v>
      </c>
      <c r="P1563">
        <v>1</v>
      </c>
      <c r="Q1563">
        <f t="shared" si="221"/>
        <v>81216</v>
      </c>
      <c r="R1563" s="2">
        <f t="shared" si="222"/>
        <v>40608</v>
      </c>
      <c r="S1563" s="2" t="str">
        <f t="shared" si="223"/>
        <v xml:space="preserve"> Not Achieved</v>
      </c>
      <c r="T1563" s="2" t="str">
        <f t="shared" si="224"/>
        <v xml:space="preserve"> Excellent</v>
      </c>
      <c r="U1563" s="2"/>
    </row>
    <row r="1564" spans="1:21" x14ac:dyDescent="0.3">
      <c r="A1564">
        <v>1563</v>
      </c>
      <c r="B1564" t="s">
        <v>2307</v>
      </c>
      <c r="C1564" t="str">
        <f t="shared" si="216"/>
        <v>EMP_1563</v>
      </c>
      <c r="D1564" t="s">
        <v>11</v>
      </c>
      <c r="E1564" t="str">
        <f t="shared" si="217"/>
        <v>EMP_1563Marketing</v>
      </c>
      <c r="F1564" t="s">
        <v>24</v>
      </c>
      <c r="G1564" t="s">
        <v>22</v>
      </c>
      <c r="H1564">
        <v>53216</v>
      </c>
      <c r="I1564">
        <v>2638</v>
      </c>
      <c r="J1564">
        <v>0</v>
      </c>
      <c r="K1564">
        <v>0</v>
      </c>
      <c r="L1564" s="4">
        <v>43102</v>
      </c>
      <c r="M1564" s="4" t="str">
        <f t="shared" si="218"/>
        <v>2018</v>
      </c>
      <c r="N1564" s="1">
        <f t="shared" ca="1" si="219"/>
        <v>46064</v>
      </c>
      <c r="O1564" s="6">
        <f t="shared" ca="1" si="220"/>
        <v>8</v>
      </c>
      <c r="P1564">
        <v>1</v>
      </c>
      <c r="Q1564">
        <f t="shared" si="221"/>
        <v>55854</v>
      </c>
      <c r="R1564" s="2">
        <f t="shared" si="222"/>
        <v>27927</v>
      </c>
      <c r="S1564" s="2" t="str">
        <f t="shared" si="223"/>
        <v xml:space="preserve"> Not Achieved</v>
      </c>
      <c r="T1564" s="2" t="str">
        <f t="shared" si="224"/>
        <v xml:space="preserve"> Excellent</v>
      </c>
      <c r="U1564" s="2"/>
    </row>
    <row r="1565" spans="1:21" x14ac:dyDescent="0.3">
      <c r="A1565">
        <v>1564</v>
      </c>
      <c r="B1565" t="s">
        <v>2308</v>
      </c>
      <c r="C1565" t="str">
        <f t="shared" si="216"/>
        <v>EMP_1564</v>
      </c>
      <c r="D1565" t="s">
        <v>11</v>
      </c>
      <c r="E1565" t="str">
        <f t="shared" si="217"/>
        <v>EMP_1564Finance</v>
      </c>
      <c r="F1565" t="s">
        <v>18</v>
      </c>
      <c r="G1565" t="s">
        <v>22</v>
      </c>
      <c r="H1565">
        <v>45749</v>
      </c>
      <c r="I1565">
        <v>10193</v>
      </c>
      <c r="J1565">
        <v>0</v>
      </c>
      <c r="K1565">
        <v>0</v>
      </c>
      <c r="L1565" s="4" t="s">
        <v>2309</v>
      </c>
      <c r="M1565" s="4" t="str">
        <f t="shared" si="218"/>
        <v>4/28/2019</v>
      </c>
      <c r="N1565" s="1">
        <f t="shared" ca="1" si="219"/>
        <v>46064</v>
      </c>
      <c r="O1565" s="6" t="e">
        <f t="shared" ca="1" si="220"/>
        <v>#VALUE!</v>
      </c>
      <c r="P1565">
        <v>5</v>
      </c>
      <c r="Q1565">
        <f t="shared" si="221"/>
        <v>55942</v>
      </c>
      <c r="R1565" s="2">
        <f t="shared" si="222"/>
        <v>27971</v>
      </c>
      <c r="S1565" s="2" t="str">
        <f t="shared" si="223"/>
        <v xml:space="preserve"> Not Achieved</v>
      </c>
      <c r="T1565" s="2" t="str">
        <f t="shared" si="224"/>
        <v>Good</v>
      </c>
      <c r="U1565" s="2"/>
    </row>
    <row r="1566" spans="1:21" x14ac:dyDescent="0.3">
      <c r="A1566">
        <v>1565</v>
      </c>
      <c r="B1566" t="s">
        <v>2310</v>
      </c>
      <c r="C1566" t="str">
        <f t="shared" si="216"/>
        <v>EMP_1565</v>
      </c>
      <c r="D1566" t="s">
        <v>11</v>
      </c>
      <c r="E1566" t="str">
        <f t="shared" si="217"/>
        <v>EMP_1565Marketing</v>
      </c>
      <c r="F1566" t="s">
        <v>24</v>
      </c>
      <c r="G1566" t="s">
        <v>13</v>
      </c>
      <c r="H1566">
        <v>22714</v>
      </c>
      <c r="I1566">
        <v>8622</v>
      </c>
      <c r="J1566">
        <v>0</v>
      </c>
      <c r="K1566">
        <v>0</v>
      </c>
      <c r="L1566" s="4" t="s">
        <v>2311</v>
      </c>
      <c r="M1566" s="4" t="str">
        <f t="shared" si="218"/>
        <v>4/30/2022</v>
      </c>
      <c r="N1566" s="1">
        <f t="shared" ca="1" si="219"/>
        <v>46064</v>
      </c>
      <c r="O1566" s="6" t="e">
        <f t="shared" ca="1" si="220"/>
        <v>#VALUE!</v>
      </c>
      <c r="P1566">
        <v>1</v>
      </c>
      <c r="Q1566">
        <f t="shared" si="221"/>
        <v>31336</v>
      </c>
      <c r="R1566" s="2">
        <f t="shared" si="222"/>
        <v>15668</v>
      </c>
      <c r="S1566" s="2" t="str">
        <f t="shared" si="223"/>
        <v xml:space="preserve"> Not Achieved</v>
      </c>
      <c r="T1566" s="2" t="str">
        <f t="shared" si="224"/>
        <v>poor</v>
      </c>
      <c r="U1566" s="2"/>
    </row>
    <row r="1567" spans="1:21" x14ac:dyDescent="0.3">
      <c r="A1567">
        <v>1566</v>
      </c>
      <c r="B1567" t="s">
        <v>2312</v>
      </c>
      <c r="C1567" t="str">
        <f t="shared" si="216"/>
        <v>EMP_1566</v>
      </c>
      <c r="D1567" t="s">
        <v>11</v>
      </c>
      <c r="E1567" t="str">
        <f t="shared" si="217"/>
        <v>EMP_1566HR</v>
      </c>
      <c r="F1567" t="s">
        <v>12</v>
      </c>
      <c r="G1567" t="s">
        <v>19</v>
      </c>
      <c r="H1567">
        <v>53668</v>
      </c>
      <c r="I1567">
        <v>14327</v>
      </c>
      <c r="J1567">
        <v>0</v>
      </c>
      <c r="K1567">
        <v>0</v>
      </c>
      <c r="L1567" s="4" t="s">
        <v>2313</v>
      </c>
      <c r="M1567" s="4" t="str">
        <f t="shared" si="218"/>
        <v>2/28/2021</v>
      </c>
      <c r="N1567" s="1">
        <f t="shared" ca="1" si="219"/>
        <v>46064</v>
      </c>
      <c r="O1567" s="6" t="e">
        <f t="shared" ca="1" si="220"/>
        <v>#VALUE!</v>
      </c>
      <c r="P1567">
        <v>5</v>
      </c>
      <c r="Q1567">
        <f t="shared" si="221"/>
        <v>67995</v>
      </c>
      <c r="R1567" s="2">
        <f t="shared" si="222"/>
        <v>33997.5</v>
      </c>
      <c r="S1567" s="2" t="str">
        <f t="shared" si="223"/>
        <v xml:space="preserve"> Not Achieved</v>
      </c>
      <c r="T1567" s="2" t="str">
        <f t="shared" si="224"/>
        <v xml:space="preserve"> Excellent</v>
      </c>
      <c r="U1567" s="2"/>
    </row>
    <row r="1568" spans="1:21" x14ac:dyDescent="0.3">
      <c r="A1568">
        <v>1567</v>
      </c>
      <c r="B1568" t="s">
        <v>2314</v>
      </c>
      <c r="C1568" t="str">
        <f t="shared" si="216"/>
        <v>EMP_1567</v>
      </c>
      <c r="D1568" t="s">
        <v>11</v>
      </c>
      <c r="E1568" t="str">
        <f t="shared" si="217"/>
        <v>EMP_1567Marketing</v>
      </c>
      <c r="F1568" t="s">
        <v>24</v>
      </c>
      <c r="G1568" t="s">
        <v>13</v>
      </c>
      <c r="H1568">
        <v>35419</v>
      </c>
      <c r="I1568">
        <v>12708</v>
      </c>
      <c r="J1568">
        <v>0</v>
      </c>
      <c r="K1568">
        <v>0</v>
      </c>
      <c r="L1568" s="4">
        <v>43475</v>
      </c>
      <c r="M1568" s="4" t="str">
        <f t="shared" si="218"/>
        <v>2019</v>
      </c>
      <c r="N1568" s="1">
        <f t="shared" ca="1" si="219"/>
        <v>46064</v>
      </c>
      <c r="O1568" s="6">
        <f t="shared" ca="1" si="220"/>
        <v>7</v>
      </c>
      <c r="P1568">
        <v>5</v>
      </c>
      <c r="Q1568">
        <f t="shared" si="221"/>
        <v>48127</v>
      </c>
      <c r="R1568" s="2">
        <f t="shared" si="222"/>
        <v>24063.5</v>
      </c>
      <c r="S1568" s="2" t="str">
        <f t="shared" si="223"/>
        <v xml:space="preserve"> Not Achieved</v>
      </c>
      <c r="T1568" s="2" t="str">
        <f t="shared" si="224"/>
        <v>Average</v>
      </c>
      <c r="U1568" s="2"/>
    </row>
    <row r="1569" spans="1:21" x14ac:dyDescent="0.3">
      <c r="A1569">
        <v>1568</v>
      </c>
      <c r="B1569" t="s">
        <v>2315</v>
      </c>
      <c r="C1569" t="str">
        <f t="shared" si="216"/>
        <v>EMP_1568</v>
      </c>
      <c r="D1569" t="s">
        <v>15</v>
      </c>
      <c r="E1569" t="str">
        <f t="shared" si="217"/>
        <v>EMP_1568Marketing</v>
      </c>
      <c r="F1569" t="s">
        <v>24</v>
      </c>
      <c r="G1569" t="s">
        <v>25</v>
      </c>
      <c r="H1569">
        <v>68619</v>
      </c>
      <c r="I1569">
        <v>7455</v>
      </c>
      <c r="J1569">
        <v>0</v>
      </c>
      <c r="K1569">
        <v>0</v>
      </c>
      <c r="L1569" s="4">
        <v>44835</v>
      </c>
      <c r="M1569" s="4" t="str">
        <f t="shared" si="218"/>
        <v>2022</v>
      </c>
      <c r="N1569" s="1">
        <f t="shared" ca="1" si="219"/>
        <v>46064</v>
      </c>
      <c r="O1569" s="6">
        <f t="shared" ca="1" si="220"/>
        <v>3</v>
      </c>
      <c r="P1569">
        <v>2</v>
      </c>
      <c r="Q1569">
        <f t="shared" si="221"/>
        <v>76074</v>
      </c>
      <c r="R1569" s="2">
        <f t="shared" si="222"/>
        <v>38037</v>
      </c>
      <c r="S1569" s="2" t="str">
        <f t="shared" si="223"/>
        <v xml:space="preserve"> Not Achieved</v>
      </c>
      <c r="T1569" s="2" t="str">
        <f t="shared" si="224"/>
        <v xml:space="preserve"> Excellent</v>
      </c>
      <c r="U1569" s="2"/>
    </row>
    <row r="1570" spans="1:21" x14ac:dyDescent="0.3">
      <c r="A1570">
        <v>1569</v>
      </c>
      <c r="B1570" t="s">
        <v>2316</v>
      </c>
      <c r="C1570" t="str">
        <f t="shared" si="216"/>
        <v>EMP_1569</v>
      </c>
      <c r="D1570" t="s">
        <v>15</v>
      </c>
      <c r="E1570" t="str">
        <f t="shared" si="217"/>
        <v>EMP_1569Marketing</v>
      </c>
      <c r="F1570" t="s">
        <v>24</v>
      </c>
      <c r="G1570" t="s">
        <v>25</v>
      </c>
      <c r="H1570">
        <v>71214</v>
      </c>
      <c r="I1570">
        <v>4585</v>
      </c>
      <c r="J1570">
        <v>0</v>
      </c>
      <c r="K1570">
        <v>0</v>
      </c>
      <c r="L1570" s="4" t="s">
        <v>442</v>
      </c>
      <c r="M1570" s="4" t="str">
        <f t="shared" si="218"/>
        <v>2/16/2019</v>
      </c>
      <c r="N1570" s="1">
        <f t="shared" ca="1" si="219"/>
        <v>46064</v>
      </c>
      <c r="O1570" s="6" t="e">
        <f t="shared" ca="1" si="220"/>
        <v>#VALUE!</v>
      </c>
      <c r="P1570">
        <v>5</v>
      </c>
      <c r="Q1570">
        <f t="shared" si="221"/>
        <v>75799</v>
      </c>
      <c r="R1570" s="2">
        <f t="shared" si="222"/>
        <v>37899.5</v>
      </c>
      <c r="S1570" s="2" t="str">
        <f t="shared" si="223"/>
        <v xml:space="preserve"> Not Achieved</v>
      </c>
      <c r="T1570" s="2" t="str">
        <f t="shared" si="224"/>
        <v xml:space="preserve"> Excellent</v>
      </c>
      <c r="U1570" s="2"/>
    </row>
    <row r="1571" spans="1:21" x14ac:dyDescent="0.3">
      <c r="A1571">
        <v>1570</v>
      </c>
      <c r="B1571" t="s">
        <v>2317</v>
      </c>
      <c r="C1571" t="str">
        <f t="shared" si="216"/>
        <v>EMP_1570</v>
      </c>
      <c r="D1571" t="s">
        <v>11</v>
      </c>
      <c r="E1571" t="str">
        <f t="shared" si="217"/>
        <v>EMP_1570Finance</v>
      </c>
      <c r="F1571" t="s">
        <v>18</v>
      </c>
      <c r="G1571" t="s">
        <v>16</v>
      </c>
      <c r="H1571">
        <v>32752</v>
      </c>
      <c r="I1571">
        <v>10471</v>
      </c>
      <c r="J1571">
        <v>0</v>
      </c>
      <c r="K1571">
        <v>0</v>
      </c>
      <c r="L1571" s="4">
        <v>44571</v>
      </c>
      <c r="M1571" s="4" t="str">
        <f t="shared" si="218"/>
        <v>2022</v>
      </c>
      <c r="N1571" s="1">
        <f t="shared" ca="1" si="219"/>
        <v>46064</v>
      </c>
      <c r="O1571" s="6">
        <f t="shared" ca="1" si="220"/>
        <v>4</v>
      </c>
      <c r="P1571">
        <v>3</v>
      </c>
      <c r="Q1571">
        <f t="shared" si="221"/>
        <v>43223</v>
      </c>
      <c r="R1571" s="2">
        <f t="shared" si="222"/>
        <v>21611.5</v>
      </c>
      <c r="S1571" s="2" t="str">
        <f t="shared" si="223"/>
        <v xml:space="preserve"> Not Achieved</v>
      </c>
      <c r="T1571" s="2" t="str">
        <f t="shared" si="224"/>
        <v>Average</v>
      </c>
      <c r="U1571" s="2"/>
    </row>
    <row r="1572" spans="1:21" x14ac:dyDescent="0.3">
      <c r="A1572">
        <v>1571</v>
      </c>
      <c r="B1572" t="s">
        <v>2318</v>
      </c>
      <c r="C1572" t="str">
        <f t="shared" si="216"/>
        <v>EMP_1571</v>
      </c>
      <c r="D1572" t="s">
        <v>11</v>
      </c>
      <c r="E1572" t="str">
        <f t="shared" si="217"/>
        <v>EMP_1571HR</v>
      </c>
      <c r="F1572" t="s">
        <v>12</v>
      </c>
      <c r="G1572" t="s">
        <v>16</v>
      </c>
      <c r="H1572">
        <v>47307</v>
      </c>
      <c r="I1572">
        <v>4433</v>
      </c>
      <c r="J1572">
        <v>0</v>
      </c>
      <c r="K1572">
        <v>0</v>
      </c>
      <c r="L1572" s="4" t="s">
        <v>2319</v>
      </c>
      <c r="M1572" s="4" t="str">
        <f t="shared" si="218"/>
        <v>4/25/2024</v>
      </c>
      <c r="N1572" s="1">
        <f t="shared" ca="1" si="219"/>
        <v>46064</v>
      </c>
      <c r="O1572" s="6" t="e">
        <f t="shared" ca="1" si="220"/>
        <v>#VALUE!</v>
      </c>
      <c r="P1572">
        <v>1</v>
      </c>
      <c r="Q1572">
        <f t="shared" si="221"/>
        <v>51740</v>
      </c>
      <c r="R1572" s="2">
        <f t="shared" si="222"/>
        <v>25870</v>
      </c>
      <c r="S1572" s="2" t="str">
        <f t="shared" si="223"/>
        <v xml:space="preserve"> Not Achieved</v>
      </c>
      <c r="T1572" s="2" t="str">
        <f t="shared" si="224"/>
        <v>Good</v>
      </c>
      <c r="U1572" s="2"/>
    </row>
    <row r="1573" spans="1:21" x14ac:dyDescent="0.3">
      <c r="A1573">
        <v>1572</v>
      </c>
      <c r="B1573" t="s">
        <v>2320</v>
      </c>
      <c r="C1573" t="str">
        <f t="shared" si="216"/>
        <v>EMP_1572</v>
      </c>
      <c r="D1573" t="s">
        <v>15</v>
      </c>
      <c r="E1573" t="str">
        <f t="shared" si="217"/>
        <v>EMP_1572HR</v>
      </c>
      <c r="F1573" t="s">
        <v>12</v>
      </c>
      <c r="G1573" t="s">
        <v>19</v>
      </c>
      <c r="H1573">
        <v>66623</v>
      </c>
      <c r="I1573">
        <v>8704</v>
      </c>
      <c r="J1573">
        <v>0</v>
      </c>
      <c r="K1573">
        <v>0</v>
      </c>
      <c r="L1573" s="4" t="s">
        <v>2321</v>
      </c>
      <c r="M1573" s="4" t="str">
        <f t="shared" si="218"/>
        <v>11/19/2020</v>
      </c>
      <c r="N1573" s="1">
        <f t="shared" ca="1" si="219"/>
        <v>46064</v>
      </c>
      <c r="O1573" s="6" t="e">
        <f t="shared" ca="1" si="220"/>
        <v>#VALUE!</v>
      </c>
      <c r="P1573">
        <v>5</v>
      </c>
      <c r="Q1573">
        <f t="shared" si="221"/>
        <v>75327</v>
      </c>
      <c r="R1573" s="2">
        <f t="shared" si="222"/>
        <v>37663.5</v>
      </c>
      <c r="S1573" s="2" t="str">
        <f t="shared" si="223"/>
        <v xml:space="preserve"> Not Achieved</v>
      </c>
      <c r="T1573" s="2" t="str">
        <f t="shared" si="224"/>
        <v xml:space="preserve"> Excellent</v>
      </c>
      <c r="U1573" s="2"/>
    </row>
    <row r="1574" spans="1:21" x14ac:dyDescent="0.3">
      <c r="A1574">
        <v>1573</v>
      </c>
      <c r="B1574" t="s">
        <v>2322</v>
      </c>
      <c r="C1574" t="str">
        <f t="shared" si="216"/>
        <v>EMP_1573</v>
      </c>
      <c r="D1574" t="s">
        <v>15</v>
      </c>
      <c r="E1574" t="str">
        <f t="shared" si="217"/>
        <v>EMP_1573IT</v>
      </c>
      <c r="F1574" t="s">
        <v>21</v>
      </c>
      <c r="G1574" t="s">
        <v>13</v>
      </c>
      <c r="H1574">
        <v>31345</v>
      </c>
      <c r="I1574">
        <v>11768</v>
      </c>
      <c r="J1574">
        <v>0</v>
      </c>
      <c r="K1574">
        <v>0</v>
      </c>
      <c r="L1574" s="4" t="s">
        <v>2323</v>
      </c>
      <c r="M1574" s="4" t="str">
        <f t="shared" si="218"/>
        <v>6/13/2024</v>
      </c>
      <c r="N1574" s="1">
        <f t="shared" ca="1" si="219"/>
        <v>46064</v>
      </c>
      <c r="O1574" s="6" t="e">
        <f t="shared" ca="1" si="220"/>
        <v>#VALUE!</v>
      </c>
      <c r="P1574">
        <v>2</v>
      </c>
      <c r="Q1574">
        <f t="shared" si="221"/>
        <v>43113</v>
      </c>
      <c r="R1574" s="2">
        <f t="shared" si="222"/>
        <v>21556.5</v>
      </c>
      <c r="S1574" s="2" t="str">
        <f t="shared" si="223"/>
        <v xml:space="preserve"> Not Achieved</v>
      </c>
      <c r="T1574" s="2" t="str">
        <f t="shared" si="224"/>
        <v>Average</v>
      </c>
      <c r="U1574" s="2"/>
    </row>
    <row r="1575" spans="1:21" x14ac:dyDescent="0.3">
      <c r="A1575">
        <v>1574</v>
      </c>
      <c r="B1575" t="s">
        <v>2324</v>
      </c>
      <c r="C1575" t="str">
        <f t="shared" si="216"/>
        <v>EMP_1574</v>
      </c>
      <c r="D1575" t="s">
        <v>11</v>
      </c>
      <c r="E1575" t="str">
        <f t="shared" si="217"/>
        <v>EMP_1574Marketing</v>
      </c>
      <c r="F1575" t="s">
        <v>24</v>
      </c>
      <c r="G1575" t="s">
        <v>16</v>
      </c>
      <c r="H1575">
        <v>65692</v>
      </c>
      <c r="I1575">
        <v>12463</v>
      </c>
      <c r="J1575">
        <v>0</v>
      </c>
      <c r="K1575">
        <v>0</v>
      </c>
      <c r="L1575" s="4" t="s">
        <v>2325</v>
      </c>
      <c r="M1575" s="4" t="str">
        <f t="shared" si="218"/>
        <v>11/18/2024</v>
      </c>
      <c r="N1575" s="1">
        <f t="shared" ca="1" si="219"/>
        <v>46064</v>
      </c>
      <c r="O1575" s="6" t="e">
        <f t="shared" ca="1" si="220"/>
        <v>#VALUE!</v>
      </c>
      <c r="P1575">
        <v>2</v>
      </c>
      <c r="Q1575">
        <f t="shared" si="221"/>
        <v>78155</v>
      </c>
      <c r="R1575" s="2">
        <f t="shared" si="222"/>
        <v>39077.5</v>
      </c>
      <c r="S1575" s="2" t="str">
        <f t="shared" si="223"/>
        <v xml:space="preserve"> Not Achieved</v>
      </c>
      <c r="T1575" s="2" t="str">
        <f t="shared" si="224"/>
        <v xml:space="preserve"> Excellent</v>
      </c>
      <c r="U1575" s="2"/>
    </row>
    <row r="1576" spans="1:21" x14ac:dyDescent="0.3">
      <c r="A1576">
        <v>1575</v>
      </c>
      <c r="B1576" t="s">
        <v>2326</v>
      </c>
      <c r="C1576" t="str">
        <f t="shared" si="216"/>
        <v>EMP_1575</v>
      </c>
      <c r="D1576" t="s">
        <v>11</v>
      </c>
      <c r="E1576" t="str">
        <f t="shared" si="217"/>
        <v>EMP_1575Marketing</v>
      </c>
      <c r="F1576" t="s">
        <v>24</v>
      </c>
      <c r="G1576" t="s">
        <v>16</v>
      </c>
      <c r="H1576">
        <v>68178</v>
      </c>
      <c r="I1576">
        <v>12638</v>
      </c>
      <c r="J1576">
        <v>0</v>
      </c>
      <c r="K1576">
        <v>0</v>
      </c>
      <c r="L1576" s="4" t="s">
        <v>2327</v>
      </c>
      <c r="M1576" s="4" t="str">
        <f t="shared" si="218"/>
        <v>10/25/2020</v>
      </c>
      <c r="N1576" s="1">
        <f t="shared" ca="1" si="219"/>
        <v>46064</v>
      </c>
      <c r="O1576" s="6" t="e">
        <f t="shared" ca="1" si="220"/>
        <v>#VALUE!</v>
      </c>
      <c r="P1576">
        <v>2</v>
      </c>
      <c r="Q1576">
        <f t="shared" si="221"/>
        <v>80816</v>
      </c>
      <c r="R1576" s="2">
        <f t="shared" si="222"/>
        <v>40408</v>
      </c>
      <c r="S1576" s="2" t="str">
        <f t="shared" si="223"/>
        <v xml:space="preserve"> Not Achieved</v>
      </c>
      <c r="T1576" s="2" t="str">
        <f t="shared" si="224"/>
        <v xml:space="preserve"> Excellent</v>
      </c>
      <c r="U1576" s="2"/>
    </row>
    <row r="1577" spans="1:21" x14ac:dyDescent="0.3">
      <c r="A1577">
        <v>1576</v>
      </c>
      <c r="B1577" t="s">
        <v>2328</v>
      </c>
      <c r="C1577" t="str">
        <f t="shared" si="216"/>
        <v>EMP_1576</v>
      </c>
      <c r="D1577" t="s">
        <v>11</v>
      </c>
      <c r="E1577" t="str">
        <f t="shared" si="217"/>
        <v>EMP_1576HR</v>
      </c>
      <c r="F1577" t="s">
        <v>12</v>
      </c>
      <c r="G1577" t="s">
        <v>13</v>
      </c>
      <c r="H1577">
        <v>64867</v>
      </c>
      <c r="I1577">
        <v>6817</v>
      </c>
      <c r="J1577">
        <v>0</v>
      </c>
      <c r="K1577">
        <v>0</v>
      </c>
      <c r="L1577" s="4" t="s">
        <v>2329</v>
      </c>
      <c r="M1577" s="4" t="str">
        <f t="shared" si="218"/>
        <v>7/13/2023</v>
      </c>
      <c r="N1577" s="1">
        <f t="shared" ca="1" si="219"/>
        <v>46064</v>
      </c>
      <c r="O1577" s="6" t="e">
        <f t="shared" ca="1" si="220"/>
        <v>#VALUE!</v>
      </c>
      <c r="P1577">
        <v>3</v>
      </c>
      <c r="Q1577">
        <f t="shared" si="221"/>
        <v>71684</v>
      </c>
      <c r="R1577" s="2">
        <f t="shared" si="222"/>
        <v>35842</v>
      </c>
      <c r="S1577" s="2" t="str">
        <f t="shared" si="223"/>
        <v xml:space="preserve"> Not Achieved</v>
      </c>
      <c r="T1577" s="2" t="str">
        <f t="shared" si="224"/>
        <v xml:space="preserve"> Excellent</v>
      </c>
      <c r="U1577" s="2"/>
    </row>
    <row r="1578" spans="1:21" x14ac:dyDescent="0.3">
      <c r="A1578">
        <v>1577</v>
      </c>
      <c r="B1578" t="s">
        <v>2330</v>
      </c>
      <c r="C1578" t="str">
        <f t="shared" si="216"/>
        <v>EMP_1577</v>
      </c>
      <c r="D1578" t="s">
        <v>11</v>
      </c>
      <c r="E1578" t="str">
        <f t="shared" si="217"/>
        <v>EMP_1577Sales</v>
      </c>
      <c r="F1578" t="s">
        <v>7</v>
      </c>
      <c r="G1578" t="s">
        <v>22</v>
      </c>
      <c r="H1578">
        <v>79950</v>
      </c>
      <c r="I1578">
        <v>10823</v>
      </c>
      <c r="J1578">
        <v>103220</v>
      </c>
      <c r="K1578">
        <v>216592</v>
      </c>
      <c r="L1578" s="4">
        <v>43444</v>
      </c>
      <c r="M1578" s="4" t="str">
        <f t="shared" si="218"/>
        <v>2018</v>
      </c>
      <c r="N1578" s="1">
        <f t="shared" ca="1" si="219"/>
        <v>46064</v>
      </c>
      <c r="O1578" s="6">
        <f t="shared" ca="1" si="220"/>
        <v>7</v>
      </c>
      <c r="P1578">
        <v>4</v>
      </c>
      <c r="Q1578">
        <f t="shared" si="221"/>
        <v>90773</v>
      </c>
      <c r="R1578" s="2">
        <f t="shared" si="222"/>
        <v>45386.5</v>
      </c>
      <c r="S1578" s="2" t="str">
        <f t="shared" si="223"/>
        <v xml:space="preserve"> Not Achieved</v>
      </c>
      <c r="T1578" s="2" t="str">
        <f t="shared" si="224"/>
        <v xml:space="preserve"> Excellent</v>
      </c>
      <c r="U1578" s="2"/>
    </row>
    <row r="1579" spans="1:21" x14ac:dyDescent="0.3">
      <c r="A1579">
        <v>1578</v>
      </c>
      <c r="B1579" t="s">
        <v>2331</v>
      </c>
      <c r="C1579" t="str">
        <f t="shared" si="216"/>
        <v>EMP_1578</v>
      </c>
      <c r="D1579" t="s">
        <v>15</v>
      </c>
      <c r="E1579" t="str">
        <f t="shared" si="217"/>
        <v>EMP_1578Finance</v>
      </c>
      <c r="F1579" t="s">
        <v>18</v>
      </c>
      <c r="G1579" t="s">
        <v>25</v>
      </c>
      <c r="H1579">
        <v>76296</v>
      </c>
      <c r="I1579">
        <v>2191</v>
      </c>
      <c r="J1579">
        <v>0</v>
      </c>
      <c r="K1579">
        <v>0</v>
      </c>
      <c r="L1579" s="4">
        <v>45173</v>
      </c>
      <c r="M1579" s="4" t="str">
        <f t="shared" si="218"/>
        <v>2023</v>
      </c>
      <c r="N1579" s="1">
        <f t="shared" ca="1" si="219"/>
        <v>46064</v>
      </c>
      <c r="O1579" s="6">
        <f t="shared" ca="1" si="220"/>
        <v>2</v>
      </c>
      <c r="P1579">
        <v>1</v>
      </c>
      <c r="Q1579">
        <f t="shared" si="221"/>
        <v>78487</v>
      </c>
      <c r="R1579" s="2">
        <f t="shared" si="222"/>
        <v>39243.5</v>
      </c>
      <c r="S1579" s="2" t="str">
        <f t="shared" si="223"/>
        <v xml:space="preserve"> Not Achieved</v>
      </c>
      <c r="T1579" s="2" t="str">
        <f t="shared" si="224"/>
        <v xml:space="preserve"> Excellent</v>
      </c>
      <c r="U1579" s="2"/>
    </row>
    <row r="1580" spans="1:21" x14ac:dyDescent="0.3">
      <c r="A1580">
        <v>1579</v>
      </c>
      <c r="B1580" t="s">
        <v>2332</v>
      </c>
      <c r="C1580" t="str">
        <f t="shared" si="216"/>
        <v>EMP_1579</v>
      </c>
      <c r="D1580" t="s">
        <v>11</v>
      </c>
      <c r="E1580" t="str">
        <f t="shared" si="217"/>
        <v>EMP_1579HR</v>
      </c>
      <c r="F1580" t="s">
        <v>12</v>
      </c>
      <c r="G1580" t="s">
        <v>16</v>
      </c>
      <c r="H1580">
        <v>25947</v>
      </c>
      <c r="I1580">
        <v>3982</v>
      </c>
      <c r="J1580">
        <v>0</v>
      </c>
      <c r="K1580">
        <v>0</v>
      </c>
      <c r="L1580" s="4">
        <v>44478</v>
      </c>
      <c r="M1580" s="4" t="str">
        <f t="shared" si="218"/>
        <v>2021</v>
      </c>
      <c r="N1580" s="1">
        <f t="shared" ca="1" si="219"/>
        <v>46064</v>
      </c>
      <c r="O1580" s="6">
        <f t="shared" ca="1" si="220"/>
        <v>4</v>
      </c>
      <c r="P1580">
        <v>1</v>
      </c>
      <c r="Q1580">
        <f t="shared" si="221"/>
        <v>29929</v>
      </c>
      <c r="R1580" s="2">
        <f t="shared" si="222"/>
        <v>14964.5</v>
      </c>
      <c r="S1580" s="2" t="str">
        <f t="shared" si="223"/>
        <v xml:space="preserve"> Not Achieved</v>
      </c>
      <c r="T1580" s="2" t="str">
        <f t="shared" si="224"/>
        <v>poor</v>
      </c>
      <c r="U1580" s="2"/>
    </row>
    <row r="1581" spans="1:21" x14ac:dyDescent="0.3">
      <c r="A1581">
        <v>1580</v>
      </c>
      <c r="B1581" t="s">
        <v>2333</v>
      </c>
      <c r="C1581" t="str">
        <f t="shared" si="216"/>
        <v>EMP_1580</v>
      </c>
      <c r="D1581" t="s">
        <v>15</v>
      </c>
      <c r="E1581" t="str">
        <f t="shared" si="217"/>
        <v>EMP_1580Marketing</v>
      </c>
      <c r="F1581" t="s">
        <v>24</v>
      </c>
      <c r="G1581" t="s">
        <v>16</v>
      </c>
      <c r="H1581">
        <v>73950</v>
      </c>
      <c r="I1581">
        <v>13776</v>
      </c>
      <c r="J1581">
        <v>0</v>
      </c>
      <c r="K1581">
        <v>0</v>
      </c>
      <c r="L1581" s="4">
        <v>44905</v>
      </c>
      <c r="M1581" s="4" t="str">
        <f t="shared" si="218"/>
        <v>2022</v>
      </c>
      <c r="N1581" s="1">
        <f t="shared" ca="1" si="219"/>
        <v>46064</v>
      </c>
      <c r="O1581" s="6">
        <f t="shared" ca="1" si="220"/>
        <v>3</v>
      </c>
      <c r="P1581">
        <v>1</v>
      </c>
      <c r="Q1581">
        <f t="shared" si="221"/>
        <v>87726</v>
      </c>
      <c r="R1581" s="2">
        <f t="shared" si="222"/>
        <v>43863</v>
      </c>
      <c r="S1581" s="2" t="str">
        <f t="shared" si="223"/>
        <v xml:space="preserve"> Not Achieved</v>
      </c>
      <c r="T1581" s="2" t="str">
        <f t="shared" si="224"/>
        <v xml:space="preserve"> Excellent</v>
      </c>
      <c r="U1581" s="2"/>
    </row>
    <row r="1582" spans="1:21" x14ac:dyDescent="0.3">
      <c r="A1582">
        <v>1581</v>
      </c>
      <c r="B1582" t="s">
        <v>2334</v>
      </c>
      <c r="C1582" t="str">
        <f t="shared" si="216"/>
        <v>EMP_1581</v>
      </c>
      <c r="D1582" t="s">
        <v>11</v>
      </c>
      <c r="E1582" t="str">
        <f t="shared" si="217"/>
        <v>EMP_1581Marketing</v>
      </c>
      <c r="F1582" t="s">
        <v>24</v>
      </c>
      <c r="G1582" t="s">
        <v>13</v>
      </c>
      <c r="H1582">
        <v>67927</v>
      </c>
      <c r="I1582">
        <v>12540</v>
      </c>
      <c r="J1582">
        <v>0</v>
      </c>
      <c r="K1582">
        <v>0</v>
      </c>
      <c r="L1582" s="4" t="s">
        <v>2327</v>
      </c>
      <c r="M1582" s="4" t="str">
        <f t="shared" si="218"/>
        <v>10/25/2020</v>
      </c>
      <c r="N1582" s="1">
        <f t="shared" ca="1" si="219"/>
        <v>46064</v>
      </c>
      <c r="O1582" s="6" t="e">
        <f t="shared" ca="1" si="220"/>
        <v>#VALUE!</v>
      </c>
      <c r="P1582">
        <v>5</v>
      </c>
      <c r="Q1582">
        <f t="shared" si="221"/>
        <v>80467</v>
      </c>
      <c r="R1582" s="2">
        <f t="shared" si="222"/>
        <v>40233.5</v>
      </c>
      <c r="S1582" s="2" t="str">
        <f t="shared" si="223"/>
        <v xml:space="preserve"> Not Achieved</v>
      </c>
      <c r="T1582" s="2" t="str">
        <f t="shared" si="224"/>
        <v xml:space="preserve"> Excellent</v>
      </c>
      <c r="U1582" s="2"/>
    </row>
    <row r="1583" spans="1:21" x14ac:dyDescent="0.3">
      <c r="A1583">
        <v>1582</v>
      </c>
      <c r="B1583" t="s">
        <v>2335</v>
      </c>
      <c r="C1583" t="str">
        <f t="shared" si="216"/>
        <v>EMP_1582</v>
      </c>
      <c r="D1583" t="s">
        <v>11</v>
      </c>
      <c r="E1583" t="str">
        <f t="shared" si="217"/>
        <v>EMP_1582HR</v>
      </c>
      <c r="F1583" t="s">
        <v>12</v>
      </c>
      <c r="G1583" t="s">
        <v>19</v>
      </c>
      <c r="H1583">
        <v>47014</v>
      </c>
      <c r="I1583">
        <v>2748</v>
      </c>
      <c r="J1583">
        <v>0</v>
      </c>
      <c r="K1583">
        <v>0</v>
      </c>
      <c r="L1583" s="4" t="s">
        <v>358</v>
      </c>
      <c r="M1583" s="4" t="str">
        <f t="shared" si="218"/>
        <v>2/23/2018</v>
      </c>
      <c r="N1583" s="1">
        <f t="shared" ca="1" si="219"/>
        <v>46064</v>
      </c>
      <c r="O1583" s="6" t="e">
        <f t="shared" ca="1" si="220"/>
        <v>#VALUE!</v>
      </c>
      <c r="P1583">
        <v>4</v>
      </c>
      <c r="Q1583">
        <f t="shared" si="221"/>
        <v>49762</v>
      </c>
      <c r="R1583" s="2">
        <f t="shared" si="222"/>
        <v>24881</v>
      </c>
      <c r="S1583" s="2" t="str">
        <f t="shared" si="223"/>
        <v xml:space="preserve"> Not Achieved</v>
      </c>
      <c r="T1583" s="2" t="str">
        <f t="shared" si="224"/>
        <v>Good</v>
      </c>
      <c r="U1583" s="2"/>
    </row>
    <row r="1584" spans="1:21" x14ac:dyDescent="0.3">
      <c r="A1584">
        <v>1583</v>
      </c>
      <c r="B1584" t="s">
        <v>2336</v>
      </c>
      <c r="C1584" t="str">
        <f t="shared" si="216"/>
        <v>EMP_1583</v>
      </c>
      <c r="D1584" t="s">
        <v>15</v>
      </c>
      <c r="E1584" t="str">
        <f t="shared" si="217"/>
        <v>EMP_1583HR</v>
      </c>
      <c r="F1584" t="s">
        <v>12</v>
      </c>
      <c r="G1584" t="s">
        <v>13</v>
      </c>
      <c r="H1584">
        <v>22029</v>
      </c>
      <c r="I1584">
        <v>6452</v>
      </c>
      <c r="J1584">
        <v>0</v>
      </c>
      <c r="K1584">
        <v>0</v>
      </c>
      <c r="L1584" s="4" t="s">
        <v>2337</v>
      </c>
      <c r="M1584" s="4" t="str">
        <f t="shared" si="218"/>
        <v>5/16/2024</v>
      </c>
      <c r="N1584" s="1">
        <f t="shared" ca="1" si="219"/>
        <v>46064</v>
      </c>
      <c r="O1584" s="6" t="e">
        <f t="shared" ca="1" si="220"/>
        <v>#VALUE!</v>
      </c>
      <c r="P1584">
        <v>4</v>
      </c>
      <c r="Q1584">
        <f t="shared" si="221"/>
        <v>28481</v>
      </c>
      <c r="R1584" s="2">
        <f t="shared" si="222"/>
        <v>14240.5</v>
      </c>
      <c r="S1584" s="2" t="str">
        <f t="shared" si="223"/>
        <v xml:space="preserve"> Not Achieved</v>
      </c>
      <c r="T1584" s="2" t="str">
        <f t="shared" si="224"/>
        <v>poor</v>
      </c>
      <c r="U1584" s="2"/>
    </row>
    <row r="1585" spans="1:21" x14ac:dyDescent="0.3">
      <c r="A1585">
        <v>1584</v>
      </c>
      <c r="B1585" t="s">
        <v>2338</v>
      </c>
      <c r="C1585" t="str">
        <f t="shared" si="216"/>
        <v>EMP_1584</v>
      </c>
      <c r="D1585" t="s">
        <v>15</v>
      </c>
      <c r="E1585" t="str">
        <f t="shared" si="217"/>
        <v>EMP_1584Marketing</v>
      </c>
      <c r="F1585" t="s">
        <v>24</v>
      </c>
      <c r="G1585" t="s">
        <v>19</v>
      </c>
      <c r="H1585">
        <v>30273</v>
      </c>
      <c r="I1585">
        <v>8848</v>
      </c>
      <c r="J1585">
        <v>0</v>
      </c>
      <c r="K1585">
        <v>0</v>
      </c>
      <c r="L1585" s="4" t="s">
        <v>471</v>
      </c>
      <c r="M1585" s="4" t="str">
        <f t="shared" si="218"/>
        <v>7/20/2020</v>
      </c>
      <c r="N1585" s="1">
        <f t="shared" ca="1" si="219"/>
        <v>46064</v>
      </c>
      <c r="O1585" s="6" t="e">
        <f t="shared" ca="1" si="220"/>
        <v>#VALUE!</v>
      </c>
      <c r="P1585">
        <v>5</v>
      </c>
      <c r="Q1585">
        <f t="shared" si="221"/>
        <v>39121</v>
      </c>
      <c r="R1585" s="2">
        <f t="shared" si="222"/>
        <v>19560.5</v>
      </c>
      <c r="S1585" s="2" t="str">
        <f t="shared" si="223"/>
        <v xml:space="preserve"> Not Achieved</v>
      </c>
      <c r="T1585" s="2" t="str">
        <f t="shared" si="224"/>
        <v>Average</v>
      </c>
      <c r="U1585" s="2"/>
    </row>
    <row r="1586" spans="1:21" x14ac:dyDescent="0.3">
      <c r="A1586">
        <v>1585</v>
      </c>
      <c r="B1586" t="s">
        <v>2339</v>
      </c>
      <c r="C1586" t="str">
        <f t="shared" si="216"/>
        <v>EMP_1585</v>
      </c>
      <c r="D1586" t="s">
        <v>15</v>
      </c>
      <c r="E1586" t="str">
        <f t="shared" si="217"/>
        <v>EMP_1585Marketing</v>
      </c>
      <c r="F1586" t="s">
        <v>24</v>
      </c>
      <c r="G1586" t="s">
        <v>22</v>
      </c>
      <c r="H1586">
        <v>36891</v>
      </c>
      <c r="I1586">
        <v>2781</v>
      </c>
      <c r="J1586">
        <v>0</v>
      </c>
      <c r="K1586">
        <v>0</v>
      </c>
      <c r="L1586" s="4" t="s">
        <v>2340</v>
      </c>
      <c r="M1586" s="4" t="str">
        <f t="shared" si="218"/>
        <v>11/22/2020</v>
      </c>
      <c r="N1586" s="1">
        <f t="shared" ca="1" si="219"/>
        <v>46064</v>
      </c>
      <c r="O1586" s="6" t="e">
        <f t="shared" ca="1" si="220"/>
        <v>#VALUE!</v>
      </c>
      <c r="P1586">
        <v>2</v>
      </c>
      <c r="Q1586">
        <f t="shared" si="221"/>
        <v>39672</v>
      </c>
      <c r="R1586" s="2">
        <f t="shared" si="222"/>
        <v>19836</v>
      </c>
      <c r="S1586" s="2" t="str">
        <f t="shared" si="223"/>
        <v xml:space="preserve"> Not Achieved</v>
      </c>
      <c r="T1586" s="2" t="str">
        <f t="shared" si="224"/>
        <v>Average</v>
      </c>
      <c r="U1586" s="2"/>
    </row>
    <row r="1587" spans="1:21" x14ac:dyDescent="0.3">
      <c r="A1587">
        <v>1586</v>
      </c>
      <c r="B1587" t="s">
        <v>2341</v>
      </c>
      <c r="C1587" t="str">
        <f t="shared" si="216"/>
        <v>EMP_1586</v>
      </c>
      <c r="D1587" t="s">
        <v>15</v>
      </c>
      <c r="E1587" t="str">
        <f t="shared" si="217"/>
        <v>EMP_1586Marketing</v>
      </c>
      <c r="F1587" t="s">
        <v>24</v>
      </c>
      <c r="G1587" t="s">
        <v>16</v>
      </c>
      <c r="H1587">
        <v>33126</v>
      </c>
      <c r="I1587">
        <v>4799</v>
      </c>
      <c r="J1587">
        <v>0</v>
      </c>
      <c r="K1587">
        <v>0</v>
      </c>
      <c r="L1587" s="4" t="s">
        <v>1066</v>
      </c>
      <c r="M1587" s="4" t="str">
        <f t="shared" si="218"/>
        <v>8/18/2021</v>
      </c>
      <c r="N1587" s="1">
        <f t="shared" ca="1" si="219"/>
        <v>46064</v>
      </c>
      <c r="O1587" s="6" t="e">
        <f t="shared" ca="1" si="220"/>
        <v>#VALUE!</v>
      </c>
      <c r="P1587">
        <v>3</v>
      </c>
      <c r="Q1587">
        <f t="shared" si="221"/>
        <v>37925</v>
      </c>
      <c r="R1587" s="2">
        <f t="shared" si="222"/>
        <v>18962.5</v>
      </c>
      <c r="S1587" s="2" t="str">
        <f t="shared" si="223"/>
        <v xml:space="preserve"> Not Achieved</v>
      </c>
      <c r="T1587" s="2" t="str">
        <f t="shared" si="224"/>
        <v>Average</v>
      </c>
      <c r="U1587" s="2"/>
    </row>
    <row r="1588" spans="1:21" x14ac:dyDescent="0.3">
      <c r="A1588">
        <v>1587</v>
      </c>
      <c r="B1588" t="s">
        <v>2342</v>
      </c>
      <c r="C1588" t="str">
        <f t="shared" si="216"/>
        <v>EMP_1587</v>
      </c>
      <c r="D1588" t="s">
        <v>15</v>
      </c>
      <c r="E1588" t="str">
        <f t="shared" si="217"/>
        <v>EMP_1587Sales</v>
      </c>
      <c r="F1588" t="s">
        <v>7</v>
      </c>
      <c r="G1588" t="s">
        <v>16</v>
      </c>
      <c r="H1588">
        <v>63774</v>
      </c>
      <c r="I1588">
        <v>13742</v>
      </c>
      <c r="J1588">
        <v>86160</v>
      </c>
      <c r="K1588">
        <v>224273</v>
      </c>
      <c r="L1588" s="4">
        <v>44420</v>
      </c>
      <c r="M1588" s="4" t="str">
        <f t="shared" si="218"/>
        <v>2021</v>
      </c>
      <c r="N1588" s="1">
        <f t="shared" ca="1" si="219"/>
        <v>46064</v>
      </c>
      <c r="O1588" s="6">
        <f t="shared" ca="1" si="220"/>
        <v>4</v>
      </c>
      <c r="P1588">
        <v>3</v>
      </c>
      <c r="Q1588">
        <f t="shared" si="221"/>
        <v>77516</v>
      </c>
      <c r="R1588" s="2">
        <f t="shared" si="222"/>
        <v>38758</v>
      </c>
      <c r="S1588" s="2" t="str">
        <f t="shared" si="223"/>
        <v xml:space="preserve"> Not Achieved</v>
      </c>
      <c r="T1588" s="2" t="str">
        <f t="shared" si="224"/>
        <v xml:space="preserve"> Excellent</v>
      </c>
      <c r="U1588" s="2"/>
    </row>
    <row r="1589" spans="1:21" x14ac:dyDescent="0.3">
      <c r="A1589">
        <v>1588</v>
      </c>
      <c r="B1589" t="s">
        <v>2343</v>
      </c>
      <c r="C1589" t="str">
        <f t="shared" si="216"/>
        <v>EMP_1588</v>
      </c>
      <c r="D1589" t="s">
        <v>15</v>
      </c>
      <c r="E1589" t="str">
        <f t="shared" si="217"/>
        <v>EMP_1588Sales</v>
      </c>
      <c r="F1589" t="s">
        <v>7</v>
      </c>
      <c r="G1589" t="s">
        <v>25</v>
      </c>
      <c r="H1589">
        <v>67577</v>
      </c>
      <c r="I1589">
        <v>13664</v>
      </c>
      <c r="J1589">
        <v>199631</v>
      </c>
      <c r="K1589">
        <v>175729</v>
      </c>
      <c r="L1589" s="4" t="s">
        <v>1180</v>
      </c>
      <c r="M1589" s="4" t="str">
        <f t="shared" si="218"/>
        <v>12/26/2018</v>
      </c>
      <c r="N1589" s="1">
        <f t="shared" ca="1" si="219"/>
        <v>46064</v>
      </c>
      <c r="O1589" s="6" t="e">
        <f t="shared" ca="1" si="220"/>
        <v>#VALUE!</v>
      </c>
      <c r="P1589">
        <v>2</v>
      </c>
      <c r="Q1589">
        <f t="shared" si="221"/>
        <v>81241</v>
      </c>
      <c r="R1589" s="2">
        <f t="shared" si="222"/>
        <v>40620.5</v>
      </c>
      <c r="S1589" s="2" t="str">
        <f t="shared" si="223"/>
        <v>Achieved</v>
      </c>
      <c r="T1589" s="2" t="str">
        <f t="shared" si="224"/>
        <v xml:space="preserve"> Excellent</v>
      </c>
      <c r="U1589" s="2"/>
    </row>
    <row r="1590" spans="1:21" x14ac:dyDescent="0.3">
      <c r="A1590">
        <v>1589</v>
      </c>
      <c r="B1590" t="s">
        <v>2344</v>
      </c>
      <c r="C1590" t="str">
        <f t="shared" si="216"/>
        <v>EMP_1589</v>
      </c>
      <c r="D1590" t="s">
        <v>11</v>
      </c>
      <c r="E1590" t="str">
        <f t="shared" si="217"/>
        <v>EMP_1589Sales</v>
      </c>
      <c r="F1590" t="s">
        <v>7</v>
      </c>
      <c r="G1590" t="s">
        <v>13</v>
      </c>
      <c r="H1590">
        <v>50452</v>
      </c>
      <c r="I1590">
        <v>14795</v>
      </c>
      <c r="J1590">
        <v>113051</v>
      </c>
      <c r="K1590">
        <v>96950</v>
      </c>
      <c r="L1590" s="4">
        <v>43224</v>
      </c>
      <c r="M1590" s="4" t="str">
        <f t="shared" si="218"/>
        <v>2018</v>
      </c>
      <c r="N1590" s="1">
        <f t="shared" ca="1" si="219"/>
        <v>46064</v>
      </c>
      <c r="O1590" s="6">
        <f t="shared" ca="1" si="220"/>
        <v>7</v>
      </c>
      <c r="P1590">
        <v>5</v>
      </c>
      <c r="Q1590">
        <f t="shared" si="221"/>
        <v>65247</v>
      </c>
      <c r="R1590" s="2">
        <f t="shared" si="222"/>
        <v>32623.5</v>
      </c>
      <c r="S1590" s="2" t="str">
        <f t="shared" si="223"/>
        <v>Achieved</v>
      </c>
      <c r="T1590" s="2" t="str">
        <f t="shared" si="224"/>
        <v xml:space="preserve"> Excellent</v>
      </c>
      <c r="U1590" s="2"/>
    </row>
    <row r="1591" spans="1:21" x14ac:dyDescent="0.3">
      <c r="A1591">
        <v>1590</v>
      </c>
      <c r="B1591" t="s">
        <v>2345</v>
      </c>
      <c r="C1591" t="str">
        <f t="shared" si="216"/>
        <v>EMP_1590</v>
      </c>
      <c r="D1591" t="s">
        <v>15</v>
      </c>
      <c r="E1591" t="str">
        <f t="shared" si="217"/>
        <v>EMP_1590Sales</v>
      </c>
      <c r="F1591" t="s">
        <v>7</v>
      </c>
      <c r="G1591" t="s">
        <v>25</v>
      </c>
      <c r="H1591">
        <v>64284</v>
      </c>
      <c r="I1591">
        <v>9620</v>
      </c>
      <c r="J1591">
        <v>247418</v>
      </c>
      <c r="K1591">
        <v>190761</v>
      </c>
      <c r="L1591" s="4">
        <v>43198</v>
      </c>
      <c r="M1591" s="4" t="str">
        <f t="shared" si="218"/>
        <v>2018</v>
      </c>
      <c r="N1591" s="1">
        <f t="shared" ca="1" si="219"/>
        <v>46064</v>
      </c>
      <c r="O1591" s="6">
        <f t="shared" ca="1" si="220"/>
        <v>7</v>
      </c>
      <c r="P1591">
        <v>4</v>
      </c>
      <c r="Q1591">
        <f t="shared" si="221"/>
        <v>73904</v>
      </c>
      <c r="R1591" s="2">
        <f t="shared" si="222"/>
        <v>36952</v>
      </c>
      <c r="S1591" s="2" t="str">
        <f t="shared" si="223"/>
        <v>Achieved</v>
      </c>
      <c r="T1591" s="2" t="str">
        <f t="shared" si="224"/>
        <v xml:space="preserve"> Excellent</v>
      </c>
      <c r="U1591" s="2"/>
    </row>
    <row r="1592" spans="1:21" x14ac:dyDescent="0.3">
      <c r="A1592">
        <v>1591</v>
      </c>
      <c r="B1592" t="s">
        <v>2346</v>
      </c>
      <c r="C1592" t="str">
        <f t="shared" si="216"/>
        <v>EMP_1591</v>
      </c>
      <c r="D1592" t="s">
        <v>11</v>
      </c>
      <c r="E1592" t="str">
        <f t="shared" si="217"/>
        <v>EMP_1591Marketing</v>
      </c>
      <c r="F1592" t="s">
        <v>24</v>
      </c>
      <c r="G1592" t="s">
        <v>25</v>
      </c>
      <c r="H1592">
        <v>70607</v>
      </c>
      <c r="I1592">
        <v>4312</v>
      </c>
      <c r="J1592">
        <v>0</v>
      </c>
      <c r="K1592">
        <v>0</v>
      </c>
      <c r="L1592" s="4" t="s">
        <v>1759</v>
      </c>
      <c r="M1592" s="4" t="str">
        <f t="shared" si="218"/>
        <v>12/23/2019</v>
      </c>
      <c r="N1592" s="1">
        <f t="shared" ca="1" si="219"/>
        <v>46064</v>
      </c>
      <c r="O1592" s="6" t="e">
        <f t="shared" ca="1" si="220"/>
        <v>#VALUE!</v>
      </c>
      <c r="P1592">
        <v>3</v>
      </c>
      <c r="Q1592">
        <f t="shared" si="221"/>
        <v>74919</v>
      </c>
      <c r="R1592" s="2">
        <f t="shared" si="222"/>
        <v>37459.5</v>
      </c>
      <c r="S1592" s="2" t="str">
        <f t="shared" si="223"/>
        <v xml:space="preserve"> Not Achieved</v>
      </c>
      <c r="T1592" s="2" t="str">
        <f t="shared" si="224"/>
        <v xml:space="preserve"> Excellent</v>
      </c>
      <c r="U1592" s="2"/>
    </row>
    <row r="1593" spans="1:21" x14ac:dyDescent="0.3">
      <c r="A1593">
        <v>1592</v>
      </c>
      <c r="B1593" t="s">
        <v>2347</v>
      </c>
      <c r="C1593" t="str">
        <f t="shared" si="216"/>
        <v>EMP_1592</v>
      </c>
      <c r="D1593" t="s">
        <v>11</v>
      </c>
      <c r="E1593" t="str">
        <f t="shared" si="217"/>
        <v>EMP_1592Marketing</v>
      </c>
      <c r="F1593" t="s">
        <v>24</v>
      </c>
      <c r="G1593" t="s">
        <v>22</v>
      </c>
      <c r="H1593">
        <v>39920</v>
      </c>
      <c r="I1593">
        <v>14180</v>
      </c>
      <c r="J1593">
        <v>0</v>
      </c>
      <c r="K1593">
        <v>0</v>
      </c>
      <c r="L1593" s="4" t="s">
        <v>2348</v>
      </c>
      <c r="M1593" s="4" t="str">
        <f t="shared" si="218"/>
        <v>10/31/2021</v>
      </c>
      <c r="N1593" s="1">
        <f t="shared" ca="1" si="219"/>
        <v>46064</v>
      </c>
      <c r="O1593" s="6" t="e">
        <f t="shared" ca="1" si="220"/>
        <v>#VALUE!</v>
      </c>
      <c r="P1593">
        <v>5</v>
      </c>
      <c r="Q1593">
        <f t="shared" si="221"/>
        <v>54100</v>
      </c>
      <c r="R1593" s="2">
        <f t="shared" si="222"/>
        <v>27050</v>
      </c>
      <c r="S1593" s="2" t="str">
        <f t="shared" si="223"/>
        <v xml:space="preserve"> Not Achieved</v>
      </c>
      <c r="T1593" s="2" t="str">
        <f t="shared" si="224"/>
        <v>Average</v>
      </c>
      <c r="U1593" s="2"/>
    </row>
    <row r="1594" spans="1:21" x14ac:dyDescent="0.3">
      <c r="A1594">
        <v>1593</v>
      </c>
      <c r="B1594" t="s">
        <v>2349</v>
      </c>
      <c r="C1594" t="str">
        <f t="shared" si="216"/>
        <v>EMP_1593</v>
      </c>
      <c r="D1594" t="s">
        <v>11</v>
      </c>
      <c r="E1594" t="str">
        <f t="shared" si="217"/>
        <v>EMP_1593IT</v>
      </c>
      <c r="F1594" t="s">
        <v>21</v>
      </c>
      <c r="G1594" t="s">
        <v>19</v>
      </c>
      <c r="H1594">
        <v>70605</v>
      </c>
      <c r="I1594">
        <v>5703</v>
      </c>
      <c r="J1594">
        <v>0</v>
      </c>
      <c r="K1594">
        <v>0</v>
      </c>
      <c r="L1594" s="4" t="s">
        <v>2350</v>
      </c>
      <c r="M1594" s="4" t="str">
        <f t="shared" si="218"/>
        <v>6/23/2018</v>
      </c>
      <c r="N1594" s="1">
        <f t="shared" ca="1" si="219"/>
        <v>46064</v>
      </c>
      <c r="O1594" s="6" t="e">
        <f t="shared" ca="1" si="220"/>
        <v>#VALUE!</v>
      </c>
      <c r="P1594">
        <v>4</v>
      </c>
      <c r="Q1594">
        <f t="shared" si="221"/>
        <v>76308</v>
      </c>
      <c r="R1594" s="2">
        <f t="shared" si="222"/>
        <v>38154</v>
      </c>
      <c r="S1594" s="2" t="str">
        <f t="shared" si="223"/>
        <v xml:space="preserve"> Not Achieved</v>
      </c>
      <c r="T1594" s="2" t="str">
        <f t="shared" si="224"/>
        <v xml:space="preserve"> Excellent</v>
      </c>
      <c r="U1594" s="2"/>
    </row>
    <row r="1595" spans="1:21" x14ac:dyDescent="0.3">
      <c r="A1595">
        <v>1594</v>
      </c>
      <c r="B1595" t="s">
        <v>2351</v>
      </c>
      <c r="C1595" t="str">
        <f t="shared" si="216"/>
        <v>EMP_1594</v>
      </c>
      <c r="D1595" t="s">
        <v>11</v>
      </c>
      <c r="E1595" t="str">
        <f t="shared" si="217"/>
        <v>EMP_1594Marketing</v>
      </c>
      <c r="F1595" t="s">
        <v>24</v>
      </c>
      <c r="G1595" t="s">
        <v>22</v>
      </c>
      <c r="H1595">
        <v>42866</v>
      </c>
      <c r="I1595">
        <v>4383</v>
      </c>
      <c r="J1595">
        <v>0</v>
      </c>
      <c r="K1595">
        <v>0</v>
      </c>
      <c r="L1595" s="4">
        <v>45324</v>
      </c>
      <c r="M1595" s="4" t="str">
        <f t="shared" si="218"/>
        <v>2024</v>
      </c>
      <c r="N1595" s="1">
        <f t="shared" ca="1" si="219"/>
        <v>46064</v>
      </c>
      <c r="O1595" s="6">
        <f t="shared" ca="1" si="220"/>
        <v>2</v>
      </c>
      <c r="P1595">
        <v>2</v>
      </c>
      <c r="Q1595">
        <f t="shared" si="221"/>
        <v>47249</v>
      </c>
      <c r="R1595" s="2">
        <f t="shared" si="222"/>
        <v>23624.5</v>
      </c>
      <c r="S1595" s="2" t="str">
        <f t="shared" si="223"/>
        <v xml:space="preserve"> Not Achieved</v>
      </c>
      <c r="T1595" s="2" t="str">
        <f t="shared" si="224"/>
        <v>Good</v>
      </c>
      <c r="U1595" s="2"/>
    </row>
    <row r="1596" spans="1:21" x14ac:dyDescent="0.3">
      <c r="A1596">
        <v>1595</v>
      </c>
      <c r="B1596" t="s">
        <v>2352</v>
      </c>
      <c r="C1596" t="str">
        <f t="shared" si="216"/>
        <v>EMP_1595</v>
      </c>
      <c r="D1596" t="s">
        <v>11</v>
      </c>
      <c r="E1596" t="str">
        <f t="shared" si="217"/>
        <v>EMP_1595IT</v>
      </c>
      <c r="F1596" t="s">
        <v>21</v>
      </c>
      <c r="G1596" t="s">
        <v>19</v>
      </c>
      <c r="H1596">
        <v>58305</v>
      </c>
      <c r="I1596">
        <v>3491</v>
      </c>
      <c r="J1596">
        <v>0</v>
      </c>
      <c r="K1596">
        <v>0</v>
      </c>
      <c r="L1596" s="4" t="s">
        <v>2353</v>
      </c>
      <c r="M1596" s="4" t="str">
        <f t="shared" si="218"/>
        <v>10/13/2024</v>
      </c>
      <c r="N1596" s="1">
        <f t="shared" ca="1" si="219"/>
        <v>46064</v>
      </c>
      <c r="O1596" s="6" t="e">
        <f t="shared" ca="1" si="220"/>
        <v>#VALUE!</v>
      </c>
      <c r="P1596">
        <v>1</v>
      </c>
      <c r="Q1596">
        <f t="shared" si="221"/>
        <v>61796</v>
      </c>
      <c r="R1596" s="2">
        <f t="shared" si="222"/>
        <v>30898</v>
      </c>
      <c r="S1596" s="2" t="str">
        <f t="shared" si="223"/>
        <v xml:space="preserve"> Not Achieved</v>
      </c>
      <c r="T1596" s="2" t="str">
        <f t="shared" si="224"/>
        <v xml:space="preserve"> Excellent</v>
      </c>
      <c r="U1596" s="2"/>
    </row>
    <row r="1597" spans="1:21" x14ac:dyDescent="0.3">
      <c r="A1597">
        <v>1596</v>
      </c>
      <c r="B1597" t="s">
        <v>2354</v>
      </c>
      <c r="C1597" t="str">
        <f t="shared" si="216"/>
        <v>EMP_1596</v>
      </c>
      <c r="D1597" t="s">
        <v>11</v>
      </c>
      <c r="E1597" t="str">
        <f t="shared" si="217"/>
        <v>EMP_1596Marketing</v>
      </c>
      <c r="F1597" t="s">
        <v>24</v>
      </c>
      <c r="G1597" t="s">
        <v>13</v>
      </c>
      <c r="H1597">
        <v>79005</v>
      </c>
      <c r="I1597">
        <v>5009</v>
      </c>
      <c r="J1597">
        <v>0</v>
      </c>
      <c r="K1597">
        <v>0</v>
      </c>
      <c r="L1597" s="4" t="s">
        <v>311</v>
      </c>
      <c r="M1597" s="4" t="str">
        <f t="shared" si="218"/>
        <v>8/25/2023</v>
      </c>
      <c r="N1597" s="1">
        <f t="shared" ca="1" si="219"/>
        <v>46064</v>
      </c>
      <c r="O1597" s="6" t="e">
        <f t="shared" ca="1" si="220"/>
        <v>#VALUE!</v>
      </c>
      <c r="P1597">
        <v>3</v>
      </c>
      <c r="Q1597">
        <f t="shared" si="221"/>
        <v>84014</v>
      </c>
      <c r="R1597" s="2">
        <f t="shared" si="222"/>
        <v>42007</v>
      </c>
      <c r="S1597" s="2" t="str">
        <f t="shared" si="223"/>
        <v xml:space="preserve"> Not Achieved</v>
      </c>
      <c r="T1597" s="2" t="str">
        <f t="shared" si="224"/>
        <v xml:space="preserve"> Excellent</v>
      </c>
      <c r="U1597" s="2"/>
    </row>
    <row r="1598" spans="1:21" x14ac:dyDescent="0.3">
      <c r="A1598">
        <v>1597</v>
      </c>
      <c r="B1598" t="s">
        <v>2355</v>
      </c>
      <c r="C1598" t="str">
        <f t="shared" si="216"/>
        <v>EMP_1597</v>
      </c>
      <c r="D1598" t="s">
        <v>11</v>
      </c>
      <c r="E1598" t="str">
        <f t="shared" si="217"/>
        <v>EMP_1597IT</v>
      </c>
      <c r="F1598" t="s">
        <v>21</v>
      </c>
      <c r="G1598" t="s">
        <v>16</v>
      </c>
      <c r="H1598">
        <v>48846</v>
      </c>
      <c r="I1598">
        <v>14739</v>
      </c>
      <c r="J1598">
        <v>0</v>
      </c>
      <c r="K1598">
        <v>0</v>
      </c>
      <c r="L1598" s="4" t="s">
        <v>239</v>
      </c>
      <c r="M1598" s="4" t="str">
        <f t="shared" si="218"/>
        <v>8/23/2019</v>
      </c>
      <c r="N1598" s="1">
        <f t="shared" ca="1" si="219"/>
        <v>46064</v>
      </c>
      <c r="O1598" s="6" t="e">
        <f t="shared" ca="1" si="220"/>
        <v>#VALUE!</v>
      </c>
      <c r="P1598">
        <v>2</v>
      </c>
      <c r="Q1598">
        <f t="shared" si="221"/>
        <v>63585</v>
      </c>
      <c r="R1598" s="2">
        <f t="shared" si="222"/>
        <v>31792.5</v>
      </c>
      <c r="S1598" s="2" t="str">
        <f t="shared" si="223"/>
        <v xml:space="preserve"> Not Achieved</v>
      </c>
      <c r="T1598" s="2" t="str">
        <f t="shared" si="224"/>
        <v>Good</v>
      </c>
      <c r="U1598" s="2"/>
    </row>
    <row r="1599" spans="1:21" x14ac:dyDescent="0.3">
      <c r="A1599">
        <v>1598</v>
      </c>
      <c r="B1599" t="s">
        <v>2356</v>
      </c>
      <c r="C1599" t="str">
        <f t="shared" si="216"/>
        <v>EMP_1598</v>
      </c>
      <c r="D1599" t="s">
        <v>15</v>
      </c>
      <c r="E1599" t="str">
        <f t="shared" si="217"/>
        <v>EMP_1598Finance</v>
      </c>
      <c r="F1599" t="s">
        <v>18</v>
      </c>
      <c r="G1599" t="s">
        <v>22</v>
      </c>
      <c r="H1599">
        <v>53807</v>
      </c>
      <c r="I1599">
        <v>10122</v>
      </c>
      <c r="J1599">
        <v>0</v>
      </c>
      <c r="K1599">
        <v>0</v>
      </c>
      <c r="L1599" s="4">
        <v>44564</v>
      </c>
      <c r="M1599" s="4" t="str">
        <f t="shared" si="218"/>
        <v>2022</v>
      </c>
      <c r="N1599" s="1">
        <f t="shared" ca="1" si="219"/>
        <v>46064</v>
      </c>
      <c r="O1599" s="6">
        <f t="shared" ca="1" si="220"/>
        <v>4</v>
      </c>
      <c r="P1599">
        <v>1</v>
      </c>
      <c r="Q1599">
        <f t="shared" si="221"/>
        <v>63929</v>
      </c>
      <c r="R1599" s="2">
        <f t="shared" si="222"/>
        <v>31964.5</v>
      </c>
      <c r="S1599" s="2" t="str">
        <f t="shared" si="223"/>
        <v xml:space="preserve"> Not Achieved</v>
      </c>
      <c r="T1599" s="2" t="str">
        <f t="shared" si="224"/>
        <v xml:space="preserve"> Excellent</v>
      </c>
      <c r="U1599" s="2"/>
    </row>
    <row r="1600" spans="1:21" x14ac:dyDescent="0.3">
      <c r="A1600">
        <v>1599</v>
      </c>
      <c r="B1600" t="s">
        <v>2357</v>
      </c>
      <c r="C1600" t="str">
        <f t="shared" si="216"/>
        <v>EMP_1599</v>
      </c>
      <c r="D1600" t="s">
        <v>15</v>
      </c>
      <c r="E1600" t="str">
        <f t="shared" si="217"/>
        <v>EMP_1599Marketing</v>
      </c>
      <c r="F1600" t="s">
        <v>24</v>
      </c>
      <c r="G1600" t="s">
        <v>19</v>
      </c>
      <c r="H1600">
        <v>29345</v>
      </c>
      <c r="I1600">
        <v>6861</v>
      </c>
      <c r="J1600">
        <v>0</v>
      </c>
      <c r="K1600">
        <v>0</v>
      </c>
      <c r="L1600" s="4">
        <v>45546</v>
      </c>
      <c r="M1600" s="4" t="str">
        <f t="shared" si="218"/>
        <v>2024</v>
      </c>
      <c r="N1600" s="1">
        <f t="shared" ca="1" si="219"/>
        <v>46064</v>
      </c>
      <c r="O1600" s="6">
        <f t="shared" ca="1" si="220"/>
        <v>1</v>
      </c>
      <c r="P1600">
        <v>3</v>
      </c>
      <c r="Q1600">
        <f t="shared" si="221"/>
        <v>36206</v>
      </c>
      <c r="R1600" s="2">
        <f t="shared" si="222"/>
        <v>18103</v>
      </c>
      <c r="S1600" s="2" t="str">
        <f t="shared" si="223"/>
        <v xml:space="preserve"> Not Achieved</v>
      </c>
      <c r="T1600" s="2" t="str">
        <f t="shared" si="224"/>
        <v>poor</v>
      </c>
      <c r="U1600" s="2"/>
    </row>
    <row r="1601" spans="1:21" x14ac:dyDescent="0.3">
      <c r="A1601">
        <v>1600</v>
      </c>
      <c r="B1601" t="s">
        <v>2358</v>
      </c>
      <c r="C1601" t="str">
        <f t="shared" si="216"/>
        <v>EMP_1600</v>
      </c>
      <c r="D1601" t="s">
        <v>15</v>
      </c>
      <c r="E1601" t="str">
        <f t="shared" si="217"/>
        <v>EMP_1600Finance</v>
      </c>
      <c r="F1601" t="s">
        <v>18</v>
      </c>
      <c r="G1601" t="s">
        <v>25</v>
      </c>
      <c r="H1601">
        <v>72853</v>
      </c>
      <c r="I1601">
        <v>5485</v>
      </c>
      <c r="J1601">
        <v>0</v>
      </c>
      <c r="K1601">
        <v>0</v>
      </c>
      <c r="L1601" s="4" t="s">
        <v>2359</v>
      </c>
      <c r="M1601" s="4" t="str">
        <f t="shared" si="218"/>
        <v>12/29/2019</v>
      </c>
      <c r="N1601" s="1">
        <f t="shared" ca="1" si="219"/>
        <v>46064</v>
      </c>
      <c r="O1601" s="6" t="e">
        <f t="shared" ca="1" si="220"/>
        <v>#VALUE!</v>
      </c>
      <c r="P1601">
        <v>4</v>
      </c>
      <c r="Q1601">
        <f t="shared" si="221"/>
        <v>78338</v>
      </c>
      <c r="R1601" s="2">
        <f t="shared" si="222"/>
        <v>39169</v>
      </c>
      <c r="S1601" s="2" t="str">
        <f t="shared" si="223"/>
        <v xml:space="preserve"> Not Achieved</v>
      </c>
      <c r="T1601" s="2" t="str">
        <f t="shared" si="224"/>
        <v xml:space="preserve"> Excellent</v>
      </c>
      <c r="U1601" s="2"/>
    </row>
    <row r="1602" spans="1:21" x14ac:dyDescent="0.3">
      <c r="A1602">
        <v>1601</v>
      </c>
      <c r="B1602" t="s">
        <v>2360</v>
      </c>
      <c r="C1602" t="str">
        <f t="shared" si="216"/>
        <v>EMP_1601</v>
      </c>
      <c r="D1602" t="s">
        <v>15</v>
      </c>
      <c r="E1602" t="str">
        <f t="shared" si="217"/>
        <v>EMP_1601HR</v>
      </c>
      <c r="F1602" t="s">
        <v>12</v>
      </c>
      <c r="G1602" t="s">
        <v>25</v>
      </c>
      <c r="H1602">
        <v>37449</v>
      </c>
      <c r="I1602">
        <v>6063</v>
      </c>
      <c r="J1602">
        <v>0</v>
      </c>
      <c r="K1602">
        <v>0</v>
      </c>
      <c r="L1602" s="4" t="s">
        <v>591</v>
      </c>
      <c r="M1602" s="4" t="str">
        <f t="shared" si="218"/>
        <v>10/27/2024</v>
      </c>
      <c r="N1602" s="1">
        <f t="shared" ca="1" si="219"/>
        <v>46064</v>
      </c>
      <c r="O1602" s="6" t="e">
        <f t="shared" ca="1" si="220"/>
        <v>#VALUE!</v>
      </c>
      <c r="P1602">
        <v>5</v>
      </c>
      <c r="Q1602">
        <f t="shared" si="221"/>
        <v>43512</v>
      </c>
      <c r="R1602" s="2">
        <f t="shared" si="222"/>
        <v>21756</v>
      </c>
      <c r="S1602" s="2" t="str">
        <f t="shared" si="223"/>
        <v xml:space="preserve"> Not Achieved</v>
      </c>
      <c r="T1602" s="2" t="str">
        <f t="shared" si="224"/>
        <v>Average</v>
      </c>
      <c r="U1602" s="2"/>
    </row>
    <row r="1603" spans="1:21" x14ac:dyDescent="0.3">
      <c r="A1603">
        <v>1602</v>
      </c>
      <c r="B1603" t="s">
        <v>2361</v>
      </c>
      <c r="C1603" t="str">
        <f t="shared" ref="C1603:C1666" si="225">UPPER(B1603)</f>
        <v>EMP_1602</v>
      </c>
      <c r="D1603" t="s">
        <v>11</v>
      </c>
      <c r="E1603" t="str">
        <f t="shared" ref="E1603:E1666" si="226">_xlfn.CONCAT(C1603,F1603)</f>
        <v>EMP_1602Marketing</v>
      </c>
      <c r="F1603" t="s">
        <v>24</v>
      </c>
      <c r="G1603" t="s">
        <v>16</v>
      </c>
      <c r="H1603">
        <v>69596</v>
      </c>
      <c r="I1603">
        <v>5100</v>
      </c>
      <c r="J1603">
        <v>0</v>
      </c>
      <c r="K1603">
        <v>0</v>
      </c>
      <c r="L1603" s="4" t="s">
        <v>2362</v>
      </c>
      <c r="M1603" s="4" t="str">
        <f t="shared" ref="M1603:M1666" si="227">TEXT(L1603,"yyyy")</f>
        <v>7/30/2022</v>
      </c>
      <c r="N1603" s="1">
        <f t="shared" ref="N1603:N1666" ca="1" si="228">TODAY()</f>
        <v>46064</v>
      </c>
      <c r="O1603" s="6" t="e">
        <f t="shared" ref="O1603:O1666" ca="1" si="229">DATEDIF(L1603, TODAY(), "y")</f>
        <v>#VALUE!</v>
      </c>
      <c r="P1603">
        <v>4</v>
      </c>
      <c r="Q1603">
        <f t="shared" ref="Q1603:Q1666" si="230">SUM(H1603,I1603)</f>
        <v>74696</v>
      </c>
      <c r="R1603" s="2">
        <f t="shared" ref="R1603:R1666" si="231">AVERAGE(H1603,I1603)</f>
        <v>37348</v>
      </c>
      <c r="S1603" s="2" t="str">
        <f t="shared" ref="S1603:S1666" si="232">IF(J1603&gt;K1603,"Achieved"," Not Achieved")</f>
        <v xml:space="preserve"> Not Achieved</v>
      </c>
      <c r="T1603" s="2" t="str">
        <f t="shared" ref="T1603:T1666" si="233">_xlfn.IFS(H1603&gt;=50000," Excellent",H1603&gt;=40000,"Good",H1603&gt;=30000,"Average",H1603&lt;30000,"poor")</f>
        <v xml:space="preserve"> Excellent</v>
      </c>
      <c r="U1603" s="2"/>
    </row>
    <row r="1604" spans="1:21" x14ac:dyDescent="0.3">
      <c r="A1604">
        <v>1603</v>
      </c>
      <c r="B1604" t="s">
        <v>2363</v>
      </c>
      <c r="C1604" t="str">
        <f t="shared" si="225"/>
        <v>EMP_1603</v>
      </c>
      <c r="D1604" t="s">
        <v>11</v>
      </c>
      <c r="E1604" t="str">
        <f t="shared" si="226"/>
        <v>EMP_1603Marketing</v>
      </c>
      <c r="F1604" t="s">
        <v>24</v>
      </c>
      <c r="G1604" t="s">
        <v>13</v>
      </c>
      <c r="H1604">
        <v>43934</v>
      </c>
      <c r="I1604">
        <v>3833</v>
      </c>
      <c r="J1604">
        <v>0</v>
      </c>
      <c r="K1604">
        <v>0</v>
      </c>
      <c r="L1604" s="4">
        <v>43556</v>
      </c>
      <c r="M1604" s="4" t="str">
        <f t="shared" si="227"/>
        <v>2019</v>
      </c>
      <c r="N1604" s="1">
        <f t="shared" ca="1" si="228"/>
        <v>46064</v>
      </c>
      <c r="O1604" s="6">
        <f t="shared" ca="1" si="229"/>
        <v>6</v>
      </c>
      <c r="P1604">
        <v>2</v>
      </c>
      <c r="Q1604">
        <f t="shared" si="230"/>
        <v>47767</v>
      </c>
      <c r="R1604" s="2">
        <f t="shared" si="231"/>
        <v>23883.5</v>
      </c>
      <c r="S1604" s="2" t="str">
        <f t="shared" si="232"/>
        <v xml:space="preserve"> Not Achieved</v>
      </c>
      <c r="T1604" s="2" t="str">
        <f t="shared" si="233"/>
        <v>Good</v>
      </c>
      <c r="U1604" s="2"/>
    </row>
    <row r="1605" spans="1:21" x14ac:dyDescent="0.3">
      <c r="A1605">
        <v>1604</v>
      </c>
      <c r="B1605" t="s">
        <v>2364</v>
      </c>
      <c r="C1605" t="str">
        <f t="shared" si="225"/>
        <v>EMP_1604</v>
      </c>
      <c r="D1605" t="s">
        <v>11</v>
      </c>
      <c r="E1605" t="str">
        <f t="shared" si="226"/>
        <v>EMP_1604Marketing</v>
      </c>
      <c r="F1605" t="s">
        <v>24</v>
      </c>
      <c r="G1605" t="s">
        <v>13</v>
      </c>
      <c r="H1605">
        <v>36093</v>
      </c>
      <c r="I1605">
        <v>8567</v>
      </c>
      <c r="J1605">
        <v>0</v>
      </c>
      <c r="K1605">
        <v>0</v>
      </c>
      <c r="L1605" s="4" t="s">
        <v>2365</v>
      </c>
      <c r="M1605" s="4" t="str">
        <f t="shared" si="227"/>
        <v>10/30/2021</v>
      </c>
      <c r="N1605" s="1">
        <f t="shared" ca="1" si="228"/>
        <v>46064</v>
      </c>
      <c r="O1605" s="6" t="e">
        <f t="shared" ca="1" si="229"/>
        <v>#VALUE!</v>
      </c>
      <c r="P1605">
        <v>4</v>
      </c>
      <c r="Q1605">
        <f t="shared" si="230"/>
        <v>44660</v>
      </c>
      <c r="R1605" s="2">
        <f t="shared" si="231"/>
        <v>22330</v>
      </c>
      <c r="S1605" s="2" t="str">
        <f t="shared" si="232"/>
        <v xml:space="preserve"> Not Achieved</v>
      </c>
      <c r="T1605" s="2" t="str">
        <f t="shared" si="233"/>
        <v>Average</v>
      </c>
      <c r="U1605" s="2"/>
    </row>
    <row r="1606" spans="1:21" x14ac:dyDescent="0.3">
      <c r="A1606">
        <v>1605</v>
      </c>
      <c r="B1606" t="s">
        <v>2366</v>
      </c>
      <c r="C1606" t="str">
        <f t="shared" si="225"/>
        <v>EMP_1605</v>
      </c>
      <c r="D1606" t="s">
        <v>11</v>
      </c>
      <c r="E1606" t="str">
        <f t="shared" si="226"/>
        <v>EMP_1605Sales</v>
      </c>
      <c r="F1606" t="s">
        <v>7</v>
      </c>
      <c r="G1606" t="s">
        <v>25</v>
      </c>
      <c r="H1606">
        <v>35478</v>
      </c>
      <c r="I1606">
        <v>9010</v>
      </c>
      <c r="J1606">
        <v>93519</v>
      </c>
      <c r="K1606">
        <v>93849</v>
      </c>
      <c r="L1606" s="4" t="s">
        <v>2367</v>
      </c>
      <c r="M1606" s="4" t="str">
        <f t="shared" si="227"/>
        <v>8/20/2024</v>
      </c>
      <c r="N1606" s="1">
        <f t="shared" ca="1" si="228"/>
        <v>46064</v>
      </c>
      <c r="O1606" s="6" t="e">
        <f t="shared" ca="1" si="229"/>
        <v>#VALUE!</v>
      </c>
      <c r="P1606">
        <v>1</v>
      </c>
      <c r="Q1606">
        <f t="shared" si="230"/>
        <v>44488</v>
      </c>
      <c r="R1606" s="2">
        <f t="shared" si="231"/>
        <v>22244</v>
      </c>
      <c r="S1606" s="2" t="str">
        <f t="shared" si="232"/>
        <v xml:space="preserve"> Not Achieved</v>
      </c>
      <c r="T1606" s="2" t="str">
        <f t="shared" si="233"/>
        <v>Average</v>
      </c>
      <c r="U1606" s="2"/>
    </row>
    <row r="1607" spans="1:21" x14ac:dyDescent="0.3">
      <c r="A1607">
        <v>1606</v>
      </c>
      <c r="B1607" t="s">
        <v>2368</v>
      </c>
      <c r="C1607" t="str">
        <f t="shared" si="225"/>
        <v>EMP_1606</v>
      </c>
      <c r="D1607" t="s">
        <v>11</v>
      </c>
      <c r="E1607" t="str">
        <f t="shared" si="226"/>
        <v>EMP_1606Sales</v>
      </c>
      <c r="F1607" t="s">
        <v>7</v>
      </c>
      <c r="G1607" t="s">
        <v>22</v>
      </c>
      <c r="H1607">
        <v>61221</v>
      </c>
      <c r="I1607">
        <v>6988</v>
      </c>
      <c r="J1607">
        <v>86522</v>
      </c>
      <c r="K1607">
        <v>241299</v>
      </c>
      <c r="L1607" s="4" t="s">
        <v>2369</v>
      </c>
      <c r="M1607" s="4" t="str">
        <f t="shared" si="227"/>
        <v>3/26/2022</v>
      </c>
      <c r="N1607" s="1">
        <f t="shared" ca="1" si="228"/>
        <v>46064</v>
      </c>
      <c r="O1607" s="6" t="e">
        <f t="shared" ca="1" si="229"/>
        <v>#VALUE!</v>
      </c>
      <c r="P1607">
        <v>4</v>
      </c>
      <c r="Q1607">
        <f t="shared" si="230"/>
        <v>68209</v>
      </c>
      <c r="R1607" s="2">
        <f t="shared" si="231"/>
        <v>34104.5</v>
      </c>
      <c r="S1607" s="2" t="str">
        <f t="shared" si="232"/>
        <v xml:space="preserve"> Not Achieved</v>
      </c>
      <c r="T1607" s="2" t="str">
        <f t="shared" si="233"/>
        <v xml:space="preserve"> Excellent</v>
      </c>
      <c r="U1607" s="2"/>
    </row>
    <row r="1608" spans="1:21" x14ac:dyDescent="0.3">
      <c r="A1608">
        <v>1607</v>
      </c>
      <c r="B1608" t="s">
        <v>2370</v>
      </c>
      <c r="C1608" t="str">
        <f t="shared" si="225"/>
        <v>EMP_1607</v>
      </c>
      <c r="D1608" t="s">
        <v>11</v>
      </c>
      <c r="E1608" t="str">
        <f t="shared" si="226"/>
        <v>EMP_1607Sales</v>
      </c>
      <c r="F1608" t="s">
        <v>7</v>
      </c>
      <c r="G1608" t="s">
        <v>22</v>
      </c>
      <c r="H1608">
        <v>29626</v>
      </c>
      <c r="I1608">
        <v>5317</v>
      </c>
      <c r="J1608">
        <v>176851</v>
      </c>
      <c r="K1608">
        <v>228138</v>
      </c>
      <c r="L1608" s="4">
        <v>44715</v>
      </c>
      <c r="M1608" s="4" t="str">
        <f t="shared" si="227"/>
        <v>2022</v>
      </c>
      <c r="N1608" s="1">
        <f t="shared" ca="1" si="228"/>
        <v>46064</v>
      </c>
      <c r="O1608" s="6">
        <f t="shared" ca="1" si="229"/>
        <v>3</v>
      </c>
      <c r="P1608">
        <v>1</v>
      </c>
      <c r="Q1608">
        <f t="shared" si="230"/>
        <v>34943</v>
      </c>
      <c r="R1608" s="2">
        <f t="shared" si="231"/>
        <v>17471.5</v>
      </c>
      <c r="S1608" s="2" t="str">
        <f t="shared" si="232"/>
        <v xml:space="preserve"> Not Achieved</v>
      </c>
      <c r="T1608" s="2" t="str">
        <f t="shared" si="233"/>
        <v>poor</v>
      </c>
      <c r="U1608" s="2"/>
    </row>
    <row r="1609" spans="1:21" x14ac:dyDescent="0.3">
      <c r="A1609">
        <v>1608</v>
      </c>
      <c r="B1609" t="s">
        <v>2371</v>
      </c>
      <c r="C1609" t="str">
        <f t="shared" si="225"/>
        <v>EMP_1608</v>
      </c>
      <c r="D1609" t="s">
        <v>15</v>
      </c>
      <c r="E1609" t="str">
        <f t="shared" si="226"/>
        <v>EMP_1608Marketing</v>
      </c>
      <c r="F1609" t="s">
        <v>24</v>
      </c>
      <c r="G1609" t="s">
        <v>16</v>
      </c>
      <c r="H1609">
        <v>31265</v>
      </c>
      <c r="I1609">
        <v>13659</v>
      </c>
      <c r="J1609">
        <v>0</v>
      </c>
      <c r="K1609">
        <v>0</v>
      </c>
      <c r="L1609" s="4" t="s">
        <v>2028</v>
      </c>
      <c r="M1609" s="4" t="str">
        <f t="shared" si="227"/>
        <v>3/23/2019</v>
      </c>
      <c r="N1609" s="1">
        <f t="shared" ca="1" si="228"/>
        <v>46064</v>
      </c>
      <c r="O1609" s="6" t="e">
        <f t="shared" ca="1" si="229"/>
        <v>#VALUE!</v>
      </c>
      <c r="P1609">
        <v>3</v>
      </c>
      <c r="Q1609">
        <f t="shared" si="230"/>
        <v>44924</v>
      </c>
      <c r="R1609" s="2">
        <f t="shared" si="231"/>
        <v>22462</v>
      </c>
      <c r="S1609" s="2" t="str">
        <f t="shared" si="232"/>
        <v xml:space="preserve"> Not Achieved</v>
      </c>
      <c r="T1609" s="2" t="str">
        <f t="shared" si="233"/>
        <v>Average</v>
      </c>
      <c r="U1609" s="2"/>
    </row>
    <row r="1610" spans="1:21" x14ac:dyDescent="0.3">
      <c r="A1610">
        <v>1609</v>
      </c>
      <c r="B1610" t="s">
        <v>2372</v>
      </c>
      <c r="C1610" t="str">
        <f t="shared" si="225"/>
        <v>EMP_1609</v>
      </c>
      <c r="D1610" t="s">
        <v>15</v>
      </c>
      <c r="E1610" t="str">
        <f t="shared" si="226"/>
        <v>EMP_1609Marketing</v>
      </c>
      <c r="F1610" t="s">
        <v>24</v>
      </c>
      <c r="G1610" t="s">
        <v>13</v>
      </c>
      <c r="H1610">
        <v>44621</v>
      </c>
      <c r="I1610">
        <v>6224</v>
      </c>
      <c r="J1610">
        <v>0</v>
      </c>
      <c r="K1610">
        <v>0</v>
      </c>
      <c r="L1610" s="4">
        <v>43319</v>
      </c>
      <c r="M1610" s="4" t="str">
        <f t="shared" si="227"/>
        <v>2018</v>
      </c>
      <c r="N1610" s="1">
        <f t="shared" ca="1" si="228"/>
        <v>46064</v>
      </c>
      <c r="O1610" s="6">
        <f t="shared" ca="1" si="229"/>
        <v>7</v>
      </c>
      <c r="P1610">
        <v>4</v>
      </c>
      <c r="Q1610">
        <f t="shared" si="230"/>
        <v>50845</v>
      </c>
      <c r="R1610" s="2">
        <f t="shared" si="231"/>
        <v>25422.5</v>
      </c>
      <c r="S1610" s="2" t="str">
        <f t="shared" si="232"/>
        <v xml:space="preserve"> Not Achieved</v>
      </c>
      <c r="T1610" s="2" t="str">
        <f t="shared" si="233"/>
        <v>Good</v>
      </c>
      <c r="U1610" s="2"/>
    </row>
    <row r="1611" spans="1:21" x14ac:dyDescent="0.3">
      <c r="A1611">
        <v>1610</v>
      </c>
      <c r="B1611" t="s">
        <v>2373</v>
      </c>
      <c r="C1611" t="str">
        <f t="shared" si="225"/>
        <v>EMP_1610</v>
      </c>
      <c r="D1611" t="s">
        <v>11</v>
      </c>
      <c r="E1611" t="str">
        <f t="shared" si="226"/>
        <v>EMP_1610Sales</v>
      </c>
      <c r="F1611" t="s">
        <v>7</v>
      </c>
      <c r="G1611" t="s">
        <v>22</v>
      </c>
      <c r="H1611">
        <v>35488</v>
      </c>
      <c r="I1611">
        <v>9679</v>
      </c>
      <c r="J1611">
        <v>137130</v>
      </c>
      <c r="K1611">
        <v>150784</v>
      </c>
      <c r="L1611" s="4">
        <v>44781</v>
      </c>
      <c r="M1611" s="4" t="str">
        <f t="shared" si="227"/>
        <v>2022</v>
      </c>
      <c r="N1611" s="1">
        <f t="shared" ca="1" si="228"/>
        <v>46064</v>
      </c>
      <c r="O1611" s="6">
        <f t="shared" ca="1" si="229"/>
        <v>3</v>
      </c>
      <c r="P1611">
        <v>1</v>
      </c>
      <c r="Q1611">
        <f t="shared" si="230"/>
        <v>45167</v>
      </c>
      <c r="R1611" s="2">
        <f t="shared" si="231"/>
        <v>22583.5</v>
      </c>
      <c r="S1611" s="2" t="str">
        <f t="shared" si="232"/>
        <v xml:space="preserve"> Not Achieved</v>
      </c>
      <c r="T1611" s="2" t="str">
        <f t="shared" si="233"/>
        <v>Average</v>
      </c>
      <c r="U1611" s="2"/>
    </row>
    <row r="1612" spans="1:21" x14ac:dyDescent="0.3">
      <c r="A1612">
        <v>1611</v>
      </c>
      <c r="B1612" t="s">
        <v>2374</v>
      </c>
      <c r="C1612" t="str">
        <f t="shared" si="225"/>
        <v>EMP_1611</v>
      </c>
      <c r="D1612" t="s">
        <v>11</v>
      </c>
      <c r="E1612" t="str">
        <f t="shared" si="226"/>
        <v>EMP_1611Marketing</v>
      </c>
      <c r="F1612" t="s">
        <v>24</v>
      </c>
      <c r="G1612" t="s">
        <v>22</v>
      </c>
      <c r="H1612">
        <v>42805</v>
      </c>
      <c r="I1612">
        <v>14284</v>
      </c>
      <c r="J1612">
        <v>0</v>
      </c>
      <c r="K1612">
        <v>0</v>
      </c>
      <c r="L1612" s="4" t="s">
        <v>2375</v>
      </c>
      <c r="M1612" s="4" t="str">
        <f t="shared" si="227"/>
        <v>9/25/2020</v>
      </c>
      <c r="N1612" s="1">
        <f t="shared" ca="1" si="228"/>
        <v>46064</v>
      </c>
      <c r="O1612" s="6" t="e">
        <f t="shared" ca="1" si="229"/>
        <v>#VALUE!</v>
      </c>
      <c r="P1612">
        <v>3</v>
      </c>
      <c r="Q1612">
        <f t="shared" si="230"/>
        <v>57089</v>
      </c>
      <c r="R1612" s="2">
        <f t="shared" si="231"/>
        <v>28544.5</v>
      </c>
      <c r="S1612" s="2" t="str">
        <f t="shared" si="232"/>
        <v xml:space="preserve"> Not Achieved</v>
      </c>
      <c r="T1612" s="2" t="str">
        <f t="shared" si="233"/>
        <v>Good</v>
      </c>
      <c r="U1612" s="2"/>
    </row>
    <row r="1613" spans="1:21" x14ac:dyDescent="0.3">
      <c r="A1613">
        <v>1612</v>
      </c>
      <c r="B1613" t="s">
        <v>2376</v>
      </c>
      <c r="C1613" t="str">
        <f t="shared" si="225"/>
        <v>EMP_1612</v>
      </c>
      <c r="D1613" t="s">
        <v>15</v>
      </c>
      <c r="E1613" t="str">
        <f t="shared" si="226"/>
        <v>EMP_1612Marketing</v>
      </c>
      <c r="F1613" t="s">
        <v>24</v>
      </c>
      <c r="G1613" t="s">
        <v>13</v>
      </c>
      <c r="H1613">
        <v>58359</v>
      </c>
      <c r="I1613">
        <v>2399</v>
      </c>
      <c r="J1613">
        <v>0</v>
      </c>
      <c r="K1613">
        <v>0</v>
      </c>
      <c r="L1613" s="4" t="s">
        <v>1485</v>
      </c>
      <c r="M1613" s="4" t="str">
        <f t="shared" si="227"/>
        <v>9/28/2021</v>
      </c>
      <c r="N1613" s="1">
        <f t="shared" ca="1" si="228"/>
        <v>46064</v>
      </c>
      <c r="O1613" s="6" t="e">
        <f t="shared" ca="1" si="229"/>
        <v>#VALUE!</v>
      </c>
      <c r="P1613">
        <v>5</v>
      </c>
      <c r="Q1613">
        <f t="shared" si="230"/>
        <v>60758</v>
      </c>
      <c r="R1613" s="2">
        <f t="shared" si="231"/>
        <v>30379</v>
      </c>
      <c r="S1613" s="2" t="str">
        <f t="shared" si="232"/>
        <v xml:space="preserve"> Not Achieved</v>
      </c>
      <c r="T1613" s="2" t="str">
        <f t="shared" si="233"/>
        <v xml:space="preserve"> Excellent</v>
      </c>
      <c r="U1613" s="2"/>
    </row>
    <row r="1614" spans="1:21" x14ac:dyDescent="0.3">
      <c r="A1614">
        <v>1613</v>
      </c>
      <c r="B1614" t="s">
        <v>2377</v>
      </c>
      <c r="C1614" t="str">
        <f t="shared" si="225"/>
        <v>EMP_1613</v>
      </c>
      <c r="D1614" t="s">
        <v>15</v>
      </c>
      <c r="E1614" t="str">
        <f t="shared" si="226"/>
        <v>EMP_1613Finance</v>
      </c>
      <c r="F1614" t="s">
        <v>18</v>
      </c>
      <c r="G1614" t="s">
        <v>16</v>
      </c>
      <c r="H1614">
        <v>25256</v>
      </c>
      <c r="I1614">
        <v>10931</v>
      </c>
      <c r="J1614">
        <v>0</v>
      </c>
      <c r="K1614">
        <v>0</v>
      </c>
      <c r="L1614" s="4">
        <v>44014</v>
      </c>
      <c r="M1614" s="4" t="str">
        <f t="shared" si="227"/>
        <v>2020</v>
      </c>
      <c r="N1614" s="1">
        <f t="shared" ca="1" si="228"/>
        <v>46064</v>
      </c>
      <c r="O1614" s="6">
        <f t="shared" ca="1" si="229"/>
        <v>5</v>
      </c>
      <c r="P1614">
        <v>2</v>
      </c>
      <c r="Q1614">
        <f t="shared" si="230"/>
        <v>36187</v>
      </c>
      <c r="R1614" s="2">
        <f t="shared" si="231"/>
        <v>18093.5</v>
      </c>
      <c r="S1614" s="2" t="str">
        <f t="shared" si="232"/>
        <v xml:space="preserve"> Not Achieved</v>
      </c>
      <c r="T1614" s="2" t="str">
        <f t="shared" si="233"/>
        <v>poor</v>
      </c>
      <c r="U1614" s="2"/>
    </row>
    <row r="1615" spans="1:21" x14ac:dyDescent="0.3">
      <c r="A1615">
        <v>1614</v>
      </c>
      <c r="B1615" t="s">
        <v>2378</v>
      </c>
      <c r="C1615" t="str">
        <f t="shared" si="225"/>
        <v>EMP_1614</v>
      </c>
      <c r="D1615" t="s">
        <v>11</v>
      </c>
      <c r="E1615" t="str">
        <f t="shared" si="226"/>
        <v>EMP_1614IT</v>
      </c>
      <c r="F1615" t="s">
        <v>21</v>
      </c>
      <c r="G1615" t="s">
        <v>25</v>
      </c>
      <c r="H1615">
        <v>60975</v>
      </c>
      <c r="I1615">
        <v>6342</v>
      </c>
      <c r="J1615">
        <v>0</v>
      </c>
      <c r="K1615">
        <v>0</v>
      </c>
      <c r="L1615" s="4" t="s">
        <v>2379</v>
      </c>
      <c r="M1615" s="4" t="str">
        <f t="shared" si="227"/>
        <v>11/24/2024</v>
      </c>
      <c r="N1615" s="1">
        <f t="shared" ca="1" si="228"/>
        <v>46064</v>
      </c>
      <c r="O1615" s="6" t="e">
        <f t="shared" ca="1" si="229"/>
        <v>#VALUE!</v>
      </c>
      <c r="P1615">
        <v>4</v>
      </c>
      <c r="Q1615">
        <f t="shared" si="230"/>
        <v>67317</v>
      </c>
      <c r="R1615" s="2">
        <f t="shared" si="231"/>
        <v>33658.5</v>
      </c>
      <c r="S1615" s="2" t="str">
        <f t="shared" si="232"/>
        <v xml:space="preserve"> Not Achieved</v>
      </c>
      <c r="T1615" s="2" t="str">
        <f t="shared" si="233"/>
        <v xml:space="preserve"> Excellent</v>
      </c>
      <c r="U1615" s="2"/>
    </row>
    <row r="1616" spans="1:21" x14ac:dyDescent="0.3">
      <c r="A1616">
        <v>1615</v>
      </c>
      <c r="B1616" t="s">
        <v>2380</v>
      </c>
      <c r="C1616" t="str">
        <f t="shared" si="225"/>
        <v>EMP_1615</v>
      </c>
      <c r="D1616" t="s">
        <v>11</v>
      </c>
      <c r="E1616" t="str">
        <f t="shared" si="226"/>
        <v>EMP_1615HR</v>
      </c>
      <c r="F1616" t="s">
        <v>12</v>
      </c>
      <c r="G1616" t="s">
        <v>25</v>
      </c>
      <c r="H1616">
        <v>55469</v>
      </c>
      <c r="I1616">
        <v>8694</v>
      </c>
      <c r="J1616">
        <v>0</v>
      </c>
      <c r="K1616">
        <v>0</v>
      </c>
      <c r="L1616" s="4">
        <v>43895</v>
      </c>
      <c r="M1616" s="4" t="str">
        <f t="shared" si="227"/>
        <v>2020</v>
      </c>
      <c r="N1616" s="1">
        <f t="shared" ca="1" si="228"/>
        <v>46064</v>
      </c>
      <c r="O1616" s="6">
        <f t="shared" ca="1" si="229"/>
        <v>5</v>
      </c>
      <c r="P1616">
        <v>4</v>
      </c>
      <c r="Q1616">
        <f t="shared" si="230"/>
        <v>64163</v>
      </c>
      <c r="R1616" s="2">
        <f t="shared" si="231"/>
        <v>32081.5</v>
      </c>
      <c r="S1616" s="2" t="str">
        <f t="shared" si="232"/>
        <v xml:space="preserve"> Not Achieved</v>
      </c>
      <c r="T1616" s="2" t="str">
        <f t="shared" si="233"/>
        <v xml:space="preserve"> Excellent</v>
      </c>
      <c r="U1616" s="2"/>
    </row>
    <row r="1617" spans="1:21" x14ac:dyDescent="0.3">
      <c r="A1617">
        <v>1616</v>
      </c>
      <c r="B1617" t="s">
        <v>2381</v>
      </c>
      <c r="C1617" t="str">
        <f t="shared" si="225"/>
        <v>EMP_1616</v>
      </c>
      <c r="D1617" t="s">
        <v>15</v>
      </c>
      <c r="E1617" t="str">
        <f t="shared" si="226"/>
        <v>EMP_1616IT</v>
      </c>
      <c r="F1617" t="s">
        <v>21</v>
      </c>
      <c r="G1617" t="s">
        <v>16</v>
      </c>
      <c r="H1617">
        <v>72646</v>
      </c>
      <c r="I1617">
        <v>4074</v>
      </c>
      <c r="J1617">
        <v>0</v>
      </c>
      <c r="K1617">
        <v>0</v>
      </c>
      <c r="L1617" s="4">
        <v>43992</v>
      </c>
      <c r="M1617" s="4" t="str">
        <f t="shared" si="227"/>
        <v>2020</v>
      </c>
      <c r="N1617" s="1">
        <f t="shared" ca="1" si="228"/>
        <v>46064</v>
      </c>
      <c r="O1617" s="6">
        <f t="shared" ca="1" si="229"/>
        <v>5</v>
      </c>
      <c r="P1617">
        <v>2</v>
      </c>
      <c r="Q1617">
        <f t="shared" si="230"/>
        <v>76720</v>
      </c>
      <c r="R1617" s="2">
        <f t="shared" si="231"/>
        <v>38360</v>
      </c>
      <c r="S1617" s="2" t="str">
        <f t="shared" si="232"/>
        <v xml:space="preserve"> Not Achieved</v>
      </c>
      <c r="T1617" s="2" t="str">
        <f t="shared" si="233"/>
        <v xml:space="preserve"> Excellent</v>
      </c>
      <c r="U1617" s="2"/>
    </row>
    <row r="1618" spans="1:21" x14ac:dyDescent="0.3">
      <c r="A1618">
        <v>1617</v>
      </c>
      <c r="B1618" t="s">
        <v>2382</v>
      </c>
      <c r="C1618" t="str">
        <f t="shared" si="225"/>
        <v>EMP_1617</v>
      </c>
      <c r="D1618" t="s">
        <v>15</v>
      </c>
      <c r="E1618" t="str">
        <f t="shared" si="226"/>
        <v>EMP_1617Marketing</v>
      </c>
      <c r="F1618" t="s">
        <v>24</v>
      </c>
      <c r="G1618" t="s">
        <v>13</v>
      </c>
      <c r="H1618">
        <v>23336</v>
      </c>
      <c r="I1618">
        <v>5166</v>
      </c>
      <c r="J1618">
        <v>0</v>
      </c>
      <c r="K1618">
        <v>0</v>
      </c>
      <c r="L1618" s="4">
        <v>45544</v>
      </c>
      <c r="M1618" s="4" t="str">
        <f t="shared" si="227"/>
        <v>2024</v>
      </c>
      <c r="N1618" s="1">
        <f t="shared" ca="1" si="228"/>
        <v>46064</v>
      </c>
      <c r="O1618" s="6">
        <f t="shared" ca="1" si="229"/>
        <v>1</v>
      </c>
      <c r="P1618">
        <v>1</v>
      </c>
      <c r="Q1618">
        <f t="shared" si="230"/>
        <v>28502</v>
      </c>
      <c r="R1618" s="2">
        <f t="shared" si="231"/>
        <v>14251</v>
      </c>
      <c r="S1618" s="2" t="str">
        <f t="shared" si="232"/>
        <v xml:space="preserve"> Not Achieved</v>
      </c>
      <c r="T1618" s="2" t="str">
        <f t="shared" si="233"/>
        <v>poor</v>
      </c>
      <c r="U1618" s="2"/>
    </row>
    <row r="1619" spans="1:21" x14ac:dyDescent="0.3">
      <c r="A1619">
        <v>1618</v>
      </c>
      <c r="B1619" t="s">
        <v>2383</v>
      </c>
      <c r="C1619" t="str">
        <f t="shared" si="225"/>
        <v>EMP_1618</v>
      </c>
      <c r="D1619" t="s">
        <v>15</v>
      </c>
      <c r="E1619" t="str">
        <f t="shared" si="226"/>
        <v>EMP_1618Sales</v>
      </c>
      <c r="F1619" t="s">
        <v>7</v>
      </c>
      <c r="G1619" t="s">
        <v>16</v>
      </c>
      <c r="H1619">
        <v>75055</v>
      </c>
      <c r="I1619">
        <v>14223</v>
      </c>
      <c r="J1619">
        <v>97435</v>
      </c>
      <c r="K1619">
        <v>199324</v>
      </c>
      <c r="L1619" s="4" t="s">
        <v>343</v>
      </c>
      <c r="M1619" s="4" t="str">
        <f t="shared" si="227"/>
        <v>6/19/2020</v>
      </c>
      <c r="N1619" s="1">
        <f t="shared" ca="1" si="228"/>
        <v>46064</v>
      </c>
      <c r="O1619" s="6" t="e">
        <f t="shared" ca="1" si="229"/>
        <v>#VALUE!</v>
      </c>
      <c r="P1619">
        <v>5</v>
      </c>
      <c r="Q1619">
        <f t="shared" si="230"/>
        <v>89278</v>
      </c>
      <c r="R1619" s="2">
        <f t="shared" si="231"/>
        <v>44639</v>
      </c>
      <c r="S1619" s="2" t="str">
        <f t="shared" si="232"/>
        <v xml:space="preserve"> Not Achieved</v>
      </c>
      <c r="T1619" s="2" t="str">
        <f t="shared" si="233"/>
        <v xml:space="preserve"> Excellent</v>
      </c>
      <c r="U1619" s="2"/>
    </row>
    <row r="1620" spans="1:21" x14ac:dyDescent="0.3">
      <c r="A1620">
        <v>1619</v>
      </c>
      <c r="B1620" t="s">
        <v>2384</v>
      </c>
      <c r="C1620" t="str">
        <f t="shared" si="225"/>
        <v>EMP_1619</v>
      </c>
      <c r="D1620" t="s">
        <v>15</v>
      </c>
      <c r="E1620" t="str">
        <f t="shared" si="226"/>
        <v>EMP_1619Finance</v>
      </c>
      <c r="F1620" t="s">
        <v>18</v>
      </c>
      <c r="G1620" t="s">
        <v>25</v>
      </c>
      <c r="H1620">
        <v>68974</v>
      </c>
      <c r="I1620">
        <v>8940</v>
      </c>
      <c r="J1620">
        <v>0</v>
      </c>
      <c r="K1620">
        <v>0</v>
      </c>
      <c r="L1620" s="4" t="s">
        <v>292</v>
      </c>
      <c r="M1620" s="4" t="str">
        <f t="shared" si="227"/>
        <v>6/26/2021</v>
      </c>
      <c r="N1620" s="1">
        <f t="shared" ca="1" si="228"/>
        <v>46064</v>
      </c>
      <c r="O1620" s="6" t="e">
        <f t="shared" ca="1" si="229"/>
        <v>#VALUE!</v>
      </c>
      <c r="P1620">
        <v>3</v>
      </c>
      <c r="Q1620">
        <f t="shared" si="230"/>
        <v>77914</v>
      </c>
      <c r="R1620" s="2">
        <f t="shared" si="231"/>
        <v>38957</v>
      </c>
      <c r="S1620" s="2" t="str">
        <f t="shared" si="232"/>
        <v xml:space="preserve"> Not Achieved</v>
      </c>
      <c r="T1620" s="2" t="str">
        <f t="shared" si="233"/>
        <v xml:space="preserve"> Excellent</v>
      </c>
      <c r="U1620" s="2"/>
    </row>
    <row r="1621" spans="1:21" x14ac:dyDescent="0.3">
      <c r="A1621">
        <v>1620</v>
      </c>
      <c r="B1621" t="s">
        <v>2385</v>
      </c>
      <c r="C1621" t="str">
        <f t="shared" si="225"/>
        <v>EMP_1620</v>
      </c>
      <c r="D1621" t="s">
        <v>15</v>
      </c>
      <c r="E1621" t="str">
        <f t="shared" si="226"/>
        <v>EMP_1620Finance</v>
      </c>
      <c r="F1621" t="s">
        <v>18</v>
      </c>
      <c r="G1621" t="s">
        <v>16</v>
      </c>
      <c r="H1621">
        <v>67796</v>
      </c>
      <c r="I1621">
        <v>12326</v>
      </c>
      <c r="J1621">
        <v>0</v>
      </c>
      <c r="K1621">
        <v>0</v>
      </c>
      <c r="L1621" s="4" t="s">
        <v>2386</v>
      </c>
      <c r="M1621" s="4" t="str">
        <f t="shared" si="227"/>
        <v>6/14/2021</v>
      </c>
      <c r="N1621" s="1">
        <f t="shared" ca="1" si="228"/>
        <v>46064</v>
      </c>
      <c r="O1621" s="6" t="e">
        <f t="shared" ca="1" si="229"/>
        <v>#VALUE!</v>
      </c>
      <c r="P1621">
        <v>5</v>
      </c>
      <c r="Q1621">
        <f t="shared" si="230"/>
        <v>80122</v>
      </c>
      <c r="R1621" s="2">
        <f t="shared" si="231"/>
        <v>40061</v>
      </c>
      <c r="S1621" s="2" t="str">
        <f t="shared" si="232"/>
        <v xml:space="preserve"> Not Achieved</v>
      </c>
      <c r="T1621" s="2" t="str">
        <f t="shared" si="233"/>
        <v xml:space="preserve"> Excellent</v>
      </c>
      <c r="U1621" s="2"/>
    </row>
    <row r="1622" spans="1:21" x14ac:dyDescent="0.3">
      <c r="A1622">
        <v>1621</v>
      </c>
      <c r="B1622" t="s">
        <v>2387</v>
      </c>
      <c r="C1622" t="str">
        <f t="shared" si="225"/>
        <v>EMP_1621</v>
      </c>
      <c r="D1622" t="s">
        <v>11</v>
      </c>
      <c r="E1622" t="str">
        <f t="shared" si="226"/>
        <v>EMP_1621Sales</v>
      </c>
      <c r="F1622" t="s">
        <v>7</v>
      </c>
      <c r="G1622" t="s">
        <v>22</v>
      </c>
      <c r="H1622">
        <v>22585</v>
      </c>
      <c r="I1622">
        <v>9704</v>
      </c>
      <c r="J1622">
        <v>145377</v>
      </c>
      <c r="K1622">
        <v>118326</v>
      </c>
      <c r="L1622" s="4" t="s">
        <v>774</v>
      </c>
      <c r="M1622" s="4" t="str">
        <f t="shared" si="227"/>
        <v>8/30/2020</v>
      </c>
      <c r="N1622" s="1">
        <f t="shared" ca="1" si="228"/>
        <v>46064</v>
      </c>
      <c r="O1622" s="6" t="e">
        <f t="shared" ca="1" si="229"/>
        <v>#VALUE!</v>
      </c>
      <c r="P1622">
        <v>4</v>
      </c>
      <c r="Q1622">
        <f t="shared" si="230"/>
        <v>32289</v>
      </c>
      <c r="R1622" s="2">
        <f t="shared" si="231"/>
        <v>16144.5</v>
      </c>
      <c r="S1622" s="2" t="str">
        <f t="shared" si="232"/>
        <v>Achieved</v>
      </c>
      <c r="T1622" s="2" t="str">
        <f t="shared" si="233"/>
        <v>poor</v>
      </c>
      <c r="U1622" s="2"/>
    </row>
    <row r="1623" spans="1:21" x14ac:dyDescent="0.3">
      <c r="A1623">
        <v>1622</v>
      </c>
      <c r="B1623" t="s">
        <v>2388</v>
      </c>
      <c r="C1623" t="str">
        <f t="shared" si="225"/>
        <v>EMP_1622</v>
      </c>
      <c r="D1623" t="s">
        <v>15</v>
      </c>
      <c r="E1623" t="str">
        <f t="shared" si="226"/>
        <v>EMP_1622HR</v>
      </c>
      <c r="F1623" t="s">
        <v>12</v>
      </c>
      <c r="G1623" t="s">
        <v>16</v>
      </c>
      <c r="H1623">
        <v>21645</v>
      </c>
      <c r="I1623">
        <v>4058</v>
      </c>
      <c r="J1623">
        <v>0</v>
      </c>
      <c r="K1623">
        <v>0</v>
      </c>
      <c r="L1623" s="4">
        <v>44020</v>
      </c>
      <c r="M1623" s="4" t="str">
        <f t="shared" si="227"/>
        <v>2020</v>
      </c>
      <c r="N1623" s="1">
        <f t="shared" ca="1" si="228"/>
        <v>46064</v>
      </c>
      <c r="O1623" s="6">
        <f t="shared" ca="1" si="229"/>
        <v>5</v>
      </c>
      <c r="P1623">
        <v>2</v>
      </c>
      <c r="Q1623">
        <f t="shared" si="230"/>
        <v>25703</v>
      </c>
      <c r="R1623" s="2">
        <f t="shared" si="231"/>
        <v>12851.5</v>
      </c>
      <c r="S1623" s="2" t="str">
        <f t="shared" si="232"/>
        <v xml:space="preserve"> Not Achieved</v>
      </c>
      <c r="T1623" s="2" t="str">
        <f t="shared" si="233"/>
        <v>poor</v>
      </c>
      <c r="U1623" s="2"/>
    </row>
    <row r="1624" spans="1:21" x14ac:dyDescent="0.3">
      <c r="A1624">
        <v>1623</v>
      </c>
      <c r="B1624" t="s">
        <v>2389</v>
      </c>
      <c r="C1624" t="str">
        <f t="shared" si="225"/>
        <v>EMP_1623</v>
      </c>
      <c r="D1624" t="s">
        <v>15</v>
      </c>
      <c r="E1624" t="str">
        <f t="shared" si="226"/>
        <v>EMP_1623Marketing</v>
      </c>
      <c r="F1624" t="s">
        <v>24</v>
      </c>
      <c r="G1624" t="s">
        <v>13</v>
      </c>
      <c r="H1624">
        <v>20125</v>
      </c>
      <c r="I1624">
        <v>13885</v>
      </c>
      <c r="J1624">
        <v>0</v>
      </c>
      <c r="K1624">
        <v>0</v>
      </c>
      <c r="L1624" s="4" t="s">
        <v>256</v>
      </c>
      <c r="M1624" s="4" t="str">
        <f t="shared" si="227"/>
        <v>1/19/2021</v>
      </c>
      <c r="N1624" s="1">
        <f t="shared" ca="1" si="228"/>
        <v>46064</v>
      </c>
      <c r="O1624" s="6" t="e">
        <f t="shared" ca="1" si="229"/>
        <v>#VALUE!</v>
      </c>
      <c r="P1624">
        <v>4</v>
      </c>
      <c r="Q1624">
        <f t="shared" si="230"/>
        <v>34010</v>
      </c>
      <c r="R1624" s="2">
        <f t="shared" si="231"/>
        <v>17005</v>
      </c>
      <c r="S1624" s="2" t="str">
        <f t="shared" si="232"/>
        <v xml:space="preserve"> Not Achieved</v>
      </c>
      <c r="T1624" s="2" t="str">
        <f t="shared" si="233"/>
        <v>poor</v>
      </c>
      <c r="U1624" s="2"/>
    </row>
    <row r="1625" spans="1:21" x14ac:dyDescent="0.3">
      <c r="A1625">
        <v>1624</v>
      </c>
      <c r="B1625" t="s">
        <v>2390</v>
      </c>
      <c r="C1625" t="str">
        <f t="shared" si="225"/>
        <v>EMP_1624</v>
      </c>
      <c r="D1625" t="s">
        <v>11</v>
      </c>
      <c r="E1625" t="str">
        <f t="shared" si="226"/>
        <v>EMP_1624Finance</v>
      </c>
      <c r="F1625" t="s">
        <v>18</v>
      </c>
      <c r="G1625" t="s">
        <v>22</v>
      </c>
      <c r="H1625">
        <v>37596</v>
      </c>
      <c r="I1625">
        <v>4584</v>
      </c>
      <c r="J1625">
        <v>0</v>
      </c>
      <c r="K1625">
        <v>0</v>
      </c>
      <c r="L1625" s="4" t="s">
        <v>2391</v>
      </c>
      <c r="M1625" s="4" t="str">
        <f t="shared" si="227"/>
        <v>6/23/2022</v>
      </c>
      <c r="N1625" s="1">
        <f t="shared" ca="1" si="228"/>
        <v>46064</v>
      </c>
      <c r="O1625" s="6" t="e">
        <f t="shared" ca="1" si="229"/>
        <v>#VALUE!</v>
      </c>
      <c r="P1625">
        <v>4</v>
      </c>
      <c r="Q1625">
        <f t="shared" si="230"/>
        <v>42180</v>
      </c>
      <c r="R1625" s="2">
        <f t="shared" si="231"/>
        <v>21090</v>
      </c>
      <c r="S1625" s="2" t="str">
        <f t="shared" si="232"/>
        <v xml:space="preserve"> Not Achieved</v>
      </c>
      <c r="T1625" s="2" t="str">
        <f t="shared" si="233"/>
        <v>Average</v>
      </c>
      <c r="U1625" s="2"/>
    </row>
    <row r="1626" spans="1:21" x14ac:dyDescent="0.3">
      <c r="A1626">
        <v>1625</v>
      </c>
      <c r="B1626" t="s">
        <v>2392</v>
      </c>
      <c r="C1626" t="str">
        <f t="shared" si="225"/>
        <v>EMP_1625</v>
      </c>
      <c r="D1626" t="s">
        <v>15</v>
      </c>
      <c r="E1626" t="str">
        <f t="shared" si="226"/>
        <v>EMP_1625Sales</v>
      </c>
      <c r="F1626" t="s">
        <v>7</v>
      </c>
      <c r="G1626" t="s">
        <v>16</v>
      </c>
      <c r="H1626">
        <v>78632</v>
      </c>
      <c r="I1626">
        <v>13549</v>
      </c>
      <c r="J1626">
        <v>129946</v>
      </c>
      <c r="K1626">
        <v>236670</v>
      </c>
      <c r="L1626" s="4">
        <v>43711</v>
      </c>
      <c r="M1626" s="4" t="str">
        <f t="shared" si="227"/>
        <v>2019</v>
      </c>
      <c r="N1626" s="1">
        <f t="shared" ca="1" si="228"/>
        <v>46064</v>
      </c>
      <c r="O1626" s="6">
        <f t="shared" ca="1" si="229"/>
        <v>6</v>
      </c>
      <c r="P1626">
        <v>2</v>
      </c>
      <c r="Q1626">
        <f t="shared" si="230"/>
        <v>92181</v>
      </c>
      <c r="R1626" s="2">
        <f t="shared" si="231"/>
        <v>46090.5</v>
      </c>
      <c r="S1626" s="2" t="str">
        <f t="shared" si="232"/>
        <v xml:space="preserve"> Not Achieved</v>
      </c>
      <c r="T1626" s="2" t="str">
        <f t="shared" si="233"/>
        <v xml:space="preserve"> Excellent</v>
      </c>
      <c r="U1626" s="2"/>
    </row>
    <row r="1627" spans="1:21" x14ac:dyDescent="0.3">
      <c r="A1627">
        <v>1626</v>
      </c>
      <c r="B1627" t="s">
        <v>2393</v>
      </c>
      <c r="C1627" t="str">
        <f t="shared" si="225"/>
        <v>EMP_1626</v>
      </c>
      <c r="D1627" t="s">
        <v>11</v>
      </c>
      <c r="E1627" t="str">
        <f t="shared" si="226"/>
        <v>EMP_1626Finance</v>
      </c>
      <c r="F1627" t="s">
        <v>18</v>
      </c>
      <c r="G1627" t="s">
        <v>19</v>
      </c>
      <c r="H1627">
        <v>34546</v>
      </c>
      <c r="I1627">
        <v>3496</v>
      </c>
      <c r="J1627">
        <v>0</v>
      </c>
      <c r="K1627">
        <v>0</v>
      </c>
      <c r="L1627" s="4">
        <v>43228</v>
      </c>
      <c r="M1627" s="4" t="str">
        <f t="shared" si="227"/>
        <v>2018</v>
      </c>
      <c r="N1627" s="1">
        <f t="shared" ca="1" si="228"/>
        <v>46064</v>
      </c>
      <c r="O1627" s="6">
        <f t="shared" ca="1" si="229"/>
        <v>7</v>
      </c>
      <c r="P1627">
        <v>2</v>
      </c>
      <c r="Q1627">
        <f t="shared" si="230"/>
        <v>38042</v>
      </c>
      <c r="R1627" s="2">
        <f t="shared" si="231"/>
        <v>19021</v>
      </c>
      <c r="S1627" s="2" t="str">
        <f t="shared" si="232"/>
        <v xml:space="preserve"> Not Achieved</v>
      </c>
      <c r="T1627" s="2" t="str">
        <f t="shared" si="233"/>
        <v>Average</v>
      </c>
      <c r="U1627" s="2"/>
    </row>
    <row r="1628" spans="1:21" x14ac:dyDescent="0.3">
      <c r="A1628">
        <v>1627</v>
      </c>
      <c r="B1628" t="s">
        <v>2394</v>
      </c>
      <c r="C1628" t="str">
        <f t="shared" si="225"/>
        <v>EMP_1627</v>
      </c>
      <c r="D1628" t="s">
        <v>15</v>
      </c>
      <c r="E1628" t="str">
        <f t="shared" si="226"/>
        <v>EMP_1627Sales</v>
      </c>
      <c r="F1628" t="s">
        <v>7</v>
      </c>
      <c r="G1628" t="s">
        <v>16</v>
      </c>
      <c r="H1628">
        <v>55082</v>
      </c>
      <c r="I1628">
        <v>14832</v>
      </c>
      <c r="J1628">
        <v>188928</v>
      </c>
      <c r="K1628">
        <v>206629</v>
      </c>
      <c r="L1628" s="4" t="s">
        <v>1707</v>
      </c>
      <c r="M1628" s="4" t="str">
        <f t="shared" si="227"/>
        <v>5/19/2023</v>
      </c>
      <c r="N1628" s="1">
        <f t="shared" ca="1" si="228"/>
        <v>46064</v>
      </c>
      <c r="O1628" s="6" t="e">
        <f t="shared" ca="1" si="229"/>
        <v>#VALUE!</v>
      </c>
      <c r="P1628">
        <v>4</v>
      </c>
      <c r="Q1628">
        <f t="shared" si="230"/>
        <v>69914</v>
      </c>
      <c r="R1628" s="2">
        <f t="shared" si="231"/>
        <v>34957</v>
      </c>
      <c r="S1628" s="2" t="str">
        <f t="shared" si="232"/>
        <v xml:space="preserve"> Not Achieved</v>
      </c>
      <c r="T1628" s="2" t="str">
        <f t="shared" si="233"/>
        <v xml:space="preserve"> Excellent</v>
      </c>
      <c r="U1628" s="2"/>
    </row>
    <row r="1629" spans="1:21" x14ac:dyDescent="0.3">
      <c r="A1629">
        <v>1628</v>
      </c>
      <c r="B1629" t="s">
        <v>2395</v>
      </c>
      <c r="C1629" t="str">
        <f t="shared" si="225"/>
        <v>EMP_1628</v>
      </c>
      <c r="D1629" t="s">
        <v>15</v>
      </c>
      <c r="E1629" t="str">
        <f t="shared" si="226"/>
        <v>EMP_1628IT</v>
      </c>
      <c r="F1629" t="s">
        <v>21</v>
      </c>
      <c r="G1629" t="s">
        <v>25</v>
      </c>
      <c r="H1629">
        <v>60199</v>
      </c>
      <c r="I1629">
        <v>10239</v>
      </c>
      <c r="J1629">
        <v>0</v>
      </c>
      <c r="K1629">
        <v>0</v>
      </c>
      <c r="L1629" s="4" t="s">
        <v>100</v>
      </c>
      <c r="M1629" s="4" t="str">
        <f t="shared" si="227"/>
        <v>6/29/2019</v>
      </c>
      <c r="N1629" s="1">
        <f t="shared" ca="1" si="228"/>
        <v>46064</v>
      </c>
      <c r="O1629" s="6" t="e">
        <f t="shared" ca="1" si="229"/>
        <v>#VALUE!</v>
      </c>
      <c r="P1629">
        <v>3</v>
      </c>
      <c r="Q1629">
        <f t="shared" si="230"/>
        <v>70438</v>
      </c>
      <c r="R1629" s="2">
        <f t="shared" si="231"/>
        <v>35219</v>
      </c>
      <c r="S1629" s="2" t="str">
        <f t="shared" si="232"/>
        <v xml:space="preserve"> Not Achieved</v>
      </c>
      <c r="T1629" s="2" t="str">
        <f t="shared" si="233"/>
        <v xml:space="preserve"> Excellent</v>
      </c>
      <c r="U1629" s="2"/>
    </row>
    <row r="1630" spans="1:21" x14ac:dyDescent="0.3">
      <c r="A1630">
        <v>1629</v>
      </c>
      <c r="B1630" t="s">
        <v>2396</v>
      </c>
      <c r="C1630" t="str">
        <f t="shared" si="225"/>
        <v>EMP_1629</v>
      </c>
      <c r="D1630" t="s">
        <v>15</v>
      </c>
      <c r="E1630" t="str">
        <f t="shared" si="226"/>
        <v>EMP_1629IT</v>
      </c>
      <c r="F1630" t="s">
        <v>21</v>
      </c>
      <c r="G1630" t="s">
        <v>25</v>
      </c>
      <c r="H1630">
        <v>45749</v>
      </c>
      <c r="I1630">
        <v>6872</v>
      </c>
      <c r="J1630">
        <v>0</v>
      </c>
      <c r="K1630">
        <v>0</v>
      </c>
      <c r="L1630" s="4" t="s">
        <v>80</v>
      </c>
      <c r="M1630" s="4" t="str">
        <f t="shared" si="227"/>
        <v>6/22/2020</v>
      </c>
      <c r="N1630" s="1">
        <f t="shared" ca="1" si="228"/>
        <v>46064</v>
      </c>
      <c r="O1630" s="6" t="e">
        <f t="shared" ca="1" si="229"/>
        <v>#VALUE!</v>
      </c>
      <c r="P1630">
        <v>4</v>
      </c>
      <c r="Q1630">
        <f t="shared" si="230"/>
        <v>52621</v>
      </c>
      <c r="R1630" s="2">
        <f t="shared" si="231"/>
        <v>26310.5</v>
      </c>
      <c r="S1630" s="2" t="str">
        <f t="shared" si="232"/>
        <v xml:space="preserve"> Not Achieved</v>
      </c>
      <c r="T1630" s="2" t="str">
        <f t="shared" si="233"/>
        <v>Good</v>
      </c>
      <c r="U1630" s="2"/>
    </row>
    <row r="1631" spans="1:21" x14ac:dyDescent="0.3">
      <c r="A1631">
        <v>1630</v>
      </c>
      <c r="B1631" t="s">
        <v>2397</v>
      </c>
      <c r="C1631" t="str">
        <f t="shared" si="225"/>
        <v>EMP_1630</v>
      </c>
      <c r="D1631" t="s">
        <v>11</v>
      </c>
      <c r="E1631" t="str">
        <f t="shared" si="226"/>
        <v>EMP_1630Marketing</v>
      </c>
      <c r="F1631" t="s">
        <v>24</v>
      </c>
      <c r="G1631" t="s">
        <v>16</v>
      </c>
      <c r="H1631">
        <v>49984</v>
      </c>
      <c r="I1631">
        <v>3383</v>
      </c>
      <c r="J1631">
        <v>0</v>
      </c>
      <c r="K1631">
        <v>0</v>
      </c>
      <c r="L1631" s="4" t="s">
        <v>2398</v>
      </c>
      <c r="M1631" s="4" t="str">
        <f t="shared" si="227"/>
        <v>1/14/2018</v>
      </c>
      <c r="N1631" s="1">
        <f t="shared" ca="1" si="228"/>
        <v>46064</v>
      </c>
      <c r="O1631" s="6" t="e">
        <f t="shared" ca="1" si="229"/>
        <v>#VALUE!</v>
      </c>
      <c r="P1631">
        <v>4</v>
      </c>
      <c r="Q1631">
        <f t="shared" si="230"/>
        <v>53367</v>
      </c>
      <c r="R1631" s="2">
        <f t="shared" si="231"/>
        <v>26683.5</v>
      </c>
      <c r="S1631" s="2" t="str">
        <f t="shared" si="232"/>
        <v xml:space="preserve"> Not Achieved</v>
      </c>
      <c r="T1631" s="2" t="str">
        <f t="shared" si="233"/>
        <v>Good</v>
      </c>
      <c r="U1631" s="2"/>
    </row>
    <row r="1632" spans="1:21" x14ac:dyDescent="0.3">
      <c r="A1632">
        <v>1631</v>
      </c>
      <c r="B1632" t="s">
        <v>2399</v>
      </c>
      <c r="C1632" t="str">
        <f t="shared" si="225"/>
        <v>EMP_1631</v>
      </c>
      <c r="D1632" t="s">
        <v>11</v>
      </c>
      <c r="E1632" t="str">
        <f t="shared" si="226"/>
        <v>EMP_1631IT</v>
      </c>
      <c r="F1632" t="s">
        <v>21</v>
      </c>
      <c r="G1632" t="s">
        <v>19</v>
      </c>
      <c r="H1632">
        <v>79782</v>
      </c>
      <c r="I1632">
        <v>3351</v>
      </c>
      <c r="J1632">
        <v>0</v>
      </c>
      <c r="K1632">
        <v>0</v>
      </c>
      <c r="L1632" s="4" t="s">
        <v>252</v>
      </c>
      <c r="M1632" s="4" t="str">
        <f t="shared" si="227"/>
        <v>5/16/2021</v>
      </c>
      <c r="N1632" s="1">
        <f t="shared" ca="1" si="228"/>
        <v>46064</v>
      </c>
      <c r="O1632" s="6" t="e">
        <f t="shared" ca="1" si="229"/>
        <v>#VALUE!</v>
      </c>
      <c r="P1632">
        <v>4</v>
      </c>
      <c r="Q1632">
        <f t="shared" si="230"/>
        <v>83133</v>
      </c>
      <c r="R1632" s="2">
        <f t="shared" si="231"/>
        <v>41566.5</v>
      </c>
      <c r="S1632" s="2" t="str">
        <f t="shared" si="232"/>
        <v xml:space="preserve"> Not Achieved</v>
      </c>
      <c r="T1632" s="2" t="str">
        <f t="shared" si="233"/>
        <v xml:space="preserve"> Excellent</v>
      </c>
      <c r="U1632" s="2"/>
    </row>
    <row r="1633" spans="1:21" x14ac:dyDescent="0.3">
      <c r="A1633">
        <v>1632</v>
      </c>
      <c r="B1633" t="s">
        <v>2400</v>
      </c>
      <c r="C1633" t="str">
        <f t="shared" si="225"/>
        <v>EMP_1632</v>
      </c>
      <c r="D1633" t="s">
        <v>11</v>
      </c>
      <c r="E1633" t="str">
        <f t="shared" si="226"/>
        <v>EMP_1632HR</v>
      </c>
      <c r="F1633" t="s">
        <v>12</v>
      </c>
      <c r="G1633" t="s">
        <v>19</v>
      </c>
      <c r="H1633">
        <v>30460</v>
      </c>
      <c r="I1633">
        <v>14476</v>
      </c>
      <c r="J1633">
        <v>0</v>
      </c>
      <c r="K1633">
        <v>0</v>
      </c>
      <c r="L1633" s="4" t="s">
        <v>2401</v>
      </c>
      <c r="M1633" s="4" t="str">
        <f t="shared" si="227"/>
        <v>7/14/2024</v>
      </c>
      <c r="N1633" s="1">
        <f t="shared" ca="1" si="228"/>
        <v>46064</v>
      </c>
      <c r="O1633" s="6" t="e">
        <f t="shared" ca="1" si="229"/>
        <v>#VALUE!</v>
      </c>
      <c r="P1633">
        <v>3</v>
      </c>
      <c r="Q1633">
        <f t="shared" si="230"/>
        <v>44936</v>
      </c>
      <c r="R1633" s="2">
        <f t="shared" si="231"/>
        <v>22468</v>
      </c>
      <c r="S1633" s="2" t="str">
        <f t="shared" si="232"/>
        <v xml:space="preserve"> Not Achieved</v>
      </c>
      <c r="T1633" s="2" t="str">
        <f t="shared" si="233"/>
        <v>Average</v>
      </c>
      <c r="U1633" s="2"/>
    </row>
    <row r="1634" spans="1:21" x14ac:dyDescent="0.3">
      <c r="A1634">
        <v>1633</v>
      </c>
      <c r="B1634" t="s">
        <v>2402</v>
      </c>
      <c r="C1634" t="str">
        <f t="shared" si="225"/>
        <v>EMP_1633</v>
      </c>
      <c r="D1634" t="s">
        <v>11</v>
      </c>
      <c r="E1634" t="str">
        <f t="shared" si="226"/>
        <v>EMP_1633IT</v>
      </c>
      <c r="F1634" t="s">
        <v>21</v>
      </c>
      <c r="G1634" t="s">
        <v>13</v>
      </c>
      <c r="H1634">
        <v>55247</v>
      </c>
      <c r="I1634">
        <v>8399</v>
      </c>
      <c r="J1634">
        <v>0</v>
      </c>
      <c r="K1634">
        <v>0</v>
      </c>
      <c r="L1634" s="4">
        <v>43800</v>
      </c>
      <c r="M1634" s="4" t="str">
        <f t="shared" si="227"/>
        <v>2019</v>
      </c>
      <c r="N1634" s="1">
        <f t="shared" ca="1" si="228"/>
        <v>46064</v>
      </c>
      <c r="O1634" s="6">
        <f t="shared" ca="1" si="229"/>
        <v>6</v>
      </c>
      <c r="P1634">
        <v>2</v>
      </c>
      <c r="Q1634">
        <f t="shared" si="230"/>
        <v>63646</v>
      </c>
      <c r="R1634" s="2">
        <f t="shared" si="231"/>
        <v>31823</v>
      </c>
      <c r="S1634" s="2" t="str">
        <f t="shared" si="232"/>
        <v xml:space="preserve"> Not Achieved</v>
      </c>
      <c r="T1634" s="2" t="str">
        <f t="shared" si="233"/>
        <v xml:space="preserve"> Excellent</v>
      </c>
      <c r="U1634" s="2"/>
    </row>
    <row r="1635" spans="1:21" x14ac:dyDescent="0.3">
      <c r="A1635">
        <v>1634</v>
      </c>
      <c r="B1635" t="s">
        <v>2403</v>
      </c>
      <c r="C1635" t="str">
        <f t="shared" si="225"/>
        <v>EMP_1634</v>
      </c>
      <c r="D1635" t="s">
        <v>11</v>
      </c>
      <c r="E1635" t="str">
        <f t="shared" si="226"/>
        <v>EMP_1634Sales</v>
      </c>
      <c r="F1635" t="s">
        <v>7</v>
      </c>
      <c r="G1635" t="s">
        <v>13</v>
      </c>
      <c r="H1635">
        <v>25243</v>
      </c>
      <c r="I1635">
        <v>3755</v>
      </c>
      <c r="J1635">
        <v>89415</v>
      </c>
      <c r="K1635">
        <v>113160</v>
      </c>
      <c r="L1635" s="4" t="s">
        <v>2404</v>
      </c>
      <c r="M1635" s="4" t="str">
        <f t="shared" si="227"/>
        <v>1/27/2018</v>
      </c>
      <c r="N1635" s="1">
        <f t="shared" ca="1" si="228"/>
        <v>46064</v>
      </c>
      <c r="O1635" s="6" t="e">
        <f t="shared" ca="1" si="229"/>
        <v>#VALUE!</v>
      </c>
      <c r="P1635">
        <v>2</v>
      </c>
      <c r="Q1635">
        <f t="shared" si="230"/>
        <v>28998</v>
      </c>
      <c r="R1635" s="2">
        <f t="shared" si="231"/>
        <v>14499</v>
      </c>
      <c r="S1635" s="2" t="str">
        <f t="shared" si="232"/>
        <v xml:space="preserve"> Not Achieved</v>
      </c>
      <c r="T1635" s="2" t="str">
        <f t="shared" si="233"/>
        <v>poor</v>
      </c>
      <c r="U1635" s="2"/>
    </row>
    <row r="1636" spans="1:21" x14ac:dyDescent="0.3">
      <c r="A1636">
        <v>1635</v>
      </c>
      <c r="B1636" t="s">
        <v>2405</v>
      </c>
      <c r="C1636" t="str">
        <f t="shared" si="225"/>
        <v>EMP_1635</v>
      </c>
      <c r="D1636" t="s">
        <v>11</v>
      </c>
      <c r="E1636" t="str">
        <f t="shared" si="226"/>
        <v>EMP_1635HR</v>
      </c>
      <c r="F1636" t="s">
        <v>12</v>
      </c>
      <c r="G1636" t="s">
        <v>25</v>
      </c>
      <c r="H1636">
        <v>62175</v>
      </c>
      <c r="I1636">
        <v>9345</v>
      </c>
      <c r="J1636">
        <v>0</v>
      </c>
      <c r="K1636">
        <v>0</v>
      </c>
      <c r="L1636" s="4">
        <v>45416</v>
      </c>
      <c r="M1636" s="4" t="str">
        <f t="shared" si="227"/>
        <v>2024</v>
      </c>
      <c r="N1636" s="1">
        <f t="shared" ca="1" si="228"/>
        <v>46064</v>
      </c>
      <c r="O1636" s="6">
        <f t="shared" ca="1" si="229"/>
        <v>1</v>
      </c>
      <c r="P1636">
        <v>3</v>
      </c>
      <c r="Q1636">
        <f t="shared" si="230"/>
        <v>71520</v>
      </c>
      <c r="R1636" s="2">
        <f t="shared" si="231"/>
        <v>35760</v>
      </c>
      <c r="S1636" s="2" t="str">
        <f t="shared" si="232"/>
        <v xml:space="preserve"> Not Achieved</v>
      </c>
      <c r="T1636" s="2" t="str">
        <f t="shared" si="233"/>
        <v xml:space="preserve"> Excellent</v>
      </c>
      <c r="U1636" s="2"/>
    </row>
    <row r="1637" spans="1:21" x14ac:dyDescent="0.3">
      <c r="A1637">
        <v>1636</v>
      </c>
      <c r="B1637" t="s">
        <v>2406</v>
      </c>
      <c r="C1637" t="str">
        <f t="shared" si="225"/>
        <v>EMP_1636</v>
      </c>
      <c r="D1637" t="s">
        <v>11</v>
      </c>
      <c r="E1637" t="str">
        <f t="shared" si="226"/>
        <v>EMP_1636HR</v>
      </c>
      <c r="F1637" t="s">
        <v>12</v>
      </c>
      <c r="G1637" t="s">
        <v>16</v>
      </c>
      <c r="H1637">
        <v>67039</v>
      </c>
      <c r="I1637">
        <v>10056</v>
      </c>
      <c r="J1637">
        <v>0</v>
      </c>
      <c r="K1637">
        <v>0</v>
      </c>
      <c r="L1637" s="4" t="s">
        <v>2407</v>
      </c>
      <c r="M1637" s="4" t="str">
        <f t="shared" si="227"/>
        <v>9/15/2018</v>
      </c>
      <c r="N1637" s="1">
        <f t="shared" ca="1" si="228"/>
        <v>46064</v>
      </c>
      <c r="O1637" s="6" t="e">
        <f t="shared" ca="1" si="229"/>
        <v>#VALUE!</v>
      </c>
      <c r="P1637">
        <v>2</v>
      </c>
      <c r="Q1637">
        <f t="shared" si="230"/>
        <v>77095</v>
      </c>
      <c r="R1637" s="2">
        <f t="shared" si="231"/>
        <v>38547.5</v>
      </c>
      <c r="S1637" s="2" t="str">
        <f t="shared" si="232"/>
        <v xml:space="preserve"> Not Achieved</v>
      </c>
      <c r="T1637" s="2" t="str">
        <f t="shared" si="233"/>
        <v xml:space="preserve"> Excellent</v>
      </c>
      <c r="U1637" s="2"/>
    </row>
    <row r="1638" spans="1:21" x14ac:dyDescent="0.3">
      <c r="A1638">
        <v>1637</v>
      </c>
      <c r="B1638" t="s">
        <v>2408</v>
      </c>
      <c r="C1638" t="str">
        <f t="shared" si="225"/>
        <v>EMP_1637</v>
      </c>
      <c r="D1638" t="s">
        <v>11</v>
      </c>
      <c r="E1638" t="str">
        <f t="shared" si="226"/>
        <v>EMP_1637IT</v>
      </c>
      <c r="F1638" t="s">
        <v>21</v>
      </c>
      <c r="G1638" t="s">
        <v>16</v>
      </c>
      <c r="H1638">
        <v>44512</v>
      </c>
      <c r="I1638">
        <v>7354</v>
      </c>
      <c r="J1638">
        <v>0</v>
      </c>
      <c r="K1638">
        <v>0</v>
      </c>
      <c r="L1638" s="4">
        <v>43231</v>
      </c>
      <c r="M1638" s="4" t="str">
        <f t="shared" si="227"/>
        <v>2018</v>
      </c>
      <c r="N1638" s="1">
        <f t="shared" ca="1" si="228"/>
        <v>46064</v>
      </c>
      <c r="O1638" s="6">
        <f t="shared" ca="1" si="229"/>
        <v>7</v>
      </c>
      <c r="P1638">
        <v>1</v>
      </c>
      <c r="Q1638">
        <f t="shared" si="230"/>
        <v>51866</v>
      </c>
      <c r="R1638" s="2">
        <f t="shared" si="231"/>
        <v>25933</v>
      </c>
      <c r="S1638" s="2" t="str">
        <f t="shared" si="232"/>
        <v xml:space="preserve"> Not Achieved</v>
      </c>
      <c r="T1638" s="2" t="str">
        <f t="shared" si="233"/>
        <v>Good</v>
      </c>
      <c r="U1638" s="2"/>
    </row>
    <row r="1639" spans="1:21" x14ac:dyDescent="0.3">
      <c r="A1639">
        <v>1638</v>
      </c>
      <c r="B1639" t="s">
        <v>2409</v>
      </c>
      <c r="C1639" t="str">
        <f t="shared" si="225"/>
        <v>EMP_1638</v>
      </c>
      <c r="D1639" t="s">
        <v>15</v>
      </c>
      <c r="E1639" t="str">
        <f t="shared" si="226"/>
        <v>EMP_1638HR</v>
      </c>
      <c r="F1639" t="s">
        <v>12</v>
      </c>
      <c r="G1639" t="s">
        <v>19</v>
      </c>
      <c r="H1639">
        <v>24399</v>
      </c>
      <c r="I1639">
        <v>8697</v>
      </c>
      <c r="J1639">
        <v>0</v>
      </c>
      <c r="K1639">
        <v>0</v>
      </c>
      <c r="L1639" s="4">
        <v>43749</v>
      </c>
      <c r="M1639" s="4" t="str">
        <f t="shared" si="227"/>
        <v>2019</v>
      </c>
      <c r="N1639" s="1">
        <f t="shared" ca="1" si="228"/>
        <v>46064</v>
      </c>
      <c r="O1639" s="6">
        <f t="shared" ca="1" si="229"/>
        <v>6</v>
      </c>
      <c r="P1639">
        <v>2</v>
      </c>
      <c r="Q1639">
        <f t="shared" si="230"/>
        <v>33096</v>
      </c>
      <c r="R1639" s="2">
        <f t="shared" si="231"/>
        <v>16548</v>
      </c>
      <c r="S1639" s="2" t="str">
        <f t="shared" si="232"/>
        <v xml:space="preserve"> Not Achieved</v>
      </c>
      <c r="T1639" s="2" t="str">
        <f t="shared" si="233"/>
        <v>poor</v>
      </c>
      <c r="U1639" s="2"/>
    </row>
    <row r="1640" spans="1:21" x14ac:dyDescent="0.3">
      <c r="A1640">
        <v>1639</v>
      </c>
      <c r="B1640" t="s">
        <v>2410</v>
      </c>
      <c r="C1640" t="str">
        <f t="shared" si="225"/>
        <v>EMP_1639</v>
      </c>
      <c r="D1640" t="s">
        <v>15</v>
      </c>
      <c r="E1640" t="str">
        <f t="shared" si="226"/>
        <v>EMP_1639IT</v>
      </c>
      <c r="F1640" t="s">
        <v>21</v>
      </c>
      <c r="G1640" t="s">
        <v>25</v>
      </c>
      <c r="H1640">
        <v>70349</v>
      </c>
      <c r="I1640">
        <v>5346</v>
      </c>
      <c r="J1640">
        <v>0</v>
      </c>
      <c r="K1640">
        <v>0</v>
      </c>
      <c r="L1640" s="4">
        <v>44502</v>
      </c>
      <c r="M1640" s="4" t="str">
        <f t="shared" si="227"/>
        <v>2021</v>
      </c>
      <c r="N1640" s="1">
        <f t="shared" ca="1" si="228"/>
        <v>46064</v>
      </c>
      <c r="O1640" s="6">
        <f t="shared" ca="1" si="229"/>
        <v>4</v>
      </c>
      <c r="P1640">
        <v>1</v>
      </c>
      <c r="Q1640">
        <f t="shared" si="230"/>
        <v>75695</v>
      </c>
      <c r="R1640" s="2">
        <f t="shared" si="231"/>
        <v>37847.5</v>
      </c>
      <c r="S1640" s="2" t="str">
        <f t="shared" si="232"/>
        <v xml:space="preserve"> Not Achieved</v>
      </c>
      <c r="T1640" s="2" t="str">
        <f t="shared" si="233"/>
        <v xml:space="preserve"> Excellent</v>
      </c>
      <c r="U1640" s="2"/>
    </row>
    <row r="1641" spans="1:21" x14ac:dyDescent="0.3">
      <c r="A1641">
        <v>1640</v>
      </c>
      <c r="B1641" t="s">
        <v>2411</v>
      </c>
      <c r="C1641" t="str">
        <f t="shared" si="225"/>
        <v>EMP_1640</v>
      </c>
      <c r="D1641" t="s">
        <v>15</v>
      </c>
      <c r="E1641" t="str">
        <f t="shared" si="226"/>
        <v>EMP_1640IT</v>
      </c>
      <c r="F1641" t="s">
        <v>21</v>
      </c>
      <c r="G1641" t="s">
        <v>22</v>
      </c>
      <c r="H1641">
        <v>43891</v>
      </c>
      <c r="I1641">
        <v>7380</v>
      </c>
      <c r="J1641">
        <v>0</v>
      </c>
      <c r="K1641">
        <v>0</v>
      </c>
      <c r="L1641" s="4" t="s">
        <v>1487</v>
      </c>
      <c r="M1641" s="4" t="str">
        <f t="shared" si="227"/>
        <v>10/14/2019</v>
      </c>
      <c r="N1641" s="1">
        <f t="shared" ca="1" si="228"/>
        <v>46064</v>
      </c>
      <c r="O1641" s="6" t="e">
        <f t="shared" ca="1" si="229"/>
        <v>#VALUE!</v>
      </c>
      <c r="P1641">
        <v>1</v>
      </c>
      <c r="Q1641">
        <f t="shared" si="230"/>
        <v>51271</v>
      </c>
      <c r="R1641" s="2">
        <f t="shared" si="231"/>
        <v>25635.5</v>
      </c>
      <c r="S1641" s="2" t="str">
        <f t="shared" si="232"/>
        <v xml:space="preserve"> Not Achieved</v>
      </c>
      <c r="T1641" s="2" t="str">
        <f t="shared" si="233"/>
        <v>Good</v>
      </c>
      <c r="U1641" s="2"/>
    </row>
    <row r="1642" spans="1:21" x14ac:dyDescent="0.3">
      <c r="A1642">
        <v>1641</v>
      </c>
      <c r="B1642" t="s">
        <v>2412</v>
      </c>
      <c r="C1642" t="str">
        <f t="shared" si="225"/>
        <v>EMP_1641</v>
      </c>
      <c r="D1642" t="s">
        <v>15</v>
      </c>
      <c r="E1642" t="str">
        <f t="shared" si="226"/>
        <v>EMP_1641HR</v>
      </c>
      <c r="F1642" t="s">
        <v>12</v>
      </c>
      <c r="G1642" t="s">
        <v>16</v>
      </c>
      <c r="H1642">
        <v>42457</v>
      </c>
      <c r="I1642">
        <v>12322</v>
      </c>
      <c r="J1642">
        <v>0</v>
      </c>
      <c r="K1642">
        <v>0</v>
      </c>
      <c r="L1642" s="4">
        <v>43134</v>
      </c>
      <c r="M1642" s="4" t="str">
        <f t="shared" si="227"/>
        <v>2018</v>
      </c>
      <c r="N1642" s="1">
        <f t="shared" ca="1" si="228"/>
        <v>46064</v>
      </c>
      <c r="O1642" s="6">
        <f t="shared" ca="1" si="229"/>
        <v>8</v>
      </c>
      <c r="P1642">
        <v>1</v>
      </c>
      <c r="Q1642">
        <f t="shared" si="230"/>
        <v>54779</v>
      </c>
      <c r="R1642" s="2">
        <f t="shared" si="231"/>
        <v>27389.5</v>
      </c>
      <c r="S1642" s="2" t="str">
        <f t="shared" si="232"/>
        <v xml:space="preserve"> Not Achieved</v>
      </c>
      <c r="T1642" s="2" t="str">
        <f t="shared" si="233"/>
        <v>Good</v>
      </c>
      <c r="U1642" s="2"/>
    </row>
    <row r="1643" spans="1:21" x14ac:dyDescent="0.3">
      <c r="A1643">
        <v>1642</v>
      </c>
      <c r="B1643" t="s">
        <v>2413</v>
      </c>
      <c r="C1643" t="str">
        <f t="shared" si="225"/>
        <v>EMP_1642</v>
      </c>
      <c r="D1643" t="s">
        <v>15</v>
      </c>
      <c r="E1643" t="str">
        <f t="shared" si="226"/>
        <v>EMP_1642Marketing</v>
      </c>
      <c r="F1643" t="s">
        <v>24</v>
      </c>
      <c r="G1643" t="s">
        <v>25</v>
      </c>
      <c r="H1643">
        <v>22756</v>
      </c>
      <c r="I1643">
        <v>13459</v>
      </c>
      <c r="J1643">
        <v>0</v>
      </c>
      <c r="K1643">
        <v>0</v>
      </c>
      <c r="L1643" s="4" t="s">
        <v>2414</v>
      </c>
      <c r="M1643" s="4" t="str">
        <f t="shared" si="227"/>
        <v>9/14/2018</v>
      </c>
      <c r="N1643" s="1">
        <f t="shared" ca="1" si="228"/>
        <v>46064</v>
      </c>
      <c r="O1643" s="6" t="e">
        <f t="shared" ca="1" si="229"/>
        <v>#VALUE!</v>
      </c>
      <c r="P1643">
        <v>4</v>
      </c>
      <c r="Q1643">
        <f t="shared" si="230"/>
        <v>36215</v>
      </c>
      <c r="R1643" s="2">
        <f t="shared" si="231"/>
        <v>18107.5</v>
      </c>
      <c r="S1643" s="2" t="str">
        <f t="shared" si="232"/>
        <v xml:space="preserve"> Not Achieved</v>
      </c>
      <c r="T1643" s="2" t="str">
        <f t="shared" si="233"/>
        <v>poor</v>
      </c>
      <c r="U1643" s="2"/>
    </row>
    <row r="1644" spans="1:21" x14ac:dyDescent="0.3">
      <c r="A1644">
        <v>1643</v>
      </c>
      <c r="B1644" t="s">
        <v>2415</v>
      </c>
      <c r="C1644" t="str">
        <f t="shared" si="225"/>
        <v>EMP_1643</v>
      </c>
      <c r="D1644" t="s">
        <v>15</v>
      </c>
      <c r="E1644" t="str">
        <f t="shared" si="226"/>
        <v>EMP_1643HR</v>
      </c>
      <c r="F1644" t="s">
        <v>12</v>
      </c>
      <c r="G1644" t="s">
        <v>22</v>
      </c>
      <c r="H1644">
        <v>59337</v>
      </c>
      <c r="I1644">
        <v>8480</v>
      </c>
      <c r="J1644">
        <v>0</v>
      </c>
      <c r="K1644">
        <v>0</v>
      </c>
      <c r="L1644" s="4" t="s">
        <v>820</v>
      </c>
      <c r="M1644" s="4" t="str">
        <f t="shared" si="227"/>
        <v>6/27/2024</v>
      </c>
      <c r="N1644" s="1">
        <f t="shared" ca="1" si="228"/>
        <v>46064</v>
      </c>
      <c r="O1644" s="6" t="e">
        <f t="shared" ca="1" si="229"/>
        <v>#VALUE!</v>
      </c>
      <c r="P1644">
        <v>4</v>
      </c>
      <c r="Q1644">
        <f t="shared" si="230"/>
        <v>67817</v>
      </c>
      <c r="R1644" s="2">
        <f t="shared" si="231"/>
        <v>33908.5</v>
      </c>
      <c r="S1644" s="2" t="str">
        <f t="shared" si="232"/>
        <v xml:space="preserve"> Not Achieved</v>
      </c>
      <c r="T1644" s="2" t="str">
        <f t="shared" si="233"/>
        <v xml:space="preserve"> Excellent</v>
      </c>
      <c r="U1644" s="2"/>
    </row>
    <row r="1645" spans="1:21" x14ac:dyDescent="0.3">
      <c r="A1645">
        <v>1644</v>
      </c>
      <c r="B1645" t="s">
        <v>2416</v>
      </c>
      <c r="C1645" t="str">
        <f t="shared" si="225"/>
        <v>EMP_1644</v>
      </c>
      <c r="D1645" t="s">
        <v>15</v>
      </c>
      <c r="E1645" t="str">
        <f t="shared" si="226"/>
        <v>EMP_1644Finance</v>
      </c>
      <c r="F1645" t="s">
        <v>18</v>
      </c>
      <c r="G1645" t="s">
        <v>13</v>
      </c>
      <c r="H1645">
        <v>33301</v>
      </c>
      <c r="I1645">
        <v>2559</v>
      </c>
      <c r="J1645">
        <v>0</v>
      </c>
      <c r="K1645">
        <v>0</v>
      </c>
      <c r="L1645" s="4">
        <v>44353</v>
      </c>
      <c r="M1645" s="4" t="str">
        <f t="shared" si="227"/>
        <v>2021</v>
      </c>
      <c r="N1645" s="1">
        <f t="shared" ca="1" si="228"/>
        <v>46064</v>
      </c>
      <c r="O1645" s="6">
        <f t="shared" ca="1" si="229"/>
        <v>4</v>
      </c>
      <c r="P1645">
        <v>1</v>
      </c>
      <c r="Q1645">
        <f t="shared" si="230"/>
        <v>35860</v>
      </c>
      <c r="R1645" s="2">
        <f t="shared" si="231"/>
        <v>17930</v>
      </c>
      <c r="S1645" s="2" t="str">
        <f t="shared" si="232"/>
        <v xml:space="preserve"> Not Achieved</v>
      </c>
      <c r="T1645" s="2" t="str">
        <f t="shared" si="233"/>
        <v>Average</v>
      </c>
      <c r="U1645" s="2"/>
    </row>
    <row r="1646" spans="1:21" x14ac:dyDescent="0.3">
      <c r="A1646">
        <v>1645</v>
      </c>
      <c r="B1646" t="s">
        <v>2417</v>
      </c>
      <c r="C1646" t="str">
        <f t="shared" si="225"/>
        <v>EMP_1645</v>
      </c>
      <c r="D1646" t="s">
        <v>11</v>
      </c>
      <c r="E1646" t="str">
        <f t="shared" si="226"/>
        <v>EMP_1645Sales</v>
      </c>
      <c r="F1646" t="s">
        <v>7</v>
      </c>
      <c r="G1646" t="s">
        <v>19</v>
      </c>
      <c r="H1646">
        <v>56176</v>
      </c>
      <c r="I1646">
        <v>12705</v>
      </c>
      <c r="J1646">
        <v>184609</v>
      </c>
      <c r="K1646">
        <v>145667</v>
      </c>
      <c r="L1646" s="4" t="s">
        <v>2418</v>
      </c>
      <c r="M1646" s="4" t="str">
        <f t="shared" si="227"/>
        <v>7/17/2018</v>
      </c>
      <c r="N1646" s="1">
        <f t="shared" ca="1" si="228"/>
        <v>46064</v>
      </c>
      <c r="O1646" s="6" t="e">
        <f t="shared" ca="1" si="229"/>
        <v>#VALUE!</v>
      </c>
      <c r="P1646">
        <v>2</v>
      </c>
      <c r="Q1646">
        <f t="shared" si="230"/>
        <v>68881</v>
      </c>
      <c r="R1646" s="2">
        <f t="shared" si="231"/>
        <v>34440.5</v>
      </c>
      <c r="S1646" s="2" t="str">
        <f t="shared" si="232"/>
        <v>Achieved</v>
      </c>
      <c r="T1646" s="2" t="str">
        <f t="shared" si="233"/>
        <v xml:space="preserve"> Excellent</v>
      </c>
      <c r="U1646" s="2"/>
    </row>
    <row r="1647" spans="1:21" x14ac:dyDescent="0.3">
      <c r="A1647">
        <v>1646</v>
      </c>
      <c r="B1647" t="s">
        <v>2419</v>
      </c>
      <c r="C1647" t="str">
        <f t="shared" si="225"/>
        <v>EMP_1646</v>
      </c>
      <c r="D1647" t="s">
        <v>11</v>
      </c>
      <c r="E1647" t="str">
        <f t="shared" si="226"/>
        <v>EMP_1646IT</v>
      </c>
      <c r="F1647" t="s">
        <v>21</v>
      </c>
      <c r="G1647" t="s">
        <v>25</v>
      </c>
      <c r="H1647">
        <v>24350</v>
      </c>
      <c r="I1647">
        <v>7090</v>
      </c>
      <c r="J1647">
        <v>0</v>
      </c>
      <c r="K1647">
        <v>0</v>
      </c>
      <c r="L1647" s="4" t="s">
        <v>2420</v>
      </c>
      <c r="M1647" s="4" t="str">
        <f t="shared" si="227"/>
        <v>7/31/2018</v>
      </c>
      <c r="N1647" s="1">
        <f t="shared" ca="1" si="228"/>
        <v>46064</v>
      </c>
      <c r="O1647" s="6" t="e">
        <f t="shared" ca="1" si="229"/>
        <v>#VALUE!</v>
      </c>
      <c r="P1647">
        <v>1</v>
      </c>
      <c r="Q1647">
        <f t="shared" si="230"/>
        <v>31440</v>
      </c>
      <c r="R1647" s="2">
        <f t="shared" si="231"/>
        <v>15720</v>
      </c>
      <c r="S1647" s="2" t="str">
        <f t="shared" si="232"/>
        <v xml:space="preserve"> Not Achieved</v>
      </c>
      <c r="T1647" s="2" t="str">
        <f t="shared" si="233"/>
        <v>poor</v>
      </c>
      <c r="U1647" s="2"/>
    </row>
    <row r="1648" spans="1:21" x14ac:dyDescent="0.3">
      <c r="A1648">
        <v>1647</v>
      </c>
      <c r="B1648" t="s">
        <v>2421</v>
      </c>
      <c r="C1648" t="str">
        <f t="shared" si="225"/>
        <v>EMP_1647</v>
      </c>
      <c r="D1648" t="s">
        <v>11</v>
      </c>
      <c r="E1648" t="str">
        <f t="shared" si="226"/>
        <v>EMP_1647Sales</v>
      </c>
      <c r="F1648" t="s">
        <v>7</v>
      </c>
      <c r="G1648" t="s">
        <v>16</v>
      </c>
      <c r="H1648">
        <v>56511</v>
      </c>
      <c r="I1648">
        <v>11703</v>
      </c>
      <c r="J1648">
        <v>242758</v>
      </c>
      <c r="K1648">
        <v>126304</v>
      </c>
      <c r="L1648" s="4">
        <v>44472</v>
      </c>
      <c r="M1648" s="4" t="str">
        <f t="shared" si="227"/>
        <v>2021</v>
      </c>
      <c r="N1648" s="1">
        <f t="shared" ca="1" si="228"/>
        <v>46064</v>
      </c>
      <c r="O1648" s="6">
        <f t="shared" ca="1" si="229"/>
        <v>4</v>
      </c>
      <c r="P1648">
        <v>4</v>
      </c>
      <c r="Q1648">
        <f t="shared" si="230"/>
        <v>68214</v>
      </c>
      <c r="R1648" s="2">
        <f t="shared" si="231"/>
        <v>34107</v>
      </c>
      <c r="S1648" s="2" t="str">
        <f t="shared" si="232"/>
        <v>Achieved</v>
      </c>
      <c r="T1648" s="2" t="str">
        <f t="shared" si="233"/>
        <v xml:space="preserve"> Excellent</v>
      </c>
      <c r="U1648" s="2"/>
    </row>
    <row r="1649" spans="1:21" x14ac:dyDescent="0.3">
      <c r="A1649">
        <v>1648</v>
      </c>
      <c r="B1649" t="s">
        <v>2422</v>
      </c>
      <c r="C1649" t="str">
        <f t="shared" si="225"/>
        <v>EMP_1648</v>
      </c>
      <c r="D1649" t="s">
        <v>15</v>
      </c>
      <c r="E1649" t="str">
        <f t="shared" si="226"/>
        <v>EMP_1648IT</v>
      </c>
      <c r="F1649" t="s">
        <v>21</v>
      </c>
      <c r="G1649" t="s">
        <v>16</v>
      </c>
      <c r="H1649">
        <v>43583</v>
      </c>
      <c r="I1649">
        <v>11011</v>
      </c>
      <c r="J1649">
        <v>0</v>
      </c>
      <c r="K1649">
        <v>0</v>
      </c>
      <c r="L1649" s="4">
        <v>44200</v>
      </c>
      <c r="M1649" s="4" t="str">
        <f t="shared" si="227"/>
        <v>2021</v>
      </c>
      <c r="N1649" s="1">
        <f t="shared" ca="1" si="228"/>
        <v>46064</v>
      </c>
      <c r="O1649" s="6">
        <f t="shared" ca="1" si="229"/>
        <v>5</v>
      </c>
      <c r="P1649">
        <v>1</v>
      </c>
      <c r="Q1649">
        <f t="shared" si="230"/>
        <v>54594</v>
      </c>
      <c r="R1649" s="2">
        <f t="shared" si="231"/>
        <v>27297</v>
      </c>
      <c r="S1649" s="2" t="str">
        <f t="shared" si="232"/>
        <v xml:space="preserve"> Not Achieved</v>
      </c>
      <c r="T1649" s="2" t="str">
        <f t="shared" si="233"/>
        <v>Good</v>
      </c>
      <c r="U1649" s="2"/>
    </row>
    <row r="1650" spans="1:21" x14ac:dyDescent="0.3">
      <c r="A1650">
        <v>1649</v>
      </c>
      <c r="B1650" t="s">
        <v>2423</v>
      </c>
      <c r="C1650" t="str">
        <f t="shared" si="225"/>
        <v>EMP_1649</v>
      </c>
      <c r="D1650" t="s">
        <v>15</v>
      </c>
      <c r="E1650" t="str">
        <f t="shared" si="226"/>
        <v>EMP_1649HR</v>
      </c>
      <c r="F1650" t="s">
        <v>12</v>
      </c>
      <c r="G1650" t="s">
        <v>25</v>
      </c>
      <c r="H1650">
        <v>36056</v>
      </c>
      <c r="I1650">
        <v>7304</v>
      </c>
      <c r="J1650">
        <v>0</v>
      </c>
      <c r="K1650">
        <v>0</v>
      </c>
      <c r="L1650" s="4" t="s">
        <v>2424</v>
      </c>
      <c r="M1650" s="4" t="str">
        <f t="shared" si="227"/>
        <v>9/16/2020</v>
      </c>
      <c r="N1650" s="1">
        <f t="shared" ca="1" si="228"/>
        <v>46064</v>
      </c>
      <c r="O1650" s="6" t="e">
        <f t="shared" ca="1" si="229"/>
        <v>#VALUE!</v>
      </c>
      <c r="P1650">
        <v>3</v>
      </c>
      <c r="Q1650">
        <f t="shared" si="230"/>
        <v>43360</v>
      </c>
      <c r="R1650" s="2">
        <f t="shared" si="231"/>
        <v>21680</v>
      </c>
      <c r="S1650" s="2" t="str">
        <f t="shared" si="232"/>
        <v xml:space="preserve"> Not Achieved</v>
      </c>
      <c r="T1650" s="2" t="str">
        <f t="shared" si="233"/>
        <v>Average</v>
      </c>
      <c r="U1650" s="2"/>
    </row>
    <row r="1651" spans="1:21" x14ac:dyDescent="0.3">
      <c r="A1651">
        <v>1650</v>
      </c>
      <c r="B1651" t="s">
        <v>2425</v>
      </c>
      <c r="C1651" t="str">
        <f t="shared" si="225"/>
        <v>EMP_1650</v>
      </c>
      <c r="D1651" t="s">
        <v>15</v>
      </c>
      <c r="E1651" t="str">
        <f t="shared" si="226"/>
        <v>EMP_1650HR</v>
      </c>
      <c r="F1651" t="s">
        <v>12</v>
      </c>
      <c r="G1651" t="s">
        <v>16</v>
      </c>
      <c r="H1651">
        <v>68235</v>
      </c>
      <c r="I1651">
        <v>5485</v>
      </c>
      <c r="J1651">
        <v>0</v>
      </c>
      <c r="K1651">
        <v>0</v>
      </c>
      <c r="L1651" s="4" t="s">
        <v>2426</v>
      </c>
      <c r="M1651" s="4" t="str">
        <f t="shared" si="227"/>
        <v>1/30/2024</v>
      </c>
      <c r="N1651" s="1">
        <f t="shared" ca="1" si="228"/>
        <v>46064</v>
      </c>
      <c r="O1651" s="6" t="e">
        <f t="shared" ca="1" si="229"/>
        <v>#VALUE!</v>
      </c>
      <c r="P1651">
        <v>4</v>
      </c>
      <c r="Q1651">
        <f t="shared" si="230"/>
        <v>73720</v>
      </c>
      <c r="R1651" s="2">
        <f t="shared" si="231"/>
        <v>36860</v>
      </c>
      <c r="S1651" s="2" t="str">
        <f t="shared" si="232"/>
        <v xml:space="preserve"> Not Achieved</v>
      </c>
      <c r="T1651" s="2" t="str">
        <f t="shared" si="233"/>
        <v xml:space="preserve"> Excellent</v>
      </c>
      <c r="U1651" s="2"/>
    </row>
    <row r="1652" spans="1:21" x14ac:dyDescent="0.3">
      <c r="A1652">
        <v>1651</v>
      </c>
      <c r="B1652" t="s">
        <v>2427</v>
      </c>
      <c r="C1652" t="str">
        <f t="shared" si="225"/>
        <v>EMP_1651</v>
      </c>
      <c r="D1652" t="s">
        <v>11</v>
      </c>
      <c r="E1652" t="str">
        <f t="shared" si="226"/>
        <v>EMP_1651Marketing</v>
      </c>
      <c r="F1652" t="s">
        <v>24</v>
      </c>
      <c r="G1652" t="s">
        <v>16</v>
      </c>
      <c r="H1652">
        <v>56382</v>
      </c>
      <c r="I1652">
        <v>3370</v>
      </c>
      <c r="J1652">
        <v>0</v>
      </c>
      <c r="K1652">
        <v>0</v>
      </c>
      <c r="L1652" s="4" t="s">
        <v>2428</v>
      </c>
      <c r="M1652" s="4" t="str">
        <f t="shared" si="227"/>
        <v>2/27/2018</v>
      </c>
      <c r="N1652" s="1">
        <f t="shared" ca="1" si="228"/>
        <v>46064</v>
      </c>
      <c r="O1652" s="6" t="e">
        <f t="shared" ca="1" si="229"/>
        <v>#VALUE!</v>
      </c>
      <c r="P1652">
        <v>2</v>
      </c>
      <c r="Q1652">
        <f t="shared" si="230"/>
        <v>59752</v>
      </c>
      <c r="R1652" s="2">
        <f t="shared" si="231"/>
        <v>29876</v>
      </c>
      <c r="S1652" s="2" t="str">
        <f t="shared" si="232"/>
        <v xml:space="preserve"> Not Achieved</v>
      </c>
      <c r="T1652" s="2" t="str">
        <f t="shared" si="233"/>
        <v xml:space="preserve"> Excellent</v>
      </c>
      <c r="U1652" s="2"/>
    </row>
    <row r="1653" spans="1:21" x14ac:dyDescent="0.3">
      <c r="A1653">
        <v>1652</v>
      </c>
      <c r="B1653" t="s">
        <v>2429</v>
      </c>
      <c r="C1653" t="str">
        <f t="shared" si="225"/>
        <v>EMP_1652</v>
      </c>
      <c r="D1653" t="s">
        <v>11</v>
      </c>
      <c r="E1653" t="str">
        <f t="shared" si="226"/>
        <v>EMP_1652Sales</v>
      </c>
      <c r="F1653" t="s">
        <v>7</v>
      </c>
      <c r="G1653" t="s">
        <v>16</v>
      </c>
      <c r="H1653">
        <v>69197</v>
      </c>
      <c r="I1653">
        <v>14863</v>
      </c>
      <c r="J1653">
        <v>183823</v>
      </c>
      <c r="K1653">
        <v>238458</v>
      </c>
      <c r="L1653" s="4">
        <v>44780</v>
      </c>
      <c r="M1653" s="4" t="str">
        <f t="shared" si="227"/>
        <v>2022</v>
      </c>
      <c r="N1653" s="1">
        <f t="shared" ca="1" si="228"/>
        <v>46064</v>
      </c>
      <c r="O1653" s="6">
        <f t="shared" ca="1" si="229"/>
        <v>3</v>
      </c>
      <c r="P1653">
        <v>5</v>
      </c>
      <c r="Q1653">
        <f t="shared" si="230"/>
        <v>84060</v>
      </c>
      <c r="R1653" s="2">
        <f t="shared" si="231"/>
        <v>42030</v>
      </c>
      <c r="S1653" s="2" t="str">
        <f t="shared" si="232"/>
        <v xml:space="preserve"> Not Achieved</v>
      </c>
      <c r="T1653" s="2" t="str">
        <f t="shared" si="233"/>
        <v xml:space="preserve"> Excellent</v>
      </c>
      <c r="U1653" s="2"/>
    </row>
    <row r="1654" spans="1:21" x14ac:dyDescent="0.3">
      <c r="A1654">
        <v>1653</v>
      </c>
      <c r="B1654" t="s">
        <v>2430</v>
      </c>
      <c r="C1654" t="str">
        <f t="shared" si="225"/>
        <v>EMP_1653</v>
      </c>
      <c r="D1654" t="s">
        <v>11</v>
      </c>
      <c r="E1654" t="str">
        <f t="shared" si="226"/>
        <v>EMP_1653Finance</v>
      </c>
      <c r="F1654" t="s">
        <v>18</v>
      </c>
      <c r="G1654" t="s">
        <v>19</v>
      </c>
      <c r="H1654">
        <v>69342</v>
      </c>
      <c r="I1654">
        <v>7690</v>
      </c>
      <c r="J1654">
        <v>0</v>
      </c>
      <c r="K1654">
        <v>0</v>
      </c>
      <c r="L1654" s="4">
        <v>43719</v>
      </c>
      <c r="M1654" s="4" t="str">
        <f t="shared" si="227"/>
        <v>2019</v>
      </c>
      <c r="N1654" s="1">
        <f t="shared" ca="1" si="228"/>
        <v>46064</v>
      </c>
      <c r="O1654" s="6">
        <f t="shared" ca="1" si="229"/>
        <v>6</v>
      </c>
      <c r="P1654">
        <v>1</v>
      </c>
      <c r="Q1654">
        <f t="shared" si="230"/>
        <v>77032</v>
      </c>
      <c r="R1654" s="2">
        <f t="shared" si="231"/>
        <v>38516</v>
      </c>
      <c r="S1654" s="2" t="str">
        <f t="shared" si="232"/>
        <v xml:space="preserve"> Not Achieved</v>
      </c>
      <c r="T1654" s="2" t="str">
        <f t="shared" si="233"/>
        <v xml:space="preserve"> Excellent</v>
      </c>
      <c r="U1654" s="2"/>
    </row>
    <row r="1655" spans="1:21" x14ac:dyDescent="0.3">
      <c r="A1655">
        <v>1654</v>
      </c>
      <c r="B1655" t="s">
        <v>2431</v>
      </c>
      <c r="C1655" t="str">
        <f t="shared" si="225"/>
        <v>EMP_1654</v>
      </c>
      <c r="D1655" t="s">
        <v>11</v>
      </c>
      <c r="E1655" t="str">
        <f t="shared" si="226"/>
        <v>EMP_1654HR</v>
      </c>
      <c r="F1655" t="s">
        <v>12</v>
      </c>
      <c r="G1655" t="s">
        <v>13</v>
      </c>
      <c r="H1655">
        <v>29537</v>
      </c>
      <c r="I1655">
        <v>10051</v>
      </c>
      <c r="J1655">
        <v>0</v>
      </c>
      <c r="K1655">
        <v>0</v>
      </c>
      <c r="L1655" s="4">
        <v>43894</v>
      </c>
      <c r="M1655" s="4" t="str">
        <f t="shared" si="227"/>
        <v>2020</v>
      </c>
      <c r="N1655" s="1">
        <f t="shared" ca="1" si="228"/>
        <v>46064</v>
      </c>
      <c r="O1655" s="6">
        <f t="shared" ca="1" si="229"/>
        <v>5</v>
      </c>
      <c r="P1655">
        <v>2</v>
      </c>
      <c r="Q1655">
        <f t="shared" si="230"/>
        <v>39588</v>
      </c>
      <c r="R1655" s="2">
        <f t="shared" si="231"/>
        <v>19794</v>
      </c>
      <c r="S1655" s="2" t="str">
        <f t="shared" si="232"/>
        <v xml:space="preserve"> Not Achieved</v>
      </c>
      <c r="T1655" s="2" t="str">
        <f t="shared" si="233"/>
        <v>poor</v>
      </c>
      <c r="U1655" s="2"/>
    </row>
    <row r="1656" spans="1:21" x14ac:dyDescent="0.3">
      <c r="A1656">
        <v>1655</v>
      </c>
      <c r="B1656" t="s">
        <v>2432</v>
      </c>
      <c r="C1656" t="str">
        <f t="shared" si="225"/>
        <v>EMP_1655</v>
      </c>
      <c r="D1656" t="s">
        <v>11</v>
      </c>
      <c r="E1656" t="str">
        <f t="shared" si="226"/>
        <v>EMP_1655Marketing</v>
      </c>
      <c r="F1656" t="s">
        <v>24</v>
      </c>
      <c r="G1656" t="s">
        <v>19</v>
      </c>
      <c r="H1656">
        <v>78802</v>
      </c>
      <c r="I1656">
        <v>3250</v>
      </c>
      <c r="J1656">
        <v>0</v>
      </c>
      <c r="K1656">
        <v>0</v>
      </c>
      <c r="L1656" s="4" t="s">
        <v>2433</v>
      </c>
      <c r="M1656" s="4" t="str">
        <f t="shared" si="227"/>
        <v>7/19/2023</v>
      </c>
      <c r="N1656" s="1">
        <f t="shared" ca="1" si="228"/>
        <v>46064</v>
      </c>
      <c r="O1656" s="6" t="e">
        <f t="shared" ca="1" si="229"/>
        <v>#VALUE!</v>
      </c>
      <c r="P1656">
        <v>3</v>
      </c>
      <c r="Q1656">
        <f t="shared" si="230"/>
        <v>82052</v>
      </c>
      <c r="R1656" s="2">
        <f t="shared" si="231"/>
        <v>41026</v>
      </c>
      <c r="S1656" s="2" t="str">
        <f t="shared" si="232"/>
        <v xml:space="preserve"> Not Achieved</v>
      </c>
      <c r="T1656" s="2" t="str">
        <f t="shared" si="233"/>
        <v xml:space="preserve"> Excellent</v>
      </c>
      <c r="U1656" s="2"/>
    </row>
    <row r="1657" spans="1:21" x14ac:dyDescent="0.3">
      <c r="A1657">
        <v>1656</v>
      </c>
      <c r="B1657" t="s">
        <v>2434</v>
      </c>
      <c r="C1657" t="str">
        <f t="shared" si="225"/>
        <v>EMP_1656</v>
      </c>
      <c r="D1657" t="s">
        <v>15</v>
      </c>
      <c r="E1657" t="str">
        <f t="shared" si="226"/>
        <v>EMP_1656HR</v>
      </c>
      <c r="F1657" t="s">
        <v>12</v>
      </c>
      <c r="G1657" t="s">
        <v>16</v>
      </c>
      <c r="H1657">
        <v>21600</v>
      </c>
      <c r="I1657">
        <v>8874</v>
      </c>
      <c r="J1657">
        <v>0</v>
      </c>
      <c r="K1657">
        <v>0</v>
      </c>
      <c r="L1657" s="4">
        <v>43438</v>
      </c>
      <c r="M1657" s="4" t="str">
        <f t="shared" si="227"/>
        <v>2018</v>
      </c>
      <c r="N1657" s="1">
        <f t="shared" ca="1" si="228"/>
        <v>46064</v>
      </c>
      <c r="O1657" s="6">
        <f t="shared" ca="1" si="229"/>
        <v>7</v>
      </c>
      <c r="P1657">
        <v>3</v>
      </c>
      <c r="Q1657">
        <f t="shared" si="230"/>
        <v>30474</v>
      </c>
      <c r="R1657" s="2">
        <f t="shared" si="231"/>
        <v>15237</v>
      </c>
      <c r="S1657" s="2" t="str">
        <f t="shared" si="232"/>
        <v xml:space="preserve"> Not Achieved</v>
      </c>
      <c r="T1657" s="2" t="str">
        <f t="shared" si="233"/>
        <v>poor</v>
      </c>
      <c r="U1657" s="2"/>
    </row>
    <row r="1658" spans="1:21" x14ac:dyDescent="0.3">
      <c r="A1658">
        <v>1657</v>
      </c>
      <c r="B1658" t="s">
        <v>2435</v>
      </c>
      <c r="C1658" t="str">
        <f t="shared" si="225"/>
        <v>EMP_1657</v>
      </c>
      <c r="D1658" t="s">
        <v>15</v>
      </c>
      <c r="E1658" t="str">
        <f t="shared" si="226"/>
        <v>EMP_1657HR</v>
      </c>
      <c r="F1658" t="s">
        <v>12</v>
      </c>
      <c r="G1658" t="s">
        <v>25</v>
      </c>
      <c r="H1658">
        <v>75497</v>
      </c>
      <c r="I1658">
        <v>12881</v>
      </c>
      <c r="J1658">
        <v>0</v>
      </c>
      <c r="K1658">
        <v>0</v>
      </c>
      <c r="L1658" s="4" t="s">
        <v>2436</v>
      </c>
      <c r="M1658" s="4" t="str">
        <f t="shared" si="227"/>
        <v>3/20/2021</v>
      </c>
      <c r="N1658" s="1">
        <f t="shared" ca="1" si="228"/>
        <v>46064</v>
      </c>
      <c r="O1658" s="6" t="e">
        <f t="shared" ca="1" si="229"/>
        <v>#VALUE!</v>
      </c>
      <c r="P1658">
        <v>1</v>
      </c>
      <c r="Q1658">
        <f t="shared" si="230"/>
        <v>88378</v>
      </c>
      <c r="R1658" s="2">
        <f t="shared" si="231"/>
        <v>44189</v>
      </c>
      <c r="S1658" s="2" t="str">
        <f t="shared" si="232"/>
        <v xml:space="preserve"> Not Achieved</v>
      </c>
      <c r="T1658" s="2" t="str">
        <f t="shared" si="233"/>
        <v xml:space="preserve"> Excellent</v>
      </c>
      <c r="U1658" s="2"/>
    </row>
    <row r="1659" spans="1:21" x14ac:dyDescent="0.3">
      <c r="A1659">
        <v>1658</v>
      </c>
      <c r="B1659" t="s">
        <v>2437</v>
      </c>
      <c r="C1659" t="str">
        <f t="shared" si="225"/>
        <v>EMP_1658</v>
      </c>
      <c r="D1659" t="s">
        <v>11</v>
      </c>
      <c r="E1659" t="str">
        <f t="shared" si="226"/>
        <v>EMP_1658Marketing</v>
      </c>
      <c r="F1659" t="s">
        <v>24</v>
      </c>
      <c r="G1659" t="s">
        <v>13</v>
      </c>
      <c r="H1659">
        <v>24098</v>
      </c>
      <c r="I1659">
        <v>10233</v>
      </c>
      <c r="J1659">
        <v>0</v>
      </c>
      <c r="K1659">
        <v>0</v>
      </c>
      <c r="L1659" s="4">
        <v>43805</v>
      </c>
      <c r="M1659" s="4" t="str">
        <f t="shared" si="227"/>
        <v>2019</v>
      </c>
      <c r="N1659" s="1">
        <f t="shared" ca="1" si="228"/>
        <v>46064</v>
      </c>
      <c r="O1659" s="6">
        <f t="shared" ca="1" si="229"/>
        <v>6</v>
      </c>
      <c r="P1659">
        <v>2</v>
      </c>
      <c r="Q1659">
        <f t="shared" si="230"/>
        <v>34331</v>
      </c>
      <c r="R1659" s="2">
        <f t="shared" si="231"/>
        <v>17165.5</v>
      </c>
      <c r="S1659" s="2" t="str">
        <f t="shared" si="232"/>
        <v xml:space="preserve"> Not Achieved</v>
      </c>
      <c r="T1659" s="2" t="str">
        <f t="shared" si="233"/>
        <v>poor</v>
      </c>
      <c r="U1659" s="2"/>
    </row>
    <row r="1660" spans="1:21" x14ac:dyDescent="0.3">
      <c r="A1660">
        <v>1659</v>
      </c>
      <c r="B1660" t="s">
        <v>2438</v>
      </c>
      <c r="C1660" t="str">
        <f t="shared" si="225"/>
        <v>EMP_1659</v>
      </c>
      <c r="D1660" t="s">
        <v>15</v>
      </c>
      <c r="E1660" t="str">
        <f t="shared" si="226"/>
        <v>EMP_1659IT</v>
      </c>
      <c r="F1660" t="s">
        <v>21</v>
      </c>
      <c r="G1660" t="s">
        <v>16</v>
      </c>
      <c r="H1660">
        <v>39986</v>
      </c>
      <c r="I1660">
        <v>10421</v>
      </c>
      <c r="J1660">
        <v>0</v>
      </c>
      <c r="K1660">
        <v>0</v>
      </c>
      <c r="L1660" s="4" t="s">
        <v>2439</v>
      </c>
      <c r="M1660" s="4" t="str">
        <f t="shared" si="227"/>
        <v>4/24/2022</v>
      </c>
      <c r="N1660" s="1">
        <f t="shared" ca="1" si="228"/>
        <v>46064</v>
      </c>
      <c r="O1660" s="6" t="e">
        <f t="shared" ca="1" si="229"/>
        <v>#VALUE!</v>
      </c>
      <c r="P1660">
        <v>4</v>
      </c>
      <c r="Q1660">
        <f t="shared" si="230"/>
        <v>50407</v>
      </c>
      <c r="R1660" s="2">
        <f t="shared" si="231"/>
        <v>25203.5</v>
      </c>
      <c r="S1660" s="2" t="str">
        <f t="shared" si="232"/>
        <v xml:space="preserve"> Not Achieved</v>
      </c>
      <c r="T1660" s="2" t="str">
        <f t="shared" si="233"/>
        <v>Average</v>
      </c>
      <c r="U1660" s="2"/>
    </row>
    <row r="1661" spans="1:21" x14ac:dyDescent="0.3">
      <c r="A1661">
        <v>1660</v>
      </c>
      <c r="B1661" t="s">
        <v>2440</v>
      </c>
      <c r="C1661" t="str">
        <f t="shared" si="225"/>
        <v>EMP_1660</v>
      </c>
      <c r="D1661" t="s">
        <v>11</v>
      </c>
      <c r="E1661" t="str">
        <f t="shared" si="226"/>
        <v>EMP_1660HR</v>
      </c>
      <c r="F1661" t="s">
        <v>12</v>
      </c>
      <c r="G1661" t="s">
        <v>16</v>
      </c>
      <c r="H1661">
        <v>79907</v>
      </c>
      <c r="I1661">
        <v>14066</v>
      </c>
      <c r="J1661">
        <v>0</v>
      </c>
      <c r="K1661">
        <v>0</v>
      </c>
      <c r="L1661" s="4" t="s">
        <v>1521</v>
      </c>
      <c r="M1661" s="4" t="str">
        <f t="shared" si="227"/>
        <v>8/24/2019</v>
      </c>
      <c r="N1661" s="1">
        <f t="shared" ca="1" si="228"/>
        <v>46064</v>
      </c>
      <c r="O1661" s="6" t="e">
        <f t="shared" ca="1" si="229"/>
        <v>#VALUE!</v>
      </c>
      <c r="P1661">
        <v>4</v>
      </c>
      <c r="Q1661">
        <f t="shared" si="230"/>
        <v>93973</v>
      </c>
      <c r="R1661" s="2">
        <f t="shared" si="231"/>
        <v>46986.5</v>
      </c>
      <c r="S1661" s="2" t="str">
        <f t="shared" si="232"/>
        <v xml:space="preserve"> Not Achieved</v>
      </c>
      <c r="T1661" s="2" t="str">
        <f t="shared" si="233"/>
        <v xml:space="preserve"> Excellent</v>
      </c>
      <c r="U1661" s="2"/>
    </row>
    <row r="1662" spans="1:21" x14ac:dyDescent="0.3">
      <c r="A1662">
        <v>1661</v>
      </c>
      <c r="B1662" t="s">
        <v>2441</v>
      </c>
      <c r="C1662" t="str">
        <f t="shared" si="225"/>
        <v>EMP_1661</v>
      </c>
      <c r="D1662" t="s">
        <v>15</v>
      </c>
      <c r="E1662" t="str">
        <f t="shared" si="226"/>
        <v>EMP_1661Sales</v>
      </c>
      <c r="F1662" t="s">
        <v>7</v>
      </c>
      <c r="G1662" t="s">
        <v>25</v>
      </c>
      <c r="H1662">
        <v>40741</v>
      </c>
      <c r="I1662">
        <v>10202</v>
      </c>
      <c r="J1662">
        <v>117050</v>
      </c>
      <c r="K1662">
        <v>205801</v>
      </c>
      <c r="L1662" s="4" t="s">
        <v>1286</v>
      </c>
      <c r="M1662" s="4" t="str">
        <f t="shared" si="227"/>
        <v>10/30/2022</v>
      </c>
      <c r="N1662" s="1">
        <f t="shared" ca="1" si="228"/>
        <v>46064</v>
      </c>
      <c r="O1662" s="6" t="e">
        <f t="shared" ca="1" si="229"/>
        <v>#VALUE!</v>
      </c>
      <c r="P1662">
        <v>5</v>
      </c>
      <c r="Q1662">
        <f t="shared" si="230"/>
        <v>50943</v>
      </c>
      <c r="R1662" s="2">
        <f t="shared" si="231"/>
        <v>25471.5</v>
      </c>
      <c r="S1662" s="2" t="str">
        <f t="shared" si="232"/>
        <v xml:space="preserve"> Not Achieved</v>
      </c>
      <c r="T1662" s="2" t="str">
        <f t="shared" si="233"/>
        <v>Good</v>
      </c>
      <c r="U1662" s="2"/>
    </row>
    <row r="1663" spans="1:21" x14ac:dyDescent="0.3">
      <c r="A1663">
        <v>1662</v>
      </c>
      <c r="B1663" t="s">
        <v>2442</v>
      </c>
      <c r="C1663" t="str">
        <f t="shared" si="225"/>
        <v>EMP_1662</v>
      </c>
      <c r="D1663" t="s">
        <v>15</v>
      </c>
      <c r="E1663" t="str">
        <f t="shared" si="226"/>
        <v>EMP_1662HR</v>
      </c>
      <c r="F1663" t="s">
        <v>12</v>
      </c>
      <c r="G1663" t="s">
        <v>22</v>
      </c>
      <c r="H1663">
        <v>35568</v>
      </c>
      <c r="I1663">
        <v>13226</v>
      </c>
      <c r="J1663">
        <v>0</v>
      </c>
      <c r="K1663">
        <v>0</v>
      </c>
      <c r="L1663" s="4" t="s">
        <v>2443</v>
      </c>
      <c r="M1663" s="4" t="str">
        <f t="shared" si="227"/>
        <v>1/28/2020</v>
      </c>
      <c r="N1663" s="1">
        <f t="shared" ca="1" si="228"/>
        <v>46064</v>
      </c>
      <c r="O1663" s="6" t="e">
        <f t="shared" ca="1" si="229"/>
        <v>#VALUE!</v>
      </c>
      <c r="P1663">
        <v>4</v>
      </c>
      <c r="Q1663">
        <f t="shared" si="230"/>
        <v>48794</v>
      </c>
      <c r="R1663" s="2">
        <f t="shared" si="231"/>
        <v>24397</v>
      </c>
      <c r="S1663" s="2" t="str">
        <f t="shared" si="232"/>
        <v xml:space="preserve"> Not Achieved</v>
      </c>
      <c r="T1663" s="2" t="str">
        <f t="shared" si="233"/>
        <v>Average</v>
      </c>
      <c r="U1663" s="2"/>
    </row>
    <row r="1664" spans="1:21" x14ac:dyDescent="0.3">
      <c r="A1664">
        <v>1663</v>
      </c>
      <c r="B1664" t="s">
        <v>2444</v>
      </c>
      <c r="C1664" t="str">
        <f t="shared" si="225"/>
        <v>EMP_1663</v>
      </c>
      <c r="D1664" t="s">
        <v>15</v>
      </c>
      <c r="E1664" t="str">
        <f t="shared" si="226"/>
        <v>EMP_1663Marketing</v>
      </c>
      <c r="F1664" t="s">
        <v>24</v>
      </c>
      <c r="G1664" t="s">
        <v>19</v>
      </c>
      <c r="H1664">
        <v>76073</v>
      </c>
      <c r="I1664">
        <v>9594</v>
      </c>
      <c r="J1664">
        <v>0</v>
      </c>
      <c r="K1664">
        <v>0</v>
      </c>
      <c r="L1664" s="4">
        <v>43508</v>
      </c>
      <c r="M1664" s="4" t="str">
        <f t="shared" si="227"/>
        <v>2019</v>
      </c>
      <c r="N1664" s="1">
        <f t="shared" ca="1" si="228"/>
        <v>46064</v>
      </c>
      <c r="O1664" s="6">
        <f t="shared" ca="1" si="229"/>
        <v>6</v>
      </c>
      <c r="P1664">
        <v>1</v>
      </c>
      <c r="Q1664">
        <f t="shared" si="230"/>
        <v>85667</v>
      </c>
      <c r="R1664" s="2">
        <f t="shared" si="231"/>
        <v>42833.5</v>
      </c>
      <c r="S1664" s="2" t="str">
        <f t="shared" si="232"/>
        <v xml:space="preserve"> Not Achieved</v>
      </c>
      <c r="T1664" s="2" t="str">
        <f t="shared" si="233"/>
        <v xml:space="preserve"> Excellent</v>
      </c>
      <c r="U1664" s="2"/>
    </row>
    <row r="1665" spans="1:21" x14ac:dyDescent="0.3">
      <c r="A1665">
        <v>1664</v>
      </c>
      <c r="B1665" t="s">
        <v>2445</v>
      </c>
      <c r="C1665" t="str">
        <f t="shared" si="225"/>
        <v>EMP_1664</v>
      </c>
      <c r="D1665" t="s">
        <v>15</v>
      </c>
      <c r="E1665" t="str">
        <f t="shared" si="226"/>
        <v>EMP_1664Marketing</v>
      </c>
      <c r="F1665" t="s">
        <v>24</v>
      </c>
      <c r="G1665" t="s">
        <v>16</v>
      </c>
      <c r="H1665">
        <v>44409</v>
      </c>
      <c r="I1665">
        <v>2533</v>
      </c>
      <c r="J1665">
        <v>0</v>
      </c>
      <c r="K1665">
        <v>0</v>
      </c>
      <c r="L1665" s="4">
        <v>45475</v>
      </c>
      <c r="M1665" s="4" t="str">
        <f t="shared" si="227"/>
        <v>2024</v>
      </c>
      <c r="N1665" s="1">
        <f t="shared" ca="1" si="228"/>
        <v>46064</v>
      </c>
      <c r="O1665" s="6">
        <f t="shared" ca="1" si="229"/>
        <v>1</v>
      </c>
      <c r="P1665">
        <v>5</v>
      </c>
      <c r="Q1665">
        <f t="shared" si="230"/>
        <v>46942</v>
      </c>
      <c r="R1665" s="2">
        <f t="shared" si="231"/>
        <v>23471</v>
      </c>
      <c r="S1665" s="2" t="str">
        <f t="shared" si="232"/>
        <v xml:space="preserve"> Not Achieved</v>
      </c>
      <c r="T1665" s="2" t="str">
        <f t="shared" si="233"/>
        <v>Good</v>
      </c>
      <c r="U1665" s="2"/>
    </row>
    <row r="1666" spans="1:21" x14ac:dyDescent="0.3">
      <c r="A1666">
        <v>1665</v>
      </c>
      <c r="B1666" t="s">
        <v>2446</v>
      </c>
      <c r="C1666" t="str">
        <f t="shared" si="225"/>
        <v>EMP_1665</v>
      </c>
      <c r="D1666" t="s">
        <v>15</v>
      </c>
      <c r="E1666" t="str">
        <f t="shared" si="226"/>
        <v>EMP_1665Sales</v>
      </c>
      <c r="F1666" t="s">
        <v>7</v>
      </c>
      <c r="G1666" t="s">
        <v>16</v>
      </c>
      <c r="H1666">
        <v>76257</v>
      </c>
      <c r="I1666">
        <v>5367</v>
      </c>
      <c r="J1666">
        <v>255301</v>
      </c>
      <c r="K1666">
        <v>177241</v>
      </c>
      <c r="L1666" s="4" t="s">
        <v>2447</v>
      </c>
      <c r="M1666" s="4" t="str">
        <f t="shared" si="227"/>
        <v>1/20/2018</v>
      </c>
      <c r="N1666" s="1">
        <f t="shared" ca="1" si="228"/>
        <v>46064</v>
      </c>
      <c r="O1666" s="6" t="e">
        <f t="shared" ca="1" si="229"/>
        <v>#VALUE!</v>
      </c>
      <c r="P1666">
        <v>4</v>
      </c>
      <c r="Q1666">
        <f t="shared" si="230"/>
        <v>81624</v>
      </c>
      <c r="R1666" s="2">
        <f t="shared" si="231"/>
        <v>40812</v>
      </c>
      <c r="S1666" s="2" t="str">
        <f t="shared" si="232"/>
        <v>Achieved</v>
      </c>
      <c r="T1666" s="2" t="str">
        <f t="shared" si="233"/>
        <v xml:space="preserve"> Excellent</v>
      </c>
      <c r="U1666" s="2"/>
    </row>
    <row r="1667" spans="1:21" x14ac:dyDescent="0.3">
      <c r="A1667">
        <v>1666</v>
      </c>
      <c r="B1667" t="s">
        <v>2448</v>
      </c>
      <c r="C1667" t="str">
        <f t="shared" ref="C1667:C1730" si="234">UPPER(B1667)</f>
        <v>EMP_1666</v>
      </c>
      <c r="D1667" t="s">
        <v>15</v>
      </c>
      <c r="E1667" t="str">
        <f t="shared" ref="E1667:E1730" si="235">_xlfn.CONCAT(C1667,F1667)</f>
        <v>EMP_1666Marketing</v>
      </c>
      <c r="F1667" t="s">
        <v>24</v>
      </c>
      <c r="G1667" t="s">
        <v>16</v>
      </c>
      <c r="H1667">
        <v>36550</v>
      </c>
      <c r="I1667">
        <v>3878</v>
      </c>
      <c r="J1667">
        <v>0</v>
      </c>
      <c r="K1667">
        <v>0</v>
      </c>
      <c r="L1667" s="4" t="s">
        <v>636</v>
      </c>
      <c r="M1667" s="4" t="str">
        <f t="shared" ref="M1667:M1730" si="236">TEXT(L1667,"yyyy")</f>
        <v>8/23/2021</v>
      </c>
      <c r="N1667" s="1">
        <f t="shared" ref="N1667:N1730" ca="1" si="237">TODAY()</f>
        <v>46064</v>
      </c>
      <c r="O1667" s="6" t="e">
        <f t="shared" ref="O1667:O1730" ca="1" si="238">DATEDIF(L1667, TODAY(), "y")</f>
        <v>#VALUE!</v>
      </c>
      <c r="P1667">
        <v>3</v>
      </c>
      <c r="Q1667">
        <f t="shared" ref="Q1667:Q1730" si="239">SUM(H1667,I1667)</f>
        <v>40428</v>
      </c>
      <c r="R1667" s="2">
        <f t="shared" ref="R1667:R1730" si="240">AVERAGE(H1667,I1667)</f>
        <v>20214</v>
      </c>
      <c r="S1667" s="2" t="str">
        <f t="shared" ref="S1667:S1730" si="241">IF(J1667&gt;K1667,"Achieved"," Not Achieved")</f>
        <v xml:space="preserve"> Not Achieved</v>
      </c>
      <c r="T1667" s="2" t="str">
        <f t="shared" ref="T1667:T1730" si="242">_xlfn.IFS(H1667&gt;=50000," Excellent",H1667&gt;=40000,"Good",H1667&gt;=30000,"Average",H1667&lt;30000,"poor")</f>
        <v>Average</v>
      </c>
      <c r="U1667" s="2"/>
    </row>
    <row r="1668" spans="1:21" x14ac:dyDescent="0.3">
      <c r="A1668">
        <v>1667</v>
      </c>
      <c r="B1668" t="s">
        <v>2449</v>
      </c>
      <c r="C1668" t="str">
        <f t="shared" si="234"/>
        <v>EMP_1667</v>
      </c>
      <c r="D1668" t="s">
        <v>11</v>
      </c>
      <c r="E1668" t="str">
        <f t="shared" si="235"/>
        <v>EMP_1667HR</v>
      </c>
      <c r="F1668" t="s">
        <v>12</v>
      </c>
      <c r="G1668" t="s">
        <v>13</v>
      </c>
      <c r="H1668">
        <v>72007</v>
      </c>
      <c r="I1668">
        <v>3893</v>
      </c>
      <c r="J1668">
        <v>0</v>
      </c>
      <c r="K1668">
        <v>0</v>
      </c>
      <c r="L1668" s="4" t="s">
        <v>383</v>
      </c>
      <c r="M1668" s="4" t="str">
        <f t="shared" si="236"/>
        <v>9/16/2024</v>
      </c>
      <c r="N1668" s="1">
        <f t="shared" ca="1" si="237"/>
        <v>46064</v>
      </c>
      <c r="O1668" s="6" t="e">
        <f t="shared" ca="1" si="238"/>
        <v>#VALUE!</v>
      </c>
      <c r="P1668">
        <v>3</v>
      </c>
      <c r="Q1668">
        <f t="shared" si="239"/>
        <v>75900</v>
      </c>
      <c r="R1668" s="2">
        <f t="shared" si="240"/>
        <v>37950</v>
      </c>
      <c r="S1668" s="2" t="str">
        <f t="shared" si="241"/>
        <v xml:space="preserve"> Not Achieved</v>
      </c>
      <c r="T1668" s="2" t="str">
        <f t="shared" si="242"/>
        <v xml:space="preserve"> Excellent</v>
      </c>
      <c r="U1668" s="2"/>
    </row>
    <row r="1669" spans="1:21" x14ac:dyDescent="0.3">
      <c r="A1669">
        <v>1668</v>
      </c>
      <c r="B1669" t="s">
        <v>2450</v>
      </c>
      <c r="C1669" t="str">
        <f t="shared" si="234"/>
        <v>EMP_1668</v>
      </c>
      <c r="D1669" t="s">
        <v>11</v>
      </c>
      <c r="E1669" t="str">
        <f t="shared" si="235"/>
        <v>EMP_1668Finance</v>
      </c>
      <c r="F1669" t="s">
        <v>18</v>
      </c>
      <c r="G1669" t="s">
        <v>16</v>
      </c>
      <c r="H1669">
        <v>73040</v>
      </c>
      <c r="I1669">
        <v>2665</v>
      </c>
      <c r="J1669">
        <v>0</v>
      </c>
      <c r="K1669">
        <v>0</v>
      </c>
      <c r="L1669" s="4" t="s">
        <v>2451</v>
      </c>
      <c r="M1669" s="4" t="str">
        <f t="shared" si="236"/>
        <v>5/17/2021</v>
      </c>
      <c r="N1669" s="1">
        <f t="shared" ca="1" si="237"/>
        <v>46064</v>
      </c>
      <c r="O1669" s="6" t="e">
        <f t="shared" ca="1" si="238"/>
        <v>#VALUE!</v>
      </c>
      <c r="P1669">
        <v>3</v>
      </c>
      <c r="Q1669">
        <f t="shared" si="239"/>
        <v>75705</v>
      </c>
      <c r="R1669" s="2">
        <f t="shared" si="240"/>
        <v>37852.5</v>
      </c>
      <c r="S1669" s="2" t="str">
        <f t="shared" si="241"/>
        <v xml:space="preserve"> Not Achieved</v>
      </c>
      <c r="T1669" s="2" t="str">
        <f t="shared" si="242"/>
        <v xml:space="preserve"> Excellent</v>
      </c>
      <c r="U1669" s="2"/>
    </row>
    <row r="1670" spans="1:21" x14ac:dyDescent="0.3">
      <c r="A1670">
        <v>1669</v>
      </c>
      <c r="B1670" t="s">
        <v>2452</v>
      </c>
      <c r="C1670" t="str">
        <f t="shared" si="234"/>
        <v>EMP_1669</v>
      </c>
      <c r="D1670" t="s">
        <v>15</v>
      </c>
      <c r="E1670" t="str">
        <f t="shared" si="235"/>
        <v>EMP_1669IT</v>
      </c>
      <c r="F1670" t="s">
        <v>21</v>
      </c>
      <c r="G1670" t="s">
        <v>13</v>
      </c>
      <c r="H1670">
        <v>51271</v>
      </c>
      <c r="I1670">
        <v>14641</v>
      </c>
      <c r="J1670">
        <v>0</v>
      </c>
      <c r="K1670">
        <v>0</v>
      </c>
      <c r="L1670" s="4" t="s">
        <v>723</v>
      </c>
      <c r="M1670" s="4" t="str">
        <f t="shared" si="236"/>
        <v>3/22/2020</v>
      </c>
      <c r="N1670" s="1">
        <f t="shared" ca="1" si="237"/>
        <v>46064</v>
      </c>
      <c r="O1670" s="6" t="e">
        <f t="shared" ca="1" si="238"/>
        <v>#VALUE!</v>
      </c>
      <c r="P1670">
        <v>2</v>
      </c>
      <c r="Q1670">
        <f t="shared" si="239"/>
        <v>65912</v>
      </c>
      <c r="R1670" s="2">
        <f t="shared" si="240"/>
        <v>32956</v>
      </c>
      <c r="S1670" s="2" t="str">
        <f t="shared" si="241"/>
        <v xml:space="preserve"> Not Achieved</v>
      </c>
      <c r="T1670" s="2" t="str">
        <f t="shared" si="242"/>
        <v xml:space="preserve"> Excellent</v>
      </c>
      <c r="U1670" s="2"/>
    </row>
    <row r="1671" spans="1:21" x14ac:dyDescent="0.3">
      <c r="A1671">
        <v>1670</v>
      </c>
      <c r="B1671" t="s">
        <v>2453</v>
      </c>
      <c r="C1671" t="str">
        <f t="shared" si="234"/>
        <v>EMP_1670</v>
      </c>
      <c r="D1671" t="s">
        <v>11</v>
      </c>
      <c r="E1671" t="str">
        <f t="shared" si="235"/>
        <v>EMP_1670IT</v>
      </c>
      <c r="F1671" t="s">
        <v>21</v>
      </c>
      <c r="G1671" t="s">
        <v>13</v>
      </c>
      <c r="H1671">
        <v>24271</v>
      </c>
      <c r="I1671">
        <v>6594</v>
      </c>
      <c r="J1671">
        <v>0</v>
      </c>
      <c r="K1671">
        <v>0</v>
      </c>
      <c r="L1671" s="4" t="s">
        <v>2454</v>
      </c>
      <c r="M1671" s="4" t="str">
        <f t="shared" si="236"/>
        <v>8/13/2021</v>
      </c>
      <c r="N1671" s="1">
        <f t="shared" ca="1" si="237"/>
        <v>46064</v>
      </c>
      <c r="O1671" s="6" t="e">
        <f t="shared" ca="1" si="238"/>
        <v>#VALUE!</v>
      </c>
      <c r="P1671">
        <v>2</v>
      </c>
      <c r="Q1671">
        <f t="shared" si="239"/>
        <v>30865</v>
      </c>
      <c r="R1671" s="2">
        <f t="shared" si="240"/>
        <v>15432.5</v>
      </c>
      <c r="S1671" s="2" t="str">
        <f t="shared" si="241"/>
        <v xml:space="preserve"> Not Achieved</v>
      </c>
      <c r="T1671" s="2" t="str">
        <f t="shared" si="242"/>
        <v>poor</v>
      </c>
      <c r="U1671" s="2"/>
    </row>
    <row r="1672" spans="1:21" x14ac:dyDescent="0.3">
      <c r="A1672">
        <v>1671</v>
      </c>
      <c r="B1672" t="s">
        <v>2455</v>
      </c>
      <c r="C1672" t="str">
        <f t="shared" si="234"/>
        <v>EMP_1671</v>
      </c>
      <c r="D1672" t="s">
        <v>11</v>
      </c>
      <c r="E1672" t="str">
        <f t="shared" si="235"/>
        <v>EMP_1671Finance</v>
      </c>
      <c r="F1672" t="s">
        <v>18</v>
      </c>
      <c r="G1672" t="s">
        <v>22</v>
      </c>
      <c r="H1672">
        <v>39773</v>
      </c>
      <c r="I1672">
        <v>13501</v>
      </c>
      <c r="J1672">
        <v>0</v>
      </c>
      <c r="K1672">
        <v>0</v>
      </c>
      <c r="L1672" s="4" t="s">
        <v>617</v>
      </c>
      <c r="M1672" s="4" t="str">
        <f t="shared" si="236"/>
        <v>10/15/2022</v>
      </c>
      <c r="N1672" s="1">
        <f t="shared" ca="1" si="237"/>
        <v>46064</v>
      </c>
      <c r="O1672" s="6" t="e">
        <f t="shared" ca="1" si="238"/>
        <v>#VALUE!</v>
      </c>
      <c r="P1672">
        <v>4</v>
      </c>
      <c r="Q1672">
        <f t="shared" si="239"/>
        <v>53274</v>
      </c>
      <c r="R1672" s="2">
        <f t="shared" si="240"/>
        <v>26637</v>
      </c>
      <c r="S1672" s="2" t="str">
        <f t="shared" si="241"/>
        <v xml:space="preserve"> Not Achieved</v>
      </c>
      <c r="T1672" s="2" t="str">
        <f t="shared" si="242"/>
        <v>Average</v>
      </c>
      <c r="U1672" s="2"/>
    </row>
    <row r="1673" spans="1:21" x14ac:dyDescent="0.3">
      <c r="A1673">
        <v>1672</v>
      </c>
      <c r="B1673" t="s">
        <v>2456</v>
      </c>
      <c r="C1673" t="str">
        <f t="shared" si="234"/>
        <v>EMP_1672</v>
      </c>
      <c r="D1673" t="s">
        <v>11</v>
      </c>
      <c r="E1673" t="str">
        <f t="shared" si="235"/>
        <v>EMP_1672Marketing</v>
      </c>
      <c r="F1673" t="s">
        <v>24</v>
      </c>
      <c r="G1673" t="s">
        <v>13</v>
      </c>
      <c r="H1673">
        <v>59024</v>
      </c>
      <c r="I1673">
        <v>7776</v>
      </c>
      <c r="J1673">
        <v>0</v>
      </c>
      <c r="K1673">
        <v>0</v>
      </c>
      <c r="L1673" s="4" t="s">
        <v>2457</v>
      </c>
      <c r="M1673" s="4" t="str">
        <f t="shared" si="236"/>
        <v>6/24/2019</v>
      </c>
      <c r="N1673" s="1">
        <f t="shared" ca="1" si="237"/>
        <v>46064</v>
      </c>
      <c r="O1673" s="6" t="e">
        <f t="shared" ca="1" si="238"/>
        <v>#VALUE!</v>
      </c>
      <c r="P1673">
        <v>3</v>
      </c>
      <c r="Q1673">
        <f t="shared" si="239"/>
        <v>66800</v>
      </c>
      <c r="R1673" s="2">
        <f t="shared" si="240"/>
        <v>33400</v>
      </c>
      <c r="S1673" s="2" t="str">
        <f t="shared" si="241"/>
        <v xml:space="preserve"> Not Achieved</v>
      </c>
      <c r="T1673" s="2" t="str">
        <f t="shared" si="242"/>
        <v xml:space="preserve"> Excellent</v>
      </c>
      <c r="U1673" s="2"/>
    </row>
    <row r="1674" spans="1:21" x14ac:dyDescent="0.3">
      <c r="A1674">
        <v>1673</v>
      </c>
      <c r="B1674" t="s">
        <v>2458</v>
      </c>
      <c r="C1674" t="str">
        <f t="shared" si="234"/>
        <v>EMP_1673</v>
      </c>
      <c r="D1674" t="s">
        <v>15</v>
      </c>
      <c r="E1674" t="str">
        <f t="shared" si="235"/>
        <v>EMP_1673Marketing</v>
      </c>
      <c r="F1674" t="s">
        <v>24</v>
      </c>
      <c r="G1674" t="s">
        <v>13</v>
      </c>
      <c r="H1674">
        <v>42606</v>
      </c>
      <c r="I1674">
        <v>8553</v>
      </c>
      <c r="J1674">
        <v>0</v>
      </c>
      <c r="K1674">
        <v>0</v>
      </c>
      <c r="L1674" s="4" t="s">
        <v>2459</v>
      </c>
      <c r="M1674" s="4" t="str">
        <f t="shared" si="236"/>
        <v>1/22/2019</v>
      </c>
      <c r="N1674" s="1">
        <f t="shared" ca="1" si="237"/>
        <v>46064</v>
      </c>
      <c r="O1674" s="6" t="e">
        <f t="shared" ca="1" si="238"/>
        <v>#VALUE!</v>
      </c>
      <c r="P1674">
        <v>2</v>
      </c>
      <c r="Q1674">
        <f t="shared" si="239"/>
        <v>51159</v>
      </c>
      <c r="R1674" s="2">
        <f t="shared" si="240"/>
        <v>25579.5</v>
      </c>
      <c r="S1674" s="2" t="str">
        <f t="shared" si="241"/>
        <v xml:space="preserve"> Not Achieved</v>
      </c>
      <c r="T1674" s="2" t="str">
        <f t="shared" si="242"/>
        <v>Good</v>
      </c>
      <c r="U1674" s="2"/>
    </row>
    <row r="1675" spans="1:21" x14ac:dyDescent="0.3">
      <c r="A1675">
        <v>1674</v>
      </c>
      <c r="B1675" t="s">
        <v>2460</v>
      </c>
      <c r="C1675" t="str">
        <f t="shared" si="234"/>
        <v>EMP_1674</v>
      </c>
      <c r="D1675" t="s">
        <v>15</v>
      </c>
      <c r="E1675" t="str">
        <f t="shared" si="235"/>
        <v>EMP_1674Sales</v>
      </c>
      <c r="F1675" t="s">
        <v>7</v>
      </c>
      <c r="G1675" t="s">
        <v>25</v>
      </c>
      <c r="H1675">
        <v>23297</v>
      </c>
      <c r="I1675">
        <v>12592</v>
      </c>
      <c r="J1675">
        <v>142357</v>
      </c>
      <c r="K1675">
        <v>197652</v>
      </c>
      <c r="L1675" s="4" t="s">
        <v>1127</v>
      </c>
      <c r="M1675" s="4" t="str">
        <f t="shared" si="236"/>
        <v>5/19/2024</v>
      </c>
      <c r="N1675" s="1">
        <f t="shared" ca="1" si="237"/>
        <v>46064</v>
      </c>
      <c r="O1675" s="6" t="e">
        <f t="shared" ca="1" si="238"/>
        <v>#VALUE!</v>
      </c>
      <c r="P1675">
        <v>3</v>
      </c>
      <c r="Q1675">
        <f t="shared" si="239"/>
        <v>35889</v>
      </c>
      <c r="R1675" s="2">
        <f t="shared" si="240"/>
        <v>17944.5</v>
      </c>
      <c r="S1675" s="2" t="str">
        <f t="shared" si="241"/>
        <v xml:space="preserve"> Not Achieved</v>
      </c>
      <c r="T1675" s="2" t="str">
        <f t="shared" si="242"/>
        <v>poor</v>
      </c>
      <c r="U1675" s="2"/>
    </row>
    <row r="1676" spans="1:21" x14ac:dyDescent="0.3">
      <c r="A1676">
        <v>1675</v>
      </c>
      <c r="B1676" t="s">
        <v>2461</v>
      </c>
      <c r="C1676" t="str">
        <f t="shared" si="234"/>
        <v>EMP_1675</v>
      </c>
      <c r="D1676" t="s">
        <v>11</v>
      </c>
      <c r="E1676" t="str">
        <f t="shared" si="235"/>
        <v>EMP_1675IT</v>
      </c>
      <c r="F1676" t="s">
        <v>21</v>
      </c>
      <c r="G1676" t="s">
        <v>16</v>
      </c>
      <c r="H1676">
        <v>54885</v>
      </c>
      <c r="I1676">
        <v>3391</v>
      </c>
      <c r="J1676">
        <v>0</v>
      </c>
      <c r="K1676">
        <v>0</v>
      </c>
      <c r="L1676" s="4">
        <v>44105</v>
      </c>
      <c r="M1676" s="4" t="str">
        <f t="shared" si="236"/>
        <v>2020</v>
      </c>
      <c r="N1676" s="1">
        <f t="shared" ca="1" si="237"/>
        <v>46064</v>
      </c>
      <c r="O1676" s="6">
        <f t="shared" ca="1" si="238"/>
        <v>5</v>
      </c>
      <c r="P1676">
        <v>3</v>
      </c>
      <c r="Q1676">
        <f t="shared" si="239"/>
        <v>58276</v>
      </c>
      <c r="R1676" s="2">
        <f t="shared" si="240"/>
        <v>29138</v>
      </c>
      <c r="S1676" s="2" t="str">
        <f t="shared" si="241"/>
        <v xml:space="preserve"> Not Achieved</v>
      </c>
      <c r="T1676" s="2" t="str">
        <f t="shared" si="242"/>
        <v xml:space="preserve"> Excellent</v>
      </c>
      <c r="U1676" s="2"/>
    </row>
    <row r="1677" spans="1:21" x14ac:dyDescent="0.3">
      <c r="A1677">
        <v>1676</v>
      </c>
      <c r="B1677" t="s">
        <v>2462</v>
      </c>
      <c r="C1677" t="str">
        <f t="shared" si="234"/>
        <v>EMP_1676</v>
      </c>
      <c r="D1677" t="s">
        <v>11</v>
      </c>
      <c r="E1677" t="str">
        <f t="shared" si="235"/>
        <v>EMP_1676Sales</v>
      </c>
      <c r="F1677" t="s">
        <v>7</v>
      </c>
      <c r="G1677" t="s">
        <v>16</v>
      </c>
      <c r="H1677">
        <v>51525</v>
      </c>
      <c r="I1677">
        <v>13505</v>
      </c>
      <c r="J1677">
        <v>276652</v>
      </c>
      <c r="K1677">
        <v>189295</v>
      </c>
      <c r="L1677" s="4">
        <v>44379</v>
      </c>
      <c r="M1677" s="4" t="str">
        <f t="shared" si="236"/>
        <v>2021</v>
      </c>
      <c r="N1677" s="1">
        <f t="shared" ca="1" si="237"/>
        <v>46064</v>
      </c>
      <c r="O1677" s="6">
        <f t="shared" ca="1" si="238"/>
        <v>4</v>
      </c>
      <c r="P1677">
        <v>1</v>
      </c>
      <c r="Q1677">
        <f t="shared" si="239"/>
        <v>65030</v>
      </c>
      <c r="R1677" s="2">
        <f t="shared" si="240"/>
        <v>32515</v>
      </c>
      <c r="S1677" s="2" t="str">
        <f t="shared" si="241"/>
        <v>Achieved</v>
      </c>
      <c r="T1677" s="2" t="str">
        <f t="shared" si="242"/>
        <v xml:space="preserve"> Excellent</v>
      </c>
      <c r="U1677" s="2"/>
    </row>
    <row r="1678" spans="1:21" x14ac:dyDescent="0.3">
      <c r="A1678">
        <v>1677</v>
      </c>
      <c r="B1678" t="s">
        <v>2463</v>
      </c>
      <c r="C1678" t="str">
        <f t="shared" si="234"/>
        <v>EMP_1677</v>
      </c>
      <c r="D1678" t="s">
        <v>15</v>
      </c>
      <c r="E1678" t="str">
        <f t="shared" si="235"/>
        <v>EMP_1677HR</v>
      </c>
      <c r="F1678" t="s">
        <v>12</v>
      </c>
      <c r="G1678" t="s">
        <v>22</v>
      </c>
      <c r="H1678">
        <v>27850</v>
      </c>
      <c r="I1678">
        <v>6788</v>
      </c>
      <c r="J1678">
        <v>0</v>
      </c>
      <c r="K1678">
        <v>0</v>
      </c>
      <c r="L1678" s="4" t="s">
        <v>2464</v>
      </c>
      <c r="M1678" s="4" t="str">
        <f t="shared" si="236"/>
        <v>4/22/2021</v>
      </c>
      <c r="N1678" s="1">
        <f t="shared" ca="1" si="237"/>
        <v>46064</v>
      </c>
      <c r="O1678" s="6" t="e">
        <f t="shared" ca="1" si="238"/>
        <v>#VALUE!</v>
      </c>
      <c r="P1678">
        <v>2</v>
      </c>
      <c r="Q1678">
        <f t="shared" si="239"/>
        <v>34638</v>
      </c>
      <c r="R1678" s="2">
        <f t="shared" si="240"/>
        <v>17319</v>
      </c>
      <c r="S1678" s="2" t="str">
        <f t="shared" si="241"/>
        <v xml:space="preserve"> Not Achieved</v>
      </c>
      <c r="T1678" s="2" t="str">
        <f t="shared" si="242"/>
        <v>poor</v>
      </c>
      <c r="U1678" s="2"/>
    </row>
    <row r="1679" spans="1:21" x14ac:dyDescent="0.3">
      <c r="A1679">
        <v>1678</v>
      </c>
      <c r="B1679" t="s">
        <v>2465</v>
      </c>
      <c r="C1679" t="str">
        <f t="shared" si="234"/>
        <v>EMP_1678</v>
      </c>
      <c r="D1679" t="s">
        <v>15</v>
      </c>
      <c r="E1679" t="str">
        <f t="shared" si="235"/>
        <v>EMP_1678IT</v>
      </c>
      <c r="F1679" t="s">
        <v>21</v>
      </c>
      <c r="G1679" t="s">
        <v>13</v>
      </c>
      <c r="H1679">
        <v>49189</v>
      </c>
      <c r="I1679">
        <v>8920</v>
      </c>
      <c r="J1679">
        <v>0</v>
      </c>
      <c r="K1679">
        <v>0</v>
      </c>
      <c r="L1679" s="4" t="s">
        <v>1553</v>
      </c>
      <c r="M1679" s="4" t="str">
        <f t="shared" si="236"/>
        <v>11/22/2018</v>
      </c>
      <c r="N1679" s="1">
        <f t="shared" ca="1" si="237"/>
        <v>46064</v>
      </c>
      <c r="O1679" s="6" t="e">
        <f t="shared" ca="1" si="238"/>
        <v>#VALUE!</v>
      </c>
      <c r="P1679">
        <v>1</v>
      </c>
      <c r="Q1679">
        <f t="shared" si="239"/>
        <v>58109</v>
      </c>
      <c r="R1679" s="2">
        <f t="shared" si="240"/>
        <v>29054.5</v>
      </c>
      <c r="S1679" s="2" t="str">
        <f t="shared" si="241"/>
        <v xml:space="preserve"> Not Achieved</v>
      </c>
      <c r="T1679" s="2" t="str">
        <f t="shared" si="242"/>
        <v>Good</v>
      </c>
      <c r="U1679" s="2"/>
    </row>
    <row r="1680" spans="1:21" x14ac:dyDescent="0.3">
      <c r="A1680">
        <v>1679</v>
      </c>
      <c r="B1680" t="s">
        <v>2466</v>
      </c>
      <c r="C1680" t="str">
        <f t="shared" si="234"/>
        <v>EMP_1679</v>
      </c>
      <c r="D1680" t="s">
        <v>15</v>
      </c>
      <c r="E1680" t="str">
        <f t="shared" si="235"/>
        <v>EMP_1679IT</v>
      </c>
      <c r="F1680" t="s">
        <v>21</v>
      </c>
      <c r="G1680" t="s">
        <v>16</v>
      </c>
      <c r="H1680">
        <v>25891</v>
      </c>
      <c r="I1680">
        <v>11218</v>
      </c>
      <c r="J1680">
        <v>0</v>
      </c>
      <c r="K1680">
        <v>0</v>
      </c>
      <c r="L1680" s="4" t="s">
        <v>844</v>
      </c>
      <c r="M1680" s="4" t="str">
        <f t="shared" si="236"/>
        <v>12/20/2023</v>
      </c>
      <c r="N1680" s="1">
        <f t="shared" ca="1" si="237"/>
        <v>46064</v>
      </c>
      <c r="O1680" s="6" t="e">
        <f t="shared" ca="1" si="238"/>
        <v>#VALUE!</v>
      </c>
      <c r="P1680">
        <v>3</v>
      </c>
      <c r="Q1680">
        <f t="shared" si="239"/>
        <v>37109</v>
      </c>
      <c r="R1680" s="2">
        <f t="shared" si="240"/>
        <v>18554.5</v>
      </c>
      <c r="S1680" s="2" t="str">
        <f t="shared" si="241"/>
        <v xml:space="preserve"> Not Achieved</v>
      </c>
      <c r="T1680" s="2" t="str">
        <f t="shared" si="242"/>
        <v>poor</v>
      </c>
      <c r="U1680" s="2"/>
    </row>
    <row r="1681" spans="1:21" x14ac:dyDescent="0.3">
      <c r="A1681">
        <v>1680</v>
      </c>
      <c r="B1681" t="s">
        <v>2467</v>
      </c>
      <c r="C1681" t="str">
        <f t="shared" si="234"/>
        <v>EMP_1680</v>
      </c>
      <c r="D1681" t="s">
        <v>15</v>
      </c>
      <c r="E1681" t="str">
        <f t="shared" si="235"/>
        <v>EMP_1680Marketing</v>
      </c>
      <c r="F1681" t="s">
        <v>24</v>
      </c>
      <c r="G1681" t="s">
        <v>16</v>
      </c>
      <c r="H1681">
        <v>42669</v>
      </c>
      <c r="I1681">
        <v>4886</v>
      </c>
      <c r="J1681">
        <v>0</v>
      </c>
      <c r="K1681">
        <v>0</v>
      </c>
      <c r="L1681" s="4" t="s">
        <v>2468</v>
      </c>
      <c r="M1681" s="4" t="str">
        <f t="shared" si="236"/>
        <v>1/20/2022</v>
      </c>
      <c r="N1681" s="1">
        <f t="shared" ca="1" si="237"/>
        <v>46064</v>
      </c>
      <c r="O1681" s="6" t="e">
        <f t="shared" ca="1" si="238"/>
        <v>#VALUE!</v>
      </c>
      <c r="P1681">
        <v>1</v>
      </c>
      <c r="Q1681">
        <f t="shared" si="239"/>
        <v>47555</v>
      </c>
      <c r="R1681" s="2">
        <f t="shared" si="240"/>
        <v>23777.5</v>
      </c>
      <c r="S1681" s="2" t="str">
        <f t="shared" si="241"/>
        <v xml:space="preserve"> Not Achieved</v>
      </c>
      <c r="T1681" s="2" t="str">
        <f t="shared" si="242"/>
        <v>Good</v>
      </c>
      <c r="U1681" s="2"/>
    </row>
    <row r="1682" spans="1:21" x14ac:dyDescent="0.3">
      <c r="A1682">
        <v>1681</v>
      </c>
      <c r="B1682" t="s">
        <v>2469</v>
      </c>
      <c r="C1682" t="str">
        <f t="shared" si="234"/>
        <v>EMP_1681</v>
      </c>
      <c r="D1682" t="s">
        <v>15</v>
      </c>
      <c r="E1682" t="str">
        <f t="shared" si="235"/>
        <v>EMP_1681IT</v>
      </c>
      <c r="F1682" t="s">
        <v>21</v>
      </c>
      <c r="G1682" t="s">
        <v>25</v>
      </c>
      <c r="H1682">
        <v>65446</v>
      </c>
      <c r="I1682">
        <v>13502</v>
      </c>
      <c r="J1682">
        <v>0</v>
      </c>
      <c r="K1682">
        <v>0</v>
      </c>
      <c r="L1682" s="4" t="s">
        <v>2470</v>
      </c>
      <c r="M1682" s="4" t="str">
        <f t="shared" si="236"/>
        <v>1/19/2020</v>
      </c>
      <c r="N1682" s="1">
        <f t="shared" ca="1" si="237"/>
        <v>46064</v>
      </c>
      <c r="O1682" s="6" t="e">
        <f t="shared" ca="1" si="238"/>
        <v>#VALUE!</v>
      </c>
      <c r="P1682">
        <v>3</v>
      </c>
      <c r="Q1682">
        <f t="shared" si="239"/>
        <v>78948</v>
      </c>
      <c r="R1682" s="2">
        <f t="shared" si="240"/>
        <v>39474</v>
      </c>
      <c r="S1682" s="2" t="str">
        <f t="shared" si="241"/>
        <v xml:space="preserve"> Not Achieved</v>
      </c>
      <c r="T1682" s="2" t="str">
        <f t="shared" si="242"/>
        <v xml:space="preserve"> Excellent</v>
      </c>
      <c r="U1682" s="2"/>
    </row>
    <row r="1683" spans="1:21" x14ac:dyDescent="0.3">
      <c r="A1683">
        <v>1682</v>
      </c>
      <c r="B1683" t="s">
        <v>2471</v>
      </c>
      <c r="C1683" t="str">
        <f t="shared" si="234"/>
        <v>EMP_1682</v>
      </c>
      <c r="D1683" t="s">
        <v>11</v>
      </c>
      <c r="E1683" t="str">
        <f t="shared" si="235"/>
        <v>EMP_1682Finance</v>
      </c>
      <c r="F1683" t="s">
        <v>18</v>
      </c>
      <c r="G1683" t="s">
        <v>19</v>
      </c>
      <c r="H1683">
        <v>20840</v>
      </c>
      <c r="I1683">
        <v>11480</v>
      </c>
      <c r="J1683">
        <v>0</v>
      </c>
      <c r="K1683">
        <v>0</v>
      </c>
      <c r="L1683" s="4" t="s">
        <v>2472</v>
      </c>
      <c r="M1683" s="4" t="str">
        <f t="shared" si="236"/>
        <v>2/20/2023</v>
      </c>
      <c r="N1683" s="1">
        <f t="shared" ca="1" si="237"/>
        <v>46064</v>
      </c>
      <c r="O1683" s="6" t="e">
        <f t="shared" ca="1" si="238"/>
        <v>#VALUE!</v>
      </c>
      <c r="P1683">
        <v>1</v>
      </c>
      <c r="Q1683">
        <f t="shared" si="239"/>
        <v>32320</v>
      </c>
      <c r="R1683" s="2">
        <f t="shared" si="240"/>
        <v>16160</v>
      </c>
      <c r="S1683" s="2" t="str">
        <f t="shared" si="241"/>
        <v xml:space="preserve"> Not Achieved</v>
      </c>
      <c r="T1683" s="2" t="str">
        <f t="shared" si="242"/>
        <v>poor</v>
      </c>
      <c r="U1683" s="2"/>
    </row>
    <row r="1684" spans="1:21" x14ac:dyDescent="0.3">
      <c r="A1684">
        <v>1683</v>
      </c>
      <c r="B1684" t="s">
        <v>2473</v>
      </c>
      <c r="C1684" t="str">
        <f t="shared" si="234"/>
        <v>EMP_1683</v>
      </c>
      <c r="D1684" t="s">
        <v>15</v>
      </c>
      <c r="E1684" t="str">
        <f t="shared" si="235"/>
        <v>EMP_1683Finance</v>
      </c>
      <c r="F1684" t="s">
        <v>18</v>
      </c>
      <c r="G1684" t="s">
        <v>25</v>
      </c>
      <c r="H1684">
        <v>39703</v>
      </c>
      <c r="I1684">
        <v>4983</v>
      </c>
      <c r="J1684">
        <v>0</v>
      </c>
      <c r="K1684">
        <v>0</v>
      </c>
      <c r="L1684" s="4">
        <v>43469</v>
      </c>
      <c r="M1684" s="4" t="str">
        <f t="shared" si="236"/>
        <v>2019</v>
      </c>
      <c r="N1684" s="1">
        <f t="shared" ca="1" si="237"/>
        <v>46064</v>
      </c>
      <c r="O1684" s="6">
        <f t="shared" ca="1" si="238"/>
        <v>7</v>
      </c>
      <c r="P1684">
        <v>2</v>
      </c>
      <c r="Q1684">
        <f t="shared" si="239"/>
        <v>44686</v>
      </c>
      <c r="R1684" s="2">
        <f t="shared" si="240"/>
        <v>22343</v>
      </c>
      <c r="S1684" s="2" t="str">
        <f t="shared" si="241"/>
        <v xml:space="preserve"> Not Achieved</v>
      </c>
      <c r="T1684" s="2" t="str">
        <f t="shared" si="242"/>
        <v>Average</v>
      </c>
      <c r="U1684" s="2"/>
    </row>
    <row r="1685" spans="1:21" x14ac:dyDescent="0.3">
      <c r="A1685">
        <v>1684</v>
      </c>
      <c r="B1685" t="s">
        <v>2474</v>
      </c>
      <c r="C1685" t="str">
        <f t="shared" si="234"/>
        <v>EMP_1684</v>
      </c>
      <c r="D1685" t="s">
        <v>11</v>
      </c>
      <c r="E1685" t="str">
        <f t="shared" si="235"/>
        <v>EMP_1684Marketing</v>
      </c>
      <c r="F1685" t="s">
        <v>24</v>
      </c>
      <c r="G1685" t="s">
        <v>13</v>
      </c>
      <c r="H1685">
        <v>45752</v>
      </c>
      <c r="I1685">
        <v>14158</v>
      </c>
      <c r="J1685">
        <v>0</v>
      </c>
      <c r="K1685">
        <v>0</v>
      </c>
      <c r="L1685" s="4">
        <v>43958</v>
      </c>
      <c r="M1685" s="4" t="str">
        <f t="shared" si="236"/>
        <v>2020</v>
      </c>
      <c r="N1685" s="1">
        <f t="shared" ca="1" si="237"/>
        <v>46064</v>
      </c>
      <c r="O1685" s="6">
        <f t="shared" ca="1" si="238"/>
        <v>5</v>
      </c>
      <c r="P1685">
        <v>3</v>
      </c>
      <c r="Q1685">
        <f t="shared" si="239"/>
        <v>59910</v>
      </c>
      <c r="R1685" s="2">
        <f t="shared" si="240"/>
        <v>29955</v>
      </c>
      <c r="S1685" s="2" t="str">
        <f t="shared" si="241"/>
        <v xml:space="preserve"> Not Achieved</v>
      </c>
      <c r="T1685" s="2" t="str">
        <f t="shared" si="242"/>
        <v>Good</v>
      </c>
      <c r="U1685" s="2"/>
    </row>
    <row r="1686" spans="1:21" x14ac:dyDescent="0.3">
      <c r="A1686">
        <v>1685</v>
      </c>
      <c r="B1686" t="s">
        <v>2475</v>
      </c>
      <c r="C1686" t="str">
        <f t="shared" si="234"/>
        <v>EMP_1685</v>
      </c>
      <c r="D1686" t="s">
        <v>15</v>
      </c>
      <c r="E1686" t="str">
        <f t="shared" si="235"/>
        <v>EMP_1685IT</v>
      </c>
      <c r="F1686" t="s">
        <v>21</v>
      </c>
      <c r="G1686" t="s">
        <v>13</v>
      </c>
      <c r="H1686">
        <v>44861</v>
      </c>
      <c r="I1686">
        <v>13159</v>
      </c>
      <c r="J1686">
        <v>0</v>
      </c>
      <c r="K1686">
        <v>0</v>
      </c>
      <c r="L1686" s="4" t="s">
        <v>2476</v>
      </c>
      <c r="M1686" s="4" t="str">
        <f t="shared" si="236"/>
        <v>10/20/2018</v>
      </c>
      <c r="N1686" s="1">
        <f t="shared" ca="1" si="237"/>
        <v>46064</v>
      </c>
      <c r="O1686" s="6" t="e">
        <f t="shared" ca="1" si="238"/>
        <v>#VALUE!</v>
      </c>
      <c r="P1686">
        <v>5</v>
      </c>
      <c r="Q1686">
        <f t="shared" si="239"/>
        <v>58020</v>
      </c>
      <c r="R1686" s="2">
        <f t="shared" si="240"/>
        <v>29010</v>
      </c>
      <c r="S1686" s="2" t="str">
        <f t="shared" si="241"/>
        <v xml:space="preserve"> Not Achieved</v>
      </c>
      <c r="T1686" s="2" t="str">
        <f t="shared" si="242"/>
        <v>Good</v>
      </c>
      <c r="U1686" s="2"/>
    </row>
    <row r="1687" spans="1:21" x14ac:dyDescent="0.3">
      <c r="A1687">
        <v>1686</v>
      </c>
      <c r="B1687" t="s">
        <v>2477</v>
      </c>
      <c r="C1687" t="str">
        <f t="shared" si="234"/>
        <v>EMP_1686</v>
      </c>
      <c r="D1687" t="s">
        <v>15</v>
      </c>
      <c r="E1687" t="str">
        <f t="shared" si="235"/>
        <v>EMP_1686Finance</v>
      </c>
      <c r="F1687" t="s">
        <v>18</v>
      </c>
      <c r="G1687" t="s">
        <v>22</v>
      </c>
      <c r="H1687">
        <v>42043</v>
      </c>
      <c r="I1687">
        <v>7526</v>
      </c>
      <c r="J1687">
        <v>0</v>
      </c>
      <c r="K1687">
        <v>0</v>
      </c>
      <c r="L1687" s="4">
        <v>44717</v>
      </c>
      <c r="M1687" s="4" t="str">
        <f t="shared" si="236"/>
        <v>2022</v>
      </c>
      <c r="N1687" s="1">
        <f t="shared" ca="1" si="237"/>
        <v>46064</v>
      </c>
      <c r="O1687" s="6">
        <f t="shared" ca="1" si="238"/>
        <v>3</v>
      </c>
      <c r="P1687">
        <v>3</v>
      </c>
      <c r="Q1687">
        <f t="shared" si="239"/>
        <v>49569</v>
      </c>
      <c r="R1687" s="2">
        <f t="shared" si="240"/>
        <v>24784.5</v>
      </c>
      <c r="S1687" s="2" t="str">
        <f t="shared" si="241"/>
        <v xml:space="preserve"> Not Achieved</v>
      </c>
      <c r="T1687" s="2" t="str">
        <f t="shared" si="242"/>
        <v>Good</v>
      </c>
      <c r="U1687" s="2"/>
    </row>
    <row r="1688" spans="1:21" x14ac:dyDescent="0.3">
      <c r="A1688">
        <v>1687</v>
      </c>
      <c r="B1688" t="s">
        <v>2478</v>
      </c>
      <c r="C1688" t="str">
        <f t="shared" si="234"/>
        <v>EMP_1687</v>
      </c>
      <c r="D1688" t="s">
        <v>15</v>
      </c>
      <c r="E1688" t="str">
        <f t="shared" si="235"/>
        <v>EMP_1687HR</v>
      </c>
      <c r="F1688" t="s">
        <v>12</v>
      </c>
      <c r="G1688" t="s">
        <v>19</v>
      </c>
      <c r="H1688">
        <v>77447</v>
      </c>
      <c r="I1688">
        <v>12145</v>
      </c>
      <c r="J1688">
        <v>0</v>
      </c>
      <c r="K1688">
        <v>0</v>
      </c>
      <c r="L1688" s="4">
        <v>45417</v>
      </c>
      <c r="M1688" s="4" t="str">
        <f t="shared" si="236"/>
        <v>2024</v>
      </c>
      <c r="N1688" s="1">
        <f t="shared" ca="1" si="237"/>
        <v>46064</v>
      </c>
      <c r="O1688" s="6">
        <f t="shared" ca="1" si="238"/>
        <v>1</v>
      </c>
      <c r="P1688">
        <v>2</v>
      </c>
      <c r="Q1688">
        <f t="shared" si="239"/>
        <v>89592</v>
      </c>
      <c r="R1688" s="2">
        <f t="shared" si="240"/>
        <v>44796</v>
      </c>
      <c r="S1688" s="2" t="str">
        <f t="shared" si="241"/>
        <v xml:space="preserve"> Not Achieved</v>
      </c>
      <c r="T1688" s="2" t="str">
        <f t="shared" si="242"/>
        <v xml:space="preserve"> Excellent</v>
      </c>
      <c r="U1688" s="2"/>
    </row>
    <row r="1689" spans="1:21" x14ac:dyDescent="0.3">
      <c r="A1689">
        <v>1688</v>
      </c>
      <c r="B1689" t="s">
        <v>2479</v>
      </c>
      <c r="C1689" t="str">
        <f t="shared" si="234"/>
        <v>EMP_1688</v>
      </c>
      <c r="D1689" t="s">
        <v>11</v>
      </c>
      <c r="E1689" t="str">
        <f t="shared" si="235"/>
        <v>EMP_1688Finance</v>
      </c>
      <c r="F1689" t="s">
        <v>18</v>
      </c>
      <c r="G1689" t="s">
        <v>25</v>
      </c>
      <c r="H1689">
        <v>25045</v>
      </c>
      <c r="I1689">
        <v>13624</v>
      </c>
      <c r="J1689">
        <v>0</v>
      </c>
      <c r="K1689">
        <v>0</v>
      </c>
      <c r="L1689" s="4" t="s">
        <v>916</v>
      </c>
      <c r="M1689" s="4" t="str">
        <f t="shared" si="236"/>
        <v>3/16/2018</v>
      </c>
      <c r="N1689" s="1">
        <f t="shared" ca="1" si="237"/>
        <v>46064</v>
      </c>
      <c r="O1689" s="6" t="e">
        <f t="shared" ca="1" si="238"/>
        <v>#VALUE!</v>
      </c>
      <c r="P1689">
        <v>3</v>
      </c>
      <c r="Q1689">
        <f t="shared" si="239"/>
        <v>38669</v>
      </c>
      <c r="R1689" s="2">
        <f t="shared" si="240"/>
        <v>19334.5</v>
      </c>
      <c r="S1689" s="2" t="str">
        <f t="shared" si="241"/>
        <v xml:space="preserve"> Not Achieved</v>
      </c>
      <c r="T1689" s="2" t="str">
        <f t="shared" si="242"/>
        <v>poor</v>
      </c>
      <c r="U1689" s="2"/>
    </row>
    <row r="1690" spans="1:21" x14ac:dyDescent="0.3">
      <c r="A1690">
        <v>1689</v>
      </c>
      <c r="B1690" t="s">
        <v>2480</v>
      </c>
      <c r="C1690" t="str">
        <f t="shared" si="234"/>
        <v>EMP_1689</v>
      </c>
      <c r="D1690" t="s">
        <v>11</v>
      </c>
      <c r="E1690" t="str">
        <f t="shared" si="235"/>
        <v>EMP_1689Sales</v>
      </c>
      <c r="F1690" t="s">
        <v>7</v>
      </c>
      <c r="G1690" t="s">
        <v>22</v>
      </c>
      <c r="H1690">
        <v>25246</v>
      </c>
      <c r="I1690">
        <v>11551</v>
      </c>
      <c r="J1690">
        <v>145922</v>
      </c>
      <c r="K1690">
        <v>183441</v>
      </c>
      <c r="L1690" s="4" t="s">
        <v>1796</v>
      </c>
      <c r="M1690" s="4" t="str">
        <f t="shared" si="236"/>
        <v>2/14/2019</v>
      </c>
      <c r="N1690" s="1">
        <f t="shared" ca="1" si="237"/>
        <v>46064</v>
      </c>
      <c r="O1690" s="6" t="e">
        <f t="shared" ca="1" si="238"/>
        <v>#VALUE!</v>
      </c>
      <c r="P1690">
        <v>5</v>
      </c>
      <c r="Q1690">
        <f t="shared" si="239"/>
        <v>36797</v>
      </c>
      <c r="R1690" s="2">
        <f t="shared" si="240"/>
        <v>18398.5</v>
      </c>
      <c r="S1690" s="2" t="str">
        <f t="shared" si="241"/>
        <v xml:space="preserve"> Not Achieved</v>
      </c>
      <c r="T1690" s="2" t="str">
        <f t="shared" si="242"/>
        <v>poor</v>
      </c>
      <c r="U1690" s="2"/>
    </row>
    <row r="1691" spans="1:21" x14ac:dyDescent="0.3">
      <c r="A1691">
        <v>1690</v>
      </c>
      <c r="B1691" t="s">
        <v>2481</v>
      </c>
      <c r="C1691" t="str">
        <f t="shared" si="234"/>
        <v>EMP_1690</v>
      </c>
      <c r="D1691" t="s">
        <v>11</v>
      </c>
      <c r="E1691" t="str">
        <f t="shared" si="235"/>
        <v>EMP_1690Finance</v>
      </c>
      <c r="F1691" t="s">
        <v>18</v>
      </c>
      <c r="G1691" t="s">
        <v>22</v>
      </c>
      <c r="H1691">
        <v>25526</v>
      </c>
      <c r="I1691">
        <v>5116</v>
      </c>
      <c r="J1691">
        <v>0</v>
      </c>
      <c r="K1691">
        <v>0</v>
      </c>
      <c r="L1691" s="4">
        <v>44594</v>
      </c>
      <c r="M1691" s="4" t="str">
        <f t="shared" si="236"/>
        <v>2022</v>
      </c>
      <c r="N1691" s="1">
        <f t="shared" ca="1" si="237"/>
        <v>46064</v>
      </c>
      <c r="O1691" s="6">
        <f t="shared" ca="1" si="238"/>
        <v>4</v>
      </c>
      <c r="P1691">
        <v>1</v>
      </c>
      <c r="Q1691">
        <f t="shared" si="239"/>
        <v>30642</v>
      </c>
      <c r="R1691" s="2">
        <f t="shared" si="240"/>
        <v>15321</v>
      </c>
      <c r="S1691" s="2" t="str">
        <f t="shared" si="241"/>
        <v xml:space="preserve"> Not Achieved</v>
      </c>
      <c r="T1691" s="2" t="str">
        <f t="shared" si="242"/>
        <v>poor</v>
      </c>
      <c r="U1691" s="2"/>
    </row>
    <row r="1692" spans="1:21" x14ac:dyDescent="0.3">
      <c r="A1692">
        <v>1691</v>
      </c>
      <c r="B1692" t="s">
        <v>2482</v>
      </c>
      <c r="C1692" t="str">
        <f t="shared" si="234"/>
        <v>EMP_1691</v>
      </c>
      <c r="D1692" t="s">
        <v>11</v>
      </c>
      <c r="E1692" t="str">
        <f t="shared" si="235"/>
        <v>EMP_1691Finance</v>
      </c>
      <c r="F1692" t="s">
        <v>18</v>
      </c>
      <c r="G1692" t="s">
        <v>25</v>
      </c>
      <c r="H1692">
        <v>36925</v>
      </c>
      <c r="I1692">
        <v>6176</v>
      </c>
      <c r="J1692">
        <v>0</v>
      </c>
      <c r="K1692">
        <v>0</v>
      </c>
      <c r="L1692" s="4" t="s">
        <v>397</v>
      </c>
      <c r="M1692" s="4" t="str">
        <f t="shared" si="236"/>
        <v>2/17/2024</v>
      </c>
      <c r="N1692" s="1">
        <f t="shared" ca="1" si="237"/>
        <v>46064</v>
      </c>
      <c r="O1692" s="6" t="e">
        <f t="shared" ca="1" si="238"/>
        <v>#VALUE!</v>
      </c>
      <c r="P1692">
        <v>2</v>
      </c>
      <c r="Q1692">
        <f t="shared" si="239"/>
        <v>43101</v>
      </c>
      <c r="R1692" s="2">
        <f t="shared" si="240"/>
        <v>21550.5</v>
      </c>
      <c r="S1692" s="2" t="str">
        <f t="shared" si="241"/>
        <v xml:space="preserve"> Not Achieved</v>
      </c>
      <c r="T1692" s="2" t="str">
        <f t="shared" si="242"/>
        <v>Average</v>
      </c>
      <c r="U1692" s="2"/>
    </row>
    <row r="1693" spans="1:21" x14ac:dyDescent="0.3">
      <c r="A1693">
        <v>1692</v>
      </c>
      <c r="B1693" t="s">
        <v>2483</v>
      </c>
      <c r="C1693" t="str">
        <f t="shared" si="234"/>
        <v>EMP_1692</v>
      </c>
      <c r="D1693" t="s">
        <v>15</v>
      </c>
      <c r="E1693" t="str">
        <f t="shared" si="235"/>
        <v>EMP_1692IT</v>
      </c>
      <c r="F1693" t="s">
        <v>21</v>
      </c>
      <c r="G1693" t="s">
        <v>16</v>
      </c>
      <c r="H1693">
        <v>47274</v>
      </c>
      <c r="I1693">
        <v>2892</v>
      </c>
      <c r="J1693">
        <v>0</v>
      </c>
      <c r="K1693">
        <v>0</v>
      </c>
      <c r="L1693" s="4">
        <v>43378</v>
      </c>
      <c r="M1693" s="4" t="str">
        <f t="shared" si="236"/>
        <v>2018</v>
      </c>
      <c r="N1693" s="1">
        <f t="shared" ca="1" si="237"/>
        <v>46064</v>
      </c>
      <c r="O1693" s="6">
        <f t="shared" ca="1" si="238"/>
        <v>7</v>
      </c>
      <c r="P1693">
        <v>1</v>
      </c>
      <c r="Q1693">
        <f t="shared" si="239"/>
        <v>50166</v>
      </c>
      <c r="R1693" s="2">
        <f t="shared" si="240"/>
        <v>25083</v>
      </c>
      <c r="S1693" s="2" t="str">
        <f t="shared" si="241"/>
        <v xml:space="preserve"> Not Achieved</v>
      </c>
      <c r="T1693" s="2" t="str">
        <f t="shared" si="242"/>
        <v>Good</v>
      </c>
      <c r="U1693" s="2"/>
    </row>
    <row r="1694" spans="1:21" x14ac:dyDescent="0.3">
      <c r="A1694">
        <v>1693</v>
      </c>
      <c r="B1694" t="s">
        <v>2484</v>
      </c>
      <c r="C1694" t="str">
        <f t="shared" si="234"/>
        <v>EMP_1693</v>
      </c>
      <c r="D1694" t="s">
        <v>15</v>
      </c>
      <c r="E1694" t="str">
        <f t="shared" si="235"/>
        <v>EMP_1693Sales</v>
      </c>
      <c r="F1694" t="s">
        <v>7</v>
      </c>
      <c r="G1694" t="s">
        <v>19</v>
      </c>
      <c r="H1694">
        <v>50465</v>
      </c>
      <c r="I1694">
        <v>4019</v>
      </c>
      <c r="J1694">
        <v>159533</v>
      </c>
      <c r="K1694">
        <v>145899</v>
      </c>
      <c r="L1694" s="4" t="s">
        <v>1349</v>
      </c>
      <c r="M1694" s="4" t="str">
        <f t="shared" si="236"/>
        <v>1/28/2019</v>
      </c>
      <c r="N1694" s="1">
        <f t="shared" ca="1" si="237"/>
        <v>46064</v>
      </c>
      <c r="O1694" s="6" t="e">
        <f t="shared" ca="1" si="238"/>
        <v>#VALUE!</v>
      </c>
      <c r="P1694">
        <v>1</v>
      </c>
      <c r="Q1694">
        <f t="shared" si="239"/>
        <v>54484</v>
      </c>
      <c r="R1694" s="2">
        <f t="shared" si="240"/>
        <v>27242</v>
      </c>
      <c r="S1694" s="2" t="str">
        <f t="shared" si="241"/>
        <v>Achieved</v>
      </c>
      <c r="T1694" s="2" t="str">
        <f t="shared" si="242"/>
        <v xml:space="preserve"> Excellent</v>
      </c>
      <c r="U1694" s="2"/>
    </row>
    <row r="1695" spans="1:21" x14ac:dyDescent="0.3">
      <c r="A1695">
        <v>1694</v>
      </c>
      <c r="B1695" t="s">
        <v>2485</v>
      </c>
      <c r="C1695" t="str">
        <f t="shared" si="234"/>
        <v>EMP_1694</v>
      </c>
      <c r="D1695" t="s">
        <v>11</v>
      </c>
      <c r="E1695" t="str">
        <f t="shared" si="235"/>
        <v>EMP_1694IT</v>
      </c>
      <c r="F1695" t="s">
        <v>21</v>
      </c>
      <c r="G1695" t="s">
        <v>22</v>
      </c>
      <c r="H1695">
        <v>23496</v>
      </c>
      <c r="I1695">
        <v>10336</v>
      </c>
      <c r="J1695">
        <v>0</v>
      </c>
      <c r="K1695">
        <v>0</v>
      </c>
      <c r="L1695" s="4">
        <v>43379</v>
      </c>
      <c r="M1695" s="4" t="str">
        <f t="shared" si="236"/>
        <v>2018</v>
      </c>
      <c r="N1695" s="1">
        <f t="shared" ca="1" si="237"/>
        <v>46064</v>
      </c>
      <c r="O1695" s="6">
        <f t="shared" ca="1" si="238"/>
        <v>7</v>
      </c>
      <c r="P1695">
        <v>4</v>
      </c>
      <c r="Q1695">
        <f t="shared" si="239"/>
        <v>33832</v>
      </c>
      <c r="R1695" s="2">
        <f t="shared" si="240"/>
        <v>16916</v>
      </c>
      <c r="S1695" s="2" t="str">
        <f t="shared" si="241"/>
        <v xml:space="preserve"> Not Achieved</v>
      </c>
      <c r="T1695" s="2" t="str">
        <f t="shared" si="242"/>
        <v>poor</v>
      </c>
      <c r="U1695" s="2"/>
    </row>
    <row r="1696" spans="1:21" x14ac:dyDescent="0.3">
      <c r="A1696">
        <v>1695</v>
      </c>
      <c r="B1696" t="s">
        <v>2486</v>
      </c>
      <c r="C1696" t="str">
        <f t="shared" si="234"/>
        <v>EMP_1695</v>
      </c>
      <c r="D1696" t="s">
        <v>11</v>
      </c>
      <c r="E1696" t="str">
        <f t="shared" si="235"/>
        <v>EMP_1695Marketing</v>
      </c>
      <c r="F1696" t="s">
        <v>24</v>
      </c>
      <c r="G1696" t="s">
        <v>13</v>
      </c>
      <c r="H1696">
        <v>22132</v>
      </c>
      <c r="I1696">
        <v>14923</v>
      </c>
      <c r="J1696">
        <v>0</v>
      </c>
      <c r="K1696">
        <v>0</v>
      </c>
      <c r="L1696" s="4" t="s">
        <v>2151</v>
      </c>
      <c r="M1696" s="4" t="str">
        <f t="shared" si="236"/>
        <v>1/26/2022</v>
      </c>
      <c r="N1696" s="1">
        <f t="shared" ca="1" si="237"/>
        <v>46064</v>
      </c>
      <c r="O1696" s="6" t="e">
        <f t="shared" ca="1" si="238"/>
        <v>#VALUE!</v>
      </c>
      <c r="P1696">
        <v>5</v>
      </c>
      <c r="Q1696">
        <f t="shared" si="239"/>
        <v>37055</v>
      </c>
      <c r="R1696" s="2">
        <f t="shared" si="240"/>
        <v>18527.5</v>
      </c>
      <c r="S1696" s="2" t="str">
        <f t="shared" si="241"/>
        <v xml:space="preserve"> Not Achieved</v>
      </c>
      <c r="T1696" s="2" t="str">
        <f t="shared" si="242"/>
        <v>poor</v>
      </c>
      <c r="U1696" s="2"/>
    </row>
    <row r="1697" spans="1:21" x14ac:dyDescent="0.3">
      <c r="A1697">
        <v>1696</v>
      </c>
      <c r="B1697" t="s">
        <v>2487</v>
      </c>
      <c r="C1697" t="str">
        <f t="shared" si="234"/>
        <v>EMP_1696</v>
      </c>
      <c r="D1697" t="s">
        <v>11</v>
      </c>
      <c r="E1697" t="str">
        <f t="shared" si="235"/>
        <v>EMP_1696HR</v>
      </c>
      <c r="F1697" t="s">
        <v>12</v>
      </c>
      <c r="G1697" t="s">
        <v>25</v>
      </c>
      <c r="H1697">
        <v>23952</v>
      </c>
      <c r="I1697">
        <v>7256</v>
      </c>
      <c r="J1697">
        <v>0</v>
      </c>
      <c r="K1697">
        <v>0</v>
      </c>
      <c r="L1697" s="4" t="s">
        <v>1525</v>
      </c>
      <c r="M1697" s="4" t="str">
        <f t="shared" si="236"/>
        <v>7/31/2022</v>
      </c>
      <c r="N1697" s="1">
        <f t="shared" ca="1" si="237"/>
        <v>46064</v>
      </c>
      <c r="O1697" s="6" t="e">
        <f t="shared" ca="1" si="238"/>
        <v>#VALUE!</v>
      </c>
      <c r="P1697">
        <v>2</v>
      </c>
      <c r="Q1697">
        <f t="shared" si="239"/>
        <v>31208</v>
      </c>
      <c r="R1697" s="2">
        <f t="shared" si="240"/>
        <v>15604</v>
      </c>
      <c r="S1697" s="2" t="str">
        <f t="shared" si="241"/>
        <v xml:space="preserve"> Not Achieved</v>
      </c>
      <c r="T1697" s="2" t="str">
        <f t="shared" si="242"/>
        <v>poor</v>
      </c>
      <c r="U1697" s="2"/>
    </row>
    <row r="1698" spans="1:21" x14ac:dyDescent="0.3">
      <c r="A1698">
        <v>1697</v>
      </c>
      <c r="B1698" t="s">
        <v>2488</v>
      </c>
      <c r="C1698" t="str">
        <f t="shared" si="234"/>
        <v>EMP_1697</v>
      </c>
      <c r="D1698" t="s">
        <v>15</v>
      </c>
      <c r="E1698" t="str">
        <f t="shared" si="235"/>
        <v>EMP_1697Marketing</v>
      </c>
      <c r="F1698" t="s">
        <v>24</v>
      </c>
      <c r="G1698" t="s">
        <v>16</v>
      </c>
      <c r="H1698">
        <v>37274</v>
      </c>
      <c r="I1698">
        <v>5487</v>
      </c>
      <c r="J1698">
        <v>0</v>
      </c>
      <c r="K1698">
        <v>0</v>
      </c>
      <c r="L1698" s="4" t="s">
        <v>631</v>
      </c>
      <c r="M1698" s="4" t="str">
        <f t="shared" si="236"/>
        <v>7/15/2022</v>
      </c>
      <c r="N1698" s="1">
        <f t="shared" ca="1" si="237"/>
        <v>46064</v>
      </c>
      <c r="O1698" s="6" t="e">
        <f t="shared" ca="1" si="238"/>
        <v>#VALUE!</v>
      </c>
      <c r="P1698">
        <v>4</v>
      </c>
      <c r="Q1698">
        <f t="shared" si="239"/>
        <v>42761</v>
      </c>
      <c r="R1698" s="2">
        <f t="shared" si="240"/>
        <v>21380.5</v>
      </c>
      <c r="S1698" s="2" t="str">
        <f t="shared" si="241"/>
        <v xml:space="preserve"> Not Achieved</v>
      </c>
      <c r="T1698" s="2" t="str">
        <f t="shared" si="242"/>
        <v>Average</v>
      </c>
      <c r="U1698" s="2"/>
    </row>
    <row r="1699" spans="1:21" x14ac:dyDescent="0.3">
      <c r="A1699">
        <v>1698</v>
      </c>
      <c r="B1699" t="s">
        <v>2489</v>
      </c>
      <c r="C1699" t="str">
        <f t="shared" si="234"/>
        <v>EMP_1698</v>
      </c>
      <c r="D1699" t="s">
        <v>11</v>
      </c>
      <c r="E1699" t="str">
        <f t="shared" si="235"/>
        <v>EMP_1698IT</v>
      </c>
      <c r="F1699" t="s">
        <v>21</v>
      </c>
      <c r="G1699" t="s">
        <v>16</v>
      </c>
      <c r="H1699">
        <v>74472</v>
      </c>
      <c r="I1699">
        <v>3305</v>
      </c>
      <c r="J1699">
        <v>0</v>
      </c>
      <c r="K1699">
        <v>0</v>
      </c>
      <c r="L1699" s="4">
        <v>44511</v>
      </c>
      <c r="M1699" s="4" t="str">
        <f t="shared" si="236"/>
        <v>2021</v>
      </c>
      <c r="N1699" s="1">
        <f t="shared" ca="1" si="237"/>
        <v>46064</v>
      </c>
      <c r="O1699" s="6">
        <f t="shared" ca="1" si="238"/>
        <v>4</v>
      </c>
      <c r="P1699">
        <v>3</v>
      </c>
      <c r="Q1699">
        <f t="shared" si="239"/>
        <v>77777</v>
      </c>
      <c r="R1699" s="2">
        <f t="shared" si="240"/>
        <v>38888.5</v>
      </c>
      <c r="S1699" s="2" t="str">
        <f t="shared" si="241"/>
        <v xml:space="preserve"> Not Achieved</v>
      </c>
      <c r="T1699" s="2" t="str">
        <f t="shared" si="242"/>
        <v xml:space="preserve"> Excellent</v>
      </c>
      <c r="U1699" s="2"/>
    </row>
    <row r="1700" spans="1:21" x14ac:dyDescent="0.3">
      <c r="A1700">
        <v>1699</v>
      </c>
      <c r="B1700" t="s">
        <v>2490</v>
      </c>
      <c r="C1700" t="str">
        <f t="shared" si="234"/>
        <v>EMP_1699</v>
      </c>
      <c r="D1700" t="s">
        <v>15</v>
      </c>
      <c r="E1700" t="str">
        <f t="shared" si="235"/>
        <v>EMP_1699IT</v>
      </c>
      <c r="F1700" t="s">
        <v>21</v>
      </c>
      <c r="G1700" t="s">
        <v>13</v>
      </c>
      <c r="H1700">
        <v>57187</v>
      </c>
      <c r="I1700">
        <v>10837</v>
      </c>
      <c r="J1700">
        <v>0</v>
      </c>
      <c r="K1700">
        <v>0</v>
      </c>
      <c r="L1700" s="4" t="s">
        <v>2491</v>
      </c>
      <c r="M1700" s="4" t="str">
        <f t="shared" si="236"/>
        <v>6/27/2018</v>
      </c>
      <c r="N1700" s="1">
        <f t="shared" ca="1" si="237"/>
        <v>46064</v>
      </c>
      <c r="O1700" s="6" t="e">
        <f t="shared" ca="1" si="238"/>
        <v>#VALUE!</v>
      </c>
      <c r="P1700">
        <v>3</v>
      </c>
      <c r="Q1700">
        <f t="shared" si="239"/>
        <v>68024</v>
      </c>
      <c r="R1700" s="2">
        <f t="shared" si="240"/>
        <v>34012</v>
      </c>
      <c r="S1700" s="2" t="str">
        <f t="shared" si="241"/>
        <v xml:space="preserve"> Not Achieved</v>
      </c>
      <c r="T1700" s="2" t="str">
        <f t="shared" si="242"/>
        <v xml:space="preserve"> Excellent</v>
      </c>
      <c r="U1700" s="2"/>
    </row>
    <row r="1701" spans="1:21" x14ac:dyDescent="0.3">
      <c r="A1701">
        <v>1700</v>
      </c>
      <c r="B1701" t="s">
        <v>2492</v>
      </c>
      <c r="C1701" t="str">
        <f t="shared" si="234"/>
        <v>EMP_1700</v>
      </c>
      <c r="D1701" t="s">
        <v>11</v>
      </c>
      <c r="E1701" t="str">
        <f t="shared" si="235"/>
        <v>EMP_1700Sales</v>
      </c>
      <c r="F1701" t="s">
        <v>7</v>
      </c>
      <c r="G1701" t="s">
        <v>25</v>
      </c>
      <c r="H1701">
        <v>43766</v>
      </c>
      <c r="I1701">
        <v>11421</v>
      </c>
      <c r="J1701">
        <v>148927</v>
      </c>
      <c r="K1701">
        <v>232153</v>
      </c>
      <c r="L1701" s="4" t="s">
        <v>2493</v>
      </c>
      <c r="M1701" s="4" t="str">
        <f t="shared" si="236"/>
        <v>2/22/2024</v>
      </c>
      <c r="N1701" s="1">
        <f t="shared" ca="1" si="237"/>
        <v>46064</v>
      </c>
      <c r="O1701" s="6" t="e">
        <f t="shared" ca="1" si="238"/>
        <v>#VALUE!</v>
      </c>
      <c r="P1701">
        <v>5</v>
      </c>
      <c r="Q1701">
        <f t="shared" si="239"/>
        <v>55187</v>
      </c>
      <c r="R1701" s="2">
        <f t="shared" si="240"/>
        <v>27593.5</v>
      </c>
      <c r="S1701" s="2" t="str">
        <f t="shared" si="241"/>
        <v xml:space="preserve"> Not Achieved</v>
      </c>
      <c r="T1701" s="2" t="str">
        <f t="shared" si="242"/>
        <v>Good</v>
      </c>
      <c r="U1701" s="2"/>
    </row>
    <row r="1702" spans="1:21" x14ac:dyDescent="0.3">
      <c r="A1702">
        <v>1701</v>
      </c>
      <c r="B1702" t="s">
        <v>2494</v>
      </c>
      <c r="C1702" t="str">
        <f t="shared" si="234"/>
        <v>EMP_1701</v>
      </c>
      <c r="D1702" t="s">
        <v>11</v>
      </c>
      <c r="E1702" t="str">
        <f t="shared" si="235"/>
        <v>EMP_1701HR</v>
      </c>
      <c r="F1702" t="s">
        <v>12</v>
      </c>
      <c r="G1702" t="s">
        <v>16</v>
      </c>
      <c r="H1702">
        <v>65229</v>
      </c>
      <c r="I1702">
        <v>5650</v>
      </c>
      <c r="J1702">
        <v>0</v>
      </c>
      <c r="K1702">
        <v>0</v>
      </c>
      <c r="L1702" s="4">
        <v>44906</v>
      </c>
      <c r="M1702" s="4" t="str">
        <f t="shared" si="236"/>
        <v>2022</v>
      </c>
      <c r="N1702" s="1">
        <f t="shared" ca="1" si="237"/>
        <v>46064</v>
      </c>
      <c r="O1702" s="6">
        <f t="shared" ca="1" si="238"/>
        <v>3</v>
      </c>
      <c r="P1702">
        <v>1</v>
      </c>
      <c r="Q1702">
        <f t="shared" si="239"/>
        <v>70879</v>
      </c>
      <c r="R1702" s="2">
        <f t="shared" si="240"/>
        <v>35439.5</v>
      </c>
      <c r="S1702" s="2" t="str">
        <f t="shared" si="241"/>
        <v xml:space="preserve"> Not Achieved</v>
      </c>
      <c r="T1702" s="2" t="str">
        <f t="shared" si="242"/>
        <v xml:space="preserve"> Excellent</v>
      </c>
      <c r="U1702" s="2"/>
    </row>
    <row r="1703" spans="1:21" x14ac:dyDescent="0.3">
      <c r="A1703">
        <v>1702</v>
      </c>
      <c r="B1703" t="s">
        <v>2495</v>
      </c>
      <c r="C1703" t="str">
        <f t="shared" si="234"/>
        <v>EMP_1702</v>
      </c>
      <c r="D1703" t="s">
        <v>11</v>
      </c>
      <c r="E1703" t="str">
        <f t="shared" si="235"/>
        <v>EMP_1702HR</v>
      </c>
      <c r="F1703" t="s">
        <v>12</v>
      </c>
      <c r="G1703" t="s">
        <v>22</v>
      </c>
      <c r="H1703">
        <v>28231</v>
      </c>
      <c r="I1703">
        <v>12803</v>
      </c>
      <c r="J1703">
        <v>0</v>
      </c>
      <c r="K1703">
        <v>0</v>
      </c>
      <c r="L1703" s="4" t="s">
        <v>2496</v>
      </c>
      <c r="M1703" s="4" t="str">
        <f t="shared" si="236"/>
        <v>6/14/2019</v>
      </c>
      <c r="N1703" s="1">
        <f t="shared" ca="1" si="237"/>
        <v>46064</v>
      </c>
      <c r="O1703" s="6" t="e">
        <f t="shared" ca="1" si="238"/>
        <v>#VALUE!</v>
      </c>
      <c r="P1703">
        <v>4</v>
      </c>
      <c r="Q1703">
        <f t="shared" si="239"/>
        <v>41034</v>
      </c>
      <c r="R1703" s="2">
        <f t="shared" si="240"/>
        <v>20517</v>
      </c>
      <c r="S1703" s="2" t="str">
        <f t="shared" si="241"/>
        <v xml:space="preserve"> Not Achieved</v>
      </c>
      <c r="T1703" s="2" t="str">
        <f t="shared" si="242"/>
        <v>poor</v>
      </c>
      <c r="U1703" s="2"/>
    </row>
    <row r="1704" spans="1:21" x14ac:dyDescent="0.3">
      <c r="A1704">
        <v>1703</v>
      </c>
      <c r="B1704" t="s">
        <v>2497</v>
      </c>
      <c r="C1704" t="str">
        <f t="shared" si="234"/>
        <v>EMP_1703</v>
      </c>
      <c r="D1704" t="s">
        <v>11</v>
      </c>
      <c r="E1704" t="str">
        <f t="shared" si="235"/>
        <v>EMP_1703Sales</v>
      </c>
      <c r="F1704" t="s">
        <v>7</v>
      </c>
      <c r="G1704" t="s">
        <v>13</v>
      </c>
      <c r="H1704">
        <v>52314</v>
      </c>
      <c r="I1704">
        <v>13974</v>
      </c>
      <c r="J1704">
        <v>155915</v>
      </c>
      <c r="K1704">
        <v>121513</v>
      </c>
      <c r="L1704" s="4">
        <v>44745</v>
      </c>
      <c r="M1704" s="4" t="str">
        <f t="shared" si="236"/>
        <v>2022</v>
      </c>
      <c r="N1704" s="1">
        <f t="shared" ca="1" si="237"/>
        <v>46064</v>
      </c>
      <c r="O1704" s="6">
        <f t="shared" ca="1" si="238"/>
        <v>3</v>
      </c>
      <c r="P1704">
        <v>1</v>
      </c>
      <c r="Q1704">
        <f t="shared" si="239"/>
        <v>66288</v>
      </c>
      <c r="R1704" s="2">
        <f t="shared" si="240"/>
        <v>33144</v>
      </c>
      <c r="S1704" s="2" t="str">
        <f t="shared" si="241"/>
        <v>Achieved</v>
      </c>
      <c r="T1704" s="2" t="str">
        <f t="shared" si="242"/>
        <v xml:space="preserve"> Excellent</v>
      </c>
      <c r="U1704" s="2"/>
    </row>
    <row r="1705" spans="1:21" x14ac:dyDescent="0.3">
      <c r="A1705">
        <v>1704</v>
      </c>
      <c r="B1705" t="s">
        <v>2498</v>
      </c>
      <c r="C1705" t="str">
        <f t="shared" si="234"/>
        <v>EMP_1704</v>
      </c>
      <c r="D1705" t="s">
        <v>15</v>
      </c>
      <c r="E1705" t="str">
        <f t="shared" si="235"/>
        <v>EMP_1704Finance</v>
      </c>
      <c r="F1705" t="s">
        <v>18</v>
      </c>
      <c r="G1705" t="s">
        <v>13</v>
      </c>
      <c r="H1705">
        <v>24785</v>
      </c>
      <c r="I1705">
        <v>6458</v>
      </c>
      <c r="J1705">
        <v>0</v>
      </c>
      <c r="K1705">
        <v>0</v>
      </c>
      <c r="L1705" s="4" t="s">
        <v>2499</v>
      </c>
      <c r="M1705" s="4" t="str">
        <f t="shared" si="236"/>
        <v>7/27/2018</v>
      </c>
      <c r="N1705" s="1">
        <f t="shared" ca="1" si="237"/>
        <v>46064</v>
      </c>
      <c r="O1705" s="6" t="e">
        <f t="shared" ca="1" si="238"/>
        <v>#VALUE!</v>
      </c>
      <c r="P1705">
        <v>2</v>
      </c>
      <c r="Q1705">
        <f t="shared" si="239"/>
        <v>31243</v>
      </c>
      <c r="R1705" s="2">
        <f t="shared" si="240"/>
        <v>15621.5</v>
      </c>
      <c r="S1705" s="2" t="str">
        <f t="shared" si="241"/>
        <v xml:space="preserve"> Not Achieved</v>
      </c>
      <c r="T1705" s="2" t="str">
        <f t="shared" si="242"/>
        <v>poor</v>
      </c>
      <c r="U1705" s="2"/>
    </row>
    <row r="1706" spans="1:21" x14ac:dyDescent="0.3">
      <c r="A1706">
        <v>1705</v>
      </c>
      <c r="B1706" t="s">
        <v>2500</v>
      </c>
      <c r="C1706" t="str">
        <f t="shared" si="234"/>
        <v>EMP_1705</v>
      </c>
      <c r="D1706" t="s">
        <v>15</v>
      </c>
      <c r="E1706" t="str">
        <f t="shared" si="235"/>
        <v>EMP_1705Marketing</v>
      </c>
      <c r="F1706" t="s">
        <v>24</v>
      </c>
      <c r="G1706" t="s">
        <v>25</v>
      </c>
      <c r="H1706">
        <v>76200</v>
      </c>
      <c r="I1706">
        <v>3042</v>
      </c>
      <c r="J1706">
        <v>0</v>
      </c>
      <c r="K1706">
        <v>0</v>
      </c>
      <c r="L1706" s="4" t="s">
        <v>2501</v>
      </c>
      <c r="M1706" s="4" t="str">
        <f t="shared" si="236"/>
        <v>8/20/2022</v>
      </c>
      <c r="N1706" s="1">
        <f t="shared" ca="1" si="237"/>
        <v>46064</v>
      </c>
      <c r="O1706" s="6" t="e">
        <f t="shared" ca="1" si="238"/>
        <v>#VALUE!</v>
      </c>
      <c r="P1706">
        <v>1</v>
      </c>
      <c r="Q1706">
        <f t="shared" si="239"/>
        <v>79242</v>
      </c>
      <c r="R1706" s="2">
        <f t="shared" si="240"/>
        <v>39621</v>
      </c>
      <c r="S1706" s="2" t="str">
        <f t="shared" si="241"/>
        <v xml:space="preserve"> Not Achieved</v>
      </c>
      <c r="T1706" s="2" t="str">
        <f t="shared" si="242"/>
        <v xml:space="preserve"> Excellent</v>
      </c>
      <c r="U1706" s="2"/>
    </row>
    <row r="1707" spans="1:21" x14ac:dyDescent="0.3">
      <c r="A1707">
        <v>1706</v>
      </c>
      <c r="B1707" t="s">
        <v>2502</v>
      </c>
      <c r="C1707" t="str">
        <f t="shared" si="234"/>
        <v>EMP_1706</v>
      </c>
      <c r="D1707" t="s">
        <v>15</v>
      </c>
      <c r="E1707" t="str">
        <f t="shared" si="235"/>
        <v>EMP_1706Finance</v>
      </c>
      <c r="F1707" t="s">
        <v>18</v>
      </c>
      <c r="G1707" t="s">
        <v>16</v>
      </c>
      <c r="H1707">
        <v>67825</v>
      </c>
      <c r="I1707">
        <v>4359</v>
      </c>
      <c r="J1707">
        <v>0</v>
      </c>
      <c r="K1707">
        <v>0</v>
      </c>
      <c r="L1707" s="4" t="s">
        <v>820</v>
      </c>
      <c r="M1707" s="4" t="str">
        <f t="shared" si="236"/>
        <v>6/27/2024</v>
      </c>
      <c r="N1707" s="1">
        <f t="shared" ca="1" si="237"/>
        <v>46064</v>
      </c>
      <c r="O1707" s="6" t="e">
        <f t="shared" ca="1" si="238"/>
        <v>#VALUE!</v>
      </c>
      <c r="P1707">
        <v>1</v>
      </c>
      <c r="Q1707">
        <f t="shared" si="239"/>
        <v>72184</v>
      </c>
      <c r="R1707" s="2">
        <f t="shared" si="240"/>
        <v>36092</v>
      </c>
      <c r="S1707" s="2" t="str">
        <f t="shared" si="241"/>
        <v xml:space="preserve"> Not Achieved</v>
      </c>
      <c r="T1707" s="2" t="str">
        <f t="shared" si="242"/>
        <v xml:space="preserve"> Excellent</v>
      </c>
      <c r="U1707" s="2"/>
    </row>
    <row r="1708" spans="1:21" x14ac:dyDescent="0.3">
      <c r="A1708">
        <v>1707</v>
      </c>
      <c r="B1708" t="s">
        <v>2503</v>
      </c>
      <c r="C1708" t="str">
        <f t="shared" si="234"/>
        <v>EMP_1707</v>
      </c>
      <c r="D1708" t="s">
        <v>11</v>
      </c>
      <c r="E1708" t="str">
        <f t="shared" si="235"/>
        <v>EMP_1707Sales</v>
      </c>
      <c r="F1708" t="s">
        <v>7</v>
      </c>
      <c r="G1708" t="s">
        <v>19</v>
      </c>
      <c r="H1708">
        <v>65139</v>
      </c>
      <c r="I1708">
        <v>12440</v>
      </c>
      <c r="J1708">
        <v>163636</v>
      </c>
      <c r="K1708">
        <v>241708</v>
      </c>
      <c r="L1708" s="4" t="s">
        <v>1845</v>
      </c>
      <c r="M1708" s="4" t="str">
        <f t="shared" si="236"/>
        <v>6/14/2020</v>
      </c>
      <c r="N1708" s="1">
        <f t="shared" ca="1" si="237"/>
        <v>46064</v>
      </c>
      <c r="O1708" s="6" t="e">
        <f t="shared" ca="1" si="238"/>
        <v>#VALUE!</v>
      </c>
      <c r="P1708">
        <v>1</v>
      </c>
      <c r="Q1708">
        <f t="shared" si="239"/>
        <v>77579</v>
      </c>
      <c r="R1708" s="2">
        <f t="shared" si="240"/>
        <v>38789.5</v>
      </c>
      <c r="S1708" s="2" t="str">
        <f t="shared" si="241"/>
        <v xml:space="preserve"> Not Achieved</v>
      </c>
      <c r="T1708" s="2" t="str">
        <f t="shared" si="242"/>
        <v xml:space="preserve"> Excellent</v>
      </c>
      <c r="U1708" s="2"/>
    </row>
    <row r="1709" spans="1:21" x14ac:dyDescent="0.3">
      <c r="A1709">
        <v>1708</v>
      </c>
      <c r="B1709" t="s">
        <v>2504</v>
      </c>
      <c r="C1709" t="str">
        <f t="shared" si="234"/>
        <v>EMP_1708</v>
      </c>
      <c r="D1709" t="s">
        <v>11</v>
      </c>
      <c r="E1709" t="str">
        <f t="shared" si="235"/>
        <v>EMP_1708Finance</v>
      </c>
      <c r="F1709" t="s">
        <v>18</v>
      </c>
      <c r="G1709" t="s">
        <v>19</v>
      </c>
      <c r="H1709">
        <v>46320</v>
      </c>
      <c r="I1709">
        <v>6924</v>
      </c>
      <c r="J1709">
        <v>0</v>
      </c>
      <c r="K1709">
        <v>0</v>
      </c>
      <c r="L1709" s="4" t="s">
        <v>343</v>
      </c>
      <c r="M1709" s="4" t="str">
        <f t="shared" si="236"/>
        <v>6/19/2020</v>
      </c>
      <c r="N1709" s="1">
        <f t="shared" ca="1" si="237"/>
        <v>46064</v>
      </c>
      <c r="O1709" s="6" t="e">
        <f t="shared" ca="1" si="238"/>
        <v>#VALUE!</v>
      </c>
      <c r="P1709">
        <v>4</v>
      </c>
      <c r="Q1709">
        <f t="shared" si="239"/>
        <v>53244</v>
      </c>
      <c r="R1709" s="2">
        <f t="shared" si="240"/>
        <v>26622</v>
      </c>
      <c r="S1709" s="2" t="str">
        <f t="shared" si="241"/>
        <v xml:space="preserve"> Not Achieved</v>
      </c>
      <c r="T1709" s="2" t="str">
        <f t="shared" si="242"/>
        <v>Good</v>
      </c>
      <c r="U1709" s="2"/>
    </row>
    <row r="1710" spans="1:21" x14ac:dyDescent="0.3">
      <c r="A1710">
        <v>1709</v>
      </c>
      <c r="B1710" t="s">
        <v>2505</v>
      </c>
      <c r="C1710" t="str">
        <f t="shared" si="234"/>
        <v>EMP_1709</v>
      </c>
      <c r="D1710" t="s">
        <v>11</v>
      </c>
      <c r="E1710" t="str">
        <f t="shared" si="235"/>
        <v>EMP_1709Finance</v>
      </c>
      <c r="F1710" t="s">
        <v>18</v>
      </c>
      <c r="G1710" t="s">
        <v>19</v>
      </c>
      <c r="H1710">
        <v>58081</v>
      </c>
      <c r="I1710">
        <v>10013</v>
      </c>
      <c r="J1710">
        <v>0</v>
      </c>
      <c r="K1710">
        <v>0</v>
      </c>
      <c r="L1710" s="4" t="s">
        <v>2506</v>
      </c>
      <c r="M1710" s="4" t="str">
        <f t="shared" si="236"/>
        <v>6/15/2020</v>
      </c>
      <c r="N1710" s="1">
        <f t="shared" ca="1" si="237"/>
        <v>46064</v>
      </c>
      <c r="O1710" s="6" t="e">
        <f t="shared" ca="1" si="238"/>
        <v>#VALUE!</v>
      </c>
      <c r="P1710">
        <v>5</v>
      </c>
      <c r="Q1710">
        <f t="shared" si="239"/>
        <v>68094</v>
      </c>
      <c r="R1710" s="2">
        <f t="shared" si="240"/>
        <v>34047</v>
      </c>
      <c r="S1710" s="2" t="str">
        <f t="shared" si="241"/>
        <v xml:space="preserve"> Not Achieved</v>
      </c>
      <c r="T1710" s="2" t="str">
        <f t="shared" si="242"/>
        <v xml:space="preserve"> Excellent</v>
      </c>
      <c r="U1710" s="2"/>
    </row>
    <row r="1711" spans="1:21" x14ac:dyDescent="0.3">
      <c r="A1711">
        <v>1710</v>
      </c>
      <c r="B1711" t="s">
        <v>2507</v>
      </c>
      <c r="C1711" t="str">
        <f t="shared" si="234"/>
        <v>EMP_1710</v>
      </c>
      <c r="D1711" t="s">
        <v>11</v>
      </c>
      <c r="E1711" t="str">
        <f t="shared" si="235"/>
        <v>EMP_1710Marketing</v>
      </c>
      <c r="F1711" t="s">
        <v>24</v>
      </c>
      <c r="G1711" t="s">
        <v>19</v>
      </c>
      <c r="H1711">
        <v>54285</v>
      </c>
      <c r="I1711">
        <v>3036</v>
      </c>
      <c r="J1711">
        <v>0</v>
      </c>
      <c r="K1711">
        <v>0</v>
      </c>
      <c r="L1711" s="4" t="s">
        <v>2508</v>
      </c>
      <c r="M1711" s="4" t="str">
        <f t="shared" si="236"/>
        <v>9/15/2020</v>
      </c>
      <c r="N1711" s="1">
        <f t="shared" ca="1" si="237"/>
        <v>46064</v>
      </c>
      <c r="O1711" s="6" t="e">
        <f t="shared" ca="1" si="238"/>
        <v>#VALUE!</v>
      </c>
      <c r="P1711">
        <v>2</v>
      </c>
      <c r="Q1711">
        <f t="shared" si="239"/>
        <v>57321</v>
      </c>
      <c r="R1711" s="2">
        <f t="shared" si="240"/>
        <v>28660.5</v>
      </c>
      <c r="S1711" s="2" t="str">
        <f t="shared" si="241"/>
        <v xml:space="preserve"> Not Achieved</v>
      </c>
      <c r="T1711" s="2" t="str">
        <f t="shared" si="242"/>
        <v xml:space="preserve"> Excellent</v>
      </c>
      <c r="U1711" s="2"/>
    </row>
    <row r="1712" spans="1:21" x14ac:dyDescent="0.3">
      <c r="A1712">
        <v>1711</v>
      </c>
      <c r="B1712" t="s">
        <v>2509</v>
      </c>
      <c r="C1712" t="str">
        <f t="shared" si="234"/>
        <v>EMP_1711</v>
      </c>
      <c r="D1712" t="s">
        <v>11</v>
      </c>
      <c r="E1712" t="str">
        <f t="shared" si="235"/>
        <v>EMP_1711Marketing</v>
      </c>
      <c r="F1712" t="s">
        <v>24</v>
      </c>
      <c r="G1712" t="s">
        <v>16</v>
      </c>
      <c r="H1712">
        <v>38279</v>
      </c>
      <c r="I1712">
        <v>13716</v>
      </c>
      <c r="J1712">
        <v>0</v>
      </c>
      <c r="K1712">
        <v>0</v>
      </c>
      <c r="L1712" s="4" t="s">
        <v>829</v>
      </c>
      <c r="M1712" s="4" t="str">
        <f t="shared" si="236"/>
        <v>6/18/2020</v>
      </c>
      <c r="N1712" s="1">
        <f t="shared" ca="1" si="237"/>
        <v>46064</v>
      </c>
      <c r="O1712" s="6" t="e">
        <f t="shared" ca="1" si="238"/>
        <v>#VALUE!</v>
      </c>
      <c r="P1712">
        <v>2</v>
      </c>
      <c r="Q1712">
        <f t="shared" si="239"/>
        <v>51995</v>
      </c>
      <c r="R1712" s="2">
        <f t="shared" si="240"/>
        <v>25997.5</v>
      </c>
      <c r="S1712" s="2" t="str">
        <f t="shared" si="241"/>
        <v xml:space="preserve"> Not Achieved</v>
      </c>
      <c r="T1712" s="2" t="str">
        <f t="shared" si="242"/>
        <v>Average</v>
      </c>
      <c r="U1712" s="2"/>
    </row>
    <row r="1713" spans="1:21" x14ac:dyDescent="0.3">
      <c r="A1713">
        <v>1712</v>
      </c>
      <c r="B1713" t="s">
        <v>2510</v>
      </c>
      <c r="C1713" t="str">
        <f t="shared" si="234"/>
        <v>EMP_1712</v>
      </c>
      <c r="D1713" t="s">
        <v>11</v>
      </c>
      <c r="E1713" t="str">
        <f t="shared" si="235"/>
        <v>EMP_1712HR</v>
      </c>
      <c r="F1713" t="s">
        <v>12</v>
      </c>
      <c r="G1713" t="s">
        <v>16</v>
      </c>
      <c r="H1713">
        <v>20305</v>
      </c>
      <c r="I1713">
        <v>12504</v>
      </c>
      <c r="J1713">
        <v>0</v>
      </c>
      <c r="K1713">
        <v>0</v>
      </c>
      <c r="L1713" s="4">
        <v>43712</v>
      </c>
      <c r="M1713" s="4" t="str">
        <f t="shared" si="236"/>
        <v>2019</v>
      </c>
      <c r="N1713" s="1">
        <f t="shared" ca="1" si="237"/>
        <v>46064</v>
      </c>
      <c r="O1713" s="6">
        <f t="shared" ca="1" si="238"/>
        <v>6</v>
      </c>
      <c r="P1713">
        <v>1</v>
      </c>
      <c r="Q1713">
        <f t="shared" si="239"/>
        <v>32809</v>
      </c>
      <c r="R1713" s="2">
        <f t="shared" si="240"/>
        <v>16404.5</v>
      </c>
      <c r="S1713" s="2" t="str">
        <f t="shared" si="241"/>
        <v xml:space="preserve"> Not Achieved</v>
      </c>
      <c r="T1713" s="2" t="str">
        <f t="shared" si="242"/>
        <v>poor</v>
      </c>
      <c r="U1713" s="2"/>
    </row>
    <row r="1714" spans="1:21" x14ac:dyDescent="0.3">
      <c r="A1714">
        <v>1713</v>
      </c>
      <c r="B1714" t="s">
        <v>2511</v>
      </c>
      <c r="C1714" t="str">
        <f t="shared" si="234"/>
        <v>EMP_1713</v>
      </c>
      <c r="D1714" t="s">
        <v>11</v>
      </c>
      <c r="E1714" t="str">
        <f t="shared" si="235"/>
        <v>EMP_1713Marketing</v>
      </c>
      <c r="F1714" t="s">
        <v>24</v>
      </c>
      <c r="G1714" t="s">
        <v>25</v>
      </c>
      <c r="H1714">
        <v>30489</v>
      </c>
      <c r="I1714">
        <v>12668</v>
      </c>
      <c r="J1714">
        <v>0</v>
      </c>
      <c r="K1714">
        <v>0</v>
      </c>
      <c r="L1714" s="4" t="s">
        <v>2512</v>
      </c>
      <c r="M1714" s="4" t="str">
        <f t="shared" si="236"/>
        <v>10/17/2024</v>
      </c>
      <c r="N1714" s="1">
        <f t="shared" ca="1" si="237"/>
        <v>46064</v>
      </c>
      <c r="O1714" s="6" t="e">
        <f t="shared" ca="1" si="238"/>
        <v>#VALUE!</v>
      </c>
      <c r="P1714">
        <v>1</v>
      </c>
      <c r="Q1714">
        <f t="shared" si="239"/>
        <v>43157</v>
      </c>
      <c r="R1714" s="2">
        <f t="shared" si="240"/>
        <v>21578.5</v>
      </c>
      <c r="S1714" s="2" t="str">
        <f t="shared" si="241"/>
        <v xml:space="preserve"> Not Achieved</v>
      </c>
      <c r="T1714" s="2" t="str">
        <f t="shared" si="242"/>
        <v>Average</v>
      </c>
      <c r="U1714" s="2"/>
    </row>
    <row r="1715" spans="1:21" x14ac:dyDescent="0.3">
      <c r="A1715">
        <v>1714</v>
      </c>
      <c r="B1715" t="s">
        <v>2513</v>
      </c>
      <c r="C1715" t="str">
        <f t="shared" si="234"/>
        <v>EMP_1714</v>
      </c>
      <c r="D1715" t="s">
        <v>15</v>
      </c>
      <c r="E1715" t="str">
        <f t="shared" si="235"/>
        <v>EMP_1714HR</v>
      </c>
      <c r="F1715" t="s">
        <v>12</v>
      </c>
      <c r="G1715" t="s">
        <v>13</v>
      </c>
      <c r="H1715">
        <v>40617</v>
      </c>
      <c r="I1715">
        <v>8731</v>
      </c>
      <c r="J1715">
        <v>0</v>
      </c>
      <c r="K1715">
        <v>0</v>
      </c>
      <c r="L1715" s="4" t="s">
        <v>1305</v>
      </c>
      <c r="M1715" s="4" t="str">
        <f t="shared" si="236"/>
        <v>5/15/2021</v>
      </c>
      <c r="N1715" s="1">
        <f t="shared" ca="1" si="237"/>
        <v>46064</v>
      </c>
      <c r="O1715" s="6" t="e">
        <f t="shared" ca="1" si="238"/>
        <v>#VALUE!</v>
      </c>
      <c r="P1715">
        <v>3</v>
      </c>
      <c r="Q1715">
        <f t="shared" si="239"/>
        <v>49348</v>
      </c>
      <c r="R1715" s="2">
        <f t="shared" si="240"/>
        <v>24674</v>
      </c>
      <c r="S1715" s="2" t="str">
        <f t="shared" si="241"/>
        <v xml:space="preserve"> Not Achieved</v>
      </c>
      <c r="T1715" s="2" t="str">
        <f t="shared" si="242"/>
        <v>Good</v>
      </c>
      <c r="U1715" s="2"/>
    </row>
    <row r="1716" spans="1:21" x14ac:dyDescent="0.3">
      <c r="A1716">
        <v>1715</v>
      </c>
      <c r="B1716" t="s">
        <v>2514</v>
      </c>
      <c r="C1716" t="str">
        <f t="shared" si="234"/>
        <v>EMP_1715</v>
      </c>
      <c r="D1716" t="s">
        <v>15</v>
      </c>
      <c r="E1716" t="str">
        <f t="shared" si="235"/>
        <v>EMP_1715HR</v>
      </c>
      <c r="F1716" t="s">
        <v>12</v>
      </c>
      <c r="G1716" t="s">
        <v>13</v>
      </c>
      <c r="H1716">
        <v>48638</v>
      </c>
      <c r="I1716">
        <v>2049</v>
      </c>
      <c r="J1716">
        <v>0</v>
      </c>
      <c r="K1716">
        <v>0</v>
      </c>
      <c r="L1716" s="4" t="s">
        <v>2515</v>
      </c>
      <c r="M1716" s="4" t="str">
        <f t="shared" si="236"/>
        <v>4/17/2018</v>
      </c>
      <c r="N1716" s="1">
        <f t="shared" ca="1" si="237"/>
        <v>46064</v>
      </c>
      <c r="O1716" s="6" t="e">
        <f t="shared" ca="1" si="238"/>
        <v>#VALUE!</v>
      </c>
      <c r="P1716">
        <v>2</v>
      </c>
      <c r="Q1716">
        <f t="shared" si="239"/>
        <v>50687</v>
      </c>
      <c r="R1716" s="2">
        <f t="shared" si="240"/>
        <v>25343.5</v>
      </c>
      <c r="S1716" s="2" t="str">
        <f t="shared" si="241"/>
        <v xml:space="preserve"> Not Achieved</v>
      </c>
      <c r="T1716" s="2" t="str">
        <f t="shared" si="242"/>
        <v>Good</v>
      </c>
      <c r="U1716" s="2"/>
    </row>
    <row r="1717" spans="1:21" x14ac:dyDescent="0.3">
      <c r="A1717">
        <v>1716</v>
      </c>
      <c r="B1717" t="s">
        <v>2516</v>
      </c>
      <c r="C1717" t="str">
        <f t="shared" si="234"/>
        <v>EMP_1716</v>
      </c>
      <c r="D1717" t="s">
        <v>15</v>
      </c>
      <c r="E1717" t="str">
        <f t="shared" si="235"/>
        <v>EMP_1716HR</v>
      </c>
      <c r="F1717" t="s">
        <v>12</v>
      </c>
      <c r="G1717" t="s">
        <v>13</v>
      </c>
      <c r="H1717">
        <v>79718</v>
      </c>
      <c r="I1717">
        <v>6657</v>
      </c>
      <c r="J1717">
        <v>0</v>
      </c>
      <c r="K1717">
        <v>0</v>
      </c>
      <c r="L1717" s="4" t="s">
        <v>1757</v>
      </c>
      <c r="M1717" s="4" t="str">
        <f t="shared" si="236"/>
        <v>8/14/2018</v>
      </c>
      <c r="N1717" s="1">
        <f t="shared" ca="1" si="237"/>
        <v>46064</v>
      </c>
      <c r="O1717" s="6" t="e">
        <f t="shared" ca="1" si="238"/>
        <v>#VALUE!</v>
      </c>
      <c r="P1717">
        <v>2</v>
      </c>
      <c r="Q1717">
        <f t="shared" si="239"/>
        <v>86375</v>
      </c>
      <c r="R1717" s="2">
        <f t="shared" si="240"/>
        <v>43187.5</v>
      </c>
      <c r="S1717" s="2" t="str">
        <f t="shared" si="241"/>
        <v xml:space="preserve"> Not Achieved</v>
      </c>
      <c r="T1717" s="2" t="str">
        <f t="shared" si="242"/>
        <v xml:space="preserve"> Excellent</v>
      </c>
      <c r="U1717" s="2"/>
    </row>
    <row r="1718" spans="1:21" x14ac:dyDescent="0.3">
      <c r="A1718">
        <v>1717</v>
      </c>
      <c r="B1718" t="s">
        <v>2517</v>
      </c>
      <c r="C1718" t="str">
        <f t="shared" si="234"/>
        <v>EMP_1717</v>
      </c>
      <c r="D1718" t="s">
        <v>11</v>
      </c>
      <c r="E1718" t="str">
        <f t="shared" si="235"/>
        <v>EMP_1717HR</v>
      </c>
      <c r="F1718" t="s">
        <v>12</v>
      </c>
      <c r="G1718" t="s">
        <v>25</v>
      </c>
      <c r="H1718">
        <v>71497</v>
      </c>
      <c r="I1718">
        <v>12424</v>
      </c>
      <c r="J1718">
        <v>0</v>
      </c>
      <c r="K1718">
        <v>0</v>
      </c>
      <c r="L1718" s="4" t="s">
        <v>1384</v>
      </c>
      <c r="M1718" s="4" t="str">
        <f t="shared" si="236"/>
        <v>1/16/2020</v>
      </c>
      <c r="N1718" s="1">
        <f t="shared" ca="1" si="237"/>
        <v>46064</v>
      </c>
      <c r="O1718" s="6" t="e">
        <f t="shared" ca="1" si="238"/>
        <v>#VALUE!</v>
      </c>
      <c r="P1718">
        <v>4</v>
      </c>
      <c r="Q1718">
        <f t="shared" si="239"/>
        <v>83921</v>
      </c>
      <c r="R1718" s="2">
        <f t="shared" si="240"/>
        <v>41960.5</v>
      </c>
      <c r="S1718" s="2" t="str">
        <f t="shared" si="241"/>
        <v xml:space="preserve"> Not Achieved</v>
      </c>
      <c r="T1718" s="2" t="str">
        <f t="shared" si="242"/>
        <v xml:space="preserve"> Excellent</v>
      </c>
      <c r="U1718" s="2"/>
    </row>
    <row r="1719" spans="1:21" x14ac:dyDescent="0.3">
      <c r="A1719">
        <v>1718</v>
      </c>
      <c r="B1719" t="s">
        <v>2518</v>
      </c>
      <c r="C1719" t="str">
        <f t="shared" si="234"/>
        <v>EMP_1718</v>
      </c>
      <c r="D1719" t="s">
        <v>15</v>
      </c>
      <c r="E1719" t="str">
        <f t="shared" si="235"/>
        <v>EMP_1718IT</v>
      </c>
      <c r="F1719" t="s">
        <v>21</v>
      </c>
      <c r="G1719" t="s">
        <v>22</v>
      </c>
      <c r="H1719">
        <v>53017</v>
      </c>
      <c r="I1719">
        <v>9794</v>
      </c>
      <c r="J1719">
        <v>0</v>
      </c>
      <c r="K1719">
        <v>0</v>
      </c>
      <c r="L1719" s="4" t="s">
        <v>2519</v>
      </c>
      <c r="M1719" s="4" t="str">
        <f t="shared" si="236"/>
        <v>5/24/2019</v>
      </c>
      <c r="N1719" s="1">
        <f t="shared" ca="1" si="237"/>
        <v>46064</v>
      </c>
      <c r="O1719" s="6" t="e">
        <f t="shared" ca="1" si="238"/>
        <v>#VALUE!</v>
      </c>
      <c r="P1719">
        <v>4</v>
      </c>
      <c r="Q1719">
        <f t="shared" si="239"/>
        <v>62811</v>
      </c>
      <c r="R1719" s="2">
        <f t="shared" si="240"/>
        <v>31405.5</v>
      </c>
      <c r="S1719" s="2" t="str">
        <f t="shared" si="241"/>
        <v xml:space="preserve"> Not Achieved</v>
      </c>
      <c r="T1719" s="2" t="str">
        <f t="shared" si="242"/>
        <v xml:space="preserve"> Excellent</v>
      </c>
      <c r="U1719" s="2"/>
    </row>
    <row r="1720" spans="1:21" x14ac:dyDescent="0.3">
      <c r="A1720">
        <v>1719</v>
      </c>
      <c r="B1720" t="s">
        <v>2520</v>
      </c>
      <c r="C1720" t="str">
        <f t="shared" si="234"/>
        <v>EMP_1719</v>
      </c>
      <c r="D1720" t="s">
        <v>15</v>
      </c>
      <c r="E1720" t="str">
        <f t="shared" si="235"/>
        <v>EMP_1719HR</v>
      </c>
      <c r="F1720" t="s">
        <v>12</v>
      </c>
      <c r="G1720" t="s">
        <v>22</v>
      </c>
      <c r="H1720">
        <v>72951</v>
      </c>
      <c r="I1720">
        <v>13654</v>
      </c>
      <c r="J1720">
        <v>0</v>
      </c>
      <c r="K1720">
        <v>0</v>
      </c>
      <c r="L1720" s="4" t="s">
        <v>2521</v>
      </c>
      <c r="M1720" s="4" t="str">
        <f t="shared" si="236"/>
        <v>6/19/2019</v>
      </c>
      <c r="N1720" s="1">
        <f t="shared" ca="1" si="237"/>
        <v>46064</v>
      </c>
      <c r="O1720" s="6" t="e">
        <f t="shared" ca="1" si="238"/>
        <v>#VALUE!</v>
      </c>
      <c r="P1720">
        <v>1</v>
      </c>
      <c r="Q1720">
        <f t="shared" si="239"/>
        <v>86605</v>
      </c>
      <c r="R1720" s="2">
        <f t="shared" si="240"/>
        <v>43302.5</v>
      </c>
      <c r="S1720" s="2" t="str">
        <f t="shared" si="241"/>
        <v xml:space="preserve"> Not Achieved</v>
      </c>
      <c r="T1720" s="2" t="str">
        <f t="shared" si="242"/>
        <v xml:space="preserve"> Excellent</v>
      </c>
      <c r="U1720" s="2"/>
    </row>
    <row r="1721" spans="1:21" x14ac:dyDescent="0.3">
      <c r="A1721">
        <v>1720</v>
      </c>
      <c r="B1721" t="s">
        <v>2522</v>
      </c>
      <c r="C1721" t="str">
        <f t="shared" si="234"/>
        <v>EMP_1720</v>
      </c>
      <c r="D1721" t="s">
        <v>11</v>
      </c>
      <c r="E1721" t="str">
        <f t="shared" si="235"/>
        <v>EMP_1720Marketing</v>
      </c>
      <c r="F1721" t="s">
        <v>24</v>
      </c>
      <c r="G1721" t="s">
        <v>16</v>
      </c>
      <c r="H1721">
        <v>78382</v>
      </c>
      <c r="I1721">
        <v>12787</v>
      </c>
      <c r="J1721">
        <v>0</v>
      </c>
      <c r="K1721">
        <v>0</v>
      </c>
      <c r="L1721" s="4">
        <v>44048</v>
      </c>
      <c r="M1721" s="4" t="str">
        <f t="shared" si="236"/>
        <v>2020</v>
      </c>
      <c r="N1721" s="1">
        <f t="shared" ca="1" si="237"/>
        <v>46064</v>
      </c>
      <c r="O1721" s="6">
        <f t="shared" ca="1" si="238"/>
        <v>5</v>
      </c>
      <c r="P1721">
        <v>2</v>
      </c>
      <c r="Q1721">
        <f t="shared" si="239"/>
        <v>91169</v>
      </c>
      <c r="R1721" s="2">
        <f t="shared" si="240"/>
        <v>45584.5</v>
      </c>
      <c r="S1721" s="2" t="str">
        <f t="shared" si="241"/>
        <v xml:space="preserve"> Not Achieved</v>
      </c>
      <c r="T1721" s="2" t="str">
        <f t="shared" si="242"/>
        <v xml:space="preserve"> Excellent</v>
      </c>
      <c r="U1721" s="2"/>
    </row>
    <row r="1722" spans="1:21" x14ac:dyDescent="0.3">
      <c r="A1722">
        <v>1721</v>
      </c>
      <c r="B1722" t="s">
        <v>2523</v>
      </c>
      <c r="C1722" t="str">
        <f t="shared" si="234"/>
        <v>EMP_1721</v>
      </c>
      <c r="D1722" t="s">
        <v>11</v>
      </c>
      <c r="E1722" t="str">
        <f t="shared" si="235"/>
        <v>EMP_1721Marketing</v>
      </c>
      <c r="F1722" t="s">
        <v>24</v>
      </c>
      <c r="G1722" t="s">
        <v>25</v>
      </c>
      <c r="H1722">
        <v>20529</v>
      </c>
      <c r="I1722">
        <v>13664</v>
      </c>
      <c r="J1722">
        <v>0</v>
      </c>
      <c r="K1722">
        <v>0</v>
      </c>
      <c r="L1722" s="4">
        <v>45359</v>
      </c>
      <c r="M1722" s="4" t="str">
        <f t="shared" si="236"/>
        <v>2024</v>
      </c>
      <c r="N1722" s="1">
        <f t="shared" ca="1" si="237"/>
        <v>46064</v>
      </c>
      <c r="O1722" s="6">
        <f t="shared" ca="1" si="238"/>
        <v>1</v>
      </c>
      <c r="P1722">
        <v>5</v>
      </c>
      <c r="Q1722">
        <f t="shared" si="239"/>
        <v>34193</v>
      </c>
      <c r="R1722" s="2">
        <f t="shared" si="240"/>
        <v>17096.5</v>
      </c>
      <c r="S1722" s="2" t="str">
        <f t="shared" si="241"/>
        <v xml:space="preserve"> Not Achieved</v>
      </c>
      <c r="T1722" s="2" t="str">
        <f t="shared" si="242"/>
        <v>poor</v>
      </c>
      <c r="U1722" s="2"/>
    </row>
    <row r="1723" spans="1:21" x14ac:dyDescent="0.3">
      <c r="A1723">
        <v>1722</v>
      </c>
      <c r="B1723" t="s">
        <v>2524</v>
      </c>
      <c r="C1723" t="str">
        <f t="shared" si="234"/>
        <v>EMP_1722</v>
      </c>
      <c r="D1723" t="s">
        <v>11</v>
      </c>
      <c r="E1723" t="str">
        <f t="shared" si="235"/>
        <v>EMP_1722IT</v>
      </c>
      <c r="F1723" t="s">
        <v>21</v>
      </c>
      <c r="G1723" t="s">
        <v>13</v>
      </c>
      <c r="H1723">
        <v>61125</v>
      </c>
      <c r="I1723">
        <v>3372</v>
      </c>
      <c r="J1723">
        <v>0</v>
      </c>
      <c r="K1723">
        <v>0</v>
      </c>
      <c r="L1723" s="4" t="s">
        <v>2525</v>
      </c>
      <c r="M1723" s="4" t="str">
        <f t="shared" si="236"/>
        <v>11/22/2024</v>
      </c>
      <c r="N1723" s="1">
        <f t="shared" ca="1" si="237"/>
        <v>46064</v>
      </c>
      <c r="O1723" s="6" t="e">
        <f t="shared" ca="1" si="238"/>
        <v>#VALUE!</v>
      </c>
      <c r="P1723">
        <v>5</v>
      </c>
      <c r="Q1723">
        <f t="shared" si="239"/>
        <v>64497</v>
      </c>
      <c r="R1723" s="2">
        <f t="shared" si="240"/>
        <v>32248.5</v>
      </c>
      <c r="S1723" s="2" t="str">
        <f t="shared" si="241"/>
        <v xml:space="preserve"> Not Achieved</v>
      </c>
      <c r="T1723" s="2" t="str">
        <f t="shared" si="242"/>
        <v xml:space="preserve"> Excellent</v>
      </c>
      <c r="U1723" s="2"/>
    </row>
    <row r="1724" spans="1:21" x14ac:dyDescent="0.3">
      <c r="A1724">
        <v>1723</v>
      </c>
      <c r="B1724" t="s">
        <v>2526</v>
      </c>
      <c r="C1724" t="str">
        <f t="shared" si="234"/>
        <v>EMP_1723</v>
      </c>
      <c r="D1724" t="s">
        <v>11</v>
      </c>
      <c r="E1724" t="str">
        <f t="shared" si="235"/>
        <v>EMP_1723Sales</v>
      </c>
      <c r="F1724" t="s">
        <v>7</v>
      </c>
      <c r="G1724" t="s">
        <v>19</v>
      </c>
      <c r="H1724">
        <v>46984</v>
      </c>
      <c r="I1724">
        <v>10706</v>
      </c>
      <c r="J1724">
        <v>244919</v>
      </c>
      <c r="K1724">
        <v>238886</v>
      </c>
      <c r="L1724" s="4" t="s">
        <v>1894</v>
      </c>
      <c r="M1724" s="4" t="str">
        <f t="shared" si="236"/>
        <v>5/23/2018</v>
      </c>
      <c r="N1724" s="1">
        <f t="shared" ca="1" si="237"/>
        <v>46064</v>
      </c>
      <c r="O1724" s="6" t="e">
        <f t="shared" ca="1" si="238"/>
        <v>#VALUE!</v>
      </c>
      <c r="P1724">
        <v>2</v>
      </c>
      <c r="Q1724">
        <f t="shared" si="239"/>
        <v>57690</v>
      </c>
      <c r="R1724" s="2">
        <f t="shared" si="240"/>
        <v>28845</v>
      </c>
      <c r="S1724" s="2" t="str">
        <f t="shared" si="241"/>
        <v>Achieved</v>
      </c>
      <c r="T1724" s="2" t="str">
        <f t="shared" si="242"/>
        <v>Good</v>
      </c>
      <c r="U1724" s="2"/>
    </row>
    <row r="1725" spans="1:21" x14ac:dyDescent="0.3">
      <c r="A1725">
        <v>1724</v>
      </c>
      <c r="B1725" t="s">
        <v>2527</v>
      </c>
      <c r="C1725" t="str">
        <f t="shared" si="234"/>
        <v>EMP_1724</v>
      </c>
      <c r="D1725" t="s">
        <v>11</v>
      </c>
      <c r="E1725" t="str">
        <f t="shared" si="235"/>
        <v>EMP_1724Sales</v>
      </c>
      <c r="F1725" t="s">
        <v>7</v>
      </c>
      <c r="G1725" t="s">
        <v>22</v>
      </c>
      <c r="H1725">
        <v>63998</v>
      </c>
      <c r="I1725">
        <v>11596</v>
      </c>
      <c r="J1725">
        <v>128109</v>
      </c>
      <c r="K1725">
        <v>238133</v>
      </c>
      <c r="L1725" s="4" t="s">
        <v>501</v>
      </c>
      <c r="M1725" s="4" t="str">
        <f t="shared" si="236"/>
        <v>5/22/2018</v>
      </c>
      <c r="N1725" s="1">
        <f t="shared" ca="1" si="237"/>
        <v>46064</v>
      </c>
      <c r="O1725" s="6" t="e">
        <f t="shared" ca="1" si="238"/>
        <v>#VALUE!</v>
      </c>
      <c r="P1725">
        <v>3</v>
      </c>
      <c r="Q1725">
        <f t="shared" si="239"/>
        <v>75594</v>
      </c>
      <c r="R1725" s="2">
        <f t="shared" si="240"/>
        <v>37797</v>
      </c>
      <c r="S1725" s="2" t="str">
        <f t="shared" si="241"/>
        <v xml:space="preserve"> Not Achieved</v>
      </c>
      <c r="T1725" s="2" t="str">
        <f t="shared" si="242"/>
        <v xml:space="preserve"> Excellent</v>
      </c>
      <c r="U1725" s="2"/>
    </row>
    <row r="1726" spans="1:21" x14ac:dyDescent="0.3">
      <c r="A1726">
        <v>1725</v>
      </c>
      <c r="B1726" t="s">
        <v>2528</v>
      </c>
      <c r="C1726" t="str">
        <f t="shared" si="234"/>
        <v>EMP_1725</v>
      </c>
      <c r="D1726" t="s">
        <v>11</v>
      </c>
      <c r="E1726" t="str">
        <f t="shared" si="235"/>
        <v>EMP_1725Finance</v>
      </c>
      <c r="F1726" t="s">
        <v>18</v>
      </c>
      <c r="G1726" t="s">
        <v>22</v>
      </c>
      <c r="H1726">
        <v>28874</v>
      </c>
      <c r="I1726">
        <v>4644</v>
      </c>
      <c r="J1726">
        <v>0</v>
      </c>
      <c r="K1726">
        <v>0</v>
      </c>
      <c r="L1726" s="4" t="s">
        <v>2508</v>
      </c>
      <c r="M1726" s="4" t="str">
        <f t="shared" si="236"/>
        <v>9/15/2020</v>
      </c>
      <c r="N1726" s="1">
        <f t="shared" ca="1" si="237"/>
        <v>46064</v>
      </c>
      <c r="O1726" s="6" t="e">
        <f t="shared" ca="1" si="238"/>
        <v>#VALUE!</v>
      </c>
      <c r="P1726">
        <v>3</v>
      </c>
      <c r="Q1726">
        <f t="shared" si="239"/>
        <v>33518</v>
      </c>
      <c r="R1726" s="2">
        <f t="shared" si="240"/>
        <v>16759</v>
      </c>
      <c r="S1726" s="2" t="str">
        <f t="shared" si="241"/>
        <v xml:space="preserve"> Not Achieved</v>
      </c>
      <c r="T1726" s="2" t="str">
        <f t="shared" si="242"/>
        <v>poor</v>
      </c>
      <c r="U1726" s="2"/>
    </row>
    <row r="1727" spans="1:21" x14ac:dyDescent="0.3">
      <c r="A1727">
        <v>1726</v>
      </c>
      <c r="B1727" t="s">
        <v>2529</v>
      </c>
      <c r="C1727" t="str">
        <f t="shared" si="234"/>
        <v>EMP_1726</v>
      </c>
      <c r="D1727" t="s">
        <v>15</v>
      </c>
      <c r="E1727" t="str">
        <f t="shared" si="235"/>
        <v>EMP_1726IT</v>
      </c>
      <c r="F1727" t="s">
        <v>21</v>
      </c>
      <c r="G1727" t="s">
        <v>19</v>
      </c>
      <c r="H1727">
        <v>31147</v>
      </c>
      <c r="I1727">
        <v>4367</v>
      </c>
      <c r="J1727">
        <v>0</v>
      </c>
      <c r="K1727">
        <v>0</v>
      </c>
      <c r="L1727" s="4">
        <v>44105</v>
      </c>
      <c r="M1727" s="4" t="str">
        <f t="shared" si="236"/>
        <v>2020</v>
      </c>
      <c r="N1727" s="1">
        <f t="shared" ca="1" si="237"/>
        <v>46064</v>
      </c>
      <c r="O1727" s="6">
        <f t="shared" ca="1" si="238"/>
        <v>5</v>
      </c>
      <c r="P1727">
        <v>5</v>
      </c>
      <c r="Q1727">
        <f t="shared" si="239"/>
        <v>35514</v>
      </c>
      <c r="R1727" s="2">
        <f t="shared" si="240"/>
        <v>17757</v>
      </c>
      <c r="S1727" s="2" t="str">
        <f t="shared" si="241"/>
        <v xml:space="preserve"> Not Achieved</v>
      </c>
      <c r="T1727" s="2" t="str">
        <f t="shared" si="242"/>
        <v>Average</v>
      </c>
      <c r="U1727" s="2"/>
    </row>
    <row r="1728" spans="1:21" x14ac:dyDescent="0.3">
      <c r="A1728">
        <v>1727</v>
      </c>
      <c r="B1728" t="s">
        <v>2530</v>
      </c>
      <c r="C1728" t="str">
        <f t="shared" si="234"/>
        <v>EMP_1727</v>
      </c>
      <c r="D1728" t="s">
        <v>15</v>
      </c>
      <c r="E1728" t="str">
        <f t="shared" si="235"/>
        <v>EMP_1727Marketing</v>
      </c>
      <c r="F1728" t="s">
        <v>24</v>
      </c>
      <c r="G1728" t="s">
        <v>16</v>
      </c>
      <c r="H1728">
        <v>56736</v>
      </c>
      <c r="I1728">
        <v>11059</v>
      </c>
      <c r="J1728">
        <v>0</v>
      </c>
      <c r="K1728">
        <v>0</v>
      </c>
      <c r="L1728" s="4" t="s">
        <v>239</v>
      </c>
      <c r="M1728" s="4" t="str">
        <f t="shared" si="236"/>
        <v>8/23/2019</v>
      </c>
      <c r="N1728" s="1">
        <f t="shared" ca="1" si="237"/>
        <v>46064</v>
      </c>
      <c r="O1728" s="6" t="e">
        <f t="shared" ca="1" si="238"/>
        <v>#VALUE!</v>
      </c>
      <c r="P1728">
        <v>4</v>
      </c>
      <c r="Q1728">
        <f t="shared" si="239"/>
        <v>67795</v>
      </c>
      <c r="R1728" s="2">
        <f t="shared" si="240"/>
        <v>33897.5</v>
      </c>
      <c r="S1728" s="2" t="str">
        <f t="shared" si="241"/>
        <v xml:space="preserve"> Not Achieved</v>
      </c>
      <c r="T1728" s="2" t="str">
        <f t="shared" si="242"/>
        <v xml:space="preserve"> Excellent</v>
      </c>
      <c r="U1728" s="2"/>
    </row>
    <row r="1729" spans="1:21" x14ac:dyDescent="0.3">
      <c r="A1729">
        <v>1728</v>
      </c>
      <c r="B1729" t="s">
        <v>2531</v>
      </c>
      <c r="C1729" t="str">
        <f t="shared" si="234"/>
        <v>EMP_1728</v>
      </c>
      <c r="D1729" t="s">
        <v>15</v>
      </c>
      <c r="E1729" t="str">
        <f t="shared" si="235"/>
        <v>EMP_1728IT</v>
      </c>
      <c r="F1729" t="s">
        <v>21</v>
      </c>
      <c r="G1729" t="s">
        <v>25</v>
      </c>
      <c r="H1729">
        <v>32827</v>
      </c>
      <c r="I1729">
        <v>12042</v>
      </c>
      <c r="J1729">
        <v>0</v>
      </c>
      <c r="K1729">
        <v>0</v>
      </c>
      <c r="L1729" s="4">
        <v>43227</v>
      </c>
      <c r="M1729" s="4" t="str">
        <f t="shared" si="236"/>
        <v>2018</v>
      </c>
      <c r="N1729" s="1">
        <f t="shared" ca="1" si="237"/>
        <v>46064</v>
      </c>
      <c r="O1729" s="6">
        <f t="shared" ca="1" si="238"/>
        <v>7</v>
      </c>
      <c r="P1729">
        <v>2</v>
      </c>
      <c r="Q1729">
        <f t="shared" si="239"/>
        <v>44869</v>
      </c>
      <c r="R1729" s="2">
        <f t="shared" si="240"/>
        <v>22434.5</v>
      </c>
      <c r="S1729" s="2" t="str">
        <f t="shared" si="241"/>
        <v xml:space="preserve"> Not Achieved</v>
      </c>
      <c r="T1729" s="2" t="str">
        <f t="shared" si="242"/>
        <v>Average</v>
      </c>
      <c r="U1729" s="2"/>
    </row>
    <row r="1730" spans="1:21" x14ac:dyDescent="0.3">
      <c r="A1730">
        <v>1729</v>
      </c>
      <c r="B1730" t="s">
        <v>2532</v>
      </c>
      <c r="C1730" t="str">
        <f t="shared" si="234"/>
        <v>EMP_1729</v>
      </c>
      <c r="D1730" t="s">
        <v>11</v>
      </c>
      <c r="E1730" t="str">
        <f t="shared" si="235"/>
        <v>EMP_1729Finance</v>
      </c>
      <c r="F1730" t="s">
        <v>18</v>
      </c>
      <c r="G1730" t="s">
        <v>16</v>
      </c>
      <c r="H1730">
        <v>25438</v>
      </c>
      <c r="I1730">
        <v>13308</v>
      </c>
      <c r="J1730">
        <v>0</v>
      </c>
      <c r="K1730">
        <v>0</v>
      </c>
      <c r="L1730" s="4">
        <v>44724</v>
      </c>
      <c r="M1730" s="4" t="str">
        <f t="shared" si="236"/>
        <v>2022</v>
      </c>
      <c r="N1730" s="1">
        <f t="shared" ca="1" si="237"/>
        <v>46064</v>
      </c>
      <c r="O1730" s="6">
        <f t="shared" ca="1" si="238"/>
        <v>3</v>
      </c>
      <c r="P1730">
        <v>4</v>
      </c>
      <c r="Q1730">
        <f t="shared" si="239"/>
        <v>38746</v>
      </c>
      <c r="R1730" s="2">
        <f t="shared" si="240"/>
        <v>19373</v>
      </c>
      <c r="S1730" s="2" t="str">
        <f t="shared" si="241"/>
        <v xml:space="preserve"> Not Achieved</v>
      </c>
      <c r="T1730" s="2" t="str">
        <f t="shared" si="242"/>
        <v>poor</v>
      </c>
      <c r="U1730" s="2"/>
    </row>
    <row r="1731" spans="1:21" x14ac:dyDescent="0.3">
      <c r="A1731">
        <v>1730</v>
      </c>
      <c r="B1731" t="s">
        <v>2533</v>
      </c>
      <c r="C1731" t="str">
        <f t="shared" ref="C1731:C1794" si="243">UPPER(B1731)</f>
        <v>EMP_1730</v>
      </c>
      <c r="D1731" t="s">
        <v>11</v>
      </c>
      <c r="E1731" t="str">
        <f t="shared" ref="E1731:E1794" si="244">_xlfn.CONCAT(C1731,F1731)</f>
        <v>EMP_1730Sales</v>
      </c>
      <c r="F1731" t="s">
        <v>7</v>
      </c>
      <c r="G1731" t="s">
        <v>16</v>
      </c>
      <c r="H1731">
        <v>66213</v>
      </c>
      <c r="I1731">
        <v>4555</v>
      </c>
      <c r="J1731">
        <v>162122</v>
      </c>
      <c r="K1731">
        <v>133005</v>
      </c>
      <c r="L1731" s="4">
        <v>45383</v>
      </c>
      <c r="M1731" s="4" t="str">
        <f t="shared" ref="M1731:M1794" si="245">TEXT(L1731,"yyyy")</f>
        <v>2024</v>
      </c>
      <c r="N1731" s="1">
        <f t="shared" ref="N1731:N1794" ca="1" si="246">TODAY()</f>
        <v>46064</v>
      </c>
      <c r="O1731" s="6">
        <f t="shared" ref="O1731:O1794" ca="1" si="247">DATEDIF(L1731, TODAY(), "y")</f>
        <v>1</v>
      </c>
      <c r="P1731">
        <v>1</v>
      </c>
      <c r="Q1731">
        <f t="shared" ref="Q1731:Q1794" si="248">SUM(H1731,I1731)</f>
        <v>70768</v>
      </c>
      <c r="R1731" s="2">
        <f t="shared" ref="R1731:R1794" si="249">AVERAGE(H1731,I1731)</f>
        <v>35384</v>
      </c>
      <c r="S1731" s="2" t="str">
        <f t="shared" ref="S1731:S1794" si="250">IF(J1731&gt;K1731,"Achieved"," Not Achieved")</f>
        <v>Achieved</v>
      </c>
      <c r="T1731" s="2" t="str">
        <f t="shared" ref="T1731:T1794" si="251">_xlfn.IFS(H1731&gt;=50000," Excellent",H1731&gt;=40000,"Good",H1731&gt;=30000,"Average",H1731&lt;30000,"poor")</f>
        <v xml:space="preserve"> Excellent</v>
      </c>
      <c r="U1731" s="2"/>
    </row>
    <row r="1732" spans="1:21" x14ac:dyDescent="0.3">
      <c r="A1732">
        <v>1731</v>
      </c>
      <c r="B1732" t="s">
        <v>2534</v>
      </c>
      <c r="C1732" t="str">
        <f t="shared" si="243"/>
        <v>EMP_1731</v>
      </c>
      <c r="D1732" t="s">
        <v>15</v>
      </c>
      <c r="E1732" t="str">
        <f t="shared" si="244"/>
        <v>EMP_1731Finance</v>
      </c>
      <c r="F1732" t="s">
        <v>18</v>
      </c>
      <c r="G1732" t="s">
        <v>19</v>
      </c>
      <c r="H1732">
        <v>50325</v>
      </c>
      <c r="I1732">
        <v>12675</v>
      </c>
      <c r="J1732">
        <v>0</v>
      </c>
      <c r="K1732">
        <v>0</v>
      </c>
      <c r="L1732" s="4" t="s">
        <v>2535</v>
      </c>
      <c r="M1732" s="4" t="str">
        <f t="shared" si="245"/>
        <v>1/25/2020</v>
      </c>
      <c r="N1732" s="1">
        <f t="shared" ca="1" si="246"/>
        <v>46064</v>
      </c>
      <c r="O1732" s="6" t="e">
        <f t="shared" ca="1" si="247"/>
        <v>#VALUE!</v>
      </c>
      <c r="P1732">
        <v>4</v>
      </c>
      <c r="Q1732">
        <f t="shared" si="248"/>
        <v>63000</v>
      </c>
      <c r="R1732" s="2">
        <f t="shared" si="249"/>
        <v>31500</v>
      </c>
      <c r="S1732" s="2" t="str">
        <f t="shared" si="250"/>
        <v xml:space="preserve"> Not Achieved</v>
      </c>
      <c r="T1732" s="2" t="str">
        <f t="shared" si="251"/>
        <v xml:space="preserve"> Excellent</v>
      </c>
      <c r="U1732" s="2"/>
    </row>
    <row r="1733" spans="1:21" x14ac:dyDescent="0.3">
      <c r="A1733">
        <v>1732</v>
      </c>
      <c r="B1733" t="s">
        <v>2536</v>
      </c>
      <c r="C1733" t="str">
        <f t="shared" si="243"/>
        <v>EMP_1732</v>
      </c>
      <c r="D1733" t="s">
        <v>15</v>
      </c>
      <c r="E1733" t="str">
        <f t="shared" si="244"/>
        <v>EMP_1732Finance</v>
      </c>
      <c r="F1733" t="s">
        <v>18</v>
      </c>
      <c r="G1733" t="s">
        <v>25</v>
      </c>
      <c r="H1733">
        <v>41805</v>
      </c>
      <c r="I1733">
        <v>8193</v>
      </c>
      <c r="J1733">
        <v>0</v>
      </c>
      <c r="K1733">
        <v>0</v>
      </c>
      <c r="L1733" s="4">
        <v>45483</v>
      </c>
      <c r="M1733" s="4" t="str">
        <f t="shared" si="245"/>
        <v>2024</v>
      </c>
      <c r="N1733" s="1">
        <f t="shared" ca="1" si="246"/>
        <v>46064</v>
      </c>
      <c r="O1733" s="6">
        <f t="shared" ca="1" si="247"/>
        <v>1</v>
      </c>
      <c r="P1733">
        <v>3</v>
      </c>
      <c r="Q1733">
        <f t="shared" si="248"/>
        <v>49998</v>
      </c>
      <c r="R1733" s="2">
        <f t="shared" si="249"/>
        <v>24999</v>
      </c>
      <c r="S1733" s="2" t="str">
        <f t="shared" si="250"/>
        <v xml:space="preserve"> Not Achieved</v>
      </c>
      <c r="T1733" s="2" t="str">
        <f t="shared" si="251"/>
        <v>Good</v>
      </c>
      <c r="U1733" s="2"/>
    </row>
    <row r="1734" spans="1:21" x14ac:dyDescent="0.3">
      <c r="A1734">
        <v>1733</v>
      </c>
      <c r="B1734" t="s">
        <v>2537</v>
      </c>
      <c r="C1734" t="str">
        <f t="shared" si="243"/>
        <v>EMP_1733</v>
      </c>
      <c r="D1734" t="s">
        <v>11</v>
      </c>
      <c r="E1734" t="str">
        <f t="shared" si="244"/>
        <v>EMP_1733Marketing</v>
      </c>
      <c r="F1734" t="s">
        <v>24</v>
      </c>
      <c r="G1734" t="s">
        <v>19</v>
      </c>
      <c r="H1734">
        <v>79279</v>
      </c>
      <c r="I1734">
        <v>6129</v>
      </c>
      <c r="J1734">
        <v>0</v>
      </c>
      <c r="K1734">
        <v>0</v>
      </c>
      <c r="L1734" s="4">
        <v>44476</v>
      </c>
      <c r="M1734" s="4" t="str">
        <f t="shared" si="245"/>
        <v>2021</v>
      </c>
      <c r="N1734" s="1">
        <f t="shared" ca="1" si="246"/>
        <v>46064</v>
      </c>
      <c r="O1734" s="6">
        <f t="shared" ca="1" si="247"/>
        <v>4</v>
      </c>
      <c r="P1734">
        <v>2</v>
      </c>
      <c r="Q1734">
        <f t="shared" si="248"/>
        <v>85408</v>
      </c>
      <c r="R1734" s="2">
        <f t="shared" si="249"/>
        <v>42704</v>
      </c>
      <c r="S1734" s="2" t="str">
        <f t="shared" si="250"/>
        <v xml:space="preserve"> Not Achieved</v>
      </c>
      <c r="T1734" s="2" t="str">
        <f t="shared" si="251"/>
        <v xml:space="preserve"> Excellent</v>
      </c>
      <c r="U1734" s="2"/>
    </row>
    <row r="1735" spans="1:21" x14ac:dyDescent="0.3">
      <c r="A1735">
        <v>1734</v>
      </c>
      <c r="B1735" t="s">
        <v>2538</v>
      </c>
      <c r="C1735" t="str">
        <f t="shared" si="243"/>
        <v>EMP_1734</v>
      </c>
      <c r="D1735" t="s">
        <v>15</v>
      </c>
      <c r="E1735" t="str">
        <f t="shared" si="244"/>
        <v>EMP_1734Marketing</v>
      </c>
      <c r="F1735" t="s">
        <v>24</v>
      </c>
      <c r="G1735" t="s">
        <v>16</v>
      </c>
      <c r="H1735">
        <v>67098</v>
      </c>
      <c r="I1735">
        <v>2331</v>
      </c>
      <c r="J1735">
        <v>0</v>
      </c>
      <c r="K1735">
        <v>0</v>
      </c>
      <c r="L1735" s="4" t="s">
        <v>1307</v>
      </c>
      <c r="M1735" s="4" t="str">
        <f t="shared" si="245"/>
        <v>12/21/2020</v>
      </c>
      <c r="N1735" s="1">
        <f t="shared" ca="1" si="246"/>
        <v>46064</v>
      </c>
      <c r="O1735" s="6" t="e">
        <f t="shared" ca="1" si="247"/>
        <v>#VALUE!</v>
      </c>
      <c r="P1735">
        <v>4</v>
      </c>
      <c r="Q1735">
        <f t="shared" si="248"/>
        <v>69429</v>
      </c>
      <c r="R1735" s="2">
        <f t="shared" si="249"/>
        <v>34714.5</v>
      </c>
      <c r="S1735" s="2" t="str">
        <f t="shared" si="250"/>
        <v xml:space="preserve"> Not Achieved</v>
      </c>
      <c r="T1735" s="2" t="str">
        <f t="shared" si="251"/>
        <v xml:space="preserve"> Excellent</v>
      </c>
      <c r="U1735" s="2"/>
    </row>
    <row r="1736" spans="1:21" x14ac:dyDescent="0.3">
      <c r="A1736">
        <v>1735</v>
      </c>
      <c r="B1736" t="s">
        <v>2539</v>
      </c>
      <c r="C1736" t="str">
        <f t="shared" si="243"/>
        <v>EMP_1735</v>
      </c>
      <c r="D1736" t="s">
        <v>15</v>
      </c>
      <c r="E1736" t="str">
        <f t="shared" si="244"/>
        <v>EMP_1735Sales</v>
      </c>
      <c r="F1736" t="s">
        <v>7</v>
      </c>
      <c r="G1736" t="s">
        <v>19</v>
      </c>
      <c r="H1736">
        <v>52070</v>
      </c>
      <c r="I1736">
        <v>12136</v>
      </c>
      <c r="J1736">
        <v>279026</v>
      </c>
      <c r="K1736">
        <v>101660</v>
      </c>
      <c r="L1736" s="4">
        <v>44445</v>
      </c>
      <c r="M1736" s="4" t="str">
        <f t="shared" si="245"/>
        <v>2021</v>
      </c>
      <c r="N1736" s="1">
        <f t="shared" ca="1" si="246"/>
        <v>46064</v>
      </c>
      <c r="O1736" s="6">
        <f t="shared" ca="1" si="247"/>
        <v>4</v>
      </c>
      <c r="P1736">
        <v>2</v>
      </c>
      <c r="Q1736">
        <f t="shared" si="248"/>
        <v>64206</v>
      </c>
      <c r="R1736" s="2">
        <f t="shared" si="249"/>
        <v>32103</v>
      </c>
      <c r="S1736" s="2" t="str">
        <f t="shared" si="250"/>
        <v>Achieved</v>
      </c>
      <c r="T1736" s="2" t="str">
        <f t="shared" si="251"/>
        <v xml:space="preserve"> Excellent</v>
      </c>
      <c r="U1736" s="2"/>
    </row>
    <row r="1737" spans="1:21" x14ac:dyDescent="0.3">
      <c r="A1737">
        <v>1736</v>
      </c>
      <c r="B1737" t="s">
        <v>2540</v>
      </c>
      <c r="C1737" t="str">
        <f t="shared" si="243"/>
        <v>EMP_1736</v>
      </c>
      <c r="D1737" t="s">
        <v>15</v>
      </c>
      <c r="E1737" t="str">
        <f t="shared" si="244"/>
        <v>EMP_1736Finance</v>
      </c>
      <c r="F1737" t="s">
        <v>18</v>
      </c>
      <c r="G1737" t="s">
        <v>25</v>
      </c>
      <c r="H1737">
        <v>61523</v>
      </c>
      <c r="I1737">
        <v>10098</v>
      </c>
      <c r="J1737">
        <v>0</v>
      </c>
      <c r="K1737">
        <v>0</v>
      </c>
      <c r="L1737" s="4">
        <v>45148</v>
      </c>
      <c r="M1737" s="4" t="str">
        <f t="shared" si="245"/>
        <v>2023</v>
      </c>
      <c r="N1737" s="1">
        <f t="shared" ca="1" si="246"/>
        <v>46064</v>
      </c>
      <c r="O1737" s="6">
        <f t="shared" ca="1" si="247"/>
        <v>2</v>
      </c>
      <c r="P1737">
        <v>2</v>
      </c>
      <c r="Q1737">
        <f t="shared" si="248"/>
        <v>71621</v>
      </c>
      <c r="R1737" s="2">
        <f t="shared" si="249"/>
        <v>35810.5</v>
      </c>
      <c r="S1737" s="2" t="str">
        <f t="shared" si="250"/>
        <v xml:space="preserve"> Not Achieved</v>
      </c>
      <c r="T1737" s="2" t="str">
        <f t="shared" si="251"/>
        <v xml:space="preserve"> Excellent</v>
      </c>
      <c r="U1737" s="2"/>
    </row>
    <row r="1738" spans="1:21" x14ac:dyDescent="0.3">
      <c r="A1738">
        <v>1737</v>
      </c>
      <c r="B1738" t="s">
        <v>2541</v>
      </c>
      <c r="C1738" t="str">
        <f t="shared" si="243"/>
        <v>EMP_1737</v>
      </c>
      <c r="D1738" t="s">
        <v>11</v>
      </c>
      <c r="E1738" t="str">
        <f t="shared" si="244"/>
        <v>EMP_1737HR</v>
      </c>
      <c r="F1738" t="s">
        <v>12</v>
      </c>
      <c r="G1738" t="s">
        <v>19</v>
      </c>
      <c r="H1738">
        <v>49370</v>
      </c>
      <c r="I1738">
        <v>11470</v>
      </c>
      <c r="J1738">
        <v>0</v>
      </c>
      <c r="K1738">
        <v>0</v>
      </c>
      <c r="L1738" s="4" t="s">
        <v>2542</v>
      </c>
      <c r="M1738" s="4" t="str">
        <f t="shared" si="245"/>
        <v>8/28/2020</v>
      </c>
      <c r="N1738" s="1">
        <f t="shared" ca="1" si="246"/>
        <v>46064</v>
      </c>
      <c r="O1738" s="6" t="e">
        <f t="shared" ca="1" si="247"/>
        <v>#VALUE!</v>
      </c>
      <c r="P1738">
        <v>1</v>
      </c>
      <c r="Q1738">
        <f t="shared" si="248"/>
        <v>60840</v>
      </c>
      <c r="R1738" s="2">
        <f t="shared" si="249"/>
        <v>30420</v>
      </c>
      <c r="S1738" s="2" t="str">
        <f t="shared" si="250"/>
        <v xml:space="preserve"> Not Achieved</v>
      </c>
      <c r="T1738" s="2" t="str">
        <f t="shared" si="251"/>
        <v>Good</v>
      </c>
      <c r="U1738" s="2"/>
    </row>
    <row r="1739" spans="1:21" x14ac:dyDescent="0.3">
      <c r="A1739">
        <v>1738</v>
      </c>
      <c r="B1739" t="s">
        <v>2543</v>
      </c>
      <c r="C1739" t="str">
        <f t="shared" si="243"/>
        <v>EMP_1738</v>
      </c>
      <c r="D1739" t="s">
        <v>15</v>
      </c>
      <c r="E1739" t="str">
        <f t="shared" si="244"/>
        <v>EMP_1738HR</v>
      </c>
      <c r="F1739" t="s">
        <v>12</v>
      </c>
      <c r="G1739" t="s">
        <v>19</v>
      </c>
      <c r="H1739">
        <v>64130</v>
      </c>
      <c r="I1739">
        <v>9499</v>
      </c>
      <c r="J1739">
        <v>0</v>
      </c>
      <c r="K1739">
        <v>0</v>
      </c>
      <c r="L1739" s="4">
        <v>45607</v>
      </c>
      <c r="M1739" s="4" t="str">
        <f t="shared" si="245"/>
        <v>2024</v>
      </c>
      <c r="N1739" s="1">
        <f t="shared" ca="1" si="246"/>
        <v>46064</v>
      </c>
      <c r="O1739" s="6">
        <f t="shared" ca="1" si="247"/>
        <v>1</v>
      </c>
      <c r="P1739">
        <v>5</v>
      </c>
      <c r="Q1739">
        <f t="shared" si="248"/>
        <v>73629</v>
      </c>
      <c r="R1739" s="2">
        <f t="shared" si="249"/>
        <v>36814.5</v>
      </c>
      <c r="S1739" s="2" t="str">
        <f t="shared" si="250"/>
        <v xml:space="preserve"> Not Achieved</v>
      </c>
      <c r="T1739" s="2" t="str">
        <f t="shared" si="251"/>
        <v xml:space="preserve"> Excellent</v>
      </c>
      <c r="U1739" s="2"/>
    </row>
    <row r="1740" spans="1:21" x14ac:dyDescent="0.3">
      <c r="A1740">
        <v>1739</v>
      </c>
      <c r="B1740" t="s">
        <v>2544</v>
      </c>
      <c r="C1740" t="str">
        <f t="shared" si="243"/>
        <v>EMP_1739</v>
      </c>
      <c r="D1740" t="s">
        <v>11</v>
      </c>
      <c r="E1740" t="str">
        <f t="shared" si="244"/>
        <v>EMP_1739Sales</v>
      </c>
      <c r="F1740" t="s">
        <v>7</v>
      </c>
      <c r="G1740" t="s">
        <v>13</v>
      </c>
      <c r="H1740">
        <v>34009</v>
      </c>
      <c r="I1740">
        <v>6884</v>
      </c>
      <c r="J1740">
        <v>120432</v>
      </c>
      <c r="K1740">
        <v>237946</v>
      </c>
      <c r="L1740" s="4" t="s">
        <v>2545</v>
      </c>
      <c r="M1740" s="4" t="str">
        <f t="shared" si="245"/>
        <v>10/31/2019</v>
      </c>
      <c r="N1740" s="1">
        <f t="shared" ca="1" si="246"/>
        <v>46064</v>
      </c>
      <c r="O1740" s="6" t="e">
        <f t="shared" ca="1" si="247"/>
        <v>#VALUE!</v>
      </c>
      <c r="P1740">
        <v>3</v>
      </c>
      <c r="Q1740">
        <f t="shared" si="248"/>
        <v>40893</v>
      </c>
      <c r="R1740" s="2">
        <f t="shared" si="249"/>
        <v>20446.5</v>
      </c>
      <c r="S1740" s="2" t="str">
        <f t="shared" si="250"/>
        <v xml:space="preserve"> Not Achieved</v>
      </c>
      <c r="T1740" s="2" t="str">
        <f t="shared" si="251"/>
        <v>Average</v>
      </c>
      <c r="U1740" s="2"/>
    </row>
    <row r="1741" spans="1:21" x14ac:dyDescent="0.3">
      <c r="A1741">
        <v>1740</v>
      </c>
      <c r="B1741" t="s">
        <v>2546</v>
      </c>
      <c r="C1741" t="str">
        <f t="shared" si="243"/>
        <v>EMP_1740</v>
      </c>
      <c r="D1741" t="s">
        <v>15</v>
      </c>
      <c r="E1741" t="str">
        <f t="shared" si="244"/>
        <v>EMP_1740Sales</v>
      </c>
      <c r="F1741" t="s">
        <v>7</v>
      </c>
      <c r="G1741" t="s">
        <v>16</v>
      </c>
      <c r="H1741">
        <v>51008</v>
      </c>
      <c r="I1741">
        <v>10277</v>
      </c>
      <c r="J1741">
        <v>50305</v>
      </c>
      <c r="K1741">
        <v>136438</v>
      </c>
      <c r="L1741" s="4">
        <v>44537</v>
      </c>
      <c r="M1741" s="4" t="str">
        <f t="shared" si="245"/>
        <v>2021</v>
      </c>
      <c r="N1741" s="1">
        <f t="shared" ca="1" si="246"/>
        <v>46064</v>
      </c>
      <c r="O1741" s="6">
        <f t="shared" ca="1" si="247"/>
        <v>4</v>
      </c>
      <c r="P1741">
        <v>1</v>
      </c>
      <c r="Q1741">
        <f t="shared" si="248"/>
        <v>61285</v>
      </c>
      <c r="R1741" s="2">
        <f t="shared" si="249"/>
        <v>30642.5</v>
      </c>
      <c r="S1741" s="2" t="str">
        <f t="shared" si="250"/>
        <v xml:space="preserve"> Not Achieved</v>
      </c>
      <c r="T1741" s="2" t="str">
        <f t="shared" si="251"/>
        <v xml:space="preserve"> Excellent</v>
      </c>
      <c r="U1741" s="2"/>
    </row>
    <row r="1742" spans="1:21" x14ac:dyDescent="0.3">
      <c r="A1742">
        <v>1741</v>
      </c>
      <c r="B1742" t="s">
        <v>2547</v>
      </c>
      <c r="C1742" t="str">
        <f t="shared" si="243"/>
        <v>EMP_1741</v>
      </c>
      <c r="D1742" t="s">
        <v>11</v>
      </c>
      <c r="E1742" t="str">
        <f t="shared" si="244"/>
        <v>EMP_1741IT</v>
      </c>
      <c r="F1742" t="s">
        <v>21</v>
      </c>
      <c r="G1742" t="s">
        <v>16</v>
      </c>
      <c r="H1742">
        <v>74593</v>
      </c>
      <c r="I1742">
        <v>12205</v>
      </c>
      <c r="J1742">
        <v>0</v>
      </c>
      <c r="K1742">
        <v>0</v>
      </c>
      <c r="L1742" s="4">
        <v>43379</v>
      </c>
      <c r="M1742" s="4" t="str">
        <f t="shared" si="245"/>
        <v>2018</v>
      </c>
      <c r="N1742" s="1">
        <f t="shared" ca="1" si="246"/>
        <v>46064</v>
      </c>
      <c r="O1742" s="6">
        <f t="shared" ca="1" si="247"/>
        <v>7</v>
      </c>
      <c r="P1742">
        <v>3</v>
      </c>
      <c r="Q1742">
        <f t="shared" si="248"/>
        <v>86798</v>
      </c>
      <c r="R1742" s="2">
        <f t="shared" si="249"/>
        <v>43399</v>
      </c>
      <c r="S1742" s="2" t="str">
        <f t="shared" si="250"/>
        <v xml:space="preserve"> Not Achieved</v>
      </c>
      <c r="T1742" s="2" t="str">
        <f t="shared" si="251"/>
        <v xml:space="preserve"> Excellent</v>
      </c>
      <c r="U1742" s="2"/>
    </row>
    <row r="1743" spans="1:21" x14ac:dyDescent="0.3">
      <c r="A1743">
        <v>1742</v>
      </c>
      <c r="B1743" t="s">
        <v>2548</v>
      </c>
      <c r="C1743" t="str">
        <f t="shared" si="243"/>
        <v>EMP_1742</v>
      </c>
      <c r="D1743" t="s">
        <v>11</v>
      </c>
      <c r="E1743" t="str">
        <f t="shared" si="244"/>
        <v>EMP_1742Sales</v>
      </c>
      <c r="F1743" t="s">
        <v>7</v>
      </c>
      <c r="G1743" t="s">
        <v>19</v>
      </c>
      <c r="H1743">
        <v>77481</v>
      </c>
      <c r="I1743">
        <v>3925</v>
      </c>
      <c r="J1743">
        <v>200478</v>
      </c>
      <c r="K1743">
        <v>222132</v>
      </c>
      <c r="L1743" s="4" t="s">
        <v>146</v>
      </c>
      <c r="M1743" s="4" t="str">
        <f t="shared" si="245"/>
        <v>11/20/2018</v>
      </c>
      <c r="N1743" s="1">
        <f t="shared" ca="1" si="246"/>
        <v>46064</v>
      </c>
      <c r="O1743" s="6" t="e">
        <f t="shared" ca="1" si="247"/>
        <v>#VALUE!</v>
      </c>
      <c r="P1743">
        <v>2</v>
      </c>
      <c r="Q1743">
        <f t="shared" si="248"/>
        <v>81406</v>
      </c>
      <c r="R1743" s="2">
        <f t="shared" si="249"/>
        <v>40703</v>
      </c>
      <c r="S1743" s="2" t="str">
        <f t="shared" si="250"/>
        <v xml:space="preserve"> Not Achieved</v>
      </c>
      <c r="T1743" s="2" t="str">
        <f t="shared" si="251"/>
        <v xml:space="preserve"> Excellent</v>
      </c>
      <c r="U1743" s="2"/>
    </row>
    <row r="1744" spans="1:21" x14ac:dyDescent="0.3">
      <c r="A1744">
        <v>1743</v>
      </c>
      <c r="B1744" t="s">
        <v>2549</v>
      </c>
      <c r="C1744" t="str">
        <f t="shared" si="243"/>
        <v>EMP_1743</v>
      </c>
      <c r="D1744" t="s">
        <v>15</v>
      </c>
      <c r="E1744" t="str">
        <f t="shared" si="244"/>
        <v>EMP_1743Marketing</v>
      </c>
      <c r="F1744" t="s">
        <v>24</v>
      </c>
      <c r="G1744" t="s">
        <v>13</v>
      </c>
      <c r="H1744">
        <v>41811</v>
      </c>
      <c r="I1744">
        <v>11285</v>
      </c>
      <c r="J1744">
        <v>0</v>
      </c>
      <c r="K1744">
        <v>0</v>
      </c>
      <c r="L1744" s="4">
        <v>45545</v>
      </c>
      <c r="M1744" s="4" t="str">
        <f t="shared" si="245"/>
        <v>2024</v>
      </c>
      <c r="N1744" s="1">
        <f t="shared" ca="1" si="246"/>
        <v>46064</v>
      </c>
      <c r="O1744" s="6">
        <f t="shared" ca="1" si="247"/>
        <v>1</v>
      </c>
      <c r="P1744">
        <v>5</v>
      </c>
      <c r="Q1744">
        <f t="shared" si="248"/>
        <v>53096</v>
      </c>
      <c r="R1744" s="2">
        <f t="shared" si="249"/>
        <v>26548</v>
      </c>
      <c r="S1744" s="2" t="str">
        <f t="shared" si="250"/>
        <v xml:space="preserve"> Not Achieved</v>
      </c>
      <c r="T1744" s="2" t="str">
        <f t="shared" si="251"/>
        <v>Good</v>
      </c>
      <c r="U1744" s="2"/>
    </row>
    <row r="1745" spans="1:21" x14ac:dyDescent="0.3">
      <c r="A1745">
        <v>1744</v>
      </c>
      <c r="B1745" t="s">
        <v>2550</v>
      </c>
      <c r="C1745" t="str">
        <f t="shared" si="243"/>
        <v>EMP_1744</v>
      </c>
      <c r="D1745" t="s">
        <v>11</v>
      </c>
      <c r="E1745" t="str">
        <f t="shared" si="244"/>
        <v>EMP_1744Marketing</v>
      </c>
      <c r="F1745" t="s">
        <v>24</v>
      </c>
      <c r="G1745" t="s">
        <v>13</v>
      </c>
      <c r="H1745">
        <v>41910</v>
      </c>
      <c r="I1745">
        <v>10774</v>
      </c>
      <c r="J1745">
        <v>0</v>
      </c>
      <c r="K1745">
        <v>0</v>
      </c>
      <c r="L1745" s="4" t="s">
        <v>205</v>
      </c>
      <c r="M1745" s="4" t="str">
        <f t="shared" si="245"/>
        <v>12/30/2020</v>
      </c>
      <c r="N1745" s="1">
        <f t="shared" ca="1" si="246"/>
        <v>46064</v>
      </c>
      <c r="O1745" s="6" t="e">
        <f t="shared" ca="1" si="247"/>
        <v>#VALUE!</v>
      </c>
      <c r="P1745">
        <v>2</v>
      </c>
      <c r="Q1745">
        <f t="shared" si="248"/>
        <v>52684</v>
      </c>
      <c r="R1745" s="2">
        <f t="shared" si="249"/>
        <v>26342</v>
      </c>
      <c r="S1745" s="2" t="str">
        <f t="shared" si="250"/>
        <v xml:space="preserve"> Not Achieved</v>
      </c>
      <c r="T1745" s="2" t="str">
        <f t="shared" si="251"/>
        <v>Good</v>
      </c>
      <c r="U1745" s="2"/>
    </row>
    <row r="1746" spans="1:21" x14ac:dyDescent="0.3">
      <c r="A1746">
        <v>1745</v>
      </c>
      <c r="B1746" t="s">
        <v>2551</v>
      </c>
      <c r="C1746" t="str">
        <f t="shared" si="243"/>
        <v>EMP_1745</v>
      </c>
      <c r="D1746" t="s">
        <v>15</v>
      </c>
      <c r="E1746" t="str">
        <f t="shared" si="244"/>
        <v>EMP_1745IT</v>
      </c>
      <c r="F1746" t="s">
        <v>21</v>
      </c>
      <c r="G1746" t="s">
        <v>19</v>
      </c>
      <c r="H1746">
        <v>21609</v>
      </c>
      <c r="I1746">
        <v>2386</v>
      </c>
      <c r="J1746">
        <v>0</v>
      </c>
      <c r="K1746">
        <v>0</v>
      </c>
      <c r="L1746" s="4" t="s">
        <v>2552</v>
      </c>
      <c r="M1746" s="4" t="str">
        <f t="shared" si="245"/>
        <v>2/19/2024</v>
      </c>
      <c r="N1746" s="1">
        <f t="shared" ca="1" si="246"/>
        <v>46064</v>
      </c>
      <c r="O1746" s="6" t="e">
        <f t="shared" ca="1" si="247"/>
        <v>#VALUE!</v>
      </c>
      <c r="P1746">
        <v>4</v>
      </c>
      <c r="Q1746">
        <f t="shared" si="248"/>
        <v>23995</v>
      </c>
      <c r="R1746" s="2">
        <f t="shared" si="249"/>
        <v>11997.5</v>
      </c>
      <c r="S1746" s="2" t="str">
        <f t="shared" si="250"/>
        <v xml:space="preserve"> Not Achieved</v>
      </c>
      <c r="T1746" s="2" t="str">
        <f t="shared" si="251"/>
        <v>poor</v>
      </c>
      <c r="U1746" s="2"/>
    </row>
    <row r="1747" spans="1:21" x14ac:dyDescent="0.3">
      <c r="A1747">
        <v>1746</v>
      </c>
      <c r="B1747" t="s">
        <v>2553</v>
      </c>
      <c r="C1747" t="str">
        <f t="shared" si="243"/>
        <v>EMP_1746</v>
      </c>
      <c r="D1747" t="s">
        <v>15</v>
      </c>
      <c r="E1747" t="str">
        <f t="shared" si="244"/>
        <v>EMP_1746Sales</v>
      </c>
      <c r="F1747" t="s">
        <v>7</v>
      </c>
      <c r="G1747" t="s">
        <v>13</v>
      </c>
      <c r="H1747">
        <v>55017</v>
      </c>
      <c r="I1747">
        <v>9630</v>
      </c>
      <c r="J1747">
        <v>285421</v>
      </c>
      <c r="K1747">
        <v>151473</v>
      </c>
      <c r="L1747" s="4" t="s">
        <v>2554</v>
      </c>
      <c r="M1747" s="4" t="str">
        <f t="shared" si="245"/>
        <v>6/15/2024</v>
      </c>
      <c r="N1747" s="1">
        <f t="shared" ca="1" si="246"/>
        <v>46064</v>
      </c>
      <c r="O1747" s="6" t="e">
        <f t="shared" ca="1" si="247"/>
        <v>#VALUE!</v>
      </c>
      <c r="P1747">
        <v>3</v>
      </c>
      <c r="Q1747">
        <f t="shared" si="248"/>
        <v>64647</v>
      </c>
      <c r="R1747" s="2">
        <f t="shared" si="249"/>
        <v>32323.5</v>
      </c>
      <c r="S1747" s="2" t="str">
        <f t="shared" si="250"/>
        <v>Achieved</v>
      </c>
      <c r="T1747" s="2" t="str">
        <f t="shared" si="251"/>
        <v xml:space="preserve"> Excellent</v>
      </c>
      <c r="U1747" s="2"/>
    </row>
    <row r="1748" spans="1:21" x14ac:dyDescent="0.3">
      <c r="A1748">
        <v>1747</v>
      </c>
      <c r="B1748" t="s">
        <v>2555</v>
      </c>
      <c r="C1748" t="str">
        <f t="shared" si="243"/>
        <v>EMP_1747</v>
      </c>
      <c r="D1748" t="s">
        <v>15</v>
      </c>
      <c r="E1748" t="str">
        <f t="shared" si="244"/>
        <v>EMP_1747Finance</v>
      </c>
      <c r="F1748" t="s">
        <v>18</v>
      </c>
      <c r="G1748" t="s">
        <v>16</v>
      </c>
      <c r="H1748">
        <v>33995</v>
      </c>
      <c r="I1748">
        <v>6758</v>
      </c>
      <c r="J1748">
        <v>0</v>
      </c>
      <c r="K1748">
        <v>0</v>
      </c>
      <c r="L1748" s="4">
        <v>43591</v>
      </c>
      <c r="M1748" s="4" t="str">
        <f t="shared" si="245"/>
        <v>2019</v>
      </c>
      <c r="N1748" s="1">
        <f t="shared" ca="1" si="246"/>
        <v>46064</v>
      </c>
      <c r="O1748" s="6">
        <f t="shared" ca="1" si="247"/>
        <v>6</v>
      </c>
      <c r="P1748">
        <v>3</v>
      </c>
      <c r="Q1748">
        <f t="shared" si="248"/>
        <v>40753</v>
      </c>
      <c r="R1748" s="2">
        <f t="shared" si="249"/>
        <v>20376.5</v>
      </c>
      <c r="S1748" s="2" t="str">
        <f t="shared" si="250"/>
        <v xml:space="preserve"> Not Achieved</v>
      </c>
      <c r="T1748" s="2" t="str">
        <f t="shared" si="251"/>
        <v>Average</v>
      </c>
      <c r="U1748" s="2"/>
    </row>
    <row r="1749" spans="1:21" x14ac:dyDescent="0.3">
      <c r="A1749">
        <v>1748</v>
      </c>
      <c r="B1749" t="s">
        <v>2556</v>
      </c>
      <c r="C1749" t="str">
        <f t="shared" si="243"/>
        <v>EMP_1748</v>
      </c>
      <c r="D1749" t="s">
        <v>11</v>
      </c>
      <c r="E1749" t="str">
        <f t="shared" si="244"/>
        <v>EMP_1748Sales</v>
      </c>
      <c r="F1749" t="s">
        <v>7</v>
      </c>
      <c r="G1749" t="s">
        <v>22</v>
      </c>
      <c r="H1749">
        <v>33642</v>
      </c>
      <c r="I1749">
        <v>3600</v>
      </c>
      <c r="J1749">
        <v>228443</v>
      </c>
      <c r="K1749">
        <v>95002</v>
      </c>
      <c r="L1749" s="4">
        <v>43567</v>
      </c>
      <c r="M1749" s="4" t="str">
        <f t="shared" si="245"/>
        <v>2019</v>
      </c>
      <c r="N1749" s="1">
        <f t="shared" ca="1" si="246"/>
        <v>46064</v>
      </c>
      <c r="O1749" s="6">
        <f t="shared" ca="1" si="247"/>
        <v>6</v>
      </c>
      <c r="P1749">
        <v>2</v>
      </c>
      <c r="Q1749">
        <f t="shared" si="248"/>
        <v>37242</v>
      </c>
      <c r="R1749" s="2">
        <f t="shared" si="249"/>
        <v>18621</v>
      </c>
      <c r="S1749" s="2" t="str">
        <f t="shared" si="250"/>
        <v>Achieved</v>
      </c>
      <c r="T1749" s="2" t="str">
        <f t="shared" si="251"/>
        <v>Average</v>
      </c>
      <c r="U1749" s="2"/>
    </row>
    <row r="1750" spans="1:21" x14ac:dyDescent="0.3">
      <c r="A1750">
        <v>1749</v>
      </c>
      <c r="B1750" t="s">
        <v>2557</v>
      </c>
      <c r="C1750" t="str">
        <f t="shared" si="243"/>
        <v>EMP_1749</v>
      </c>
      <c r="D1750" t="s">
        <v>11</v>
      </c>
      <c r="E1750" t="str">
        <f t="shared" si="244"/>
        <v>EMP_1749IT</v>
      </c>
      <c r="F1750" t="s">
        <v>21</v>
      </c>
      <c r="G1750" t="s">
        <v>16</v>
      </c>
      <c r="H1750">
        <v>23717</v>
      </c>
      <c r="I1750">
        <v>7458</v>
      </c>
      <c r="J1750">
        <v>0</v>
      </c>
      <c r="K1750">
        <v>0</v>
      </c>
      <c r="L1750" s="4">
        <v>43894</v>
      </c>
      <c r="M1750" s="4" t="str">
        <f t="shared" si="245"/>
        <v>2020</v>
      </c>
      <c r="N1750" s="1">
        <f t="shared" ca="1" si="246"/>
        <v>46064</v>
      </c>
      <c r="O1750" s="6">
        <f t="shared" ca="1" si="247"/>
        <v>5</v>
      </c>
      <c r="P1750">
        <v>4</v>
      </c>
      <c r="Q1750">
        <f t="shared" si="248"/>
        <v>31175</v>
      </c>
      <c r="R1750" s="2">
        <f t="shared" si="249"/>
        <v>15587.5</v>
      </c>
      <c r="S1750" s="2" t="str">
        <f t="shared" si="250"/>
        <v xml:space="preserve"> Not Achieved</v>
      </c>
      <c r="T1750" s="2" t="str">
        <f t="shared" si="251"/>
        <v>poor</v>
      </c>
      <c r="U1750" s="2"/>
    </row>
    <row r="1751" spans="1:21" x14ac:dyDescent="0.3">
      <c r="A1751">
        <v>1750</v>
      </c>
      <c r="B1751" t="s">
        <v>2558</v>
      </c>
      <c r="C1751" t="str">
        <f t="shared" si="243"/>
        <v>EMP_1750</v>
      </c>
      <c r="D1751" t="s">
        <v>15</v>
      </c>
      <c r="E1751" t="str">
        <f t="shared" si="244"/>
        <v>EMP_1750Finance</v>
      </c>
      <c r="F1751" t="s">
        <v>18</v>
      </c>
      <c r="G1751" t="s">
        <v>13</v>
      </c>
      <c r="H1751">
        <v>28515</v>
      </c>
      <c r="I1751">
        <v>6513</v>
      </c>
      <c r="J1751">
        <v>0</v>
      </c>
      <c r="K1751">
        <v>0</v>
      </c>
      <c r="L1751" s="4">
        <v>44753</v>
      </c>
      <c r="M1751" s="4" t="str">
        <f t="shared" si="245"/>
        <v>2022</v>
      </c>
      <c r="N1751" s="1">
        <f t="shared" ca="1" si="246"/>
        <v>46064</v>
      </c>
      <c r="O1751" s="6">
        <f t="shared" ca="1" si="247"/>
        <v>3</v>
      </c>
      <c r="P1751">
        <v>2</v>
      </c>
      <c r="Q1751">
        <f t="shared" si="248"/>
        <v>35028</v>
      </c>
      <c r="R1751" s="2">
        <f t="shared" si="249"/>
        <v>17514</v>
      </c>
      <c r="S1751" s="2" t="str">
        <f t="shared" si="250"/>
        <v xml:space="preserve"> Not Achieved</v>
      </c>
      <c r="T1751" s="2" t="str">
        <f t="shared" si="251"/>
        <v>poor</v>
      </c>
      <c r="U1751" s="2"/>
    </row>
    <row r="1752" spans="1:21" x14ac:dyDescent="0.3">
      <c r="A1752">
        <v>1751</v>
      </c>
      <c r="B1752" t="s">
        <v>2559</v>
      </c>
      <c r="C1752" t="str">
        <f t="shared" si="243"/>
        <v>EMP_1751</v>
      </c>
      <c r="D1752" t="s">
        <v>15</v>
      </c>
      <c r="E1752" t="str">
        <f t="shared" si="244"/>
        <v>EMP_1751Sales</v>
      </c>
      <c r="F1752" t="s">
        <v>7</v>
      </c>
      <c r="G1752" t="s">
        <v>19</v>
      </c>
      <c r="H1752">
        <v>48143</v>
      </c>
      <c r="I1752">
        <v>13786</v>
      </c>
      <c r="J1752">
        <v>238598</v>
      </c>
      <c r="K1752">
        <v>104998</v>
      </c>
      <c r="L1752" s="4" t="s">
        <v>2560</v>
      </c>
      <c r="M1752" s="4" t="str">
        <f t="shared" si="245"/>
        <v>2/25/2022</v>
      </c>
      <c r="N1752" s="1">
        <f t="shared" ca="1" si="246"/>
        <v>46064</v>
      </c>
      <c r="O1752" s="6" t="e">
        <f t="shared" ca="1" si="247"/>
        <v>#VALUE!</v>
      </c>
      <c r="P1752">
        <v>3</v>
      </c>
      <c r="Q1752">
        <f t="shared" si="248"/>
        <v>61929</v>
      </c>
      <c r="R1752" s="2">
        <f t="shared" si="249"/>
        <v>30964.5</v>
      </c>
      <c r="S1752" s="2" t="str">
        <f t="shared" si="250"/>
        <v>Achieved</v>
      </c>
      <c r="T1752" s="2" t="str">
        <f t="shared" si="251"/>
        <v>Good</v>
      </c>
      <c r="U1752" s="2"/>
    </row>
    <row r="1753" spans="1:21" x14ac:dyDescent="0.3">
      <c r="A1753">
        <v>1752</v>
      </c>
      <c r="B1753" t="s">
        <v>2561</v>
      </c>
      <c r="C1753" t="str">
        <f t="shared" si="243"/>
        <v>EMP_1752</v>
      </c>
      <c r="D1753" t="s">
        <v>15</v>
      </c>
      <c r="E1753" t="str">
        <f t="shared" si="244"/>
        <v>EMP_1752Marketing</v>
      </c>
      <c r="F1753" t="s">
        <v>24</v>
      </c>
      <c r="G1753" t="s">
        <v>22</v>
      </c>
      <c r="H1753">
        <v>48507</v>
      </c>
      <c r="I1753">
        <v>6142</v>
      </c>
      <c r="J1753">
        <v>0</v>
      </c>
      <c r="K1753">
        <v>0</v>
      </c>
      <c r="L1753" s="4" t="s">
        <v>2098</v>
      </c>
      <c r="M1753" s="4" t="str">
        <f t="shared" si="245"/>
        <v>1/31/2018</v>
      </c>
      <c r="N1753" s="1">
        <f t="shared" ca="1" si="246"/>
        <v>46064</v>
      </c>
      <c r="O1753" s="6" t="e">
        <f t="shared" ca="1" si="247"/>
        <v>#VALUE!</v>
      </c>
      <c r="P1753">
        <v>2</v>
      </c>
      <c r="Q1753">
        <f t="shared" si="248"/>
        <v>54649</v>
      </c>
      <c r="R1753" s="2">
        <f t="shared" si="249"/>
        <v>27324.5</v>
      </c>
      <c r="S1753" s="2" t="str">
        <f t="shared" si="250"/>
        <v xml:space="preserve"> Not Achieved</v>
      </c>
      <c r="T1753" s="2" t="str">
        <f t="shared" si="251"/>
        <v>Good</v>
      </c>
      <c r="U1753" s="2"/>
    </row>
    <row r="1754" spans="1:21" x14ac:dyDescent="0.3">
      <c r="A1754">
        <v>1753</v>
      </c>
      <c r="B1754" t="s">
        <v>2562</v>
      </c>
      <c r="C1754" t="str">
        <f t="shared" si="243"/>
        <v>EMP_1753</v>
      </c>
      <c r="D1754" t="s">
        <v>15</v>
      </c>
      <c r="E1754" t="str">
        <f t="shared" si="244"/>
        <v>EMP_1753IT</v>
      </c>
      <c r="F1754" t="s">
        <v>21</v>
      </c>
      <c r="G1754" t="s">
        <v>22</v>
      </c>
      <c r="H1754">
        <v>69055</v>
      </c>
      <c r="I1754">
        <v>14562</v>
      </c>
      <c r="J1754">
        <v>0</v>
      </c>
      <c r="K1754">
        <v>0</v>
      </c>
      <c r="L1754" s="4" t="s">
        <v>2563</v>
      </c>
      <c r="M1754" s="4" t="str">
        <f t="shared" si="245"/>
        <v>7/16/2024</v>
      </c>
      <c r="N1754" s="1">
        <f t="shared" ca="1" si="246"/>
        <v>46064</v>
      </c>
      <c r="O1754" s="6" t="e">
        <f t="shared" ca="1" si="247"/>
        <v>#VALUE!</v>
      </c>
      <c r="P1754">
        <v>2</v>
      </c>
      <c r="Q1754">
        <f t="shared" si="248"/>
        <v>83617</v>
      </c>
      <c r="R1754" s="2">
        <f t="shared" si="249"/>
        <v>41808.5</v>
      </c>
      <c r="S1754" s="2" t="str">
        <f t="shared" si="250"/>
        <v xml:space="preserve"> Not Achieved</v>
      </c>
      <c r="T1754" s="2" t="str">
        <f t="shared" si="251"/>
        <v xml:space="preserve"> Excellent</v>
      </c>
      <c r="U1754" s="2"/>
    </row>
    <row r="1755" spans="1:21" x14ac:dyDescent="0.3">
      <c r="A1755">
        <v>1754</v>
      </c>
      <c r="B1755" t="s">
        <v>2564</v>
      </c>
      <c r="C1755" t="str">
        <f t="shared" si="243"/>
        <v>EMP_1754</v>
      </c>
      <c r="D1755" t="s">
        <v>15</v>
      </c>
      <c r="E1755" t="str">
        <f t="shared" si="244"/>
        <v>EMP_1754Marketing</v>
      </c>
      <c r="F1755" t="s">
        <v>24</v>
      </c>
      <c r="G1755" t="s">
        <v>13</v>
      </c>
      <c r="H1755">
        <v>69596</v>
      </c>
      <c r="I1755">
        <v>14803</v>
      </c>
      <c r="J1755">
        <v>0</v>
      </c>
      <c r="K1755">
        <v>0</v>
      </c>
      <c r="L1755" s="4">
        <v>44573</v>
      </c>
      <c r="M1755" s="4" t="str">
        <f t="shared" si="245"/>
        <v>2022</v>
      </c>
      <c r="N1755" s="1">
        <f t="shared" ca="1" si="246"/>
        <v>46064</v>
      </c>
      <c r="O1755" s="6">
        <f t="shared" ca="1" si="247"/>
        <v>4</v>
      </c>
      <c r="P1755">
        <v>3</v>
      </c>
      <c r="Q1755">
        <f t="shared" si="248"/>
        <v>84399</v>
      </c>
      <c r="R1755" s="2">
        <f t="shared" si="249"/>
        <v>42199.5</v>
      </c>
      <c r="S1755" s="2" t="str">
        <f t="shared" si="250"/>
        <v xml:space="preserve"> Not Achieved</v>
      </c>
      <c r="T1755" s="2" t="str">
        <f t="shared" si="251"/>
        <v xml:space="preserve"> Excellent</v>
      </c>
      <c r="U1755" s="2"/>
    </row>
    <row r="1756" spans="1:21" x14ac:dyDescent="0.3">
      <c r="A1756">
        <v>1755</v>
      </c>
      <c r="B1756" t="s">
        <v>2565</v>
      </c>
      <c r="C1756" t="str">
        <f t="shared" si="243"/>
        <v>EMP_1755</v>
      </c>
      <c r="D1756" t="s">
        <v>15</v>
      </c>
      <c r="E1756" t="str">
        <f t="shared" si="244"/>
        <v>EMP_1755Sales</v>
      </c>
      <c r="F1756" t="s">
        <v>7</v>
      </c>
      <c r="G1756" t="s">
        <v>13</v>
      </c>
      <c r="H1756">
        <v>63630</v>
      </c>
      <c r="I1756">
        <v>6866</v>
      </c>
      <c r="J1756">
        <v>142425</v>
      </c>
      <c r="K1756">
        <v>210886</v>
      </c>
      <c r="L1756" s="4">
        <v>44324</v>
      </c>
      <c r="M1756" s="4" t="str">
        <f t="shared" si="245"/>
        <v>2021</v>
      </c>
      <c r="N1756" s="1">
        <f t="shared" ca="1" si="246"/>
        <v>46064</v>
      </c>
      <c r="O1756" s="6">
        <f t="shared" ca="1" si="247"/>
        <v>4</v>
      </c>
      <c r="P1756">
        <v>1</v>
      </c>
      <c r="Q1756">
        <f t="shared" si="248"/>
        <v>70496</v>
      </c>
      <c r="R1756" s="2">
        <f t="shared" si="249"/>
        <v>35248</v>
      </c>
      <c r="S1756" s="2" t="str">
        <f t="shared" si="250"/>
        <v xml:space="preserve"> Not Achieved</v>
      </c>
      <c r="T1756" s="2" t="str">
        <f t="shared" si="251"/>
        <v xml:space="preserve"> Excellent</v>
      </c>
      <c r="U1756" s="2"/>
    </row>
    <row r="1757" spans="1:21" x14ac:dyDescent="0.3">
      <c r="A1757">
        <v>1756</v>
      </c>
      <c r="B1757" t="s">
        <v>2566</v>
      </c>
      <c r="C1757" t="str">
        <f t="shared" si="243"/>
        <v>EMP_1756</v>
      </c>
      <c r="D1757" t="s">
        <v>15</v>
      </c>
      <c r="E1757" t="str">
        <f t="shared" si="244"/>
        <v>EMP_1756Marketing</v>
      </c>
      <c r="F1757" t="s">
        <v>24</v>
      </c>
      <c r="G1757" t="s">
        <v>19</v>
      </c>
      <c r="H1757">
        <v>25020</v>
      </c>
      <c r="I1757">
        <v>4341</v>
      </c>
      <c r="J1757">
        <v>0</v>
      </c>
      <c r="K1757">
        <v>0</v>
      </c>
      <c r="L1757" s="4">
        <v>43477</v>
      </c>
      <c r="M1757" s="4" t="str">
        <f t="shared" si="245"/>
        <v>2019</v>
      </c>
      <c r="N1757" s="1">
        <f t="shared" ca="1" si="246"/>
        <v>46064</v>
      </c>
      <c r="O1757" s="6">
        <f t="shared" ca="1" si="247"/>
        <v>7</v>
      </c>
      <c r="P1757">
        <v>5</v>
      </c>
      <c r="Q1757">
        <f t="shared" si="248"/>
        <v>29361</v>
      </c>
      <c r="R1757" s="2">
        <f t="shared" si="249"/>
        <v>14680.5</v>
      </c>
      <c r="S1757" s="2" t="str">
        <f t="shared" si="250"/>
        <v xml:space="preserve"> Not Achieved</v>
      </c>
      <c r="T1757" s="2" t="str">
        <f t="shared" si="251"/>
        <v>poor</v>
      </c>
      <c r="U1757" s="2"/>
    </row>
    <row r="1758" spans="1:21" x14ac:dyDescent="0.3">
      <c r="A1758">
        <v>1757</v>
      </c>
      <c r="B1758" t="s">
        <v>2567</v>
      </c>
      <c r="C1758" t="str">
        <f t="shared" si="243"/>
        <v>EMP_1757</v>
      </c>
      <c r="D1758" t="s">
        <v>11</v>
      </c>
      <c r="E1758" t="str">
        <f t="shared" si="244"/>
        <v>EMP_1757Sales</v>
      </c>
      <c r="F1758" t="s">
        <v>7</v>
      </c>
      <c r="G1758" t="s">
        <v>25</v>
      </c>
      <c r="H1758">
        <v>37637</v>
      </c>
      <c r="I1758">
        <v>14119</v>
      </c>
      <c r="J1758">
        <v>55402</v>
      </c>
      <c r="K1758">
        <v>174704</v>
      </c>
      <c r="L1758" s="4">
        <v>44352</v>
      </c>
      <c r="M1758" s="4" t="str">
        <f t="shared" si="245"/>
        <v>2021</v>
      </c>
      <c r="N1758" s="1">
        <f t="shared" ca="1" si="246"/>
        <v>46064</v>
      </c>
      <c r="O1758" s="6">
        <f t="shared" ca="1" si="247"/>
        <v>4</v>
      </c>
      <c r="P1758">
        <v>2</v>
      </c>
      <c r="Q1758">
        <f t="shared" si="248"/>
        <v>51756</v>
      </c>
      <c r="R1758" s="2">
        <f t="shared" si="249"/>
        <v>25878</v>
      </c>
      <c r="S1758" s="2" t="str">
        <f t="shared" si="250"/>
        <v xml:space="preserve"> Not Achieved</v>
      </c>
      <c r="T1758" s="2" t="str">
        <f t="shared" si="251"/>
        <v>Average</v>
      </c>
      <c r="U1758" s="2"/>
    </row>
    <row r="1759" spans="1:21" x14ac:dyDescent="0.3">
      <c r="A1759">
        <v>1758</v>
      </c>
      <c r="B1759" t="s">
        <v>2568</v>
      </c>
      <c r="C1759" t="str">
        <f t="shared" si="243"/>
        <v>EMP_1758</v>
      </c>
      <c r="D1759" t="s">
        <v>11</v>
      </c>
      <c r="E1759" t="str">
        <f t="shared" si="244"/>
        <v>EMP_1758Marketing</v>
      </c>
      <c r="F1759" t="s">
        <v>24</v>
      </c>
      <c r="G1759" t="s">
        <v>22</v>
      </c>
      <c r="H1759">
        <v>69858</v>
      </c>
      <c r="I1759">
        <v>2622</v>
      </c>
      <c r="J1759">
        <v>0</v>
      </c>
      <c r="K1759">
        <v>0</v>
      </c>
      <c r="L1759" s="4" t="s">
        <v>2542</v>
      </c>
      <c r="M1759" s="4" t="str">
        <f t="shared" si="245"/>
        <v>8/28/2020</v>
      </c>
      <c r="N1759" s="1">
        <f t="shared" ca="1" si="246"/>
        <v>46064</v>
      </c>
      <c r="O1759" s="6" t="e">
        <f t="shared" ca="1" si="247"/>
        <v>#VALUE!</v>
      </c>
      <c r="P1759">
        <v>2</v>
      </c>
      <c r="Q1759">
        <f t="shared" si="248"/>
        <v>72480</v>
      </c>
      <c r="R1759" s="2">
        <f t="shared" si="249"/>
        <v>36240</v>
      </c>
      <c r="S1759" s="2" t="str">
        <f t="shared" si="250"/>
        <v xml:space="preserve"> Not Achieved</v>
      </c>
      <c r="T1759" s="2" t="str">
        <f t="shared" si="251"/>
        <v xml:space="preserve"> Excellent</v>
      </c>
      <c r="U1759" s="2"/>
    </row>
    <row r="1760" spans="1:21" x14ac:dyDescent="0.3">
      <c r="A1760">
        <v>1759</v>
      </c>
      <c r="B1760" t="s">
        <v>2569</v>
      </c>
      <c r="C1760" t="str">
        <f t="shared" si="243"/>
        <v>EMP_1759</v>
      </c>
      <c r="D1760" t="s">
        <v>15</v>
      </c>
      <c r="E1760" t="str">
        <f t="shared" si="244"/>
        <v>EMP_1759Finance</v>
      </c>
      <c r="F1760" t="s">
        <v>18</v>
      </c>
      <c r="G1760" t="s">
        <v>19</v>
      </c>
      <c r="H1760">
        <v>60909</v>
      </c>
      <c r="I1760">
        <v>13384</v>
      </c>
      <c r="J1760">
        <v>0</v>
      </c>
      <c r="K1760">
        <v>0</v>
      </c>
      <c r="L1760" s="4" t="s">
        <v>268</v>
      </c>
      <c r="M1760" s="4" t="str">
        <f t="shared" si="245"/>
        <v>1/21/2022</v>
      </c>
      <c r="N1760" s="1">
        <f t="shared" ca="1" si="246"/>
        <v>46064</v>
      </c>
      <c r="O1760" s="6" t="e">
        <f t="shared" ca="1" si="247"/>
        <v>#VALUE!</v>
      </c>
      <c r="P1760">
        <v>2</v>
      </c>
      <c r="Q1760">
        <f t="shared" si="248"/>
        <v>74293</v>
      </c>
      <c r="R1760" s="2">
        <f t="shared" si="249"/>
        <v>37146.5</v>
      </c>
      <c r="S1760" s="2" t="str">
        <f t="shared" si="250"/>
        <v xml:space="preserve"> Not Achieved</v>
      </c>
      <c r="T1760" s="2" t="str">
        <f t="shared" si="251"/>
        <v xml:space="preserve"> Excellent</v>
      </c>
      <c r="U1760" s="2"/>
    </row>
    <row r="1761" spans="1:21" x14ac:dyDescent="0.3">
      <c r="A1761">
        <v>1760</v>
      </c>
      <c r="B1761" t="s">
        <v>2570</v>
      </c>
      <c r="C1761" t="str">
        <f t="shared" si="243"/>
        <v>EMP_1760</v>
      </c>
      <c r="D1761" t="s">
        <v>15</v>
      </c>
      <c r="E1761" t="str">
        <f t="shared" si="244"/>
        <v>EMP_1760HR</v>
      </c>
      <c r="F1761" t="s">
        <v>12</v>
      </c>
      <c r="G1761" t="s">
        <v>25</v>
      </c>
      <c r="H1761">
        <v>32632</v>
      </c>
      <c r="I1761">
        <v>12052</v>
      </c>
      <c r="J1761">
        <v>0</v>
      </c>
      <c r="K1761">
        <v>0</v>
      </c>
      <c r="L1761" s="4" t="s">
        <v>946</v>
      </c>
      <c r="M1761" s="4" t="str">
        <f t="shared" si="245"/>
        <v>10/20/2019</v>
      </c>
      <c r="N1761" s="1">
        <f t="shared" ca="1" si="246"/>
        <v>46064</v>
      </c>
      <c r="O1761" s="6" t="e">
        <f t="shared" ca="1" si="247"/>
        <v>#VALUE!</v>
      </c>
      <c r="P1761">
        <v>4</v>
      </c>
      <c r="Q1761">
        <f t="shared" si="248"/>
        <v>44684</v>
      </c>
      <c r="R1761" s="2">
        <f t="shared" si="249"/>
        <v>22342</v>
      </c>
      <c r="S1761" s="2" t="str">
        <f t="shared" si="250"/>
        <v xml:space="preserve"> Not Achieved</v>
      </c>
      <c r="T1761" s="2" t="str">
        <f t="shared" si="251"/>
        <v>Average</v>
      </c>
      <c r="U1761" s="2"/>
    </row>
    <row r="1762" spans="1:21" x14ac:dyDescent="0.3">
      <c r="A1762">
        <v>1761</v>
      </c>
      <c r="B1762" t="s">
        <v>2571</v>
      </c>
      <c r="C1762" t="str">
        <f t="shared" si="243"/>
        <v>EMP_1761</v>
      </c>
      <c r="D1762" t="s">
        <v>11</v>
      </c>
      <c r="E1762" t="str">
        <f t="shared" si="244"/>
        <v>EMP_1761IT</v>
      </c>
      <c r="F1762" t="s">
        <v>21</v>
      </c>
      <c r="G1762" t="s">
        <v>13</v>
      </c>
      <c r="H1762">
        <v>77242</v>
      </c>
      <c r="I1762">
        <v>6881</v>
      </c>
      <c r="J1762">
        <v>0</v>
      </c>
      <c r="K1762">
        <v>0</v>
      </c>
      <c r="L1762" s="4" t="s">
        <v>780</v>
      </c>
      <c r="M1762" s="4" t="str">
        <f t="shared" si="245"/>
        <v>10/17/2023</v>
      </c>
      <c r="N1762" s="1">
        <f t="shared" ca="1" si="246"/>
        <v>46064</v>
      </c>
      <c r="O1762" s="6" t="e">
        <f t="shared" ca="1" si="247"/>
        <v>#VALUE!</v>
      </c>
      <c r="P1762">
        <v>3</v>
      </c>
      <c r="Q1762">
        <f t="shared" si="248"/>
        <v>84123</v>
      </c>
      <c r="R1762" s="2">
        <f t="shared" si="249"/>
        <v>42061.5</v>
      </c>
      <c r="S1762" s="2" t="str">
        <f t="shared" si="250"/>
        <v xml:space="preserve"> Not Achieved</v>
      </c>
      <c r="T1762" s="2" t="str">
        <f t="shared" si="251"/>
        <v xml:space="preserve"> Excellent</v>
      </c>
      <c r="U1762" s="2"/>
    </row>
    <row r="1763" spans="1:21" x14ac:dyDescent="0.3">
      <c r="A1763">
        <v>1762</v>
      </c>
      <c r="B1763" t="s">
        <v>2572</v>
      </c>
      <c r="C1763" t="str">
        <f t="shared" si="243"/>
        <v>EMP_1762</v>
      </c>
      <c r="D1763" t="s">
        <v>11</v>
      </c>
      <c r="E1763" t="str">
        <f t="shared" si="244"/>
        <v>EMP_1762Finance</v>
      </c>
      <c r="F1763" t="s">
        <v>18</v>
      </c>
      <c r="G1763" t="s">
        <v>19</v>
      </c>
      <c r="H1763">
        <v>23895</v>
      </c>
      <c r="I1763">
        <v>3683</v>
      </c>
      <c r="J1763">
        <v>0</v>
      </c>
      <c r="K1763">
        <v>0</v>
      </c>
      <c r="L1763" s="4" t="s">
        <v>2573</v>
      </c>
      <c r="M1763" s="4" t="str">
        <f t="shared" si="245"/>
        <v>3/14/2023</v>
      </c>
      <c r="N1763" s="1">
        <f t="shared" ca="1" si="246"/>
        <v>46064</v>
      </c>
      <c r="O1763" s="6" t="e">
        <f t="shared" ca="1" si="247"/>
        <v>#VALUE!</v>
      </c>
      <c r="P1763">
        <v>1</v>
      </c>
      <c r="Q1763">
        <f t="shared" si="248"/>
        <v>27578</v>
      </c>
      <c r="R1763" s="2">
        <f t="shared" si="249"/>
        <v>13789</v>
      </c>
      <c r="S1763" s="2" t="str">
        <f t="shared" si="250"/>
        <v xml:space="preserve"> Not Achieved</v>
      </c>
      <c r="T1763" s="2" t="str">
        <f t="shared" si="251"/>
        <v>poor</v>
      </c>
      <c r="U1763" s="2"/>
    </row>
    <row r="1764" spans="1:21" x14ac:dyDescent="0.3">
      <c r="A1764">
        <v>1763</v>
      </c>
      <c r="B1764" t="s">
        <v>2574</v>
      </c>
      <c r="C1764" t="str">
        <f t="shared" si="243"/>
        <v>EMP_1763</v>
      </c>
      <c r="D1764" t="s">
        <v>15</v>
      </c>
      <c r="E1764" t="str">
        <f t="shared" si="244"/>
        <v>EMP_1763IT</v>
      </c>
      <c r="F1764" t="s">
        <v>21</v>
      </c>
      <c r="G1764" t="s">
        <v>25</v>
      </c>
      <c r="H1764">
        <v>54613</v>
      </c>
      <c r="I1764">
        <v>10609</v>
      </c>
      <c r="J1764">
        <v>0</v>
      </c>
      <c r="K1764">
        <v>0</v>
      </c>
      <c r="L1764" s="4">
        <v>43252</v>
      </c>
      <c r="M1764" s="4" t="str">
        <f t="shared" si="245"/>
        <v>2018</v>
      </c>
      <c r="N1764" s="1">
        <f t="shared" ca="1" si="246"/>
        <v>46064</v>
      </c>
      <c r="O1764" s="6">
        <f t="shared" ca="1" si="247"/>
        <v>7</v>
      </c>
      <c r="P1764">
        <v>3</v>
      </c>
      <c r="Q1764">
        <f t="shared" si="248"/>
        <v>65222</v>
      </c>
      <c r="R1764" s="2">
        <f t="shared" si="249"/>
        <v>32611</v>
      </c>
      <c r="S1764" s="2" t="str">
        <f t="shared" si="250"/>
        <v xml:space="preserve"> Not Achieved</v>
      </c>
      <c r="T1764" s="2" t="str">
        <f t="shared" si="251"/>
        <v xml:space="preserve"> Excellent</v>
      </c>
      <c r="U1764" s="2"/>
    </row>
    <row r="1765" spans="1:21" x14ac:dyDescent="0.3">
      <c r="A1765">
        <v>1764</v>
      </c>
      <c r="B1765" t="s">
        <v>2575</v>
      </c>
      <c r="C1765" t="str">
        <f t="shared" si="243"/>
        <v>EMP_1764</v>
      </c>
      <c r="D1765" t="s">
        <v>11</v>
      </c>
      <c r="E1765" t="str">
        <f t="shared" si="244"/>
        <v>EMP_1764Sales</v>
      </c>
      <c r="F1765" t="s">
        <v>7</v>
      </c>
      <c r="G1765" t="s">
        <v>13</v>
      </c>
      <c r="H1765">
        <v>24325</v>
      </c>
      <c r="I1765">
        <v>2798</v>
      </c>
      <c r="J1765">
        <v>269140</v>
      </c>
      <c r="K1765">
        <v>174356</v>
      </c>
      <c r="L1765" s="4" t="s">
        <v>2576</v>
      </c>
      <c r="M1765" s="4" t="str">
        <f t="shared" si="245"/>
        <v>3/15/2023</v>
      </c>
      <c r="N1765" s="1">
        <f t="shared" ca="1" si="246"/>
        <v>46064</v>
      </c>
      <c r="O1765" s="6" t="e">
        <f t="shared" ca="1" si="247"/>
        <v>#VALUE!</v>
      </c>
      <c r="P1765">
        <v>3</v>
      </c>
      <c r="Q1765">
        <f t="shared" si="248"/>
        <v>27123</v>
      </c>
      <c r="R1765" s="2">
        <f t="shared" si="249"/>
        <v>13561.5</v>
      </c>
      <c r="S1765" s="2" t="str">
        <f t="shared" si="250"/>
        <v>Achieved</v>
      </c>
      <c r="T1765" s="2" t="str">
        <f t="shared" si="251"/>
        <v>poor</v>
      </c>
      <c r="U1765" s="2"/>
    </row>
    <row r="1766" spans="1:21" x14ac:dyDescent="0.3">
      <c r="A1766">
        <v>1765</v>
      </c>
      <c r="B1766" t="s">
        <v>2577</v>
      </c>
      <c r="C1766" t="str">
        <f t="shared" si="243"/>
        <v>EMP_1765</v>
      </c>
      <c r="D1766" t="s">
        <v>15</v>
      </c>
      <c r="E1766" t="str">
        <f t="shared" si="244"/>
        <v>EMP_1765IT</v>
      </c>
      <c r="F1766" t="s">
        <v>21</v>
      </c>
      <c r="G1766" t="s">
        <v>22</v>
      </c>
      <c r="H1766">
        <v>39152</v>
      </c>
      <c r="I1766">
        <v>13824</v>
      </c>
      <c r="J1766">
        <v>0</v>
      </c>
      <c r="K1766">
        <v>0</v>
      </c>
      <c r="L1766" s="4" t="s">
        <v>2578</v>
      </c>
      <c r="M1766" s="4" t="str">
        <f t="shared" si="245"/>
        <v>7/22/2023</v>
      </c>
      <c r="N1766" s="1">
        <f t="shared" ca="1" si="246"/>
        <v>46064</v>
      </c>
      <c r="O1766" s="6" t="e">
        <f t="shared" ca="1" si="247"/>
        <v>#VALUE!</v>
      </c>
      <c r="P1766">
        <v>1</v>
      </c>
      <c r="Q1766">
        <f t="shared" si="248"/>
        <v>52976</v>
      </c>
      <c r="R1766" s="2">
        <f t="shared" si="249"/>
        <v>26488</v>
      </c>
      <c r="S1766" s="2" t="str">
        <f t="shared" si="250"/>
        <v xml:space="preserve"> Not Achieved</v>
      </c>
      <c r="T1766" s="2" t="str">
        <f t="shared" si="251"/>
        <v>Average</v>
      </c>
      <c r="U1766" s="2"/>
    </row>
    <row r="1767" spans="1:21" x14ac:dyDescent="0.3">
      <c r="A1767">
        <v>1766</v>
      </c>
      <c r="B1767" t="s">
        <v>2579</v>
      </c>
      <c r="C1767" t="str">
        <f t="shared" si="243"/>
        <v>EMP_1766</v>
      </c>
      <c r="D1767" t="s">
        <v>15</v>
      </c>
      <c r="E1767" t="str">
        <f t="shared" si="244"/>
        <v>EMP_1766Marketing</v>
      </c>
      <c r="F1767" t="s">
        <v>24</v>
      </c>
      <c r="G1767" t="s">
        <v>16</v>
      </c>
      <c r="H1767">
        <v>23461</v>
      </c>
      <c r="I1767">
        <v>9197</v>
      </c>
      <c r="J1767">
        <v>0</v>
      </c>
      <c r="K1767">
        <v>0</v>
      </c>
      <c r="L1767" s="4" t="s">
        <v>1633</v>
      </c>
      <c r="M1767" s="4" t="str">
        <f t="shared" si="245"/>
        <v>10/26/2019</v>
      </c>
      <c r="N1767" s="1">
        <f t="shared" ca="1" si="246"/>
        <v>46064</v>
      </c>
      <c r="O1767" s="6" t="e">
        <f t="shared" ca="1" si="247"/>
        <v>#VALUE!</v>
      </c>
      <c r="P1767">
        <v>4</v>
      </c>
      <c r="Q1767">
        <f t="shared" si="248"/>
        <v>32658</v>
      </c>
      <c r="R1767" s="2">
        <f t="shared" si="249"/>
        <v>16329</v>
      </c>
      <c r="S1767" s="2" t="str">
        <f t="shared" si="250"/>
        <v xml:space="preserve"> Not Achieved</v>
      </c>
      <c r="T1767" s="2" t="str">
        <f t="shared" si="251"/>
        <v>poor</v>
      </c>
      <c r="U1767" s="2"/>
    </row>
    <row r="1768" spans="1:21" x14ac:dyDescent="0.3">
      <c r="A1768">
        <v>1767</v>
      </c>
      <c r="B1768" t="s">
        <v>2580</v>
      </c>
      <c r="C1768" t="str">
        <f t="shared" si="243"/>
        <v>EMP_1767</v>
      </c>
      <c r="D1768" t="s">
        <v>11</v>
      </c>
      <c r="E1768" t="str">
        <f t="shared" si="244"/>
        <v>EMP_1767HR</v>
      </c>
      <c r="F1768" t="s">
        <v>12</v>
      </c>
      <c r="G1768" t="s">
        <v>25</v>
      </c>
      <c r="H1768">
        <v>27729</v>
      </c>
      <c r="I1768">
        <v>11004</v>
      </c>
      <c r="J1768">
        <v>0</v>
      </c>
      <c r="K1768">
        <v>0</v>
      </c>
      <c r="L1768" s="4" t="s">
        <v>2581</v>
      </c>
      <c r="M1768" s="4" t="str">
        <f t="shared" si="245"/>
        <v>3/21/2018</v>
      </c>
      <c r="N1768" s="1">
        <f t="shared" ca="1" si="246"/>
        <v>46064</v>
      </c>
      <c r="O1768" s="6" t="e">
        <f t="shared" ca="1" si="247"/>
        <v>#VALUE!</v>
      </c>
      <c r="P1768">
        <v>4</v>
      </c>
      <c r="Q1768">
        <f t="shared" si="248"/>
        <v>38733</v>
      </c>
      <c r="R1768" s="2">
        <f t="shared" si="249"/>
        <v>19366.5</v>
      </c>
      <c r="S1768" s="2" t="str">
        <f t="shared" si="250"/>
        <v xml:space="preserve"> Not Achieved</v>
      </c>
      <c r="T1768" s="2" t="str">
        <f t="shared" si="251"/>
        <v>poor</v>
      </c>
      <c r="U1768" s="2"/>
    </row>
    <row r="1769" spans="1:21" x14ac:dyDescent="0.3">
      <c r="A1769">
        <v>1768</v>
      </c>
      <c r="B1769" t="s">
        <v>2582</v>
      </c>
      <c r="C1769" t="str">
        <f t="shared" si="243"/>
        <v>EMP_1768</v>
      </c>
      <c r="D1769" t="s">
        <v>15</v>
      </c>
      <c r="E1769" t="str">
        <f t="shared" si="244"/>
        <v>EMP_1768HR</v>
      </c>
      <c r="F1769" t="s">
        <v>12</v>
      </c>
      <c r="G1769" t="s">
        <v>13</v>
      </c>
      <c r="H1769">
        <v>60207</v>
      </c>
      <c r="I1769">
        <v>6961</v>
      </c>
      <c r="J1769">
        <v>0</v>
      </c>
      <c r="K1769">
        <v>0</v>
      </c>
      <c r="L1769" s="4">
        <v>44662</v>
      </c>
      <c r="M1769" s="4" t="str">
        <f t="shared" si="245"/>
        <v>2022</v>
      </c>
      <c r="N1769" s="1">
        <f t="shared" ca="1" si="246"/>
        <v>46064</v>
      </c>
      <c r="O1769" s="6">
        <f t="shared" ca="1" si="247"/>
        <v>3</v>
      </c>
      <c r="P1769">
        <v>1</v>
      </c>
      <c r="Q1769">
        <f t="shared" si="248"/>
        <v>67168</v>
      </c>
      <c r="R1769" s="2">
        <f t="shared" si="249"/>
        <v>33584</v>
      </c>
      <c r="S1769" s="2" t="str">
        <f t="shared" si="250"/>
        <v xml:space="preserve"> Not Achieved</v>
      </c>
      <c r="T1769" s="2" t="str">
        <f t="shared" si="251"/>
        <v xml:space="preserve"> Excellent</v>
      </c>
      <c r="U1769" s="2"/>
    </row>
    <row r="1770" spans="1:21" x14ac:dyDescent="0.3">
      <c r="A1770">
        <v>1769</v>
      </c>
      <c r="B1770" t="s">
        <v>2583</v>
      </c>
      <c r="C1770" t="str">
        <f t="shared" si="243"/>
        <v>EMP_1769</v>
      </c>
      <c r="D1770" t="s">
        <v>15</v>
      </c>
      <c r="E1770" t="str">
        <f t="shared" si="244"/>
        <v>EMP_1769Finance</v>
      </c>
      <c r="F1770" t="s">
        <v>18</v>
      </c>
      <c r="G1770" t="s">
        <v>13</v>
      </c>
      <c r="H1770">
        <v>20529</v>
      </c>
      <c r="I1770">
        <v>13573</v>
      </c>
      <c r="J1770">
        <v>0</v>
      </c>
      <c r="K1770">
        <v>0</v>
      </c>
      <c r="L1770" s="4">
        <v>44841</v>
      </c>
      <c r="M1770" s="4" t="str">
        <f t="shared" si="245"/>
        <v>2022</v>
      </c>
      <c r="N1770" s="1">
        <f t="shared" ca="1" si="246"/>
        <v>46064</v>
      </c>
      <c r="O1770" s="6">
        <f t="shared" ca="1" si="247"/>
        <v>3</v>
      </c>
      <c r="P1770">
        <v>3</v>
      </c>
      <c r="Q1770">
        <f t="shared" si="248"/>
        <v>34102</v>
      </c>
      <c r="R1770" s="2">
        <f t="shared" si="249"/>
        <v>17051</v>
      </c>
      <c r="S1770" s="2" t="str">
        <f t="shared" si="250"/>
        <v xml:space="preserve"> Not Achieved</v>
      </c>
      <c r="T1770" s="2" t="str">
        <f t="shared" si="251"/>
        <v>poor</v>
      </c>
      <c r="U1770" s="2"/>
    </row>
    <row r="1771" spans="1:21" x14ac:dyDescent="0.3">
      <c r="A1771">
        <v>1770</v>
      </c>
      <c r="B1771" t="s">
        <v>2584</v>
      </c>
      <c r="C1771" t="str">
        <f t="shared" si="243"/>
        <v>EMP_1770</v>
      </c>
      <c r="D1771" t="s">
        <v>11</v>
      </c>
      <c r="E1771" t="str">
        <f t="shared" si="244"/>
        <v>EMP_1770Marketing</v>
      </c>
      <c r="F1771" t="s">
        <v>24</v>
      </c>
      <c r="G1771" t="s">
        <v>13</v>
      </c>
      <c r="H1771">
        <v>57855</v>
      </c>
      <c r="I1771">
        <v>4194</v>
      </c>
      <c r="J1771">
        <v>0</v>
      </c>
      <c r="K1771">
        <v>0</v>
      </c>
      <c r="L1771" s="4" t="s">
        <v>1680</v>
      </c>
      <c r="M1771" s="4" t="str">
        <f t="shared" si="245"/>
        <v>2/28/2024</v>
      </c>
      <c r="N1771" s="1">
        <f t="shared" ca="1" si="246"/>
        <v>46064</v>
      </c>
      <c r="O1771" s="6" t="e">
        <f t="shared" ca="1" si="247"/>
        <v>#VALUE!</v>
      </c>
      <c r="P1771">
        <v>4</v>
      </c>
      <c r="Q1771">
        <f t="shared" si="248"/>
        <v>62049</v>
      </c>
      <c r="R1771" s="2">
        <f t="shared" si="249"/>
        <v>31024.5</v>
      </c>
      <c r="S1771" s="2" t="str">
        <f t="shared" si="250"/>
        <v xml:space="preserve"> Not Achieved</v>
      </c>
      <c r="T1771" s="2" t="str">
        <f t="shared" si="251"/>
        <v xml:space="preserve"> Excellent</v>
      </c>
      <c r="U1771" s="2"/>
    </row>
    <row r="1772" spans="1:21" x14ac:dyDescent="0.3">
      <c r="A1772">
        <v>1771</v>
      </c>
      <c r="B1772" t="s">
        <v>2585</v>
      </c>
      <c r="C1772" t="str">
        <f t="shared" si="243"/>
        <v>EMP_1771</v>
      </c>
      <c r="D1772" t="s">
        <v>15</v>
      </c>
      <c r="E1772" t="str">
        <f t="shared" si="244"/>
        <v>EMP_1771Finance</v>
      </c>
      <c r="F1772" t="s">
        <v>18</v>
      </c>
      <c r="G1772" t="s">
        <v>22</v>
      </c>
      <c r="H1772">
        <v>56840</v>
      </c>
      <c r="I1772">
        <v>2464</v>
      </c>
      <c r="J1772">
        <v>0</v>
      </c>
      <c r="K1772">
        <v>0</v>
      </c>
      <c r="L1772" s="4" t="s">
        <v>871</v>
      </c>
      <c r="M1772" s="4" t="str">
        <f t="shared" si="245"/>
        <v>2/27/2020</v>
      </c>
      <c r="N1772" s="1">
        <f t="shared" ca="1" si="246"/>
        <v>46064</v>
      </c>
      <c r="O1772" s="6" t="e">
        <f t="shared" ca="1" si="247"/>
        <v>#VALUE!</v>
      </c>
      <c r="P1772">
        <v>4</v>
      </c>
      <c r="Q1772">
        <f t="shared" si="248"/>
        <v>59304</v>
      </c>
      <c r="R1772" s="2">
        <f t="shared" si="249"/>
        <v>29652</v>
      </c>
      <c r="S1772" s="2" t="str">
        <f t="shared" si="250"/>
        <v xml:space="preserve"> Not Achieved</v>
      </c>
      <c r="T1772" s="2" t="str">
        <f t="shared" si="251"/>
        <v xml:space="preserve"> Excellent</v>
      </c>
      <c r="U1772" s="2"/>
    </row>
    <row r="1773" spans="1:21" x14ac:dyDescent="0.3">
      <c r="A1773">
        <v>1772</v>
      </c>
      <c r="B1773" t="s">
        <v>2586</v>
      </c>
      <c r="C1773" t="str">
        <f t="shared" si="243"/>
        <v>EMP_1772</v>
      </c>
      <c r="D1773" t="s">
        <v>15</v>
      </c>
      <c r="E1773" t="str">
        <f t="shared" si="244"/>
        <v>EMP_1772Finance</v>
      </c>
      <c r="F1773" t="s">
        <v>18</v>
      </c>
      <c r="G1773" t="s">
        <v>22</v>
      </c>
      <c r="H1773">
        <v>54034</v>
      </c>
      <c r="I1773">
        <v>2801</v>
      </c>
      <c r="J1773">
        <v>0</v>
      </c>
      <c r="K1773">
        <v>0</v>
      </c>
      <c r="L1773" s="4" t="s">
        <v>2587</v>
      </c>
      <c r="M1773" s="4" t="str">
        <f t="shared" si="245"/>
        <v>12/24/2023</v>
      </c>
      <c r="N1773" s="1">
        <f t="shared" ca="1" si="246"/>
        <v>46064</v>
      </c>
      <c r="O1773" s="6" t="e">
        <f t="shared" ca="1" si="247"/>
        <v>#VALUE!</v>
      </c>
      <c r="P1773">
        <v>1</v>
      </c>
      <c r="Q1773">
        <f t="shared" si="248"/>
        <v>56835</v>
      </c>
      <c r="R1773" s="2">
        <f t="shared" si="249"/>
        <v>28417.5</v>
      </c>
      <c r="S1773" s="2" t="str">
        <f t="shared" si="250"/>
        <v xml:space="preserve"> Not Achieved</v>
      </c>
      <c r="T1773" s="2" t="str">
        <f t="shared" si="251"/>
        <v xml:space="preserve"> Excellent</v>
      </c>
      <c r="U1773" s="2"/>
    </row>
    <row r="1774" spans="1:21" x14ac:dyDescent="0.3">
      <c r="A1774">
        <v>1773</v>
      </c>
      <c r="B1774" t="s">
        <v>2588</v>
      </c>
      <c r="C1774" t="str">
        <f t="shared" si="243"/>
        <v>EMP_1773</v>
      </c>
      <c r="D1774" t="s">
        <v>11</v>
      </c>
      <c r="E1774" t="str">
        <f t="shared" si="244"/>
        <v>EMP_1773Sales</v>
      </c>
      <c r="F1774" t="s">
        <v>7</v>
      </c>
      <c r="G1774" t="s">
        <v>13</v>
      </c>
      <c r="H1774">
        <v>48047</v>
      </c>
      <c r="I1774">
        <v>3249</v>
      </c>
      <c r="J1774">
        <v>122808</v>
      </c>
      <c r="K1774">
        <v>138971</v>
      </c>
      <c r="L1774" s="4">
        <v>44047</v>
      </c>
      <c r="M1774" s="4" t="str">
        <f t="shared" si="245"/>
        <v>2020</v>
      </c>
      <c r="N1774" s="1">
        <f t="shared" ca="1" si="246"/>
        <v>46064</v>
      </c>
      <c r="O1774" s="6">
        <f t="shared" ca="1" si="247"/>
        <v>5</v>
      </c>
      <c r="P1774">
        <v>4</v>
      </c>
      <c r="Q1774">
        <f t="shared" si="248"/>
        <v>51296</v>
      </c>
      <c r="R1774" s="2">
        <f t="shared" si="249"/>
        <v>25648</v>
      </c>
      <c r="S1774" s="2" t="str">
        <f t="shared" si="250"/>
        <v xml:space="preserve"> Not Achieved</v>
      </c>
      <c r="T1774" s="2" t="str">
        <f t="shared" si="251"/>
        <v>Good</v>
      </c>
      <c r="U1774" s="2"/>
    </row>
    <row r="1775" spans="1:21" x14ac:dyDescent="0.3">
      <c r="A1775">
        <v>1774</v>
      </c>
      <c r="B1775" t="s">
        <v>2589</v>
      </c>
      <c r="C1775" t="str">
        <f t="shared" si="243"/>
        <v>EMP_1774</v>
      </c>
      <c r="D1775" t="s">
        <v>11</v>
      </c>
      <c r="E1775" t="str">
        <f t="shared" si="244"/>
        <v>EMP_1774IT</v>
      </c>
      <c r="F1775" t="s">
        <v>21</v>
      </c>
      <c r="G1775" t="s">
        <v>22</v>
      </c>
      <c r="H1775">
        <v>73777</v>
      </c>
      <c r="I1775">
        <v>7506</v>
      </c>
      <c r="J1775">
        <v>0</v>
      </c>
      <c r="K1775">
        <v>0</v>
      </c>
      <c r="L1775" s="4">
        <v>45603</v>
      </c>
      <c r="M1775" s="4" t="str">
        <f t="shared" si="245"/>
        <v>2024</v>
      </c>
      <c r="N1775" s="1">
        <f t="shared" ca="1" si="246"/>
        <v>46064</v>
      </c>
      <c r="O1775" s="6">
        <f t="shared" ca="1" si="247"/>
        <v>1</v>
      </c>
      <c r="P1775">
        <v>3</v>
      </c>
      <c r="Q1775">
        <f t="shared" si="248"/>
        <v>81283</v>
      </c>
      <c r="R1775" s="2">
        <f t="shared" si="249"/>
        <v>40641.5</v>
      </c>
      <c r="S1775" s="2" t="str">
        <f t="shared" si="250"/>
        <v xml:space="preserve"> Not Achieved</v>
      </c>
      <c r="T1775" s="2" t="str">
        <f t="shared" si="251"/>
        <v xml:space="preserve"> Excellent</v>
      </c>
      <c r="U1775" s="2"/>
    </row>
    <row r="1776" spans="1:21" x14ac:dyDescent="0.3">
      <c r="A1776">
        <v>1775</v>
      </c>
      <c r="B1776" t="s">
        <v>2590</v>
      </c>
      <c r="C1776" t="str">
        <f t="shared" si="243"/>
        <v>EMP_1775</v>
      </c>
      <c r="D1776" t="s">
        <v>11</v>
      </c>
      <c r="E1776" t="str">
        <f t="shared" si="244"/>
        <v>EMP_1775Finance</v>
      </c>
      <c r="F1776" t="s">
        <v>18</v>
      </c>
      <c r="G1776" t="s">
        <v>16</v>
      </c>
      <c r="H1776">
        <v>26141</v>
      </c>
      <c r="I1776">
        <v>14495</v>
      </c>
      <c r="J1776">
        <v>0</v>
      </c>
      <c r="K1776">
        <v>0</v>
      </c>
      <c r="L1776" s="4">
        <v>44995</v>
      </c>
      <c r="M1776" s="4" t="str">
        <f t="shared" si="245"/>
        <v>2023</v>
      </c>
      <c r="N1776" s="1">
        <f t="shared" ca="1" si="246"/>
        <v>46064</v>
      </c>
      <c r="O1776" s="6">
        <f t="shared" ca="1" si="247"/>
        <v>2</v>
      </c>
      <c r="P1776">
        <v>5</v>
      </c>
      <c r="Q1776">
        <f t="shared" si="248"/>
        <v>40636</v>
      </c>
      <c r="R1776" s="2">
        <f t="shared" si="249"/>
        <v>20318</v>
      </c>
      <c r="S1776" s="2" t="str">
        <f t="shared" si="250"/>
        <v xml:space="preserve"> Not Achieved</v>
      </c>
      <c r="T1776" s="2" t="str">
        <f t="shared" si="251"/>
        <v>poor</v>
      </c>
      <c r="U1776" s="2"/>
    </row>
    <row r="1777" spans="1:21" x14ac:dyDescent="0.3">
      <c r="A1777">
        <v>1776</v>
      </c>
      <c r="B1777" t="s">
        <v>2591</v>
      </c>
      <c r="C1777" t="str">
        <f t="shared" si="243"/>
        <v>EMP_1776</v>
      </c>
      <c r="D1777" t="s">
        <v>11</v>
      </c>
      <c r="E1777" t="str">
        <f t="shared" si="244"/>
        <v>EMP_1776Finance</v>
      </c>
      <c r="F1777" t="s">
        <v>18</v>
      </c>
      <c r="G1777" t="s">
        <v>22</v>
      </c>
      <c r="H1777">
        <v>70866</v>
      </c>
      <c r="I1777">
        <v>12437</v>
      </c>
      <c r="J1777">
        <v>0</v>
      </c>
      <c r="K1777">
        <v>0</v>
      </c>
      <c r="L1777" s="4" t="s">
        <v>923</v>
      </c>
      <c r="M1777" s="4" t="str">
        <f t="shared" si="245"/>
        <v>7/26/2021</v>
      </c>
      <c r="N1777" s="1">
        <f t="shared" ca="1" si="246"/>
        <v>46064</v>
      </c>
      <c r="O1777" s="6" t="e">
        <f t="shared" ca="1" si="247"/>
        <v>#VALUE!</v>
      </c>
      <c r="P1777">
        <v>1</v>
      </c>
      <c r="Q1777">
        <f t="shared" si="248"/>
        <v>83303</v>
      </c>
      <c r="R1777" s="2">
        <f t="shared" si="249"/>
        <v>41651.5</v>
      </c>
      <c r="S1777" s="2" t="str">
        <f t="shared" si="250"/>
        <v xml:space="preserve"> Not Achieved</v>
      </c>
      <c r="T1777" s="2" t="str">
        <f t="shared" si="251"/>
        <v xml:space="preserve"> Excellent</v>
      </c>
      <c r="U1777" s="2"/>
    </row>
    <row r="1778" spans="1:21" x14ac:dyDescent="0.3">
      <c r="A1778">
        <v>1777</v>
      </c>
      <c r="B1778" t="s">
        <v>2592</v>
      </c>
      <c r="C1778" t="str">
        <f t="shared" si="243"/>
        <v>EMP_1777</v>
      </c>
      <c r="D1778" t="s">
        <v>11</v>
      </c>
      <c r="E1778" t="str">
        <f t="shared" si="244"/>
        <v>EMP_1777IT</v>
      </c>
      <c r="F1778" t="s">
        <v>21</v>
      </c>
      <c r="G1778" t="s">
        <v>25</v>
      </c>
      <c r="H1778">
        <v>31065</v>
      </c>
      <c r="I1778">
        <v>5392</v>
      </c>
      <c r="J1778">
        <v>0</v>
      </c>
      <c r="K1778">
        <v>0</v>
      </c>
      <c r="L1778" s="4">
        <v>43898</v>
      </c>
      <c r="M1778" s="4" t="str">
        <f t="shared" si="245"/>
        <v>2020</v>
      </c>
      <c r="N1778" s="1">
        <f t="shared" ca="1" si="246"/>
        <v>46064</v>
      </c>
      <c r="O1778" s="6">
        <f t="shared" ca="1" si="247"/>
        <v>5</v>
      </c>
      <c r="P1778">
        <v>1</v>
      </c>
      <c r="Q1778">
        <f t="shared" si="248"/>
        <v>36457</v>
      </c>
      <c r="R1778" s="2">
        <f t="shared" si="249"/>
        <v>18228.5</v>
      </c>
      <c r="S1778" s="2" t="str">
        <f t="shared" si="250"/>
        <v xml:space="preserve"> Not Achieved</v>
      </c>
      <c r="T1778" s="2" t="str">
        <f t="shared" si="251"/>
        <v>Average</v>
      </c>
      <c r="U1778" s="2"/>
    </row>
    <row r="1779" spans="1:21" x14ac:dyDescent="0.3">
      <c r="A1779">
        <v>1778</v>
      </c>
      <c r="B1779" t="s">
        <v>2593</v>
      </c>
      <c r="C1779" t="str">
        <f t="shared" si="243"/>
        <v>EMP_1778</v>
      </c>
      <c r="D1779" t="s">
        <v>11</v>
      </c>
      <c r="E1779" t="str">
        <f t="shared" si="244"/>
        <v>EMP_1778HR</v>
      </c>
      <c r="F1779" t="s">
        <v>12</v>
      </c>
      <c r="G1779" t="s">
        <v>13</v>
      </c>
      <c r="H1779">
        <v>34661</v>
      </c>
      <c r="I1779">
        <v>2565</v>
      </c>
      <c r="J1779">
        <v>0</v>
      </c>
      <c r="K1779">
        <v>0</v>
      </c>
      <c r="L1779" s="4" t="s">
        <v>182</v>
      </c>
      <c r="M1779" s="4" t="str">
        <f t="shared" si="245"/>
        <v>3/26/2023</v>
      </c>
      <c r="N1779" s="1">
        <f t="shared" ca="1" si="246"/>
        <v>46064</v>
      </c>
      <c r="O1779" s="6" t="e">
        <f t="shared" ca="1" si="247"/>
        <v>#VALUE!</v>
      </c>
      <c r="P1779">
        <v>1</v>
      </c>
      <c r="Q1779">
        <f t="shared" si="248"/>
        <v>37226</v>
      </c>
      <c r="R1779" s="2">
        <f t="shared" si="249"/>
        <v>18613</v>
      </c>
      <c r="S1779" s="2" t="str">
        <f t="shared" si="250"/>
        <v xml:space="preserve"> Not Achieved</v>
      </c>
      <c r="T1779" s="2" t="str">
        <f t="shared" si="251"/>
        <v>Average</v>
      </c>
      <c r="U1779" s="2"/>
    </row>
    <row r="1780" spans="1:21" x14ac:dyDescent="0.3">
      <c r="A1780">
        <v>1779</v>
      </c>
      <c r="B1780" t="s">
        <v>2594</v>
      </c>
      <c r="C1780" t="str">
        <f t="shared" si="243"/>
        <v>EMP_1779</v>
      </c>
      <c r="D1780" t="s">
        <v>15</v>
      </c>
      <c r="E1780" t="str">
        <f t="shared" si="244"/>
        <v>EMP_1779Sales</v>
      </c>
      <c r="F1780" t="s">
        <v>7</v>
      </c>
      <c r="G1780" t="s">
        <v>13</v>
      </c>
      <c r="H1780">
        <v>66102</v>
      </c>
      <c r="I1780">
        <v>4184</v>
      </c>
      <c r="J1780">
        <v>275363</v>
      </c>
      <c r="K1780">
        <v>241099</v>
      </c>
      <c r="L1780" s="4" t="s">
        <v>2595</v>
      </c>
      <c r="M1780" s="4" t="str">
        <f t="shared" si="245"/>
        <v>5/31/2022</v>
      </c>
      <c r="N1780" s="1">
        <f t="shared" ca="1" si="246"/>
        <v>46064</v>
      </c>
      <c r="O1780" s="6" t="e">
        <f t="shared" ca="1" si="247"/>
        <v>#VALUE!</v>
      </c>
      <c r="P1780">
        <v>1</v>
      </c>
      <c r="Q1780">
        <f t="shared" si="248"/>
        <v>70286</v>
      </c>
      <c r="R1780" s="2">
        <f t="shared" si="249"/>
        <v>35143</v>
      </c>
      <c r="S1780" s="2" t="str">
        <f t="shared" si="250"/>
        <v>Achieved</v>
      </c>
      <c r="T1780" s="2" t="str">
        <f t="shared" si="251"/>
        <v xml:space="preserve"> Excellent</v>
      </c>
      <c r="U1780" s="2"/>
    </row>
    <row r="1781" spans="1:21" x14ac:dyDescent="0.3">
      <c r="A1781">
        <v>1780</v>
      </c>
      <c r="B1781" t="s">
        <v>2596</v>
      </c>
      <c r="C1781" t="str">
        <f t="shared" si="243"/>
        <v>EMP_1780</v>
      </c>
      <c r="D1781" t="s">
        <v>11</v>
      </c>
      <c r="E1781" t="str">
        <f t="shared" si="244"/>
        <v>EMP_1780HR</v>
      </c>
      <c r="F1781" t="s">
        <v>12</v>
      </c>
      <c r="G1781" t="s">
        <v>19</v>
      </c>
      <c r="H1781">
        <v>61445</v>
      </c>
      <c r="I1781">
        <v>12039</v>
      </c>
      <c r="J1781">
        <v>0</v>
      </c>
      <c r="K1781">
        <v>0</v>
      </c>
      <c r="L1781" s="4">
        <v>43230</v>
      </c>
      <c r="M1781" s="4" t="str">
        <f t="shared" si="245"/>
        <v>2018</v>
      </c>
      <c r="N1781" s="1">
        <f t="shared" ca="1" si="246"/>
        <v>46064</v>
      </c>
      <c r="O1781" s="6">
        <f t="shared" ca="1" si="247"/>
        <v>7</v>
      </c>
      <c r="P1781">
        <v>5</v>
      </c>
      <c r="Q1781">
        <f t="shared" si="248"/>
        <v>73484</v>
      </c>
      <c r="R1781" s="2">
        <f t="shared" si="249"/>
        <v>36742</v>
      </c>
      <c r="S1781" s="2" t="str">
        <f t="shared" si="250"/>
        <v xml:space="preserve"> Not Achieved</v>
      </c>
      <c r="T1781" s="2" t="str">
        <f t="shared" si="251"/>
        <v xml:space="preserve"> Excellent</v>
      </c>
      <c r="U1781" s="2"/>
    </row>
    <row r="1782" spans="1:21" x14ac:dyDescent="0.3">
      <c r="A1782">
        <v>1781</v>
      </c>
      <c r="B1782" t="s">
        <v>2597</v>
      </c>
      <c r="C1782" t="str">
        <f t="shared" si="243"/>
        <v>EMP_1781</v>
      </c>
      <c r="D1782" t="s">
        <v>15</v>
      </c>
      <c r="E1782" t="str">
        <f t="shared" si="244"/>
        <v>EMP_1781Marketing</v>
      </c>
      <c r="F1782" t="s">
        <v>24</v>
      </c>
      <c r="G1782" t="s">
        <v>25</v>
      </c>
      <c r="H1782">
        <v>66821</v>
      </c>
      <c r="I1782">
        <v>6746</v>
      </c>
      <c r="J1782">
        <v>0</v>
      </c>
      <c r="K1782">
        <v>0</v>
      </c>
      <c r="L1782" s="4">
        <v>43959</v>
      </c>
      <c r="M1782" s="4" t="str">
        <f t="shared" si="245"/>
        <v>2020</v>
      </c>
      <c r="N1782" s="1">
        <f t="shared" ca="1" si="246"/>
        <v>46064</v>
      </c>
      <c r="O1782" s="6">
        <f t="shared" ca="1" si="247"/>
        <v>5</v>
      </c>
      <c r="P1782">
        <v>4</v>
      </c>
      <c r="Q1782">
        <f t="shared" si="248"/>
        <v>73567</v>
      </c>
      <c r="R1782" s="2">
        <f t="shared" si="249"/>
        <v>36783.5</v>
      </c>
      <c r="S1782" s="2" t="str">
        <f t="shared" si="250"/>
        <v xml:space="preserve"> Not Achieved</v>
      </c>
      <c r="T1782" s="2" t="str">
        <f t="shared" si="251"/>
        <v xml:space="preserve"> Excellent</v>
      </c>
      <c r="U1782" s="2"/>
    </row>
    <row r="1783" spans="1:21" x14ac:dyDescent="0.3">
      <c r="A1783">
        <v>1782</v>
      </c>
      <c r="B1783" t="s">
        <v>2598</v>
      </c>
      <c r="C1783" t="str">
        <f t="shared" si="243"/>
        <v>EMP_1782</v>
      </c>
      <c r="D1783" t="s">
        <v>11</v>
      </c>
      <c r="E1783" t="str">
        <f t="shared" si="244"/>
        <v>EMP_1782Sales</v>
      </c>
      <c r="F1783" t="s">
        <v>7</v>
      </c>
      <c r="G1783" t="s">
        <v>25</v>
      </c>
      <c r="H1783">
        <v>28945</v>
      </c>
      <c r="I1783">
        <v>14121</v>
      </c>
      <c r="J1783">
        <v>175891</v>
      </c>
      <c r="K1783">
        <v>161218</v>
      </c>
      <c r="L1783" s="4" t="s">
        <v>232</v>
      </c>
      <c r="M1783" s="4" t="str">
        <f t="shared" si="245"/>
        <v>5/23/2022</v>
      </c>
      <c r="N1783" s="1">
        <f t="shared" ca="1" si="246"/>
        <v>46064</v>
      </c>
      <c r="O1783" s="6" t="e">
        <f t="shared" ca="1" si="247"/>
        <v>#VALUE!</v>
      </c>
      <c r="P1783">
        <v>1</v>
      </c>
      <c r="Q1783">
        <f t="shared" si="248"/>
        <v>43066</v>
      </c>
      <c r="R1783" s="2">
        <f t="shared" si="249"/>
        <v>21533</v>
      </c>
      <c r="S1783" s="2" t="str">
        <f t="shared" si="250"/>
        <v>Achieved</v>
      </c>
      <c r="T1783" s="2" t="str">
        <f t="shared" si="251"/>
        <v>poor</v>
      </c>
      <c r="U1783" s="2"/>
    </row>
    <row r="1784" spans="1:21" x14ac:dyDescent="0.3">
      <c r="A1784">
        <v>1783</v>
      </c>
      <c r="B1784" t="s">
        <v>2599</v>
      </c>
      <c r="C1784" t="str">
        <f t="shared" si="243"/>
        <v>EMP_1783</v>
      </c>
      <c r="D1784" t="s">
        <v>15</v>
      </c>
      <c r="E1784" t="str">
        <f t="shared" si="244"/>
        <v>EMP_1783Sales</v>
      </c>
      <c r="F1784" t="s">
        <v>7</v>
      </c>
      <c r="G1784" t="s">
        <v>22</v>
      </c>
      <c r="H1784">
        <v>29311</v>
      </c>
      <c r="I1784">
        <v>4056</v>
      </c>
      <c r="J1784">
        <v>252952</v>
      </c>
      <c r="K1784">
        <v>101779</v>
      </c>
      <c r="L1784" s="4">
        <v>45538</v>
      </c>
      <c r="M1784" s="4" t="str">
        <f t="shared" si="245"/>
        <v>2024</v>
      </c>
      <c r="N1784" s="1">
        <f t="shared" ca="1" si="246"/>
        <v>46064</v>
      </c>
      <c r="O1784" s="6">
        <f t="shared" ca="1" si="247"/>
        <v>1</v>
      </c>
      <c r="P1784">
        <v>2</v>
      </c>
      <c r="Q1784">
        <f t="shared" si="248"/>
        <v>33367</v>
      </c>
      <c r="R1784" s="2">
        <f t="shared" si="249"/>
        <v>16683.5</v>
      </c>
      <c r="S1784" s="2" t="str">
        <f t="shared" si="250"/>
        <v>Achieved</v>
      </c>
      <c r="T1784" s="2" t="str">
        <f t="shared" si="251"/>
        <v>poor</v>
      </c>
      <c r="U1784" s="2"/>
    </row>
    <row r="1785" spans="1:21" x14ac:dyDescent="0.3">
      <c r="A1785">
        <v>1784</v>
      </c>
      <c r="B1785" t="s">
        <v>2600</v>
      </c>
      <c r="C1785" t="str">
        <f t="shared" si="243"/>
        <v>EMP_1784</v>
      </c>
      <c r="D1785" t="s">
        <v>15</v>
      </c>
      <c r="E1785" t="str">
        <f t="shared" si="244"/>
        <v>EMP_1784Marketing</v>
      </c>
      <c r="F1785" t="s">
        <v>24</v>
      </c>
      <c r="G1785" t="s">
        <v>22</v>
      </c>
      <c r="H1785">
        <v>59624</v>
      </c>
      <c r="I1785">
        <v>7426</v>
      </c>
      <c r="J1785">
        <v>0</v>
      </c>
      <c r="K1785">
        <v>0</v>
      </c>
      <c r="L1785" s="4" t="s">
        <v>2601</v>
      </c>
      <c r="M1785" s="4" t="str">
        <f t="shared" si="245"/>
        <v>10/23/2022</v>
      </c>
      <c r="N1785" s="1">
        <f t="shared" ca="1" si="246"/>
        <v>46064</v>
      </c>
      <c r="O1785" s="6" t="e">
        <f t="shared" ca="1" si="247"/>
        <v>#VALUE!</v>
      </c>
      <c r="P1785">
        <v>3</v>
      </c>
      <c r="Q1785">
        <f t="shared" si="248"/>
        <v>67050</v>
      </c>
      <c r="R1785" s="2">
        <f t="shared" si="249"/>
        <v>33525</v>
      </c>
      <c r="S1785" s="2" t="str">
        <f t="shared" si="250"/>
        <v xml:space="preserve"> Not Achieved</v>
      </c>
      <c r="T1785" s="2" t="str">
        <f t="shared" si="251"/>
        <v xml:space="preserve"> Excellent</v>
      </c>
      <c r="U1785" s="2"/>
    </row>
    <row r="1786" spans="1:21" x14ac:dyDescent="0.3">
      <c r="A1786">
        <v>1785</v>
      </c>
      <c r="B1786" t="s">
        <v>2602</v>
      </c>
      <c r="C1786" t="str">
        <f t="shared" si="243"/>
        <v>EMP_1785</v>
      </c>
      <c r="D1786" t="s">
        <v>15</v>
      </c>
      <c r="E1786" t="str">
        <f t="shared" si="244"/>
        <v>EMP_1785Marketing</v>
      </c>
      <c r="F1786" t="s">
        <v>24</v>
      </c>
      <c r="G1786" t="s">
        <v>19</v>
      </c>
      <c r="H1786">
        <v>58065</v>
      </c>
      <c r="I1786">
        <v>10302</v>
      </c>
      <c r="J1786">
        <v>0</v>
      </c>
      <c r="K1786">
        <v>0</v>
      </c>
      <c r="L1786" s="4" t="s">
        <v>89</v>
      </c>
      <c r="M1786" s="4" t="str">
        <f t="shared" si="245"/>
        <v>7/25/2020</v>
      </c>
      <c r="N1786" s="1">
        <f t="shared" ca="1" si="246"/>
        <v>46064</v>
      </c>
      <c r="O1786" s="6" t="e">
        <f t="shared" ca="1" si="247"/>
        <v>#VALUE!</v>
      </c>
      <c r="P1786">
        <v>4</v>
      </c>
      <c r="Q1786">
        <f t="shared" si="248"/>
        <v>68367</v>
      </c>
      <c r="R1786" s="2">
        <f t="shared" si="249"/>
        <v>34183.5</v>
      </c>
      <c r="S1786" s="2" t="str">
        <f t="shared" si="250"/>
        <v xml:space="preserve"> Not Achieved</v>
      </c>
      <c r="T1786" s="2" t="str">
        <f t="shared" si="251"/>
        <v xml:space="preserve"> Excellent</v>
      </c>
      <c r="U1786" s="2"/>
    </row>
    <row r="1787" spans="1:21" x14ac:dyDescent="0.3">
      <c r="A1787">
        <v>1786</v>
      </c>
      <c r="B1787" t="s">
        <v>2603</v>
      </c>
      <c r="C1787" t="str">
        <f t="shared" si="243"/>
        <v>EMP_1786</v>
      </c>
      <c r="D1787" t="s">
        <v>11</v>
      </c>
      <c r="E1787" t="str">
        <f t="shared" si="244"/>
        <v>EMP_1786Marketing</v>
      </c>
      <c r="F1787" t="s">
        <v>24</v>
      </c>
      <c r="G1787" t="s">
        <v>16</v>
      </c>
      <c r="H1787">
        <v>58049</v>
      </c>
      <c r="I1787">
        <v>9413</v>
      </c>
      <c r="J1787">
        <v>0</v>
      </c>
      <c r="K1787">
        <v>0</v>
      </c>
      <c r="L1787" s="4" t="s">
        <v>731</v>
      </c>
      <c r="M1787" s="4" t="str">
        <f t="shared" si="245"/>
        <v>2/21/2024</v>
      </c>
      <c r="N1787" s="1">
        <f t="shared" ca="1" si="246"/>
        <v>46064</v>
      </c>
      <c r="O1787" s="6" t="e">
        <f t="shared" ca="1" si="247"/>
        <v>#VALUE!</v>
      </c>
      <c r="P1787">
        <v>3</v>
      </c>
      <c r="Q1787">
        <f t="shared" si="248"/>
        <v>67462</v>
      </c>
      <c r="R1787" s="2">
        <f t="shared" si="249"/>
        <v>33731</v>
      </c>
      <c r="S1787" s="2" t="str">
        <f t="shared" si="250"/>
        <v xml:space="preserve"> Not Achieved</v>
      </c>
      <c r="T1787" s="2" t="str">
        <f t="shared" si="251"/>
        <v xml:space="preserve"> Excellent</v>
      </c>
      <c r="U1787" s="2"/>
    </row>
    <row r="1788" spans="1:21" x14ac:dyDescent="0.3">
      <c r="A1788">
        <v>1787</v>
      </c>
      <c r="B1788" t="s">
        <v>2604</v>
      </c>
      <c r="C1788" t="str">
        <f t="shared" si="243"/>
        <v>EMP_1787</v>
      </c>
      <c r="D1788" t="s">
        <v>15</v>
      </c>
      <c r="E1788" t="str">
        <f t="shared" si="244"/>
        <v>EMP_1787Finance</v>
      </c>
      <c r="F1788" t="s">
        <v>18</v>
      </c>
      <c r="G1788" t="s">
        <v>22</v>
      </c>
      <c r="H1788">
        <v>63829</v>
      </c>
      <c r="I1788">
        <v>10532</v>
      </c>
      <c r="J1788">
        <v>0</v>
      </c>
      <c r="K1788">
        <v>0</v>
      </c>
      <c r="L1788" s="4" t="s">
        <v>842</v>
      </c>
      <c r="M1788" s="4" t="str">
        <f t="shared" si="245"/>
        <v>8/20/2019</v>
      </c>
      <c r="N1788" s="1">
        <f t="shared" ca="1" si="246"/>
        <v>46064</v>
      </c>
      <c r="O1788" s="6" t="e">
        <f t="shared" ca="1" si="247"/>
        <v>#VALUE!</v>
      </c>
      <c r="P1788">
        <v>4</v>
      </c>
      <c r="Q1788">
        <f t="shared" si="248"/>
        <v>74361</v>
      </c>
      <c r="R1788" s="2">
        <f t="shared" si="249"/>
        <v>37180.5</v>
      </c>
      <c r="S1788" s="2" t="str">
        <f t="shared" si="250"/>
        <v xml:space="preserve"> Not Achieved</v>
      </c>
      <c r="T1788" s="2" t="str">
        <f t="shared" si="251"/>
        <v xml:space="preserve"> Excellent</v>
      </c>
      <c r="U1788" s="2"/>
    </row>
    <row r="1789" spans="1:21" x14ac:dyDescent="0.3">
      <c r="A1789">
        <v>1788</v>
      </c>
      <c r="B1789" t="s">
        <v>2605</v>
      </c>
      <c r="C1789" t="str">
        <f t="shared" si="243"/>
        <v>EMP_1788</v>
      </c>
      <c r="D1789" t="s">
        <v>11</v>
      </c>
      <c r="E1789" t="str">
        <f t="shared" si="244"/>
        <v>EMP_1788IT</v>
      </c>
      <c r="F1789" t="s">
        <v>21</v>
      </c>
      <c r="G1789" t="s">
        <v>13</v>
      </c>
      <c r="H1789">
        <v>74462</v>
      </c>
      <c r="I1789">
        <v>14623</v>
      </c>
      <c r="J1789">
        <v>0</v>
      </c>
      <c r="K1789">
        <v>0</v>
      </c>
      <c r="L1789" s="4">
        <v>43526</v>
      </c>
      <c r="M1789" s="4" t="str">
        <f t="shared" si="245"/>
        <v>2019</v>
      </c>
      <c r="N1789" s="1">
        <f t="shared" ca="1" si="246"/>
        <v>46064</v>
      </c>
      <c r="O1789" s="6">
        <f t="shared" ca="1" si="247"/>
        <v>6</v>
      </c>
      <c r="P1789">
        <v>2</v>
      </c>
      <c r="Q1789">
        <f t="shared" si="248"/>
        <v>89085</v>
      </c>
      <c r="R1789" s="2">
        <f t="shared" si="249"/>
        <v>44542.5</v>
      </c>
      <c r="S1789" s="2" t="str">
        <f t="shared" si="250"/>
        <v xml:space="preserve"> Not Achieved</v>
      </c>
      <c r="T1789" s="2" t="str">
        <f t="shared" si="251"/>
        <v xml:space="preserve"> Excellent</v>
      </c>
      <c r="U1789" s="2"/>
    </row>
    <row r="1790" spans="1:21" x14ac:dyDescent="0.3">
      <c r="A1790">
        <v>1789</v>
      </c>
      <c r="B1790" t="s">
        <v>2606</v>
      </c>
      <c r="C1790" t="str">
        <f t="shared" si="243"/>
        <v>EMP_1789</v>
      </c>
      <c r="D1790" t="s">
        <v>15</v>
      </c>
      <c r="E1790" t="str">
        <f t="shared" si="244"/>
        <v>EMP_1789Sales</v>
      </c>
      <c r="F1790" t="s">
        <v>7</v>
      </c>
      <c r="G1790" t="s">
        <v>13</v>
      </c>
      <c r="H1790">
        <v>52106</v>
      </c>
      <c r="I1790">
        <v>13639</v>
      </c>
      <c r="J1790">
        <v>134362</v>
      </c>
      <c r="K1790">
        <v>231006</v>
      </c>
      <c r="L1790" s="4">
        <v>44573</v>
      </c>
      <c r="M1790" s="4" t="str">
        <f t="shared" si="245"/>
        <v>2022</v>
      </c>
      <c r="N1790" s="1">
        <f t="shared" ca="1" si="246"/>
        <v>46064</v>
      </c>
      <c r="O1790" s="6">
        <f t="shared" ca="1" si="247"/>
        <v>4</v>
      </c>
      <c r="P1790">
        <v>2</v>
      </c>
      <c r="Q1790">
        <f t="shared" si="248"/>
        <v>65745</v>
      </c>
      <c r="R1790" s="2">
        <f t="shared" si="249"/>
        <v>32872.5</v>
      </c>
      <c r="S1790" s="2" t="str">
        <f t="shared" si="250"/>
        <v xml:space="preserve"> Not Achieved</v>
      </c>
      <c r="T1790" s="2" t="str">
        <f t="shared" si="251"/>
        <v xml:space="preserve"> Excellent</v>
      </c>
      <c r="U1790" s="2"/>
    </row>
    <row r="1791" spans="1:21" x14ac:dyDescent="0.3">
      <c r="A1791">
        <v>1790</v>
      </c>
      <c r="B1791" t="s">
        <v>2607</v>
      </c>
      <c r="C1791" t="str">
        <f t="shared" si="243"/>
        <v>EMP_1790</v>
      </c>
      <c r="D1791" t="s">
        <v>15</v>
      </c>
      <c r="E1791" t="str">
        <f t="shared" si="244"/>
        <v>EMP_1790Sales</v>
      </c>
      <c r="F1791" t="s">
        <v>7</v>
      </c>
      <c r="G1791" t="s">
        <v>22</v>
      </c>
      <c r="H1791">
        <v>78266</v>
      </c>
      <c r="I1791">
        <v>5592</v>
      </c>
      <c r="J1791">
        <v>290347</v>
      </c>
      <c r="K1791">
        <v>121414</v>
      </c>
      <c r="L1791" s="4" t="s">
        <v>706</v>
      </c>
      <c r="M1791" s="4" t="str">
        <f t="shared" si="245"/>
        <v>2/29/2024</v>
      </c>
      <c r="N1791" s="1">
        <f t="shared" ca="1" si="246"/>
        <v>46064</v>
      </c>
      <c r="O1791" s="6" t="e">
        <f t="shared" ca="1" si="247"/>
        <v>#VALUE!</v>
      </c>
      <c r="P1791">
        <v>3</v>
      </c>
      <c r="Q1791">
        <f t="shared" si="248"/>
        <v>83858</v>
      </c>
      <c r="R1791" s="2">
        <f t="shared" si="249"/>
        <v>41929</v>
      </c>
      <c r="S1791" s="2" t="str">
        <f t="shared" si="250"/>
        <v>Achieved</v>
      </c>
      <c r="T1791" s="2" t="str">
        <f t="shared" si="251"/>
        <v xml:space="preserve"> Excellent</v>
      </c>
      <c r="U1791" s="2"/>
    </row>
    <row r="1792" spans="1:21" x14ac:dyDescent="0.3">
      <c r="A1792">
        <v>1791</v>
      </c>
      <c r="B1792" t="s">
        <v>2608</v>
      </c>
      <c r="C1792" t="str">
        <f t="shared" si="243"/>
        <v>EMP_1791</v>
      </c>
      <c r="D1792" t="s">
        <v>15</v>
      </c>
      <c r="E1792" t="str">
        <f t="shared" si="244"/>
        <v>EMP_1791HR</v>
      </c>
      <c r="F1792" t="s">
        <v>12</v>
      </c>
      <c r="G1792" t="s">
        <v>16</v>
      </c>
      <c r="H1792">
        <v>52320</v>
      </c>
      <c r="I1792">
        <v>12716</v>
      </c>
      <c r="J1792">
        <v>0</v>
      </c>
      <c r="K1792">
        <v>0</v>
      </c>
      <c r="L1792" s="4" t="s">
        <v>827</v>
      </c>
      <c r="M1792" s="4" t="str">
        <f t="shared" si="245"/>
        <v>4/29/2022</v>
      </c>
      <c r="N1792" s="1">
        <f t="shared" ca="1" si="246"/>
        <v>46064</v>
      </c>
      <c r="O1792" s="6" t="e">
        <f t="shared" ca="1" si="247"/>
        <v>#VALUE!</v>
      </c>
      <c r="P1792">
        <v>4</v>
      </c>
      <c r="Q1792">
        <f t="shared" si="248"/>
        <v>65036</v>
      </c>
      <c r="R1792" s="2">
        <f t="shared" si="249"/>
        <v>32518</v>
      </c>
      <c r="S1792" s="2" t="str">
        <f t="shared" si="250"/>
        <v xml:space="preserve"> Not Achieved</v>
      </c>
      <c r="T1792" s="2" t="str">
        <f t="shared" si="251"/>
        <v xml:space="preserve"> Excellent</v>
      </c>
      <c r="U1792" s="2"/>
    </row>
    <row r="1793" spans="1:21" x14ac:dyDescent="0.3">
      <c r="A1793">
        <v>1792</v>
      </c>
      <c r="B1793" t="s">
        <v>2609</v>
      </c>
      <c r="C1793" t="str">
        <f t="shared" si="243"/>
        <v>EMP_1792</v>
      </c>
      <c r="D1793" t="s">
        <v>11</v>
      </c>
      <c r="E1793" t="str">
        <f t="shared" si="244"/>
        <v>EMP_1792HR</v>
      </c>
      <c r="F1793" t="s">
        <v>12</v>
      </c>
      <c r="G1793" t="s">
        <v>22</v>
      </c>
      <c r="H1793">
        <v>52452</v>
      </c>
      <c r="I1793">
        <v>7153</v>
      </c>
      <c r="J1793">
        <v>0</v>
      </c>
      <c r="K1793">
        <v>0</v>
      </c>
      <c r="L1793" s="4" t="s">
        <v>1633</v>
      </c>
      <c r="M1793" s="4" t="str">
        <f t="shared" si="245"/>
        <v>10/26/2019</v>
      </c>
      <c r="N1793" s="1">
        <f t="shared" ca="1" si="246"/>
        <v>46064</v>
      </c>
      <c r="O1793" s="6" t="e">
        <f t="shared" ca="1" si="247"/>
        <v>#VALUE!</v>
      </c>
      <c r="P1793">
        <v>4</v>
      </c>
      <c r="Q1793">
        <f t="shared" si="248"/>
        <v>59605</v>
      </c>
      <c r="R1793" s="2">
        <f t="shared" si="249"/>
        <v>29802.5</v>
      </c>
      <c r="S1793" s="2" t="str">
        <f t="shared" si="250"/>
        <v xml:space="preserve"> Not Achieved</v>
      </c>
      <c r="T1793" s="2" t="str">
        <f t="shared" si="251"/>
        <v xml:space="preserve"> Excellent</v>
      </c>
      <c r="U1793" s="2"/>
    </row>
    <row r="1794" spans="1:21" x14ac:dyDescent="0.3">
      <c r="A1794">
        <v>1793</v>
      </c>
      <c r="B1794" t="s">
        <v>2610</v>
      </c>
      <c r="C1794" t="str">
        <f t="shared" si="243"/>
        <v>EMP_1793</v>
      </c>
      <c r="D1794" t="s">
        <v>15</v>
      </c>
      <c r="E1794" t="str">
        <f t="shared" si="244"/>
        <v>EMP_1793Finance</v>
      </c>
      <c r="F1794" t="s">
        <v>18</v>
      </c>
      <c r="G1794" t="s">
        <v>13</v>
      </c>
      <c r="H1794">
        <v>57057</v>
      </c>
      <c r="I1794">
        <v>5613</v>
      </c>
      <c r="J1794">
        <v>0</v>
      </c>
      <c r="K1794">
        <v>0</v>
      </c>
      <c r="L1794" s="4" t="s">
        <v>258</v>
      </c>
      <c r="M1794" s="4" t="str">
        <f t="shared" si="245"/>
        <v>10/22/2021</v>
      </c>
      <c r="N1794" s="1">
        <f t="shared" ca="1" si="246"/>
        <v>46064</v>
      </c>
      <c r="O1794" s="6" t="e">
        <f t="shared" ca="1" si="247"/>
        <v>#VALUE!</v>
      </c>
      <c r="P1794">
        <v>1</v>
      </c>
      <c r="Q1794">
        <f t="shared" si="248"/>
        <v>62670</v>
      </c>
      <c r="R1794" s="2">
        <f t="shared" si="249"/>
        <v>31335</v>
      </c>
      <c r="S1794" s="2" t="str">
        <f t="shared" si="250"/>
        <v xml:space="preserve"> Not Achieved</v>
      </c>
      <c r="T1794" s="2" t="str">
        <f t="shared" si="251"/>
        <v xml:space="preserve"> Excellent</v>
      </c>
      <c r="U1794" s="2"/>
    </row>
    <row r="1795" spans="1:21" x14ac:dyDescent="0.3">
      <c r="A1795">
        <v>1794</v>
      </c>
      <c r="B1795" t="s">
        <v>2611</v>
      </c>
      <c r="C1795" t="str">
        <f t="shared" ref="C1795:C1858" si="252">UPPER(B1795)</f>
        <v>EMP_1794</v>
      </c>
      <c r="D1795" t="s">
        <v>11</v>
      </c>
      <c r="E1795" t="str">
        <f t="shared" ref="E1795:E1858" si="253">_xlfn.CONCAT(C1795,F1795)</f>
        <v>EMP_1794Sales</v>
      </c>
      <c r="F1795" t="s">
        <v>7</v>
      </c>
      <c r="G1795" t="s">
        <v>13</v>
      </c>
      <c r="H1795">
        <v>49654</v>
      </c>
      <c r="I1795">
        <v>2171</v>
      </c>
      <c r="J1795">
        <v>217679</v>
      </c>
      <c r="K1795">
        <v>210827</v>
      </c>
      <c r="L1795" s="4">
        <v>43498</v>
      </c>
      <c r="M1795" s="4" t="str">
        <f t="shared" ref="M1795:M1858" si="254">TEXT(L1795,"yyyy")</f>
        <v>2019</v>
      </c>
      <c r="N1795" s="1">
        <f t="shared" ref="N1795:N1858" ca="1" si="255">TODAY()</f>
        <v>46064</v>
      </c>
      <c r="O1795" s="6">
        <f t="shared" ref="O1795:O1858" ca="1" si="256">DATEDIF(L1795, TODAY(), "y")</f>
        <v>7</v>
      </c>
      <c r="P1795">
        <v>5</v>
      </c>
      <c r="Q1795">
        <f t="shared" ref="Q1795:Q1858" si="257">SUM(H1795,I1795)</f>
        <v>51825</v>
      </c>
      <c r="R1795" s="2">
        <f t="shared" ref="R1795:R1858" si="258">AVERAGE(H1795,I1795)</f>
        <v>25912.5</v>
      </c>
      <c r="S1795" s="2" t="str">
        <f t="shared" ref="S1795:S1858" si="259">IF(J1795&gt;K1795,"Achieved"," Not Achieved")</f>
        <v>Achieved</v>
      </c>
      <c r="T1795" s="2" t="str">
        <f t="shared" ref="T1795:T1858" si="260">_xlfn.IFS(H1795&gt;=50000," Excellent",H1795&gt;=40000,"Good",H1795&gt;=30000,"Average",H1795&lt;30000,"poor")</f>
        <v>Good</v>
      </c>
      <c r="U1795" s="2"/>
    </row>
    <row r="1796" spans="1:21" x14ac:dyDescent="0.3">
      <c r="A1796">
        <v>1795</v>
      </c>
      <c r="B1796" t="s">
        <v>2612</v>
      </c>
      <c r="C1796" t="str">
        <f t="shared" si="252"/>
        <v>EMP_1795</v>
      </c>
      <c r="D1796" t="s">
        <v>15</v>
      </c>
      <c r="E1796" t="str">
        <f t="shared" si="253"/>
        <v>EMP_1795HR</v>
      </c>
      <c r="F1796" t="s">
        <v>12</v>
      </c>
      <c r="G1796" t="s">
        <v>22</v>
      </c>
      <c r="H1796">
        <v>46470</v>
      </c>
      <c r="I1796">
        <v>3769</v>
      </c>
      <c r="J1796">
        <v>0</v>
      </c>
      <c r="K1796">
        <v>0</v>
      </c>
      <c r="L1796" s="4">
        <v>45455</v>
      </c>
      <c r="M1796" s="4" t="str">
        <f t="shared" si="254"/>
        <v>2024</v>
      </c>
      <c r="N1796" s="1">
        <f t="shared" ca="1" si="255"/>
        <v>46064</v>
      </c>
      <c r="O1796" s="6">
        <f t="shared" ca="1" si="256"/>
        <v>1</v>
      </c>
      <c r="P1796">
        <v>1</v>
      </c>
      <c r="Q1796">
        <f t="shared" si="257"/>
        <v>50239</v>
      </c>
      <c r="R1796" s="2">
        <f t="shared" si="258"/>
        <v>25119.5</v>
      </c>
      <c r="S1796" s="2" t="str">
        <f t="shared" si="259"/>
        <v xml:space="preserve"> Not Achieved</v>
      </c>
      <c r="T1796" s="2" t="str">
        <f t="shared" si="260"/>
        <v>Good</v>
      </c>
      <c r="U1796" s="2"/>
    </row>
    <row r="1797" spans="1:21" x14ac:dyDescent="0.3">
      <c r="A1797">
        <v>1796</v>
      </c>
      <c r="B1797" t="s">
        <v>2613</v>
      </c>
      <c r="C1797" t="str">
        <f t="shared" si="252"/>
        <v>EMP_1796</v>
      </c>
      <c r="D1797" t="s">
        <v>11</v>
      </c>
      <c r="E1797" t="str">
        <f t="shared" si="253"/>
        <v>EMP_1796IT</v>
      </c>
      <c r="F1797" t="s">
        <v>21</v>
      </c>
      <c r="G1797" t="s">
        <v>13</v>
      </c>
      <c r="H1797">
        <v>53614</v>
      </c>
      <c r="I1797">
        <v>9739</v>
      </c>
      <c r="J1797">
        <v>0</v>
      </c>
      <c r="K1797">
        <v>0</v>
      </c>
      <c r="L1797" s="4">
        <v>45385</v>
      </c>
      <c r="M1797" s="4" t="str">
        <f t="shared" si="254"/>
        <v>2024</v>
      </c>
      <c r="N1797" s="1">
        <f t="shared" ca="1" si="255"/>
        <v>46064</v>
      </c>
      <c r="O1797" s="6">
        <f t="shared" ca="1" si="256"/>
        <v>1</v>
      </c>
      <c r="P1797">
        <v>4</v>
      </c>
      <c r="Q1797">
        <f t="shared" si="257"/>
        <v>63353</v>
      </c>
      <c r="R1797" s="2">
        <f t="shared" si="258"/>
        <v>31676.5</v>
      </c>
      <c r="S1797" s="2" t="str">
        <f t="shared" si="259"/>
        <v xml:space="preserve"> Not Achieved</v>
      </c>
      <c r="T1797" s="2" t="str">
        <f t="shared" si="260"/>
        <v xml:space="preserve"> Excellent</v>
      </c>
      <c r="U1797" s="2"/>
    </row>
    <row r="1798" spans="1:21" x14ac:dyDescent="0.3">
      <c r="A1798">
        <v>1797</v>
      </c>
      <c r="B1798" t="s">
        <v>2614</v>
      </c>
      <c r="C1798" t="str">
        <f t="shared" si="252"/>
        <v>EMP_1797</v>
      </c>
      <c r="D1798" t="s">
        <v>11</v>
      </c>
      <c r="E1798" t="str">
        <f t="shared" si="253"/>
        <v>EMP_1797Marketing</v>
      </c>
      <c r="F1798" t="s">
        <v>24</v>
      </c>
      <c r="G1798" t="s">
        <v>16</v>
      </c>
      <c r="H1798">
        <v>54596</v>
      </c>
      <c r="I1798">
        <v>6239</v>
      </c>
      <c r="J1798">
        <v>0</v>
      </c>
      <c r="K1798">
        <v>0</v>
      </c>
      <c r="L1798" s="4">
        <v>44572</v>
      </c>
      <c r="M1798" s="4" t="str">
        <f t="shared" si="254"/>
        <v>2022</v>
      </c>
      <c r="N1798" s="1">
        <f t="shared" ca="1" si="255"/>
        <v>46064</v>
      </c>
      <c r="O1798" s="6">
        <f t="shared" ca="1" si="256"/>
        <v>4</v>
      </c>
      <c r="P1798">
        <v>5</v>
      </c>
      <c r="Q1798">
        <f t="shared" si="257"/>
        <v>60835</v>
      </c>
      <c r="R1798" s="2">
        <f t="shared" si="258"/>
        <v>30417.5</v>
      </c>
      <c r="S1798" s="2" t="str">
        <f t="shared" si="259"/>
        <v xml:space="preserve"> Not Achieved</v>
      </c>
      <c r="T1798" s="2" t="str">
        <f t="shared" si="260"/>
        <v xml:space="preserve"> Excellent</v>
      </c>
      <c r="U1798" s="2"/>
    </row>
    <row r="1799" spans="1:21" x14ac:dyDescent="0.3">
      <c r="A1799">
        <v>1798</v>
      </c>
      <c r="B1799" t="s">
        <v>2615</v>
      </c>
      <c r="C1799" t="str">
        <f t="shared" si="252"/>
        <v>EMP_1798</v>
      </c>
      <c r="D1799" t="s">
        <v>15</v>
      </c>
      <c r="E1799" t="str">
        <f t="shared" si="253"/>
        <v>EMP_1798Sales</v>
      </c>
      <c r="F1799" t="s">
        <v>7</v>
      </c>
      <c r="G1799" t="s">
        <v>19</v>
      </c>
      <c r="H1799">
        <v>58869</v>
      </c>
      <c r="I1799">
        <v>7100</v>
      </c>
      <c r="J1799">
        <v>55626</v>
      </c>
      <c r="K1799">
        <v>199110</v>
      </c>
      <c r="L1799" s="4">
        <v>44020</v>
      </c>
      <c r="M1799" s="4" t="str">
        <f t="shared" si="254"/>
        <v>2020</v>
      </c>
      <c r="N1799" s="1">
        <f t="shared" ca="1" si="255"/>
        <v>46064</v>
      </c>
      <c r="O1799" s="6">
        <f t="shared" ca="1" si="256"/>
        <v>5</v>
      </c>
      <c r="P1799">
        <v>1</v>
      </c>
      <c r="Q1799">
        <f t="shared" si="257"/>
        <v>65969</v>
      </c>
      <c r="R1799" s="2">
        <f t="shared" si="258"/>
        <v>32984.5</v>
      </c>
      <c r="S1799" s="2" t="str">
        <f t="shared" si="259"/>
        <v xml:space="preserve"> Not Achieved</v>
      </c>
      <c r="T1799" s="2" t="str">
        <f t="shared" si="260"/>
        <v xml:space="preserve"> Excellent</v>
      </c>
      <c r="U1799" s="2"/>
    </row>
    <row r="1800" spans="1:21" x14ac:dyDescent="0.3">
      <c r="A1800">
        <v>1799</v>
      </c>
      <c r="B1800" t="s">
        <v>2616</v>
      </c>
      <c r="C1800" t="str">
        <f t="shared" si="252"/>
        <v>EMP_1799</v>
      </c>
      <c r="D1800" t="s">
        <v>11</v>
      </c>
      <c r="E1800" t="str">
        <f t="shared" si="253"/>
        <v>EMP_1799Sales</v>
      </c>
      <c r="F1800" t="s">
        <v>7</v>
      </c>
      <c r="G1800" t="s">
        <v>25</v>
      </c>
      <c r="H1800">
        <v>55806</v>
      </c>
      <c r="I1800">
        <v>3316</v>
      </c>
      <c r="J1800">
        <v>187079</v>
      </c>
      <c r="K1800">
        <v>239863</v>
      </c>
      <c r="L1800" s="4">
        <v>44655</v>
      </c>
      <c r="M1800" s="4" t="str">
        <f t="shared" si="254"/>
        <v>2022</v>
      </c>
      <c r="N1800" s="1">
        <f t="shared" ca="1" si="255"/>
        <v>46064</v>
      </c>
      <c r="O1800" s="6">
        <f t="shared" ca="1" si="256"/>
        <v>3</v>
      </c>
      <c r="P1800">
        <v>2</v>
      </c>
      <c r="Q1800">
        <f t="shared" si="257"/>
        <v>59122</v>
      </c>
      <c r="R1800" s="2">
        <f t="shared" si="258"/>
        <v>29561</v>
      </c>
      <c r="S1800" s="2" t="str">
        <f t="shared" si="259"/>
        <v xml:space="preserve"> Not Achieved</v>
      </c>
      <c r="T1800" s="2" t="str">
        <f t="shared" si="260"/>
        <v xml:space="preserve"> Excellent</v>
      </c>
      <c r="U1800" s="2"/>
    </row>
    <row r="1801" spans="1:21" x14ac:dyDescent="0.3">
      <c r="A1801">
        <v>1800</v>
      </c>
      <c r="B1801" t="s">
        <v>2617</v>
      </c>
      <c r="C1801" t="str">
        <f t="shared" si="252"/>
        <v>EMP_1800</v>
      </c>
      <c r="D1801" t="s">
        <v>15</v>
      </c>
      <c r="E1801" t="str">
        <f t="shared" si="253"/>
        <v>EMP_1800Finance</v>
      </c>
      <c r="F1801" t="s">
        <v>18</v>
      </c>
      <c r="G1801" t="s">
        <v>19</v>
      </c>
      <c r="H1801">
        <v>21453</v>
      </c>
      <c r="I1801">
        <v>14162</v>
      </c>
      <c r="J1801">
        <v>0</v>
      </c>
      <c r="K1801">
        <v>0</v>
      </c>
      <c r="L1801" s="4" t="s">
        <v>2618</v>
      </c>
      <c r="M1801" s="4" t="str">
        <f t="shared" si="254"/>
        <v>11/23/2018</v>
      </c>
      <c r="N1801" s="1">
        <f t="shared" ca="1" si="255"/>
        <v>46064</v>
      </c>
      <c r="O1801" s="6" t="e">
        <f t="shared" ca="1" si="256"/>
        <v>#VALUE!</v>
      </c>
      <c r="P1801">
        <v>2</v>
      </c>
      <c r="Q1801">
        <f t="shared" si="257"/>
        <v>35615</v>
      </c>
      <c r="R1801" s="2">
        <f t="shared" si="258"/>
        <v>17807.5</v>
      </c>
      <c r="S1801" s="2" t="str">
        <f t="shared" si="259"/>
        <v xml:space="preserve"> Not Achieved</v>
      </c>
      <c r="T1801" s="2" t="str">
        <f t="shared" si="260"/>
        <v>poor</v>
      </c>
      <c r="U1801" s="2"/>
    </row>
    <row r="1802" spans="1:21" x14ac:dyDescent="0.3">
      <c r="A1802">
        <v>1801</v>
      </c>
      <c r="B1802" t="s">
        <v>2619</v>
      </c>
      <c r="C1802" t="str">
        <f t="shared" si="252"/>
        <v>EMP_1801</v>
      </c>
      <c r="D1802" t="s">
        <v>11</v>
      </c>
      <c r="E1802" t="str">
        <f t="shared" si="253"/>
        <v>EMP_1801Marketing</v>
      </c>
      <c r="F1802" t="s">
        <v>24</v>
      </c>
      <c r="G1802" t="s">
        <v>22</v>
      </c>
      <c r="H1802">
        <v>53620</v>
      </c>
      <c r="I1802">
        <v>6267</v>
      </c>
      <c r="J1802">
        <v>0</v>
      </c>
      <c r="K1802">
        <v>0</v>
      </c>
      <c r="L1802" s="4" t="s">
        <v>2620</v>
      </c>
      <c r="M1802" s="4" t="str">
        <f t="shared" si="254"/>
        <v>11/21/2019</v>
      </c>
      <c r="N1802" s="1">
        <f t="shared" ca="1" si="255"/>
        <v>46064</v>
      </c>
      <c r="O1802" s="6" t="e">
        <f t="shared" ca="1" si="256"/>
        <v>#VALUE!</v>
      </c>
      <c r="P1802">
        <v>2</v>
      </c>
      <c r="Q1802">
        <f t="shared" si="257"/>
        <v>59887</v>
      </c>
      <c r="R1802" s="2">
        <f t="shared" si="258"/>
        <v>29943.5</v>
      </c>
      <c r="S1802" s="2" t="str">
        <f t="shared" si="259"/>
        <v xml:space="preserve"> Not Achieved</v>
      </c>
      <c r="T1802" s="2" t="str">
        <f t="shared" si="260"/>
        <v xml:space="preserve"> Excellent</v>
      </c>
      <c r="U1802" s="2"/>
    </row>
    <row r="1803" spans="1:21" x14ac:dyDescent="0.3">
      <c r="A1803">
        <v>1802</v>
      </c>
      <c r="B1803" t="s">
        <v>2621</v>
      </c>
      <c r="C1803" t="str">
        <f t="shared" si="252"/>
        <v>EMP_1802</v>
      </c>
      <c r="D1803" t="s">
        <v>11</v>
      </c>
      <c r="E1803" t="str">
        <f t="shared" si="253"/>
        <v>EMP_1802Marketing</v>
      </c>
      <c r="F1803" t="s">
        <v>24</v>
      </c>
      <c r="G1803" t="s">
        <v>22</v>
      </c>
      <c r="H1803">
        <v>35025</v>
      </c>
      <c r="I1803">
        <v>10015</v>
      </c>
      <c r="J1803">
        <v>0</v>
      </c>
      <c r="K1803">
        <v>0</v>
      </c>
      <c r="L1803" s="4">
        <v>45567</v>
      </c>
      <c r="M1803" s="4" t="str">
        <f t="shared" si="254"/>
        <v>2024</v>
      </c>
      <c r="N1803" s="1">
        <f t="shared" ca="1" si="255"/>
        <v>46064</v>
      </c>
      <c r="O1803" s="6">
        <f t="shared" ca="1" si="256"/>
        <v>1</v>
      </c>
      <c r="P1803">
        <v>3</v>
      </c>
      <c r="Q1803">
        <f t="shared" si="257"/>
        <v>45040</v>
      </c>
      <c r="R1803" s="2">
        <f t="shared" si="258"/>
        <v>22520</v>
      </c>
      <c r="S1803" s="2" t="str">
        <f t="shared" si="259"/>
        <v xml:space="preserve"> Not Achieved</v>
      </c>
      <c r="T1803" s="2" t="str">
        <f t="shared" si="260"/>
        <v>Average</v>
      </c>
      <c r="U1803" s="2"/>
    </row>
    <row r="1804" spans="1:21" x14ac:dyDescent="0.3">
      <c r="A1804">
        <v>1803</v>
      </c>
      <c r="B1804" t="s">
        <v>2622</v>
      </c>
      <c r="C1804" t="str">
        <f t="shared" si="252"/>
        <v>EMP_1803</v>
      </c>
      <c r="D1804" t="s">
        <v>15</v>
      </c>
      <c r="E1804" t="str">
        <f t="shared" si="253"/>
        <v>EMP_1803HR</v>
      </c>
      <c r="F1804" t="s">
        <v>12</v>
      </c>
      <c r="G1804" t="s">
        <v>16</v>
      </c>
      <c r="H1804">
        <v>61520</v>
      </c>
      <c r="I1804">
        <v>4065</v>
      </c>
      <c r="J1804">
        <v>0</v>
      </c>
      <c r="K1804">
        <v>0</v>
      </c>
      <c r="L1804" s="4">
        <v>44234</v>
      </c>
      <c r="M1804" s="4" t="str">
        <f t="shared" si="254"/>
        <v>2021</v>
      </c>
      <c r="N1804" s="1">
        <f t="shared" ca="1" si="255"/>
        <v>46064</v>
      </c>
      <c r="O1804" s="6">
        <f t="shared" ca="1" si="256"/>
        <v>5</v>
      </c>
      <c r="P1804">
        <v>1</v>
      </c>
      <c r="Q1804">
        <f t="shared" si="257"/>
        <v>65585</v>
      </c>
      <c r="R1804" s="2">
        <f t="shared" si="258"/>
        <v>32792.5</v>
      </c>
      <c r="S1804" s="2" t="str">
        <f t="shared" si="259"/>
        <v xml:space="preserve"> Not Achieved</v>
      </c>
      <c r="T1804" s="2" t="str">
        <f t="shared" si="260"/>
        <v xml:space="preserve"> Excellent</v>
      </c>
      <c r="U1804" s="2"/>
    </row>
    <row r="1805" spans="1:21" x14ac:dyDescent="0.3">
      <c r="A1805">
        <v>1804</v>
      </c>
      <c r="B1805" t="s">
        <v>2623</v>
      </c>
      <c r="C1805" t="str">
        <f t="shared" si="252"/>
        <v>EMP_1804</v>
      </c>
      <c r="D1805" t="s">
        <v>15</v>
      </c>
      <c r="E1805" t="str">
        <f t="shared" si="253"/>
        <v>EMP_1804Finance</v>
      </c>
      <c r="F1805" t="s">
        <v>18</v>
      </c>
      <c r="G1805" t="s">
        <v>25</v>
      </c>
      <c r="H1805">
        <v>35708</v>
      </c>
      <c r="I1805">
        <v>4979</v>
      </c>
      <c r="J1805">
        <v>0</v>
      </c>
      <c r="K1805">
        <v>0</v>
      </c>
      <c r="L1805" s="4">
        <v>44349</v>
      </c>
      <c r="M1805" s="4" t="str">
        <f t="shared" si="254"/>
        <v>2021</v>
      </c>
      <c r="N1805" s="1">
        <f t="shared" ca="1" si="255"/>
        <v>46064</v>
      </c>
      <c r="O1805" s="6">
        <f t="shared" ca="1" si="256"/>
        <v>4</v>
      </c>
      <c r="P1805">
        <v>2</v>
      </c>
      <c r="Q1805">
        <f t="shared" si="257"/>
        <v>40687</v>
      </c>
      <c r="R1805" s="2">
        <f t="shared" si="258"/>
        <v>20343.5</v>
      </c>
      <c r="S1805" s="2" t="str">
        <f t="shared" si="259"/>
        <v xml:space="preserve"> Not Achieved</v>
      </c>
      <c r="T1805" s="2" t="str">
        <f t="shared" si="260"/>
        <v>Average</v>
      </c>
      <c r="U1805" s="2"/>
    </row>
    <row r="1806" spans="1:21" x14ac:dyDescent="0.3">
      <c r="A1806">
        <v>1805</v>
      </c>
      <c r="B1806" t="s">
        <v>2624</v>
      </c>
      <c r="C1806" t="str">
        <f t="shared" si="252"/>
        <v>EMP_1805</v>
      </c>
      <c r="D1806" t="s">
        <v>11</v>
      </c>
      <c r="E1806" t="str">
        <f t="shared" si="253"/>
        <v>EMP_1805Marketing</v>
      </c>
      <c r="F1806" t="s">
        <v>24</v>
      </c>
      <c r="G1806" t="s">
        <v>19</v>
      </c>
      <c r="H1806">
        <v>26041</v>
      </c>
      <c r="I1806">
        <v>2122</v>
      </c>
      <c r="J1806">
        <v>0</v>
      </c>
      <c r="K1806">
        <v>0</v>
      </c>
      <c r="L1806" s="4" t="s">
        <v>2625</v>
      </c>
      <c r="M1806" s="4" t="str">
        <f t="shared" si="254"/>
        <v>3/17/2021</v>
      </c>
      <c r="N1806" s="1">
        <f t="shared" ca="1" si="255"/>
        <v>46064</v>
      </c>
      <c r="O1806" s="6" t="e">
        <f t="shared" ca="1" si="256"/>
        <v>#VALUE!</v>
      </c>
      <c r="P1806">
        <v>4</v>
      </c>
      <c r="Q1806">
        <f t="shared" si="257"/>
        <v>28163</v>
      </c>
      <c r="R1806" s="2">
        <f t="shared" si="258"/>
        <v>14081.5</v>
      </c>
      <c r="S1806" s="2" t="str">
        <f t="shared" si="259"/>
        <v xml:space="preserve"> Not Achieved</v>
      </c>
      <c r="T1806" s="2" t="str">
        <f t="shared" si="260"/>
        <v>poor</v>
      </c>
      <c r="U1806" s="2"/>
    </row>
    <row r="1807" spans="1:21" x14ac:dyDescent="0.3">
      <c r="A1807">
        <v>1806</v>
      </c>
      <c r="B1807" t="s">
        <v>2626</v>
      </c>
      <c r="C1807" t="str">
        <f t="shared" si="252"/>
        <v>EMP_1806</v>
      </c>
      <c r="D1807" t="s">
        <v>11</v>
      </c>
      <c r="E1807" t="str">
        <f t="shared" si="253"/>
        <v>EMP_1806Marketing</v>
      </c>
      <c r="F1807" t="s">
        <v>24</v>
      </c>
      <c r="G1807" t="s">
        <v>13</v>
      </c>
      <c r="H1807">
        <v>64994</v>
      </c>
      <c r="I1807">
        <v>4161</v>
      </c>
      <c r="J1807">
        <v>0</v>
      </c>
      <c r="K1807">
        <v>0</v>
      </c>
      <c r="L1807" s="4">
        <v>45574</v>
      </c>
      <c r="M1807" s="4" t="str">
        <f t="shared" si="254"/>
        <v>2024</v>
      </c>
      <c r="N1807" s="1">
        <f t="shared" ca="1" si="255"/>
        <v>46064</v>
      </c>
      <c r="O1807" s="6">
        <f t="shared" ca="1" si="256"/>
        <v>1</v>
      </c>
      <c r="P1807">
        <v>5</v>
      </c>
      <c r="Q1807">
        <f t="shared" si="257"/>
        <v>69155</v>
      </c>
      <c r="R1807" s="2">
        <f t="shared" si="258"/>
        <v>34577.5</v>
      </c>
      <c r="S1807" s="2" t="str">
        <f t="shared" si="259"/>
        <v xml:space="preserve"> Not Achieved</v>
      </c>
      <c r="T1807" s="2" t="str">
        <f t="shared" si="260"/>
        <v xml:space="preserve"> Excellent</v>
      </c>
      <c r="U1807" s="2"/>
    </row>
    <row r="1808" spans="1:21" x14ac:dyDescent="0.3">
      <c r="A1808">
        <v>1807</v>
      </c>
      <c r="B1808" t="s">
        <v>2627</v>
      </c>
      <c r="C1808" t="str">
        <f t="shared" si="252"/>
        <v>EMP_1807</v>
      </c>
      <c r="D1808" t="s">
        <v>15</v>
      </c>
      <c r="E1808" t="str">
        <f t="shared" si="253"/>
        <v>EMP_1807HR</v>
      </c>
      <c r="F1808" t="s">
        <v>12</v>
      </c>
      <c r="G1808" t="s">
        <v>22</v>
      </c>
      <c r="H1808">
        <v>25402</v>
      </c>
      <c r="I1808">
        <v>11562</v>
      </c>
      <c r="J1808">
        <v>0</v>
      </c>
      <c r="K1808">
        <v>0</v>
      </c>
      <c r="L1808" s="4">
        <v>45541</v>
      </c>
      <c r="M1808" s="4" t="str">
        <f t="shared" si="254"/>
        <v>2024</v>
      </c>
      <c r="N1808" s="1">
        <f t="shared" ca="1" si="255"/>
        <v>46064</v>
      </c>
      <c r="O1808" s="6">
        <f t="shared" ca="1" si="256"/>
        <v>1</v>
      </c>
      <c r="P1808">
        <v>2</v>
      </c>
      <c r="Q1808">
        <f t="shared" si="257"/>
        <v>36964</v>
      </c>
      <c r="R1808" s="2">
        <f t="shared" si="258"/>
        <v>18482</v>
      </c>
      <c r="S1808" s="2" t="str">
        <f t="shared" si="259"/>
        <v xml:space="preserve"> Not Achieved</v>
      </c>
      <c r="T1808" s="2" t="str">
        <f t="shared" si="260"/>
        <v>poor</v>
      </c>
      <c r="U1808" s="2"/>
    </row>
    <row r="1809" spans="1:21" x14ac:dyDescent="0.3">
      <c r="A1809">
        <v>1808</v>
      </c>
      <c r="B1809" t="s">
        <v>2628</v>
      </c>
      <c r="C1809" t="str">
        <f t="shared" si="252"/>
        <v>EMP_1808</v>
      </c>
      <c r="D1809" t="s">
        <v>15</v>
      </c>
      <c r="E1809" t="str">
        <f t="shared" si="253"/>
        <v>EMP_1808IT</v>
      </c>
      <c r="F1809" t="s">
        <v>21</v>
      </c>
      <c r="G1809" t="s">
        <v>25</v>
      </c>
      <c r="H1809">
        <v>30324</v>
      </c>
      <c r="I1809">
        <v>2782</v>
      </c>
      <c r="J1809">
        <v>0</v>
      </c>
      <c r="K1809">
        <v>0</v>
      </c>
      <c r="L1809" s="4" t="s">
        <v>2042</v>
      </c>
      <c r="M1809" s="4" t="str">
        <f t="shared" si="254"/>
        <v>10/29/2022</v>
      </c>
      <c r="N1809" s="1">
        <f t="shared" ca="1" si="255"/>
        <v>46064</v>
      </c>
      <c r="O1809" s="6" t="e">
        <f t="shared" ca="1" si="256"/>
        <v>#VALUE!</v>
      </c>
      <c r="P1809">
        <v>2</v>
      </c>
      <c r="Q1809">
        <f t="shared" si="257"/>
        <v>33106</v>
      </c>
      <c r="R1809" s="2">
        <f t="shared" si="258"/>
        <v>16553</v>
      </c>
      <c r="S1809" s="2" t="str">
        <f t="shared" si="259"/>
        <v xml:space="preserve"> Not Achieved</v>
      </c>
      <c r="T1809" s="2" t="str">
        <f t="shared" si="260"/>
        <v>Average</v>
      </c>
      <c r="U1809" s="2"/>
    </row>
    <row r="1810" spans="1:21" x14ac:dyDescent="0.3">
      <c r="A1810">
        <v>1809</v>
      </c>
      <c r="B1810" t="s">
        <v>2629</v>
      </c>
      <c r="C1810" t="str">
        <f t="shared" si="252"/>
        <v>EMP_1809</v>
      </c>
      <c r="D1810" t="s">
        <v>15</v>
      </c>
      <c r="E1810" t="str">
        <f t="shared" si="253"/>
        <v>EMP_1809Finance</v>
      </c>
      <c r="F1810" t="s">
        <v>18</v>
      </c>
      <c r="G1810" t="s">
        <v>19</v>
      </c>
      <c r="H1810">
        <v>79404</v>
      </c>
      <c r="I1810">
        <v>14056</v>
      </c>
      <c r="J1810">
        <v>0</v>
      </c>
      <c r="K1810">
        <v>0</v>
      </c>
      <c r="L1810" s="4" t="s">
        <v>2630</v>
      </c>
      <c r="M1810" s="4" t="str">
        <f t="shared" si="254"/>
        <v>3/23/2024</v>
      </c>
      <c r="N1810" s="1">
        <f t="shared" ca="1" si="255"/>
        <v>46064</v>
      </c>
      <c r="O1810" s="6" t="e">
        <f t="shared" ca="1" si="256"/>
        <v>#VALUE!</v>
      </c>
      <c r="P1810">
        <v>2</v>
      </c>
      <c r="Q1810">
        <f t="shared" si="257"/>
        <v>93460</v>
      </c>
      <c r="R1810" s="2">
        <f t="shared" si="258"/>
        <v>46730</v>
      </c>
      <c r="S1810" s="2" t="str">
        <f t="shared" si="259"/>
        <v xml:space="preserve"> Not Achieved</v>
      </c>
      <c r="T1810" s="2" t="str">
        <f t="shared" si="260"/>
        <v xml:space="preserve"> Excellent</v>
      </c>
      <c r="U1810" s="2"/>
    </row>
    <row r="1811" spans="1:21" x14ac:dyDescent="0.3">
      <c r="A1811">
        <v>1810</v>
      </c>
      <c r="B1811" t="s">
        <v>2631</v>
      </c>
      <c r="C1811" t="str">
        <f t="shared" si="252"/>
        <v>EMP_1810</v>
      </c>
      <c r="D1811" t="s">
        <v>11</v>
      </c>
      <c r="E1811" t="str">
        <f t="shared" si="253"/>
        <v>EMP_1810HR</v>
      </c>
      <c r="F1811" t="s">
        <v>12</v>
      </c>
      <c r="G1811" t="s">
        <v>22</v>
      </c>
      <c r="H1811">
        <v>66538</v>
      </c>
      <c r="I1811">
        <v>11732</v>
      </c>
      <c r="J1811">
        <v>0</v>
      </c>
      <c r="K1811">
        <v>0</v>
      </c>
      <c r="L1811" s="4">
        <v>43776</v>
      </c>
      <c r="M1811" s="4" t="str">
        <f t="shared" si="254"/>
        <v>2019</v>
      </c>
      <c r="N1811" s="1">
        <f t="shared" ca="1" si="255"/>
        <v>46064</v>
      </c>
      <c r="O1811" s="6">
        <f t="shared" ca="1" si="256"/>
        <v>6</v>
      </c>
      <c r="P1811">
        <v>5</v>
      </c>
      <c r="Q1811">
        <f t="shared" si="257"/>
        <v>78270</v>
      </c>
      <c r="R1811" s="2">
        <f t="shared" si="258"/>
        <v>39135</v>
      </c>
      <c r="S1811" s="2" t="str">
        <f t="shared" si="259"/>
        <v xml:space="preserve"> Not Achieved</v>
      </c>
      <c r="T1811" s="2" t="str">
        <f t="shared" si="260"/>
        <v xml:space="preserve"> Excellent</v>
      </c>
      <c r="U1811" s="2"/>
    </row>
    <row r="1812" spans="1:21" x14ac:dyDescent="0.3">
      <c r="A1812">
        <v>1811</v>
      </c>
      <c r="B1812" t="s">
        <v>2632</v>
      </c>
      <c r="C1812" t="str">
        <f t="shared" si="252"/>
        <v>EMP_1811</v>
      </c>
      <c r="D1812" t="s">
        <v>15</v>
      </c>
      <c r="E1812" t="str">
        <f t="shared" si="253"/>
        <v>EMP_1811Sales</v>
      </c>
      <c r="F1812" t="s">
        <v>7</v>
      </c>
      <c r="G1812" t="s">
        <v>22</v>
      </c>
      <c r="H1812">
        <v>30853</v>
      </c>
      <c r="I1812">
        <v>5130</v>
      </c>
      <c r="J1812">
        <v>141669</v>
      </c>
      <c r="K1812">
        <v>218953</v>
      </c>
      <c r="L1812" s="4" t="s">
        <v>2633</v>
      </c>
      <c r="M1812" s="4" t="str">
        <f t="shared" si="254"/>
        <v>10/22/2019</v>
      </c>
      <c r="N1812" s="1">
        <f t="shared" ca="1" si="255"/>
        <v>46064</v>
      </c>
      <c r="O1812" s="6" t="e">
        <f t="shared" ca="1" si="256"/>
        <v>#VALUE!</v>
      </c>
      <c r="P1812">
        <v>1</v>
      </c>
      <c r="Q1812">
        <f t="shared" si="257"/>
        <v>35983</v>
      </c>
      <c r="R1812" s="2">
        <f t="shared" si="258"/>
        <v>17991.5</v>
      </c>
      <c r="S1812" s="2" t="str">
        <f t="shared" si="259"/>
        <v xml:space="preserve"> Not Achieved</v>
      </c>
      <c r="T1812" s="2" t="str">
        <f t="shared" si="260"/>
        <v>Average</v>
      </c>
      <c r="U1812" s="2"/>
    </row>
    <row r="1813" spans="1:21" x14ac:dyDescent="0.3">
      <c r="A1813">
        <v>1812</v>
      </c>
      <c r="B1813" t="s">
        <v>2634</v>
      </c>
      <c r="C1813" t="str">
        <f t="shared" si="252"/>
        <v>EMP_1812</v>
      </c>
      <c r="D1813" t="s">
        <v>11</v>
      </c>
      <c r="E1813" t="str">
        <f t="shared" si="253"/>
        <v>EMP_1812IT</v>
      </c>
      <c r="F1813" t="s">
        <v>21</v>
      </c>
      <c r="G1813" t="s">
        <v>22</v>
      </c>
      <c r="H1813">
        <v>66549</v>
      </c>
      <c r="I1813">
        <v>11198</v>
      </c>
      <c r="J1813">
        <v>0</v>
      </c>
      <c r="K1813">
        <v>0</v>
      </c>
      <c r="L1813" s="4" t="s">
        <v>2635</v>
      </c>
      <c r="M1813" s="4" t="str">
        <f t="shared" si="254"/>
        <v>4/18/2018</v>
      </c>
      <c r="N1813" s="1">
        <f t="shared" ca="1" si="255"/>
        <v>46064</v>
      </c>
      <c r="O1813" s="6" t="e">
        <f t="shared" ca="1" si="256"/>
        <v>#VALUE!</v>
      </c>
      <c r="P1813">
        <v>2</v>
      </c>
      <c r="Q1813">
        <f t="shared" si="257"/>
        <v>77747</v>
      </c>
      <c r="R1813" s="2">
        <f t="shared" si="258"/>
        <v>38873.5</v>
      </c>
      <c r="S1813" s="2" t="str">
        <f t="shared" si="259"/>
        <v xml:space="preserve"> Not Achieved</v>
      </c>
      <c r="T1813" s="2" t="str">
        <f t="shared" si="260"/>
        <v xml:space="preserve"> Excellent</v>
      </c>
      <c r="U1813" s="2"/>
    </row>
    <row r="1814" spans="1:21" x14ac:dyDescent="0.3">
      <c r="A1814">
        <v>1813</v>
      </c>
      <c r="B1814" t="s">
        <v>2636</v>
      </c>
      <c r="C1814" t="str">
        <f t="shared" si="252"/>
        <v>EMP_1813</v>
      </c>
      <c r="D1814" t="s">
        <v>15</v>
      </c>
      <c r="E1814" t="str">
        <f t="shared" si="253"/>
        <v>EMP_1813Sales</v>
      </c>
      <c r="F1814" t="s">
        <v>7</v>
      </c>
      <c r="G1814" t="s">
        <v>13</v>
      </c>
      <c r="H1814">
        <v>64334</v>
      </c>
      <c r="I1814">
        <v>6076</v>
      </c>
      <c r="J1814">
        <v>74630</v>
      </c>
      <c r="K1814">
        <v>239662</v>
      </c>
      <c r="L1814" s="4">
        <v>43286</v>
      </c>
      <c r="M1814" s="4" t="str">
        <f t="shared" si="254"/>
        <v>2018</v>
      </c>
      <c r="N1814" s="1">
        <f t="shared" ca="1" si="255"/>
        <v>46064</v>
      </c>
      <c r="O1814" s="6">
        <f t="shared" ca="1" si="256"/>
        <v>7</v>
      </c>
      <c r="P1814">
        <v>5</v>
      </c>
      <c r="Q1814">
        <f t="shared" si="257"/>
        <v>70410</v>
      </c>
      <c r="R1814" s="2">
        <f t="shared" si="258"/>
        <v>35205</v>
      </c>
      <c r="S1814" s="2" t="str">
        <f t="shared" si="259"/>
        <v xml:space="preserve"> Not Achieved</v>
      </c>
      <c r="T1814" s="2" t="str">
        <f t="shared" si="260"/>
        <v xml:space="preserve"> Excellent</v>
      </c>
      <c r="U1814" s="2"/>
    </row>
    <row r="1815" spans="1:21" x14ac:dyDescent="0.3">
      <c r="A1815">
        <v>1814</v>
      </c>
      <c r="B1815" t="s">
        <v>2637</v>
      </c>
      <c r="C1815" t="str">
        <f t="shared" si="252"/>
        <v>EMP_1814</v>
      </c>
      <c r="D1815" t="s">
        <v>11</v>
      </c>
      <c r="E1815" t="str">
        <f t="shared" si="253"/>
        <v>EMP_1814HR</v>
      </c>
      <c r="F1815" t="s">
        <v>12</v>
      </c>
      <c r="G1815" t="s">
        <v>13</v>
      </c>
      <c r="H1815">
        <v>60014</v>
      </c>
      <c r="I1815">
        <v>6207</v>
      </c>
      <c r="J1815">
        <v>0</v>
      </c>
      <c r="K1815">
        <v>0</v>
      </c>
      <c r="L1815" s="4" t="s">
        <v>2638</v>
      </c>
      <c r="M1815" s="4" t="str">
        <f t="shared" si="254"/>
        <v>3/23/2020</v>
      </c>
      <c r="N1815" s="1">
        <f t="shared" ca="1" si="255"/>
        <v>46064</v>
      </c>
      <c r="O1815" s="6" t="e">
        <f t="shared" ca="1" si="256"/>
        <v>#VALUE!</v>
      </c>
      <c r="P1815">
        <v>3</v>
      </c>
      <c r="Q1815">
        <f t="shared" si="257"/>
        <v>66221</v>
      </c>
      <c r="R1815" s="2">
        <f t="shared" si="258"/>
        <v>33110.5</v>
      </c>
      <c r="S1815" s="2" t="str">
        <f t="shared" si="259"/>
        <v xml:space="preserve"> Not Achieved</v>
      </c>
      <c r="T1815" s="2" t="str">
        <f t="shared" si="260"/>
        <v xml:space="preserve"> Excellent</v>
      </c>
      <c r="U1815" s="2"/>
    </row>
    <row r="1816" spans="1:21" x14ac:dyDescent="0.3">
      <c r="A1816">
        <v>1815</v>
      </c>
      <c r="B1816" t="s">
        <v>2639</v>
      </c>
      <c r="C1816" t="str">
        <f t="shared" si="252"/>
        <v>EMP_1815</v>
      </c>
      <c r="D1816" t="s">
        <v>11</v>
      </c>
      <c r="E1816" t="str">
        <f t="shared" si="253"/>
        <v>EMP_1815HR</v>
      </c>
      <c r="F1816" t="s">
        <v>12</v>
      </c>
      <c r="G1816" t="s">
        <v>19</v>
      </c>
      <c r="H1816">
        <v>31958</v>
      </c>
      <c r="I1816">
        <v>2740</v>
      </c>
      <c r="J1816">
        <v>0</v>
      </c>
      <c r="K1816">
        <v>0</v>
      </c>
      <c r="L1816" s="4">
        <v>43410</v>
      </c>
      <c r="M1816" s="4" t="str">
        <f t="shared" si="254"/>
        <v>2018</v>
      </c>
      <c r="N1816" s="1">
        <f t="shared" ca="1" si="255"/>
        <v>46064</v>
      </c>
      <c r="O1816" s="6">
        <f t="shared" ca="1" si="256"/>
        <v>7</v>
      </c>
      <c r="P1816">
        <v>2</v>
      </c>
      <c r="Q1816">
        <f t="shared" si="257"/>
        <v>34698</v>
      </c>
      <c r="R1816" s="2">
        <f t="shared" si="258"/>
        <v>17349</v>
      </c>
      <c r="S1816" s="2" t="str">
        <f t="shared" si="259"/>
        <v xml:space="preserve"> Not Achieved</v>
      </c>
      <c r="T1816" s="2" t="str">
        <f t="shared" si="260"/>
        <v>Average</v>
      </c>
      <c r="U1816" s="2"/>
    </row>
    <row r="1817" spans="1:21" x14ac:dyDescent="0.3">
      <c r="A1817">
        <v>1816</v>
      </c>
      <c r="B1817" t="s">
        <v>2640</v>
      </c>
      <c r="C1817" t="str">
        <f t="shared" si="252"/>
        <v>EMP_1816</v>
      </c>
      <c r="D1817" t="s">
        <v>15</v>
      </c>
      <c r="E1817" t="str">
        <f t="shared" si="253"/>
        <v>EMP_1816Sales</v>
      </c>
      <c r="F1817" t="s">
        <v>7</v>
      </c>
      <c r="G1817" t="s">
        <v>16</v>
      </c>
      <c r="H1817">
        <v>23143</v>
      </c>
      <c r="I1817">
        <v>3590</v>
      </c>
      <c r="J1817">
        <v>153439</v>
      </c>
      <c r="K1817">
        <v>187492</v>
      </c>
      <c r="L1817" s="4" t="s">
        <v>2641</v>
      </c>
      <c r="M1817" s="4" t="str">
        <f t="shared" si="254"/>
        <v>3/13/2022</v>
      </c>
      <c r="N1817" s="1">
        <f t="shared" ca="1" si="255"/>
        <v>46064</v>
      </c>
      <c r="O1817" s="6" t="e">
        <f t="shared" ca="1" si="256"/>
        <v>#VALUE!</v>
      </c>
      <c r="P1817">
        <v>3</v>
      </c>
      <c r="Q1817">
        <f t="shared" si="257"/>
        <v>26733</v>
      </c>
      <c r="R1817" s="2">
        <f t="shared" si="258"/>
        <v>13366.5</v>
      </c>
      <c r="S1817" s="2" t="str">
        <f t="shared" si="259"/>
        <v xml:space="preserve"> Not Achieved</v>
      </c>
      <c r="T1817" s="2" t="str">
        <f t="shared" si="260"/>
        <v>poor</v>
      </c>
      <c r="U1817" s="2"/>
    </row>
    <row r="1818" spans="1:21" x14ac:dyDescent="0.3">
      <c r="A1818">
        <v>1817</v>
      </c>
      <c r="B1818" t="s">
        <v>2642</v>
      </c>
      <c r="C1818" t="str">
        <f t="shared" si="252"/>
        <v>EMP_1817</v>
      </c>
      <c r="D1818" t="s">
        <v>15</v>
      </c>
      <c r="E1818" t="str">
        <f t="shared" si="253"/>
        <v>EMP_1817HR</v>
      </c>
      <c r="F1818" t="s">
        <v>12</v>
      </c>
      <c r="G1818" t="s">
        <v>13</v>
      </c>
      <c r="H1818">
        <v>41513</v>
      </c>
      <c r="I1818">
        <v>12166</v>
      </c>
      <c r="J1818">
        <v>0</v>
      </c>
      <c r="K1818">
        <v>0</v>
      </c>
      <c r="L1818" s="4" t="s">
        <v>457</v>
      </c>
      <c r="M1818" s="4" t="str">
        <f t="shared" si="254"/>
        <v>9/14/2019</v>
      </c>
      <c r="N1818" s="1">
        <f t="shared" ca="1" si="255"/>
        <v>46064</v>
      </c>
      <c r="O1818" s="6" t="e">
        <f t="shared" ca="1" si="256"/>
        <v>#VALUE!</v>
      </c>
      <c r="P1818">
        <v>1</v>
      </c>
      <c r="Q1818">
        <f t="shared" si="257"/>
        <v>53679</v>
      </c>
      <c r="R1818" s="2">
        <f t="shared" si="258"/>
        <v>26839.5</v>
      </c>
      <c r="S1818" s="2" t="str">
        <f t="shared" si="259"/>
        <v xml:space="preserve"> Not Achieved</v>
      </c>
      <c r="T1818" s="2" t="str">
        <f t="shared" si="260"/>
        <v>Good</v>
      </c>
      <c r="U1818" s="2"/>
    </row>
    <row r="1819" spans="1:21" x14ac:dyDescent="0.3">
      <c r="A1819">
        <v>1818</v>
      </c>
      <c r="B1819" t="s">
        <v>2643</v>
      </c>
      <c r="C1819" t="str">
        <f t="shared" si="252"/>
        <v>EMP_1818</v>
      </c>
      <c r="D1819" t="s">
        <v>11</v>
      </c>
      <c r="E1819" t="str">
        <f t="shared" si="253"/>
        <v>EMP_1818Sales</v>
      </c>
      <c r="F1819" t="s">
        <v>7</v>
      </c>
      <c r="G1819" t="s">
        <v>19</v>
      </c>
      <c r="H1819">
        <v>54720</v>
      </c>
      <c r="I1819">
        <v>4104</v>
      </c>
      <c r="J1819">
        <v>256450</v>
      </c>
      <c r="K1819">
        <v>198682</v>
      </c>
      <c r="L1819" s="4" t="s">
        <v>1345</v>
      </c>
      <c r="M1819" s="4" t="str">
        <f t="shared" si="254"/>
        <v>12/29/2024</v>
      </c>
      <c r="N1819" s="1">
        <f t="shared" ca="1" si="255"/>
        <v>46064</v>
      </c>
      <c r="O1819" s="6" t="e">
        <f t="shared" ca="1" si="256"/>
        <v>#VALUE!</v>
      </c>
      <c r="P1819">
        <v>3</v>
      </c>
      <c r="Q1819">
        <f t="shared" si="257"/>
        <v>58824</v>
      </c>
      <c r="R1819" s="2">
        <f t="shared" si="258"/>
        <v>29412</v>
      </c>
      <c r="S1819" s="2" t="str">
        <f t="shared" si="259"/>
        <v>Achieved</v>
      </c>
      <c r="T1819" s="2" t="str">
        <f t="shared" si="260"/>
        <v xml:space="preserve"> Excellent</v>
      </c>
      <c r="U1819" s="2"/>
    </row>
    <row r="1820" spans="1:21" x14ac:dyDescent="0.3">
      <c r="A1820">
        <v>1819</v>
      </c>
      <c r="B1820" t="s">
        <v>2644</v>
      </c>
      <c r="C1820" t="str">
        <f t="shared" si="252"/>
        <v>EMP_1819</v>
      </c>
      <c r="D1820" t="s">
        <v>15</v>
      </c>
      <c r="E1820" t="str">
        <f t="shared" si="253"/>
        <v>EMP_1819Marketing</v>
      </c>
      <c r="F1820" t="s">
        <v>24</v>
      </c>
      <c r="G1820" t="s">
        <v>13</v>
      </c>
      <c r="H1820">
        <v>37076</v>
      </c>
      <c r="I1820">
        <v>10688</v>
      </c>
      <c r="J1820">
        <v>0</v>
      </c>
      <c r="K1820">
        <v>0</v>
      </c>
      <c r="L1820" s="4">
        <v>44809</v>
      </c>
      <c r="M1820" s="4" t="str">
        <f t="shared" si="254"/>
        <v>2022</v>
      </c>
      <c r="N1820" s="1">
        <f t="shared" ca="1" si="255"/>
        <v>46064</v>
      </c>
      <c r="O1820" s="6">
        <f t="shared" ca="1" si="256"/>
        <v>3</v>
      </c>
      <c r="P1820">
        <v>4</v>
      </c>
      <c r="Q1820">
        <f t="shared" si="257"/>
        <v>47764</v>
      </c>
      <c r="R1820" s="2">
        <f t="shared" si="258"/>
        <v>23882</v>
      </c>
      <c r="S1820" s="2" t="str">
        <f t="shared" si="259"/>
        <v xml:space="preserve"> Not Achieved</v>
      </c>
      <c r="T1820" s="2" t="str">
        <f t="shared" si="260"/>
        <v>Average</v>
      </c>
      <c r="U1820" s="2"/>
    </row>
    <row r="1821" spans="1:21" x14ac:dyDescent="0.3">
      <c r="A1821">
        <v>1820</v>
      </c>
      <c r="B1821" t="s">
        <v>2645</v>
      </c>
      <c r="C1821" t="str">
        <f t="shared" si="252"/>
        <v>EMP_1820</v>
      </c>
      <c r="D1821" t="s">
        <v>15</v>
      </c>
      <c r="E1821" t="str">
        <f t="shared" si="253"/>
        <v>EMP_1820HR</v>
      </c>
      <c r="F1821" t="s">
        <v>12</v>
      </c>
      <c r="G1821" t="s">
        <v>19</v>
      </c>
      <c r="H1821">
        <v>63708</v>
      </c>
      <c r="I1821">
        <v>2091</v>
      </c>
      <c r="J1821">
        <v>0</v>
      </c>
      <c r="K1821">
        <v>0</v>
      </c>
      <c r="L1821" s="4" t="s">
        <v>224</v>
      </c>
      <c r="M1821" s="4" t="str">
        <f t="shared" si="254"/>
        <v>2/23/2023</v>
      </c>
      <c r="N1821" s="1">
        <f t="shared" ca="1" si="255"/>
        <v>46064</v>
      </c>
      <c r="O1821" s="6" t="e">
        <f t="shared" ca="1" si="256"/>
        <v>#VALUE!</v>
      </c>
      <c r="P1821">
        <v>4</v>
      </c>
      <c r="Q1821">
        <f t="shared" si="257"/>
        <v>65799</v>
      </c>
      <c r="R1821" s="2">
        <f t="shared" si="258"/>
        <v>32899.5</v>
      </c>
      <c r="S1821" s="2" t="str">
        <f t="shared" si="259"/>
        <v xml:space="preserve"> Not Achieved</v>
      </c>
      <c r="T1821" s="2" t="str">
        <f t="shared" si="260"/>
        <v xml:space="preserve"> Excellent</v>
      </c>
      <c r="U1821" s="2"/>
    </row>
    <row r="1822" spans="1:21" x14ac:dyDescent="0.3">
      <c r="A1822">
        <v>1821</v>
      </c>
      <c r="B1822" t="s">
        <v>2646</v>
      </c>
      <c r="C1822" t="str">
        <f t="shared" si="252"/>
        <v>EMP_1821</v>
      </c>
      <c r="D1822" t="s">
        <v>11</v>
      </c>
      <c r="E1822" t="str">
        <f t="shared" si="253"/>
        <v>EMP_1821HR</v>
      </c>
      <c r="F1822" t="s">
        <v>12</v>
      </c>
      <c r="G1822" t="s">
        <v>22</v>
      </c>
      <c r="H1822">
        <v>52030</v>
      </c>
      <c r="I1822">
        <v>12713</v>
      </c>
      <c r="J1822">
        <v>0</v>
      </c>
      <c r="K1822">
        <v>0</v>
      </c>
      <c r="L1822" s="4" t="s">
        <v>1798</v>
      </c>
      <c r="M1822" s="4" t="str">
        <f t="shared" si="254"/>
        <v>12/14/2018</v>
      </c>
      <c r="N1822" s="1">
        <f t="shared" ca="1" si="255"/>
        <v>46064</v>
      </c>
      <c r="O1822" s="6" t="e">
        <f t="shared" ca="1" si="256"/>
        <v>#VALUE!</v>
      </c>
      <c r="P1822">
        <v>5</v>
      </c>
      <c r="Q1822">
        <f t="shared" si="257"/>
        <v>64743</v>
      </c>
      <c r="R1822" s="2">
        <f t="shared" si="258"/>
        <v>32371.5</v>
      </c>
      <c r="S1822" s="2" t="str">
        <f t="shared" si="259"/>
        <v xml:space="preserve"> Not Achieved</v>
      </c>
      <c r="T1822" s="2" t="str">
        <f t="shared" si="260"/>
        <v xml:space="preserve"> Excellent</v>
      </c>
      <c r="U1822" s="2"/>
    </row>
    <row r="1823" spans="1:21" x14ac:dyDescent="0.3">
      <c r="A1823">
        <v>1822</v>
      </c>
      <c r="B1823" t="s">
        <v>2647</v>
      </c>
      <c r="C1823" t="str">
        <f t="shared" si="252"/>
        <v>EMP_1822</v>
      </c>
      <c r="D1823" t="s">
        <v>11</v>
      </c>
      <c r="E1823" t="str">
        <f t="shared" si="253"/>
        <v>EMP_1822IT</v>
      </c>
      <c r="F1823" t="s">
        <v>21</v>
      </c>
      <c r="G1823" t="s">
        <v>13</v>
      </c>
      <c r="H1823">
        <v>34378</v>
      </c>
      <c r="I1823">
        <v>3803</v>
      </c>
      <c r="J1823">
        <v>0</v>
      </c>
      <c r="K1823">
        <v>0</v>
      </c>
      <c r="L1823" s="4" t="s">
        <v>2648</v>
      </c>
      <c r="M1823" s="4" t="str">
        <f t="shared" si="254"/>
        <v>8/16/2021</v>
      </c>
      <c r="N1823" s="1">
        <f t="shared" ca="1" si="255"/>
        <v>46064</v>
      </c>
      <c r="O1823" s="6" t="e">
        <f t="shared" ca="1" si="256"/>
        <v>#VALUE!</v>
      </c>
      <c r="P1823">
        <v>5</v>
      </c>
      <c r="Q1823">
        <f t="shared" si="257"/>
        <v>38181</v>
      </c>
      <c r="R1823" s="2">
        <f t="shared" si="258"/>
        <v>19090.5</v>
      </c>
      <c r="S1823" s="2" t="str">
        <f t="shared" si="259"/>
        <v xml:space="preserve"> Not Achieved</v>
      </c>
      <c r="T1823" s="2" t="str">
        <f t="shared" si="260"/>
        <v>Average</v>
      </c>
      <c r="U1823" s="2"/>
    </row>
    <row r="1824" spans="1:21" x14ac:dyDescent="0.3">
      <c r="A1824">
        <v>1823</v>
      </c>
      <c r="B1824" t="s">
        <v>2649</v>
      </c>
      <c r="C1824" t="str">
        <f t="shared" si="252"/>
        <v>EMP_1823</v>
      </c>
      <c r="D1824" t="s">
        <v>11</v>
      </c>
      <c r="E1824" t="str">
        <f t="shared" si="253"/>
        <v>EMP_1823HR</v>
      </c>
      <c r="F1824" t="s">
        <v>12</v>
      </c>
      <c r="G1824" t="s">
        <v>16</v>
      </c>
      <c r="H1824">
        <v>48573</v>
      </c>
      <c r="I1824">
        <v>9297</v>
      </c>
      <c r="J1824">
        <v>0</v>
      </c>
      <c r="K1824">
        <v>0</v>
      </c>
      <c r="L1824" s="4">
        <v>43862</v>
      </c>
      <c r="M1824" s="4" t="str">
        <f t="shared" si="254"/>
        <v>2020</v>
      </c>
      <c r="N1824" s="1">
        <f t="shared" ca="1" si="255"/>
        <v>46064</v>
      </c>
      <c r="O1824" s="6">
        <f t="shared" ca="1" si="256"/>
        <v>6</v>
      </c>
      <c r="P1824">
        <v>3</v>
      </c>
      <c r="Q1824">
        <f t="shared" si="257"/>
        <v>57870</v>
      </c>
      <c r="R1824" s="2">
        <f t="shared" si="258"/>
        <v>28935</v>
      </c>
      <c r="S1824" s="2" t="str">
        <f t="shared" si="259"/>
        <v xml:space="preserve"> Not Achieved</v>
      </c>
      <c r="T1824" s="2" t="str">
        <f t="shared" si="260"/>
        <v>Good</v>
      </c>
      <c r="U1824" s="2"/>
    </row>
    <row r="1825" spans="1:21" x14ac:dyDescent="0.3">
      <c r="A1825">
        <v>1824</v>
      </c>
      <c r="B1825" t="s">
        <v>2650</v>
      </c>
      <c r="C1825" t="str">
        <f t="shared" si="252"/>
        <v>EMP_1824</v>
      </c>
      <c r="D1825" t="s">
        <v>11</v>
      </c>
      <c r="E1825" t="str">
        <f t="shared" si="253"/>
        <v>EMP_1824IT</v>
      </c>
      <c r="F1825" t="s">
        <v>21</v>
      </c>
      <c r="G1825" t="s">
        <v>16</v>
      </c>
      <c r="H1825">
        <v>23046</v>
      </c>
      <c r="I1825">
        <v>7303</v>
      </c>
      <c r="J1825">
        <v>0</v>
      </c>
      <c r="K1825">
        <v>0</v>
      </c>
      <c r="L1825" s="4">
        <v>43986</v>
      </c>
      <c r="M1825" s="4" t="str">
        <f t="shared" si="254"/>
        <v>2020</v>
      </c>
      <c r="N1825" s="1">
        <f t="shared" ca="1" si="255"/>
        <v>46064</v>
      </c>
      <c r="O1825" s="6">
        <f t="shared" ca="1" si="256"/>
        <v>5</v>
      </c>
      <c r="P1825">
        <v>1</v>
      </c>
      <c r="Q1825">
        <f t="shared" si="257"/>
        <v>30349</v>
      </c>
      <c r="R1825" s="2">
        <f t="shared" si="258"/>
        <v>15174.5</v>
      </c>
      <c r="S1825" s="2" t="str">
        <f t="shared" si="259"/>
        <v xml:space="preserve"> Not Achieved</v>
      </c>
      <c r="T1825" s="2" t="str">
        <f t="shared" si="260"/>
        <v>poor</v>
      </c>
      <c r="U1825" s="2"/>
    </row>
    <row r="1826" spans="1:21" x14ac:dyDescent="0.3">
      <c r="A1826">
        <v>1825</v>
      </c>
      <c r="B1826" t="s">
        <v>2651</v>
      </c>
      <c r="C1826" t="str">
        <f t="shared" si="252"/>
        <v>EMP_1825</v>
      </c>
      <c r="D1826" t="s">
        <v>11</v>
      </c>
      <c r="E1826" t="str">
        <f t="shared" si="253"/>
        <v>EMP_1825Sales</v>
      </c>
      <c r="F1826" t="s">
        <v>7</v>
      </c>
      <c r="G1826" t="s">
        <v>25</v>
      </c>
      <c r="H1826">
        <v>27459</v>
      </c>
      <c r="I1826">
        <v>4379</v>
      </c>
      <c r="J1826">
        <v>58644</v>
      </c>
      <c r="K1826">
        <v>209045</v>
      </c>
      <c r="L1826" s="4" t="s">
        <v>2652</v>
      </c>
      <c r="M1826" s="4" t="str">
        <f t="shared" si="254"/>
        <v>6/28/2019</v>
      </c>
      <c r="N1826" s="1">
        <f t="shared" ca="1" si="255"/>
        <v>46064</v>
      </c>
      <c r="O1826" s="6" t="e">
        <f t="shared" ca="1" si="256"/>
        <v>#VALUE!</v>
      </c>
      <c r="P1826">
        <v>4</v>
      </c>
      <c r="Q1826">
        <f t="shared" si="257"/>
        <v>31838</v>
      </c>
      <c r="R1826" s="2">
        <f t="shared" si="258"/>
        <v>15919</v>
      </c>
      <c r="S1826" s="2" t="str">
        <f t="shared" si="259"/>
        <v xml:space="preserve"> Not Achieved</v>
      </c>
      <c r="T1826" s="2" t="str">
        <f t="shared" si="260"/>
        <v>poor</v>
      </c>
      <c r="U1826" s="2"/>
    </row>
    <row r="1827" spans="1:21" x14ac:dyDescent="0.3">
      <c r="A1827">
        <v>1826</v>
      </c>
      <c r="B1827" t="s">
        <v>2653</v>
      </c>
      <c r="C1827" t="str">
        <f t="shared" si="252"/>
        <v>EMP_1826</v>
      </c>
      <c r="D1827" t="s">
        <v>11</v>
      </c>
      <c r="E1827" t="str">
        <f t="shared" si="253"/>
        <v>EMP_1826Finance</v>
      </c>
      <c r="F1827" t="s">
        <v>18</v>
      </c>
      <c r="G1827" t="s">
        <v>13</v>
      </c>
      <c r="H1827">
        <v>55153</v>
      </c>
      <c r="I1827">
        <v>9007</v>
      </c>
      <c r="J1827">
        <v>0</v>
      </c>
      <c r="K1827">
        <v>0</v>
      </c>
      <c r="L1827" s="4">
        <v>43192</v>
      </c>
      <c r="M1827" s="4" t="str">
        <f t="shared" si="254"/>
        <v>2018</v>
      </c>
      <c r="N1827" s="1">
        <f t="shared" ca="1" si="255"/>
        <v>46064</v>
      </c>
      <c r="O1827" s="6">
        <f t="shared" ca="1" si="256"/>
        <v>7</v>
      </c>
      <c r="P1827">
        <v>2</v>
      </c>
      <c r="Q1827">
        <f t="shared" si="257"/>
        <v>64160</v>
      </c>
      <c r="R1827" s="2">
        <f t="shared" si="258"/>
        <v>32080</v>
      </c>
      <c r="S1827" s="2" t="str">
        <f t="shared" si="259"/>
        <v xml:space="preserve"> Not Achieved</v>
      </c>
      <c r="T1827" s="2" t="str">
        <f t="shared" si="260"/>
        <v xml:space="preserve"> Excellent</v>
      </c>
      <c r="U1827" s="2"/>
    </row>
    <row r="1828" spans="1:21" x14ac:dyDescent="0.3">
      <c r="A1828">
        <v>1827</v>
      </c>
      <c r="B1828" t="s">
        <v>2654</v>
      </c>
      <c r="C1828" t="str">
        <f t="shared" si="252"/>
        <v>EMP_1827</v>
      </c>
      <c r="D1828" t="s">
        <v>15</v>
      </c>
      <c r="E1828" t="str">
        <f t="shared" si="253"/>
        <v>EMP_1827Sales</v>
      </c>
      <c r="F1828" t="s">
        <v>7</v>
      </c>
      <c r="G1828" t="s">
        <v>16</v>
      </c>
      <c r="H1828">
        <v>67901</v>
      </c>
      <c r="I1828">
        <v>14084</v>
      </c>
      <c r="J1828">
        <v>53631</v>
      </c>
      <c r="K1828">
        <v>120767</v>
      </c>
      <c r="L1828" s="4">
        <v>45385</v>
      </c>
      <c r="M1828" s="4" t="str">
        <f t="shared" si="254"/>
        <v>2024</v>
      </c>
      <c r="N1828" s="1">
        <f t="shared" ca="1" si="255"/>
        <v>46064</v>
      </c>
      <c r="O1828" s="6">
        <f t="shared" ca="1" si="256"/>
        <v>1</v>
      </c>
      <c r="P1828">
        <v>3</v>
      </c>
      <c r="Q1828">
        <f t="shared" si="257"/>
        <v>81985</v>
      </c>
      <c r="R1828" s="2">
        <f t="shared" si="258"/>
        <v>40992.5</v>
      </c>
      <c r="S1828" s="2" t="str">
        <f t="shared" si="259"/>
        <v xml:space="preserve"> Not Achieved</v>
      </c>
      <c r="T1828" s="2" t="str">
        <f t="shared" si="260"/>
        <v xml:space="preserve"> Excellent</v>
      </c>
      <c r="U1828" s="2"/>
    </row>
    <row r="1829" spans="1:21" x14ac:dyDescent="0.3">
      <c r="A1829">
        <v>1828</v>
      </c>
      <c r="B1829" t="s">
        <v>2655</v>
      </c>
      <c r="C1829" t="str">
        <f t="shared" si="252"/>
        <v>EMP_1828</v>
      </c>
      <c r="D1829" t="s">
        <v>15</v>
      </c>
      <c r="E1829" t="str">
        <f t="shared" si="253"/>
        <v>EMP_1828Marketing</v>
      </c>
      <c r="F1829" t="s">
        <v>24</v>
      </c>
      <c r="G1829" t="s">
        <v>25</v>
      </c>
      <c r="H1829">
        <v>41453</v>
      </c>
      <c r="I1829">
        <v>2337</v>
      </c>
      <c r="J1829">
        <v>0</v>
      </c>
      <c r="K1829">
        <v>0</v>
      </c>
      <c r="L1829" s="4">
        <v>45115</v>
      </c>
      <c r="M1829" s="4" t="str">
        <f t="shared" si="254"/>
        <v>2023</v>
      </c>
      <c r="N1829" s="1">
        <f t="shared" ca="1" si="255"/>
        <v>46064</v>
      </c>
      <c r="O1829" s="6">
        <f t="shared" ca="1" si="256"/>
        <v>2</v>
      </c>
      <c r="P1829">
        <v>2</v>
      </c>
      <c r="Q1829">
        <f t="shared" si="257"/>
        <v>43790</v>
      </c>
      <c r="R1829" s="2">
        <f t="shared" si="258"/>
        <v>21895</v>
      </c>
      <c r="S1829" s="2" t="str">
        <f t="shared" si="259"/>
        <v xml:space="preserve"> Not Achieved</v>
      </c>
      <c r="T1829" s="2" t="str">
        <f t="shared" si="260"/>
        <v>Good</v>
      </c>
      <c r="U1829" s="2"/>
    </row>
    <row r="1830" spans="1:21" x14ac:dyDescent="0.3">
      <c r="A1830">
        <v>1829</v>
      </c>
      <c r="B1830" t="s">
        <v>2656</v>
      </c>
      <c r="C1830" t="str">
        <f t="shared" si="252"/>
        <v>EMP_1829</v>
      </c>
      <c r="D1830" t="s">
        <v>11</v>
      </c>
      <c r="E1830" t="str">
        <f t="shared" si="253"/>
        <v>EMP_1829Sales</v>
      </c>
      <c r="F1830" t="s">
        <v>7</v>
      </c>
      <c r="G1830" t="s">
        <v>25</v>
      </c>
      <c r="H1830">
        <v>37870</v>
      </c>
      <c r="I1830">
        <v>13963</v>
      </c>
      <c r="J1830">
        <v>149499</v>
      </c>
      <c r="K1830">
        <v>144994</v>
      </c>
      <c r="L1830" s="4" t="s">
        <v>2657</v>
      </c>
      <c r="M1830" s="4" t="str">
        <f t="shared" si="254"/>
        <v>1/15/2021</v>
      </c>
      <c r="N1830" s="1">
        <f t="shared" ca="1" si="255"/>
        <v>46064</v>
      </c>
      <c r="O1830" s="6" t="e">
        <f t="shared" ca="1" si="256"/>
        <v>#VALUE!</v>
      </c>
      <c r="P1830">
        <v>2</v>
      </c>
      <c r="Q1830">
        <f t="shared" si="257"/>
        <v>51833</v>
      </c>
      <c r="R1830" s="2">
        <f t="shared" si="258"/>
        <v>25916.5</v>
      </c>
      <c r="S1830" s="2" t="str">
        <f t="shared" si="259"/>
        <v>Achieved</v>
      </c>
      <c r="T1830" s="2" t="str">
        <f t="shared" si="260"/>
        <v>Average</v>
      </c>
      <c r="U1830" s="2"/>
    </row>
    <row r="1831" spans="1:21" x14ac:dyDescent="0.3">
      <c r="A1831">
        <v>1830</v>
      </c>
      <c r="B1831" t="s">
        <v>2658</v>
      </c>
      <c r="C1831" t="str">
        <f t="shared" si="252"/>
        <v>EMP_1830</v>
      </c>
      <c r="D1831" t="s">
        <v>11</v>
      </c>
      <c r="E1831" t="str">
        <f t="shared" si="253"/>
        <v>EMP_1830IT</v>
      </c>
      <c r="F1831" t="s">
        <v>21</v>
      </c>
      <c r="G1831" t="s">
        <v>16</v>
      </c>
      <c r="H1831">
        <v>65240</v>
      </c>
      <c r="I1831">
        <v>2148</v>
      </c>
      <c r="J1831">
        <v>0</v>
      </c>
      <c r="K1831">
        <v>0</v>
      </c>
      <c r="L1831" s="4" t="s">
        <v>2659</v>
      </c>
      <c r="M1831" s="4" t="str">
        <f t="shared" si="254"/>
        <v>8/24/2021</v>
      </c>
      <c r="N1831" s="1">
        <f t="shared" ca="1" si="255"/>
        <v>46064</v>
      </c>
      <c r="O1831" s="6" t="e">
        <f t="shared" ca="1" si="256"/>
        <v>#VALUE!</v>
      </c>
      <c r="P1831">
        <v>4</v>
      </c>
      <c r="Q1831">
        <f t="shared" si="257"/>
        <v>67388</v>
      </c>
      <c r="R1831" s="2">
        <f t="shared" si="258"/>
        <v>33694</v>
      </c>
      <c r="S1831" s="2" t="str">
        <f t="shared" si="259"/>
        <v xml:space="preserve"> Not Achieved</v>
      </c>
      <c r="T1831" s="2" t="str">
        <f t="shared" si="260"/>
        <v xml:space="preserve"> Excellent</v>
      </c>
      <c r="U1831" s="2"/>
    </row>
    <row r="1832" spans="1:21" x14ac:dyDescent="0.3">
      <c r="A1832">
        <v>1831</v>
      </c>
      <c r="B1832" t="s">
        <v>2660</v>
      </c>
      <c r="C1832" t="str">
        <f t="shared" si="252"/>
        <v>EMP_1831</v>
      </c>
      <c r="D1832" t="s">
        <v>11</v>
      </c>
      <c r="E1832" t="str">
        <f t="shared" si="253"/>
        <v>EMP_1831IT</v>
      </c>
      <c r="F1832" t="s">
        <v>21</v>
      </c>
      <c r="G1832" t="s">
        <v>13</v>
      </c>
      <c r="H1832">
        <v>31845</v>
      </c>
      <c r="I1832">
        <v>13253</v>
      </c>
      <c r="J1832">
        <v>0</v>
      </c>
      <c r="K1832">
        <v>0</v>
      </c>
      <c r="L1832" s="4" t="s">
        <v>2661</v>
      </c>
      <c r="M1832" s="4" t="str">
        <f t="shared" si="254"/>
        <v>5/14/2022</v>
      </c>
      <c r="N1832" s="1">
        <f t="shared" ca="1" si="255"/>
        <v>46064</v>
      </c>
      <c r="O1832" s="6" t="e">
        <f t="shared" ca="1" si="256"/>
        <v>#VALUE!</v>
      </c>
      <c r="P1832">
        <v>3</v>
      </c>
      <c r="Q1832">
        <f t="shared" si="257"/>
        <v>45098</v>
      </c>
      <c r="R1832" s="2">
        <f t="shared" si="258"/>
        <v>22549</v>
      </c>
      <c r="S1832" s="2" t="str">
        <f t="shared" si="259"/>
        <v xml:space="preserve"> Not Achieved</v>
      </c>
      <c r="T1832" s="2" t="str">
        <f t="shared" si="260"/>
        <v>Average</v>
      </c>
      <c r="U1832" s="2"/>
    </row>
    <row r="1833" spans="1:21" x14ac:dyDescent="0.3">
      <c r="A1833">
        <v>1832</v>
      </c>
      <c r="B1833" t="s">
        <v>2662</v>
      </c>
      <c r="C1833" t="str">
        <f t="shared" si="252"/>
        <v>EMP_1832</v>
      </c>
      <c r="D1833" t="s">
        <v>11</v>
      </c>
      <c r="E1833" t="str">
        <f t="shared" si="253"/>
        <v>EMP_1832Finance</v>
      </c>
      <c r="F1833" t="s">
        <v>18</v>
      </c>
      <c r="G1833" t="s">
        <v>25</v>
      </c>
      <c r="H1833">
        <v>20993</v>
      </c>
      <c r="I1833">
        <v>6076</v>
      </c>
      <c r="J1833">
        <v>0</v>
      </c>
      <c r="K1833">
        <v>0</v>
      </c>
      <c r="L1833" s="4" t="s">
        <v>2663</v>
      </c>
      <c r="M1833" s="4" t="str">
        <f t="shared" si="254"/>
        <v>6/30/2018</v>
      </c>
      <c r="N1833" s="1">
        <f t="shared" ca="1" si="255"/>
        <v>46064</v>
      </c>
      <c r="O1833" s="6" t="e">
        <f t="shared" ca="1" si="256"/>
        <v>#VALUE!</v>
      </c>
      <c r="P1833">
        <v>3</v>
      </c>
      <c r="Q1833">
        <f t="shared" si="257"/>
        <v>27069</v>
      </c>
      <c r="R1833" s="2">
        <f t="shared" si="258"/>
        <v>13534.5</v>
      </c>
      <c r="S1833" s="2" t="str">
        <f t="shared" si="259"/>
        <v xml:space="preserve"> Not Achieved</v>
      </c>
      <c r="T1833" s="2" t="str">
        <f t="shared" si="260"/>
        <v>poor</v>
      </c>
      <c r="U1833" s="2"/>
    </row>
    <row r="1834" spans="1:21" x14ac:dyDescent="0.3">
      <c r="A1834">
        <v>1833</v>
      </c>
      <c r="B1834" t="s">
        <v>2664</v>
      </c>
      <c r="C1834" t="str">
        <f t="shared" si="252"/>
        <v>EMP_1833</v>
      </c>
      <c r="D1834" t="s">
        <v>11</v>
      </c>
      <c r="E1834" t="str">
        <f t="shared" si="253"/>
        <v>EMP_1833IT</v>
      </c>
      <c r="F1834" t="s">
        <v>21</v>
      </c>
      <c r="G1834" t="s">
        <v>22</v>
      </c>
      <c r="H1834">
        <v>51619</v>
      </c>
      <c r="I1834">
        <v>3749</v>
      </c>
      <c r="J1834">
        <v>0</v>
      </c>
      <c r="K1834">
        <v>0</v>
      </c>
      <c r="L1834" s="4" t="s">
        <v>1746</v>
      </c>
      <c r="M1834" s="4" t="str">
        <f t="shared" si="254"/>
        <v>8/28/2021</v>
      </c>
      <c r="N1834" s="1">
        <f t="shared" ca="1" si="255"/>
        <v>46064</v>
      </c>
      <c r="O1834" s="6" t="e">
        <f t="shared" ca="1" si="256"/>
        <v>#VALUE!</v>
      </c>
      <c r="P1834">
        <v>4</v>
      </c>
      <c r="Q1834">
        <f t="shared" si="257"/>
        <v>55368</v>
      </c>
      <c r="R1834" s="2">
        <f t="shared" si="258"/>
        <v>27684</v>
      </c>
      <c r="S1834" s="2" t="str">
        <f t="shared" si="259"/>
        <v xml:space="preserve"> Not Achieved</v>
      </c>
      <c r="T1834" s="2" t="str">
        <f t="shared" si="260"/>
        <v xml:space="preserve"> Excellent</v>
      </c>
      <c r="U1834" s="2"/>
    </row>
    <row r="1835" spans="1:21" x14ac:dyDescent="0.3">
      <c r="A1835">
        <v>1834</v>
      </c>
      <c r="B1835" t="s">
        <v>2665</v>
      </c>
      <c r="C1835" t="str">
        <f t="shared" si="252"/>
        <v>EMP_1834</v>
      </c>
      <c r="D1835" t="s">
        <v>11</v>
      </c>
      <c r="E1835" t="str">
        <f t="shared" si="253"/>
        <v>EMP_1834Sales</v>
      </c>
      <c r="F1835" t="s">
        <v>7</v>
      </c>
      <c r="G1835" t="s">
        <v>19</v>
      </c>
      <c r="H1835">
        <v>21301</v>
      </c>
      <c r="I1835">
        <v>9090</v>
      </c>
      <c r="J1835">
        <v>108351</v>
      </c>
      <c r="K1835">
        <v>83992</v>
      </c>
      <c r="L1835" s="4" t="s">
        <v>2666</v>
      </c>
      <c r="M1835" s="4" t="str">
        <f t="shared" si="254"/>
        <v>11/29/2018</v>
      </c>
      <c r="N1835" s="1">
        <f t="shared" ca="1" si="255"/>
        <v>46064</v>
      </c>
      <c r="O1835" s="6" t="e">
        <f t="shared" ca="1" si="256"/>
        <v>#VALUE!</v>
      </c>
      <c r="P1835">
        <v>3</v>
      </c>
      <c r="Q1835">
        <f t="shared" si="257"/>
        <v>30391</v>
      </c>
      <c r="R1835" s="2">
        <f t="shared" si="258"/>
        <v>15195.5</v>
      </c>
      <c r="S1835" s="2" t="str">
        <f t="shared" si="259"/>
        <v>Achieved</v>
      </c>
      <c r="T1835" s="2" t="str">
        <f t="shared" si="260"/>
        <v>poor</v>
      </c>
      <c r="U1835" s="2"/>
    </row>
    <row r="1836" spans="1:21" x14ac:dyDescent="0.3">
      <c r="A1836">
        <v>1835</v>
      </c>
      <c r="B1836" t="s">
        <v>2667</v>
      </c>
      <c r="C1836" t="str">
        <f t="shared" si="252"/>
        <v>EMP_1835</v>
      </c>
      <c r="D1836" t="s">
        <v>11</v>
      </c>
      <c r="E1836" t="str">
        <f t="shared" si="253"/>
        <v>EMP_1835Finance</v>
      </c>
      <c r="F1836" t="s">
        <v>18</v>
      </c>
      <c r="G1836" t="s">
        <v>22</v>
      </c>
      <c r="H1836">
        <v>29852</v>
      </c>
      <c r="I1836">
        <v>3391</v>
      </c>
      <c r="J1836">
        <v>0</v>
      </c>
      <c r="K1836">
        <v>0</v>
      </c>
      <c r="L1836" s="4">
        <v>43775</v>
      </c>
      <c r="M1836" s="4" t="str">
        <f t="shared" si="254"/>
        <v>2019</v>
      </c>
      <c r="N1836" s="1">
        <f t="shared" ca="1" si="255"/>
        <v>46064</v>
      </c>
      <c r="O1836" s="6">
        <f t="shared" ca="1" si="256"/>
        <v>6</v>
      </c>
      <c r="P1836">
        <v>5</v>
      </c>
      <c r="Q1836">
        <f t="shared" si="257"/>
        <v>33243</v>
      </c>
      <c r="R1836" s="2">
        <f t="shared" si="258"/>
        <v>16621.5</v>
      </c>
      <c r="S1836" s="2" t="str">
        <f t="shared" si="259"/>
        <v xml:space="preserve"> Not Achieved</v>
      </c>
      <c r="T1836" s="2" t="str">
        <f t="shared" si="260"/>
        <v>poor</v>
      </c>
      <c r="U1836" s="2"/>
    </row>
    <row r="1837" spans="1:21" x14ac:dyDescent="0.3">
      <c r="A1837">
        <v>1836</v>
      </c>
      <c r="B1837" t="s">
        <v>2668</v>
      </c>
      <c r="C1837" t="str">
        <f t="shared" si="252"/>
        <v>EMP_1836</v>
      </c>
      <c r="D1837" t="s">
        <v>15</v>
      </c>
      <c r="E1837" t="str">
        <f t="shared" si="253"/>
        <v>EMP_1836Marketing</v>
      </c>
      <c r="F1837" t="s">
        <v>24</v>
      </c>
      <c r="G1837" t="s">
        <v>22</v>
      </c>
      <c r="H1837">
        <v>52460</v>
      </c>
      <c r="I1837">
        <v>11897</v>
      </c>
      <c r="J1837">
        <v>0</v>
      </c>
      <c r="K1837">
        <v>0</v>
      </c>
      <c r="L1837" s="4" t="s">
        <v>142</v>
      </c>
      <c r="M1837" s="4" t="str">
        <f t="shared" si="254"/>
        <v>1/18/2020</v>
      </c>
      <c r="N1837" s="1">
        <f t="shared" ca="1" si="255"/>
        <v>46064</v>
      </c>
      <c r="O1837" s="6" t="e">
        <f t="shared" ca="1" si="256"/>
        <v>#VALUE!</v>
      </c>
      <c r="P1837">
        <v>5</v>
      </c>
      <c r="Q1837">
        <f t="shared" si="257"/>
        <v>64357</v>
      </c>
      <c r="R1837" s="2">
        <f t="shared" si="258"/>
        <v>32178.5</v>
      </c>
      <c r="S1837" s="2" t="str">
        <f t="shared" si="259"/>
        <v xml:space="preserve"> Not Achieved</v>
      </c>
      <c r="T1837" s="2" t="str">
        <f t="shared" si="260"/>
        <v xml:space="preserve"> Excellent</v>
      </c>
      <c r="U1837" s="2"/>
    </row>
    <row r="1838" spans="1:21" x14ac:dyDescent="0.3">
      <c r="A1838">
        <v>1837</v>
      </c>
      <c r="B1838" t="s">
        <v>2669</v>
      </c>
      <c r="C1838" t="str">
        <f t="shared" si="252"/>
        <v>EMP_1837</v>
      </c>
      <c r="D1838" t="s">
        <v>11</v>
      </c>
      <c r="E1838" t="str">
        <f t="shared" si="253"/>
        <v>EMP_1837IT</v>
      </c>
      <c r="F1838" t="s">
        <v>21</v>
      </c>
      <c r="G1838" t="s">
        <v>19</v>
      </c>
      <c r="H1838">
        <v>55810</v>
      </c>
      <c r="I1838">
        <v>12343</v>
      </c>
      <c r="J1838">
        <v>0</v>
      </c>
      <c r="K1838">
        <v>0</v>
      </c>
      <c r="L1838" s="4" t="s">
        <v>2670</v>
      </c>
      <c r="M1838" s="4" t="str">
        <f t="shared" si="254"/>
        <v>2/14/2020</v>
      </c>
      <c r="N1838" s="1">
        <f t="shared" ca="1" si="255"/>
        <v>46064</v>
      </c>
      <c r="O1838" s="6" t="e">
        <f t="shared" ca="1" si="256"/>
        <v>#VALUE!</v>
      </c>
      <c r="P1838">
        <v>2</v>
      </c>
      <c r="Q1838">
        <f t="shared" si="257"/>
        <v>68153</v>
      </c>
      <c r="R1838" s="2">
        <f t="shared" si="258"/>
        <v>34076.5</v>
      </c>
      <c r="S1838" s="2" t="str">
        <f t="shared" si="259"/>
        <v xml:space="preserve"> Not Achieved</v>
      </c>
      <c r="T1838" s="2" t="str">
        <f t="shared" si="260"/>
        <v xml:space="preserve"> Excellent</v>
      </c>
      <c r="U1838" s="2"/>
    </row>
    <row r="1839" spans="1:21" x14ac:dyDescent="0.3">
      <c r="A1839">
        <v>1838</v>
      </c>
      <c r="B1839" t="s">
        <v>2671</v>
      </c>
      <c r="C1839" t="str">
        <f t="shared" si="252"/>
        <v>EMP_1838</v>
      </c>
      <c r="D1839" t="s">
        <v>11</v>
      </c>
      <c r="E1839" t="str">
        <f t="shared" si="253"/>
        <v>EMP_1838IT</v>
      </c>
      <c r="F1839" t="s">
        <v>21</v>
      </c>
      <c r="G1839" t="s">
        <v>16</v>
      </c>
      <c r="H1839">
        <v>50497</v>
      </c>
      <c r="I1839">
        <v>14577</v>
      </c>
      <c r="J1839">
        <v>0</v>
      </c>
      <c r="K1839">
        <v>0</v>
      </c>
      <c r="L1839" s="4" t="s">
        <v>2670</v>
      </c>
      <c r="M1839" s="4" t="str">
        <f t="shared" si="254"/>
        <v>2/14/2020</v>
      </c>
      <c r="N1839" s="1">
        <f t="shared" ca="1" si="255"/>
        <v>46064</v>
      </c>
      <c r="O1839" s="6" t="e">
        <f t="shared" ca="1" si="256"/>
        <v>#VALUE!</v>
      </c>
      <c r="P1839">
        <v>4</v>
      </c>
      <c r="Q1839">
        <f t="shared" si="257"/>
        <v>65074</v>
      </c>
      <c r="R1839" s="2">
        <f t="shared" si="258"/>
        <v>32537</v>
      </c>
      <c r="S1839" s="2" t="str">
        <f t="shared" si="259"/>
        <v xml:space="preserve"> Not Achieved</v>
      </c>
      <c r="T1839" s="2" t="str">
        <f t="shared" si="260"/>
        <v xml:space="preserve"> Excellent</v>
      </c>
      <c r="U1839" s="2"/>
    </row>
    <row r="1840" spans="1:21" x14ac:dyDescent="0.3">
      <c r="A1840">
        <v>1839</v>
      </c>
      <c r="B1840" t="s">
        <v>2672</v>
      </c>
      <c r="C1840" t="str">
        <f t="shared" si="252"/>
        <v>EMP_1839</v>
      </c>
      <c r="D1840" t="s">
        <v>11</v>
      </c>
      <c r="E1840" t="str">
        <f t="shared" si="253"/>
        <v>EMP_1839Finance</v>
      </c>
      <c r="F1840" t="s">
        <v>18</v>
      </c>
      <c r="G1840" t="s">
        <v>19</v>
      </c>
      <c r="H1840">
        <v>60963</v>
      </c>
      <c r="I1840">
        <v>9496</v>
      </c>
      <c r="J1840">
        <v>0</v>
      </c>
      <c r="K1840">
        <v>0</v>
      </c>
      <c r="L1840" s="4" t="s">
        <v>2673</v>
      </c>
      <c r="M1840" s="4" t="str">
        <f t="shared" si="254"/>
        <v>8/24/2024</v>
      </c>
      <c r="N1840" s="1">
        <f t="shared" ca="1" si="255"/>
        <v>46064</v>
      </c>
      <c r="O1840" s="6" t="e">
        <f t="shared" ca="1" si="256"/>
        <v>#VALUE!</v>
      </c>
      <c r="P1840">
        <v>3</v>
      </c>
      <c r="Q1840">
        <f t="shared" si="257"/>
        <v>70459</v>
      </c>
      <c r="R1840" s="2">
        <f t="shared" si="258"/>
        <v>35229.5</v>
      </c>
      <c r="S1840" s="2" t="str">
        <f t="shared" si="259"/>
        <v xml:space="preserve"> Not Achieved</v>
      </c>
      <c r="T1840" s="2" t="str">
        <f t="shared" si="260"/>
        <v xml:space="preserve"> Excellent</v>
      </c>
      <c r="U1840" s="2"/>
    </row>
    <row r="1841" spans="1:21" x14ac:dyDescent="0.3">
      <c r="A1841">
        <v>1840</v>
      </c>
      <c r="B1841" t="s">
        <v>2674</v>
      </c>
      <c r="C1841" t="str">
        <f t="shared" si="252"/>
        <v>EMP_1840</v>
      </c>
      <c r="D1841" t="s">
        <v>15</v>
      </c>
      <c r="E1841" t="str">
        <f t="shared" si="253"/>
        <v>EMP_1840Finance</v>
      </c>
      <c r="F1841" t="s">
        <v>18</v>
      </c>
      <c r="G1841" t="s">
        <v>19</v>
      </c>
      <c r="H1841">
        <v>41087</v>
      </c>
      <c r="I1841">
        <v>2712</v>
      </c>
      <c r="J1841">
        <v>0</v>
      </c>
      <c r="K1841">
        <v>0</v>
      </c>
      <c r="L1841" s="4" t="s">
        <v>1010</v>
      </c>
      <c r="M1841" s="4" t="str">
        <f t="shared" si="254"/>
        <v>11/18/2022</v>
      </c>
      <c r="N1841" s="1">
        <f t="shared" ca="1" si="255"/>
        <v>46064</v>
      </c>
      <c r="O1841" s="6" t="e">
        <f t="shared" ca="1" si="256"/>
        <v>#VALUE!</v>
      </c>
      <c r="P1841">
        <v>1</v>
      </c>
      <c r="Q1841">
        <f t="shared" si="257"/>
        <v>43799</v>
      </c>
      <c r="R1841" s="2">
        <f t="shared" si="258"/>
        <v>21899.5</v>
      </c>
      <c r="S1841" s="2" t="str">
        <f t="shared" si="259"/>
        <v xml:space="preserve"> Not Achieved</v>
      </c>
      <c r="T1841" s="2" t="str">
        <f t="shared" si="260"/>
        <v>Good</v>
      </c>
      <c r="U1841" s="2"/>
    </row>
    <row r="1842" spans="1:21" x14ac:dyDescent="0.3">
      <c r="A1842">
        <v>1841</v>
      </c>
      <c r="B1842" t="s">
        <v>2675</v>
      </c>
      <c r="C1842" t="str">
        <f t="shared" si="252"/>
        <v>EMP_1841</v>
      </c>
      <c r="D1842" t="s">
        <v>15</v>
      </c>
      <c r="E1842" t="str">
        <f t="shared" si="253"/>
        <v>EMP_1841HR</v>
      </c>
      <c r="F1842" t="s">
        <v>12</v>
      </c>
      <c r="G1842" t="s">
        <v>19</v>
      </c>
      <c r="H1842">
        <v>62282</v>
      </c>
      <c r="I1842">
        <v>11631</v>
      </c>
      <c r="J1842">
        <v>0</v>
      </c>
      <c r="K1842">
        <v>0</v>
      </c>
      <c r="L1842" s="4">
        <v>45634</v>
      </c>
      <c r="M1842" s="4" t="str">
        <f t="shared" si="254"/>
        <v>2024</v>
      </c>
      <c r="N1842" s="1">
        <f t="shared" ca="1" si="255"/>
        <v>46064</v>
      </c>
      <c r="O1842" s="6">
        <f t="shared" ca="1" si="256"/>
        <v>1</v>
      </c>
      <c r="P1842">
        <v>5</v>
      </c>
      <c r="Q1842">
        <f t="shared" si="257"/>
        <v>73913</v>
      </c>
      <c r="R1842" s="2">
        <f t="shared" si="258"/>
        <v>36956.5</v>
      </c>
      <c r="S1842" s="2" t="str">
        <f t="shared" si="259"/>
        <v xml:space="preserve"> Not Achieved</v>
      </c>
      <c r="T1842" s="2" t="str">
        <f t="shared" si="260"/>
        <v xml:space="preserve"> Excellent</v>
      </c>
      <c r="U1842" s="2"/>
    </row>
    <row r="1843" spans="1:21" x14ac:dyDescent="0.3">
      <c r="A1843">
        <v>1842</v>
      </c>
      <c r="B1843" t="s">
        <v>2676</v>
      </c>
      <c r="C1843" t="str">
        <f t="shared" si="252"/>
        <v>EMP_1842</v>
      </c>
      <c r="D1843" t="s">
        <v>15</v>
      </c>
      <c r="E1843" t="str">
        <f t="shared" si="253"/>
        <v>EMP_1842IT</v>
      </c>
      <c r="F1843" t="s">
        <v>21</v>
      </c>
      <c r="G1843" t="s">
        <v>22</v>
      </c>
      <c r="H1843">
        <v>74151</v>
      </c>
      <c r="I1843">
        <v>6184</v>
      </c>
      <c r="J1843">
        <v>0</v>
      </c>
      <c r="K1843">
        <v>0</v>
      </c>
      <c r="L1843" s="4" t="s">
        <v>774</v>
      </c>
      <c r="M1843" s="4" t="str">
        <f t="shared" si="254"/>
        <v>8/30/2020</v>
      </c>
      <c r="N1843" s="1">
        <f t="shared" ca="1" si="255"/>
        <v>46064</v>
      </c>
      <c r="O1843" s="6" t="e">
        <f t="shared" ca="1" si="256"/>
        <v>#VALUE!</v>
      </c>
      <c r="P1843">
        <v>2</v>
      </c>
      <c r="Q1843">
        <f t="shared" si="257"/>
        <v>80335</v>
      </c>
      <c r="R1843" s="2">
        <f t="shared" si="258"/>
        <v>40167.5</v>
      </c>
      <c r="S1843" s="2" t="str">
        <f t="shared" si="259"/>
        <v xml:space="preserve"> Not Achieved</v>
      </c>
      <c r="T1843" s="2" t="str">
        <f t="shared" si="260"/>
        <v xml:space="preserve"> Excellent</v>
      </c>
      <c r="U1843" s="2"/>
    </row>
    <row r="1844" spans="1:21" x14ac:dyDescent="0.3">
      <c r="A1844">
        <v>1843</v>
      </c>
      <c r="B1844" t="s">
        <v>2677</v>
      </c>
      <c r="C1844" t="str">
        <f t="shared" si="252"/>
        <v>EMP_1843</v>
      </c>
      <c r="D1844" t="s">
        <v>15</v>
      </c>
      <c r="E1844" t="str">
        <f t="shared" si="253"/>
        <v>EMP_1843Sales</v>
      </c>
      <c r="F1844" t="s">
        <v>7</v>
      </c>
      <c r="G1844" t="s">
        <v>22</v>
      </c>
      <c r="H1844">
        <v>51407</v>
      </c>
      <c r="I1844">
        <v>2855</v>
      </c>
      <c r="J1844">
        <v>86989</v>
      </c>
      <c r="K1844">
        <v>146495</v>
      </c>
      <c r="L1844" s="4">
        <v>43803</v>
      </c>
      <c r="M1844" s="4" t="str">
        <f t="shared" si="254"/>
        <v>2019</v>
      </c>
      <c r="N1844" s="1">
        <f t="shared" ca="1" si="255"/>
        <v>46064</v>
      </c>
      <c r="O1844" s="6">
        <f t="shared" ca="1" si="256"/>
        <v>6</v>
      </c>
      <c r="P1844">
        <v>2</v>
      </c>
      <c r="Q1844">
        <f t="shared" si="257"/>
        <v>54262</v>
      </c>
      <c r="R1844" s="2">
        <f t="shared" si="258"/>
        <v>27131</v>
      </c>
      <c r="S1844" s="2" t="str">
        <f t="shared" si="259"/>
        <v xml:space="preserve"> Not Achieved</v>
      </c>
      <c r="T1844" s="2" t="str">
        <f t="shared" si="260"/>
        <v xml:space="preserve"> Excellent</v>
      </c>
      <c r="U1844" s="2"/>
    </row>
    <row r="1845" spans="1:21" x14ac:dyDescent="0.3">
      <c r="A1845">
        <v>1844</v>
      </c>
      <c r="B1845" t="s">
        <v>2678</v>
      </c>
      <c r="C1845" t="str">
        <f t="shared" si="252"/>
        <v>EMP_1844</v>
      </c>
      <c r="D1845" t="s">
        <v>15</v>
      </c>
      <c r="E1845" t="str">
        <f t="shared" si="253"/>
        <v>EMP_1844HR</v>
      </c>
      <c r="F1845" t="s">
        <v>12</v>
      </c>
      <c r="G1845" t="s">
        <v>22</v>
      </c>
      <c r="H1845">
        <v>68468</v>
      </c>
      <c r="I1845">
        <v>9127</v>
      </c>
      <c r="J1845">
        <v>0</v>
      </c>
      <c r="K1845">
        <v>0</v>
      </c>
      <c r="L1845" s="4" t="s">
        <v>2010</v>
      </c>
      <c r="M1845" s="4" t="str">
        <f t="shared" si="254"/>
        <v>1/26/2021</v>
      </c>
      <c r="N1845" s="1">
        <f t="shared" ca="1" si="255"/>
        <v>46064</v>
      </c>
      <c r="O1845" s="6" t="e">
        <f t="shared" ca="1" si="256"/>
        <v>#VALUE!</v>
      </c>
      <c r="P1845">
        <v>1</v>
      </c>
      <c r="Q1845">
        <f t="shared" si="257"/>
        <v>77595</v>
      </c>
      <c r="R1845" s="2">
        <f t="shared" si="258"/>
        <v>38797.5</v>
      </c>
      <c r="S1845" s="2" t="str">
        <f t="shared" si="259"/>
        <v xml:space="preserve"> Not Achieved</v>
      </c>
      <c r="T1845" s="2" t="str">
        <f t="shared" si="260"/>
        <v xml:space="preserve"> Excellent</v>
      </c>
      <c r="U1845" s="2"/>
    </row>
    <row r="1846" spans="1:21" x14ac:dyDescent="0.3">
      <c r="A1846">
        <v>1845</v>
      </c>
      <c r="B1846" t="s">
        <v>2679</v>
      </c>
      <c r="C1846" t="str">
        <f t="shared" si="252"/>
        <v>EMP_1845</v>
      </c>
      <c r="D1846" t="s">
        <v>11</v>
      </c>
      <c r="E1846" t="str">
        <f t="shared" si="253"/>
        <v>EMP_1845Sales</v>
      </c>
      <c r="F1846" t="s">
        <v>7</v>
      </c>
      <c r="G1846" t="s">
        <v>19</v>
      </c>
      <c r="H1846">
        <v>52354</v>
      </c>
      <c r="I1846">
        <v>5788</v>
      </c>
      <c r="J1846">
        <v>228739</v>
      </c>
      <c r="K1846">
        <v>245497</v>
      </c>
      <c r="L1846" s="4" t="s">
        <v>2680</v>
      </c>
      <c r="M1846" s="4" t="str">
        <f t="shared" si="254"/>
        <v>4/19/2018</v>
      </c>
      <c r="N1846" s="1">
        <f t="shared" ca="1" si="255"/>
        <v>46064</v>
      </c>
      <c r="O1846" s="6" t="e">
        <f t="shared" ca="1" si="256"/>
        <v>#VALUE!</v>
      </c>
      <c r="P1846">
        <v>4</v>
      </c>
      <c r="Q1846">
        <f t="shared" si="257"/>
        <v>58142</v>
      </c>
      <c r="R1846" s="2">
        <f t="shared" si="258"/>
        <v>29071</v>
      </c>
      <c r="S1846" s="2" t="str">
        <f t="shared" si="259"/>
        <v xml:space="preserve"> Not Achieved</v>
      </c>
      <c r="T1846" s="2" t="str">
        <f t="shared" si="260"/>
        <v xml:space="preserve"> Excellent</v>
      </c>
      <c r="U1846" s="2"/>
    </row>
    <row r="1847" spans="1:21" x14ac:dyDescent="0.3">
      <c r="A1847">
        <v>1846</v>
      </c>
      <c r="B1847" t="s">
        <v>2681</v>
      </c>
      <c r="C1847" t="str">
        <f t="shared" si="252"/>
        <v>EMP_1846</v>
      </c>
      <c r="D1847" t="s">
        <v>11</v>
      </c>
      <c r="E1847" t="str">
        <f t="shared" si="253"/>
        <v>EMP_1846Sales</v>
      </c>
      <c r="F1847" t="s">
        <v>7</v>
      </c>
      <c r="G1847" t="s">
        <v>19</v>
      </c>
      <c r="H1847">
        <v>49186</v>
      </c>
      <c r="I1847">
        <v>10480</v>
      </c>
      <c r="J1847">
        <v>109292</v>
      </c>
      <c r="K1847">
        <v>141503</v>
      </c>
      <c r="L1847" s="4" t="s">
        <v>2512</v>
      </c>
      <c r="M1847" s="4" t="str">
        <f t="shared" si="254"/>
        <v>10/17/2024</v>
      </c>
      <c r="N1847" s="1">
        <f t="shared" ca="1" si="255"/>
        <v>46064</v>
      </c>
      <c r="O1847" s="6" t="e">
        <f t="shared" ca="1" si="256"/>
        <v>#VALUE!</v>
      </c>
      <c r="P1847">
        <v>5</v>
      </c>
      <c r="Q1847">
        <f t="shared" si="257"/>
        <v>59666</v>
      </c>
      <c r="R1847" s="2">
        <f t="shared" si="258"/>
        <v>29833</v>
      </c>
      <c r="S1847" s="2" t="str">
        <f t="shared" si="259"/>
        <v xml:space="preserve"> Not Achieved</v>
      </c>
      <c r="T1847" s="2" t="str">
        <f t="shared" si="260"/>
        <v>Good</v>
      </c>
      <c r="U1847" s="2"/>
    </row>
    <row r="1848" spans="1:21" x14ac:dyDescent="0.3">
      <c r="A1848">
        <v>1847</v>
      </c>
      <c r="B1848" t="s">
        <v>2682</v>
      </c>
      <c r="C1848" t="str">
        <f t="shared" si="252"/>
        <v>EMP_1847</v>
      </c>
      <c r="D1848" t="s">
        <v>11</v>
      </c>
      <c r="E1848" t="str">
        <f t="shared" si="253"/>
        <v>EMP_1847Sales</v>
      </c>
      <c r="F1848" t="s">
        <v>7</v>
      </c>
      <c r="G1848" t="s">
        <v>13</v>
      </c>
      <c r="H1848">
        <v>52416</v>
      </c>
      <c r="I1848">
        <v>2099</v>
      </c>
      <c r="J1848">
        <v>255469</v>
      </c>
      <c r="K1848">
        <v>100919</v>
      </c>
      <c r="L1848" s="4" t="s">
        <v>2391</v>
      </c>
      <c r="M1848" s="4" t="str">
        <f t="shared" si="254"/>
        <v>6/23/2022</v>
      </c>
      <c r="N1848" s="1">
        <f t="shared" ca="1" si="255"/>
        <v>46064</v>
      </c>
      <c r="O1848" s="6" t="e">
        <f t="shared" ca="1" si="256"/>
        <v>#VALUE!</v>
      </c>
      <c r="P1848">
        <v>2</v>
      </c>
      <c r="Q1848">
        <f t="shared" si="257"/>
        <v>54515</v>
      </c>
      <c r="R1848" s="2">
        <f t="shared" si="258"/>
        <v>27257.5</v>
      </c>
      <c r="S1848" s="2" t="str">
        <f t="shared" si="259"/>
        <v>Achieved</v>
      </c>
      <c r="T1848" s="2" t="str">
        <f t="shared" si="260"/>
        <v xml:space="preserve"> Excellent</v>
      </c>
      <c r="U1848" s="2"/>
    </row>
    <row r="1849" spans="1:21" x14ac:dyDescent="0.3">
      <c r="A1849">
        <v>1848</v>
      </c>
      <c r="B1849" t="s">
        <v>2683</v>
      </c>
      <c r="C1849" t="str">
        <f t="shared" si="252"/>
        <v>EMP_1848</v>
      </c>
      <c r="D1849" t="s">
        <v>15</v>
      </c>
      <c r="E1849" t="str">
        <f t="shared" si="253"/>
        <v>EMP_1848Marketing</v>
      </c>
      <c r="F1849" t="s">
        <v>24</v>
      </c>
      <c r="G1849" t="s">
        <v>16</v>
      </c>
      <c r="H1849">
        <v>78482</v>
      </c>
      <c r="I1849">
        <v>8004</v>
      </c>
      <c r="J1849">
        <v>0</v>
      </c>
      <c r="K1849">
        <v>0</v>
      </c>
      <c r="L1849" s="4" t="s">
        <v>2684</v>
      </c>
      <c r="M1849" s="4" t="str">
        <f t="shared" si="254"/>
        <v>4/15/2018</v>
      </c>
      <c r="N1849" s="1">
        <f t="shared" ca="1" si="255"/>
        <v>46064</v>
      </c>
      <c r="O1849" s="6" t="e">
        <f t="shared" ca="1" si="256"/>
        <v>#VALUE!</v>
      </c>
      <c r="P1849">
        <v>5</v>
      </c>
      <c r="Q1849">
        <f t="shared" si="257"/>
        <v>86486</v>
      </c>
      <c r="R1849" s="2">
        <f t="shared" si="258"/>
        <v>43243</v>
      </c>
      <c r="S1849" s="2" t="str">
        <f t="shared" si="259"/>
        <v xml:space="preserve"> Not Achieved</v>
      </c>
      <c r="T1849" s="2" t="str">
        <f t="shared" si="260"/>
        <v xml:space="preserve"> Excellent</v>
      </c>
      <c r="U1849" s="2"/>
    </row>
    <row r="1850" spans="1:21" x14ac:dyDescent="0.3">
      <c r="A1850">
        <v>1849</v>
      </c>
      <c r="B1850" t="s">
        <v>2685</v>
      </c>
      <c r="C1850" t="str">
        <f t="shared" si="252"/>
        <v>EMP_1849</v>
      </c>
      <c r="D1850" t="s">
        <v>11</v>
      </c>
      <c r="E1850" t="str">
        <f t="shared" si="253"/>
        <v>EMP_1849IT</v>
      </c>
      <c r="F1850" t="s">
        <v>21</v>
      </c>
      <c r="G1850" t="s">
        <v>13</v>
      </c>
      <c r="H1850">
        <v>72495</v>
      </c>
      <c r="I1850">
        <v>13164</v>
      </c>
      <c r="J1850">
        <v>0</v>
      </c>
      <c r="K1850">
        <v>0</v>
      </c>
      <c r="L1850" s="4">
        <v>44719</v>
      </c>
      <c r="M1850" s="4" t="str">
        <f t="shared" si="254"/>
        <v>2022</v>
      </c>
      <c r="N1850" s="1">
        <f t="shared" ca="1" si="255"/>
        <v>46064</v>
      </c>
      <c r="O1850" s="6">
        <f t="shared" ca="1" si="256"/>
        <v>3</v>
      </c>
      <c r="P1850">
        <v>5</v>
      </c>
      <c r="Q1850">
        <f t="shared" si="257"/>
        <v>85659</v>
      </c>
      <c r="R1850" s="2">
        <f t="shared" si="258"/>
        <v>42829.5</v>
      </c>
      <c r="S1850" s="2" t="str">
        <f t="shared" si="259"/>
        <v xml:space="preserve"> Not Achieved</v>
      </c>
      <c r="T1850" s="2" t="str">
        <f t="shared" si="260"/>
        <v xml:space="preserve"> Excellent</v>
      </c>
      <c r="U1850" s="2"/>
    </row>
    <row r="1851" spans="1:21" x14ac:dyDescent="0.3">
      <c r="A1851">
        <v>1850</v>
      </c>
      <c r="B1851" t="s">
        <v>2686</v>
      </c>
      <c r="C1851" t="str">
        <f t="shared" si="252"/>
        <v>EMP_1850</v>
      </c>
      <c r="D1851" t="s">
        <v>11</v>
      </c>
      <c r="E1851" t="str">
        <f t="shared" si="253"/>
        <v>EMP_1850Marketing</v>
      </c>
      <c r="F1851" t="s">
        <v>24</v>
      </c>
      <c r="G1851" t="s">
        <v>13</v>
      </c>
      <c r="H1851">
        <v>55244</v>
      </c>
      <c r="I1851">
        <v>5665</v>
      </c>
      <c r="J1851">
        <v>0</v>
      </c>
      <c r="K1851">
        <v>0</v>
      </c>
      <c r="L1851" s="4">
        <v>45300</v>
      </c>
      <c r="M1851" s="4" t="str">
        <f t="shared" si="254"/>
        <v>2024</v>
      </c>
      <c r="N1851" s="1">
        <f t="shared" ca="1" si="255"/>
        <v>46064</v>
      </c>
      <c r="O1851" s="6">
        <f t="shared" ca="1" si="256"/>
        <v>2</v>
      </c>
      <c r="P1851">
        <v>2</v>
      </c>
      <c r="Q1851">
        <f t="shared" si="257"/>
        <v>60909</v>
      </c>
      <c r="R1851" s="2">
        <f t="shared" si="258"/>
        <v>30454.5</v>
      </c>
      <c r="S1851" s="2" t="str">
        <f t="shared" si="259"/>
        <v xml:space="preserve"> Not Achieved</v>
      </c>
      <c r="T1851" s="2" t="str">
        <f t="shared" si="260"/>
        <v xml:space="preserve"> Excellent</v>
      </c>
      <c r="U1851" s="2"/>
    </row>
    <row r="1852" spans="1:21" x14ac:dyDescent="0.3">
      <c r="A1852">
        <v>1851</v>
      </c>
      <c r="B1852" t="s">
        <v>2687</v>
      </c>
      <c r="C1852" t="str">
        <f t="shared" si="252"/>
        <v>EMP_1851</v>
      </c>
      <c r="D1852" t="s">
        <v>11</v>
      </c>
      <c r="E1852" t="str">
        <f t="shared" si="253"/>
        <v>EMP_1851Sales</v>
      </c>
      <c r="F1852" t="s">
        <v>7</v>
      </c>
      <c r="G1852" t="s">
        <v>22</v>
      </c>
      <c r="H1852">
        <v>74665</v>
      </c>
      <c r="I1852">
        <v>8648</v>
      </c>
      <c r="J1852">
        <v>274812</v>
      </c>
      <c r="K1852">
        <v>126935</v>
      </c>
      <c r="L1852" s="4" t="s">
        <v>277</v>
      </c>
      <c r="M1852" s="4" t="str">
        <f t="shared" si="254"/>
        <v>3/18/2022</v>
      </c>
      <c r="N1852" s="1">
        <f t="shared" ca="1" si="255"/>
        <v>46064</v>
      </c>
      <c r="O1852" s="6" t="e">
        <f t="shared" ca="1" si="256"/>
        <v>#VALUE!</v>
      </c>
      <c r="P1852">
        <v>5</v>
      </c>
      <c r="Q1852">
        <f t="shared" si="257"/>
        <v>83313</v>
      </c>
      <c r="R1852" s="2">
        <f t="shared" si="258"/>
        <v>41656.5</v>
      </c>
      <c r="S1852" s="2" t="str">
        <f t="shared" si="259"/>
        <v>Achieved</v>
      </c>
      <c r="T1852" s="2" t="str">
        <f t="shared" si="260"/>
        <v xml:space="preserve"> Excellent</v>
      </c>
      <c r="U1852" s="2"/>
    </row>
    <row r="1853" spans="1:21" x14ac:dyDescent="0.3">
      <c r="A1853">
        <v>1852</v>
      </c>
      <c r="B1853" t="s">
        <v>2688</v>
      </c>
      <c r="C1853" t="str">
        <f t="shared" si="252"/>
        <v>EMP_1852</v>
      </c>
      <c r="D1853" t="s">
        <v>11</v>
      </c>
      <c r="E1853" t="str">
        <f t="shared" si="253"/>
        <v>EMP_1852Sales</v>
      </c>
      <c r="F1853" t="s">
        <v>7</v>
      </c>
      <c r="G1853" t="s">
        <v>13</v>
      </c>
      <c r="H1853">
        <v>60499</v>
      </c>
      <c r="I1853">
        <v>8151</v>
      </c>
      <c r="J1853">
        <v>206374</v>
      </c>
      <c r="K1853">
        <v>226044</v>
      </c>
      <c r="L1853" s="4" t="s">
        <v>2184</v>
      </c>
      <c r="M1853" s="4" t="str">
        <f t="shared" si="254"/>
        <v>11/16/2021</v>
      </c>
      <c r="N1853" s="1">
        <f t="shared" ca="1" si="255"/>
        <v>46064</v>
      </c>
      <c r="O1853" s="6" t="e">
        <f t="shared" ca="1" si="256"/>
        <v>#VALUE!</v>
      </c>
      <c r="P1853">
        <v>5</v>
      </c>
      <c r="Q1853">
        <f t="shared" si="257"/>
        <v>68650</v>
      </c>
      <c r="R1853" s="2">
        <f t="shared" si="258"/>
        <v>34325</v>
      </c>
      <c r="S1853" s="2" t="str">
        <f t="shared" si="259"/>
        <v xml:space="preserve"> Not Achieved</v>
      </c>
      <c r="T1853" s="2" t="str">
        <f t="shared" si="260"/>
        <v xml:space="preserve"> Excellent</v>
      </c>
      <c r="U1853" s="2"/>
    </row>
    <row r="1854" spans="1:21" x14ac:dyDescent="0.3">
      <c r="A1854">
        <v>1853</v>
      </c>
      <c r="B1854" t="s">
        <v>2689</v>
      </c>
      <c r="C1854" t="str">
        <f t="shared" si="252"/>
        <v>EMP_1853</v>
      </c>
      <c r="D1854" t="s">
        <v>15</v>
      </c>
      <c r="E1854" t="str">
        <f t="shared" si="253"/>
        <v>EMP_1853Marketing</v>
      </c>
      <c r="F1854" t="s">
        <v>24</v>
      </c>
      <c r="G1854" t="s">
        <v>16</v>
      </c>
      <c r="H1854">
        <v>60458</v>
      </c>
      <c r="I1854">
        <v>4633</v>
      </c>
      <c r="J1854">
        <v>0</v>
      </c>
      <c r="K1854">
        <v>0</v>
      </c>
      <c r="L1854" s="4">
        <v>43223</v>
      </c>
      <c r="M1854" s="4" t="str">
        <f t="shared" si="254"/>
        <v>2018</v>
      </c>
      <c r="N1854" s="1">
        <f t="shared" ca="1" si="255"/>
        <v>46064</v>
      </c>
      <c r="O1854" s="6">
        <f t="shared" ca="1" si="256"/>
        <v>7</v>
      </c>
      <c r="P1854">
        <v>1</v>
      </c>
      <c r="Q1854">
        <f t="shared" si="257"/>
        <v>65091</v>
      </c>
      <c r="R1854" s="2">
        <f t="shared" si="258"/>
        <v>32545.5</v>
      </c>
      <c r="S1854" s="2" t="str">
        <f t="shared" si="259"/>
        <v xml:space="preserve"> Not Achieved</v>
      </c>
      <c r="T1854" s="2" t="str">
        <f t="shared" si="260"/>
        <v xml:space="preserve"> Excellent</v>
      </c>
      <c r="U1854" s="2"/>
    </row>
    <row r="1855" spans="1:21" x14ac:dyDescent="0.3">
      <c r="A1855">
        <v>1854</v>
      </c>
      <c r="B1855" t="s">
        <v>2690</v>
      </c>
      <c r="C1855" t="str">
        <f t="shared" si="252"/>
        <v>EMP_1854</v>
      </c>
      <c r="D1855" t="s">
        <v>11</v>
      </c>
      <c r="E1855" t="str">
        <f t="shared" si="253"/>
        <v>EMP_1854IT</v>
      </c>
      <c r="F1855" t="s">
        <v>21</v>
      </c>
      <c r="G1855" t="s">
        <v>16</v>
      </c>
      <c r="H1855">
        <v>66551</v>
      </c>
      <c r="I1855">
        <v>5516</v>
      </c>
      <c r="J1855">
        <v>0</v>
      </c>
      <c r="K1855">
        <v>0</v>
      </c>
      <c r="L1855" s="4" t="s">
        <v>2691</v>
      </c>
      <c r="M1855" s="4" t="str">
        <f t="shared" si="254"/>
        <v>1/21/2018</v>
      </c>
      <c r="N1855" s="1">
        <f t="shared" ca="1" si="255"/>
        <v>46064</v>
      </c>
      <c r="O1855" s="6" t="e">
        <f t="shared" ca="1" si="256"/>
        <v>#VALUE!</v>
      </c>
      <c r="P1855">
        <v>5</v>
      </c>
      <c r="Q1855">
        <f t="shared" si="257"/>
        <v>72067</v>
      </c>
      <c r="R1855" s="2">
        <f t="shared" si="258"/>
        <v>36033.5</v>
      </c>
      <c r="S1855" s="2" t="str">
        <f t="shared" si="259"/>
        <v xml:space="preserve"> Not Achieved</v>
      </c>
      <c r="T1855" s="2" t="str">
        <f t="shared" si="260"/>
        <v xml:space="preserve"> Excellent</v>
      </c>
      <c r="U1855" s="2"/>
    </row>
    <row r="1856" spans="1:21" x14ac:dyDescent="0.3">
      <c r="A1856">
        <v>1855</v>
      </c>
      <c r="B1856" t="s">
        <v>2692</v>
      </c>
      <c r="C1856" t="str">
        <f t="shared" si="252"/>
        <v>EMP_1855</v>
      </c>
      <c r="D1856" t="s">
        <v>11</v>
      </c>
      <c r="E1856" t="str">
        <f t="shared" si="253"/>
        <v>EMP_1855IT</v>
      </c>
      <c r="F1856" t="s">
        <v>21</v>
      </c>
      <c r="G1856" t="s">
        <v>19</v>
      </c>
      <c r="H1856">
        <v>46781</v>
      </c>
      <c r="I1856">
        <v>5714</v>
      </c>
      <c r="J1856">
        <v>0</v>
      </c>
      <c r="K1856">
        <v>0</v>
      </c>
      <c r="L1856" s="4" t="s">
        <v>2693</v>
      </c>
      <c r="M1856" s="4" t="str">
        <f t="shared" si="254"/>
        <v>1/23/2023</v>
      </c>
      <c r="N1856" s="1">
        <f t="shared" ca="1" si="255"/>
        <v>46064</v>
      </c>
      <c r="O1856" s="6" t="e">
        <f t="shared" ca="1" si="256"/>
        <v>#VALUE!</v>
      </c>
      <c r="P1856">
        <v>2</v>
      </c>
      <c r="Q1856">
        <f t="shared" si="257"/>
        <v>52495</v>
      </c>
      <c r="R1856" s="2">
        <f t="shared" si="258"/>
        <v>26247.5</v>
      </c>
      <c r="S1856" s="2" t="str">
        <f t="shared" si="259"/>
        <v xml:space="preserve"> Not Achieved</v>
      </c>
      <c r="T1856" s="2" t="str">
        <f t="shared" si="260"/>
        <v>Good</v>
      </c>
      <c r="U1856" s="2"/>
    </row>
    <row r="1857" spans="1:21" x14ac:dyDescent="0.3">
      <c r="A1857">
        <v>1856</v>
      </c>
      <c r="B1857" t="s">
        <v>2694</v>
      </c>
      <c r="C1857" t="str">
        <f t="shared" si="252"/>
        <v>EMP_1856</v>
      </c>
      <c r="D1857" t="s">
        <v>15</v>
      </c>
      <c r="E1857" t="str">
        <f t="shared" si="253"/>
        <v>EMP_1856HR</v>
      </c>
      <c r="F1857" t="s">
        <v>12</v>
      </c>
      <c r="G1857" t="s">
        <v>25</v>
      </c>
      <c r="H1857">
        <v>21408</v>
      </c>
      <c r="I1857">
        <v>3744</v>
      </c>
      <c r="J1857">
        <v>0</v>
      </c>
      <c r="K1857">
        <v>0</v>
      </c>
      <c r="L1857" s="4" t="s">
        <v>1397</v>
      </c>
      <c r="M1857" s="4" t="str">
        <f t="shared" si="254"/>
        <v>8/30/2023</v>
      </c>
      <c r="N1857" s="1">
        <f t="shared" ca="1" si="255"/>
        <v>46064</v>
      </c>
      <c r="O1857" s="6" t="e">
        <f t="shared" ca="1" si="256"/>
        <v>#VALUE!</v>
      </c>
      <c r="P1857">
        <v>2</v>
      </c>
      <c r="Q1857">
        <f t="shared" si="257"/>
        <v>25152</v>
      </c>
      <c r="R1857" s="2">
        <f t="shared" si="258"/>
        <v>12576</v>
      </c>
      <c r="S1857" s="2" t="str">
        <f t="shared" si="259"/>
        <v xml:space="preserve"> Not Achieved</v>
      </c>
      <c r="T1857" s="2" t="str">
        <f t="shared" si="260"/>
        <v>poor</v>
      </c>
      <c r="U1857" s="2"/>
    </row>
    <row r="1858" spans="1:21" x14ac:dyDescent="0.3">
      <c r="A1858">
        <v>1857</v>
      </c>
      <c r="B1858" t="s">
        <v>2695</v>
      </c>
      <c r="C1858" t="str">
        <f t="shared" si="252"/>
        <v>EMP_1857</v>
      </c>
      <c r="D1858" t="s">
        <v>11</v>
      </c>
      <c r="E1858" t="str">
        <f t="shared" si="253"/>
        <v>EMP_1857HR</v>
      </c>
      <c r="F1858" t="s">
        <v>12</v>
      </c>
      <c r="G1858" t="s">
        <v>25</v>
      </c>
      <c r="H1858">
        <v>79436</v>
      </c>
      <c r="I1858">
        <v>5550</v>
      </c>
      <c r="J1858">
        <v>0</v>
      </c>
      <c r="K1858">
        <v>0</v>
      </c>
      <c r="L1858" s="4" t="s">
        <v>2696</v>
      </c>
      <c r="M1858" s="4" t="str">
        <f t="shared" si="254"/>
        <v>6/17/2019</v>
      </c>
      <c r="N1858" s="1">
        <f t="shared" ca="1" si="255"/>
        <v>46064</v>
      </c>
      <c r="O1858" s="6" t="e">
        <f t="shared" ca="1" si="256"/>
        <v>#VALUE!</v>
      </c>
      <c r="P1858">
        <v>1</v>
      </c>
      <c r="Q1858">
        <f t="shared" si="257"/>
        <v>84986</v>
      </c>
      <c r="R1858" s="2">
        <f t="shared" si="258"/>
        <v>42493</v>
      </c>
      <c r="S1858" s="2" t="str">
        <f t="shared" si="259"/>
        <v xml:space="preserve"> Not Achieved</v>
      </c>
      <c r="T1858" s="2" t="str">
        <f t="shared" si="260"/>
        <v xml:space="preserve"> Excellent</v>
      </c>
      <c r="U1858" s="2"/>
    </row>
    <row r="1859" spans="1:21" x14ac:dyDescent="0.3">
      <c r="A1859">
        <v>1858</v>
      </c>
      <c r="B1859" t="s">
        <v>2697</v>
      </c>
      <c r="C1859" t="str">
        <f t="shared" ref="C1859:C1922" si="261">UPPER(B1859)</f>
        <v>EMP_1858</v>
      </c>
      <c r="D1859" t="s">
        <v>11</v>
      </c>
      <c r="E1859" t="str">
        <f t="shared" ref="E1859:E1922" si="262">_xlfn.CONCAT(C1859,F1859)</f>
        <v>EMP_1858IT</v>
      </c>
      <c r="F1859" t="s">
        <v>21</v>
      </c>
      <c r="G1859" t="s">
        <v>16</v>
      </c>
      <c r="H1859">
        <v>45417</v>
      </c>
      <c r="I1859">
        <v>4645</v>
      </c>
      <c r="J1859">
        <v>0</v>
      </c>
      <c r="K1859">
        <v>0</v>
      </c>
      <c r="L1859" s="4">
        <v>45608</v>
      </c>
      <c r="M1859" s="4" t="str">
        <f t="shared" ref="M1859:M1922" si="263">TEXT(L1859,"yyyy")</f>
        <v>2024</v>
      </c>
      <c r="N1859" s="1">
        <f t="shared" ref="N1859:N1922" ca="1" si="264">TODAY()</f>
        <v>46064</v>
      </c>
      <c r="O1859" s="6">
        <f t="shared" ref="O1859:O1922" ca="1" si="265">DATEDIF(L1859, TODAY(), "y")</f>
        <v>1</v>
      </c>
      <c r="P1859">
        <v>4</v>
      </c>
      <c r="Q1859">
        <f t="shared" ref="Q1859:Q1922" si="266">SUM(H1859,I1859)</f>
        <v>50062</v>
      </c>
      <c r="R1859" s="2">
        <f t="shared" ref="R1859:R1922" si="267">AVERAGE(H1859,I1859)</f>
        <v>25031</v>
      </c>
      <c r="S1859" s="2" t="str">
        <f t="shared" ref="S1859:S1922" si="268">IF(J1859&gt;K1859,"Achieved"," Not Achieved")</f>
        <v xml:space="preserve"> Not Achieved</v>
      </c>
      <c r="T1859" s="2" t="str">
        <f t="shared" ref="T1859:T1922" si="269">_xlfn.IFS(H1859&gt;=50000," Excellent",H1859&gt;=40000,"Good",H1859&gt;=30000,"Average",H1859&lt;30000,"poor")</f>
        <v>Good</v>
      </c>
      <c r="U1859" s="2"/>
    </row>
    <row r="1860" spans="1:21" x14ac:dyDescent="0.3">
      <c r="A1860">
        <v>1859</v>
      </c>
      <c r="B1860" t="s">
        <v>2698</v>
      </c>
      <c r="C1860" t="str">
        <f t="shared" si="261"/>
        <v>EMP_1859</v>
      </c>
      <c r="D1860" t="s">
        <v>11</v>
      </c>
      <c r="E1860" t="str">
        <f t="shared" si="262"/>
        <v>EMP_1859Finance</v>
      </c>
      <c r="F1860" t="s">
        <v>18</v>
      </c>
      <c r="G1860" t="s">
        <v>16</v>
      </c>
      <c r="H1860">
        <v>55429</v>
      </c>
      <c r="I1860">
        <v>9479</v>
      </c>
      <c r="J1860">
        <v>0</v>
      </c>
      <c r="K1860">
        <v>0</v>
      </c>
      <c r="L1860" s="4">
        <v>43442</v>
      </c>
      <c r="M1860" s="4" t="str">
        <f t="shared" si="263"/>
        <v>2018</v>
      </c>
      <c r="N1860" s="1">
        <f t="shared" ca="1" si="264"/>
        <v>46064</v>
      </c>
      <c r="O1860" s="6">
        <f t="shared" ca="1" si="265"/>
        <v>7</v>
      </c>
      <c r="P1860">
        <v>5</v>
      </c>
      <c r="Q1860">
        <f t="shared" si="266"/>
        <v>64908</v>
      </c>
      <c r="R1860" s="2">
        <f t="shared" si="267"/>
        <v>32454</v>
      </c>
      <c r="S1860" s="2" t="str">
        <f t="shared" si="268"/>
        <v xml:space="preserve"> Not Achieved</v>
      </c>
      <c r="T1860" s="2" t="str">
        <f t="shared" si="269"/>
        <v xml:space="preserve"> Excellent</v>
      </c>
      <c r="U1860" s="2"/>
    </row>
    <row r="1861" spans="1:21" x14ac:dyDescent="0.3">
      <c r="A1861">
        <v>1860</v>
      </c>
      <c r="B1861" t="s">
        <v>2699</v>
      </c>
      <c r="C1861" t="str">
        <f t="shared" si="261"/>
        <v>EMP_1860</v>
      </c>
      <c r="D1861" t="s">
        <v>15</v>
      </c>
      <c r="E1861" t="str">
        <f t="shared" si="262"/>
        <v>EMP_1860Marketing</v>
      </c>
      <c r="F1861" t="s">
        <v>24</v>
      </c>
      <c r="G1861" t="s">
        <v>13</v>
      </c>
      <c r="H1861">
        <v>44471</v>
      </c>
      <c r="I1861">
        <v>8490</v>
      </c>
      <c r="J1861">
        <v>0</v>
      </c>
      <c r="K1861">
        <v>0</v>
      </c>
      <c r="L1861" s="4" t="s">
        <v>1501</v>
      </c>
      <c r="M1861" s="4" t="str">
        <f t="shared" si="263"/>
        <v>2/13/2023</v>
      </c>
      <c r="N1861" s="1">
        <f t="shared" ca="1" si="264"/>
        <v>46064</v>
      </c>
      <c r="O1861" s="6" t="e">
        <f t="shared" ca="1" si="265"/>
        <v>#VALUE!</v>
      </c>
      <c r="P1861">
        <v>3</v>
      </c>
      <c r="Q1861">
        <f t="shared" si="266"/>
        <v>52961</v>
      </c>
      <c r="R1861" s="2">
        <f t="shared" si="267"/>
        <v>26480.5</v>
      </c>
      <c r="S1861" s="2" t="str">
        <f t="shared" si="268"/>
        <v xml:space="preserve"> Not Achieved</v>
      </c>
      <c r="T1861" s="2" t="str">
        <f t="shared" si="269"/>
        <v>Good</v>
      </c>
      <c r="U1861" s="2"/>
    </row>
    <row r="1862" spans="1:21" x14ac:dyDescent="0.3">
      <c r="A1862">
        <v>1861</v>
      </c>
      <c r="B1862" t="s">
        <v>2700</v>
      </c>
      <c r="C1862" t="str">
        <f t="shared" si="261"/>
        <v>EMP_1861</v>
      </c>
      <c r="D1862" t="s">
        <v>11</v>
      </c>
      <c r="E1862" t="str">
        <f t="shared" si="262"/>
        <v>EMP_1861Sales</v>
      </c>
      <c r="F1862" t="s">
        <v>7</v>
      </c>
      <c r="G1862" t="s">
        <v>22</v>
      </c>
      <c r="H1862">
        <v>63470</v>
      </c>
      <c r="I1862">
        <v>8807</v>
      </c>
      <c r="J1862">
        <v>125269</v>
      </c>
      <c r="K1862">
        <v>239930</v>
      </c>
      <c r="L1862" s="4" t="s">
        <v>2701</v>
      </c>
      <c r="M1862" s="4" t="str">
        <f t="shared" si="263"/>
        <v>9/29/2020</v>
      </c>
      <c r="N1862" s="1">
        <f t="shared" ca="1" si="264"/>
        <v>46064</v>
      </c>
      <c r="O1862" s="6" t="e">
        <f t="shared" ca="1" si="265"/>
        <v>#VALUE!</v>
      </c>
      <c r="P1862">
        <v>3</v>
      </c>
      <c r="Q1862">
        <f t="shared" si="266"/>
        <v>72277</v>
      </c>
      <c r="R1862" s="2">
        <f t="shared" si="267"/>
        <v>36138.5</v>
      </c>
      <c r="S1862" s="2" t="str">
        <f t="shared" si="268"/>
        <v xml:space="preserve"> Not Achieved</v>
      </c>
      <c r="T1862" s="2" t="str">
        <f t="shared" si="269"/>
        <v xml:space="preserve"> Excellent</v>
      </c>
      <c r="U1862" s="2"/>
    </row>
    <row r="1863" spans="1:21" x14ac:dyDescent="0.3">
      <c r="A1863">
        <v>1862</v>
      </c>
      <c r="B1863" t="s">
        <v>2702</v>
      </c>
      <c r="C1863" t="str">
        <f t="shared" si="261"/>
        <v>EMP_1862</v>
      </c>
      <c r="D1863" t="s">
        <v>15</v>
      </c>
      <c r="E1863" t="str">
        <f t="shared" si="262"/>
        <v>EMP_1862Marketing</v>
      </c>
      <c r="F1863" t="s">
        <v>24</v>
      </c>
      <c r="G1863" t="s">
        <v>25</v>
      </c>
      <c r="H1863">
        <v>21865</v>
      </c>
      <c r="I1863">
        <v>5389</v>
      </c>
      <c r="J1863">
        <v>0</v>
      </c>
      <c r="K1863">
        <v>0</v>
      </c>
      <c r="L1863" s="4">
        <v>45330</v>
      </c>
      <c r="M1863" s="4" t="str">
        <f t="shared" si="263"/>
        <v>2024</v>
      </c>
      <c r="N1863" s="1">
        <f t="shared" ca="1" si="264"/>
        <v>46064</v>
      </c>
      <c r="O1863" s="6">
        <f t="shared" ca="1" si="265"/>
        <v>2</v>
      </c>
      <c r="P1863">
        <v>2</v>
      </c>
      <c r="Q1863">
        <f t="shared" si="266"/>
        <v>27254</v>
      </c>
      <c r="R1863" s="2">
        <f t="shared" si="267"/>
        <v>13627</v>
      </c>
      <c r="S1863" s="2" t="str">
        <f t="shared" si="268"/>
        <v xml:space="preserve"> Not Achieved</v>
      </c>
      <c r="T1863" s="2" t="str">
        <f t="shared" si="269"/>
        <v>poor</v>
      </c>
      <c r="U1863" s="2"/>
    </row>
    <row r="1864" spans="1:21" x14ac:dyDescent="0.3">
      <c r="A1864">
        <v>1863</v>
      </c>
      <c r="B1864" t="s">
        <v>2703</v>
      </c>
      <c r="C1864" t="str">
        <f t="shared" si="261"/>
        <v>EMP_1863</v>
      </c>
      <c r="D1864" t="s">
        <v>11</v>
      </c>
      <c r="E1864" t="str">
        <f t="shared" si="262"/>
        <v>EMP_1863Marketing</v>
      </c>
      <c r="F1864" t="s">
        <v>24</v>
      </c>
      <c r="G1864" t="s">
        <v>19</v>
      </c>
      <c r="H1864">
        <v>28057</v>
      </c>
      <c r="I1864">
        <v>3281</v>
      </c>
      <c r="J1864">
        <v>0</v>
      </c>
      <c r="K1864">
        <v>0</v>
      </c>
      <c r="L1864" s="4" t="s">
        <v>2704</v>
      </c>
      <c r="M1864" s="4" t="str">
        <f t="shared" si="263"/>
        <v>11/27/2022</v>
      </c>
      <c r="N1864" s="1">
        <f t="shared" ca="1" si="264"/>
        <v>46064</v>
      </c>
      <c r="O1864" s="6" t="e">
        <f t="shared" ca="1" si="265"/>
        <v>#VALUE!</v>
      </c>
      <c r="P1864">
        <v>5</v>
      </c>
      <c r="Q1864">
        <f t="shared" si="266"/>
        <v>31338</v>
      </c>
      <c r="R1864" s="2">
        <f t="shared" si="267"/>
        <v>15669</v>
      </c>
      <c r="S1864" s="2" t="str">
        <f t="shared" si="268"/>
        <v xml:space="preserve"> Not Achieved</v>
      </c>
      <c r="T1864" s="2" t="str">
        <f t="shared" si="269"/>
        <v>poor</v>
      </c>
      <c r="U1864" s="2"/>
    </row>
    <row r="1865" spans="1:21" x14ac:dyDescent="0.3">
      <c r="A1865">
        <v>1864</v>
      </c>
      <c r="B1865" t="s">
        <v>2705</v>
      </c>
      <c r="C1865" t="str">
        <f t="shared" si="261"/>
        <v>EMP_1864</v>
      </c>
      <c r="D1865" t="s">
        <v>15</v>
      </c>
      <c r="E1865" t="str">
        <f t="shared" si="262"/>
        <v>EMP_1864Marketing</v>
      </c>
      <c r="F1865" t="s">
        <v>24</v>
      </c>
      <c r="G1865" t="s">
        <v>19</v>
      </c>
      <c r="H1865">
        <v>51996</v>
      </c>
      <c r="I1865">
        <v>3520</v>
      </c>
      <c r="J1865">
        <v>0</v>
      </c>
      <c r="K1865">
        <v>0</v>
      </c>
      <c r="L1865" s="4">
        <v>44597</v>
      </c>
      <c r="M1865" s="4" t="str">
        <f t="shared" si="263"/>
        <v>2022</v>
      </c>
      <c r="N1865" s="1">
        <f t="shared" ca="1" si="264"/>
        <v>46064</v>
      </c>
      <c r="O1865" s="6">
        <f t="shared" ca="1" si="265"/>
        <v>4</v>
      </c>
      <c r="P1865">
        <v>2</v>
      </c>
      <c r="Q1865">
        <f t="shared" si="266"/>
        <v>55516</v>
      </c>
      <c r="R1865" s="2">
        <f t="shared" si="267"/>
        <v>27758</v>
      </c>
      <c r="S1865" s="2" t="str">
        <f t="shared" si="268"/>
        <v xml:space="preserve"> Not Achieved</v>
      </c>
      <c r="T1865" s="2" t="str">
        <f t="shared" si="269"/>
        <v xml:space="preserve"> Excellent</v>
      </c>
      <c r="U1865" s="2"/>
    </row>
    <row r="1866" spans="1:21" x14ac:dyDescent="0.3">
      <c r="A1866">
        <v>1865</v>
      </c>
      <c r="B1866" t="s">
        <v>2706</v>
      </c>
      <c r="C1866" t="str">
        <f t="shared" si="261"/>
        <v>EMP_1865</v>
      </c>
      <c r="D1866" t="s">
        <v>15</v>
      </c>
      <c r="E1866" t="str">
        <f t="shared" si="262"/>
        <v>EMP_1865IT</v>
      </c>
      <c r="F1866" t="s">
        <v>21</v>
      </c>
      <c r="G1866" t="s">
        <v>22</v>
      </c>
      <c r="H1866">
        <v>57307</v>
      </c>
      <c r="I1866">
        <v>13281</v>
      </c>
      <c r="J1866">
        <v>0</v>
      </c>
      <c r="K1866">
        <v>0</v>
      </c>
      <c r="L1866" s="4" t="s">
        <v>2707</v>
      </c>
      <c r="M1866" s="4" t="str">
        <f t="shared" si="263"/>
        <v>3/28/2022</v>
      </c>
      <c r="N1866" s="1">
        <f t="shared" ca="1" si="264"/>
        <v>46064</v>
      </c>
      <c r="O1866" s="6" t="e">
        <f t="shared" ca="1" si="265"/>
        <v>#VALUE!</v>
      </c>
      <c r="P1866">
        <v>1</v>
      </c>
      <c r="Q1866">
        <f t="shared" si="266"/>
        <v>70588</v>
      </c>
      <c r="R1866" s="2">
        <f t="shared" si="267"/>
        <v>35294</v>
      </c>
      <c r="S1866" s="2" t="str">
        <f t="shared" si="268"/>
        <v xml:space="preserve"> Not Achieved</v>
      </c>
      <c r="T1866" s="2" t="str">
        <f t="shared" si="269"/>
        <v xml:space="preserve"> Excellent</v>
      </c>
      <c r="U1866" s="2"/>
    </row>
    <row r="1867" spans="1:21" x14ac:dyDescent="0.3">
      <c r="A1867">
        <v>1866</v>
      </c>
      <c r="B1867" t="s">
        <v>2708</v>
      </c>
      <c r="C1867" t="str">
        <f t="shared" si="261"/>
        <v>EMP_1866</v>
      </c>
      <c r="D1867" t="s">
        <v>11</v>
      </c>
      <c r="E1867" t="str">
        <f t="shared" si="262"/>
        <v>EMP_1866Marketing</v>
      </c>
      <c r="F1867" t="s">
        <v>24</v>
      </c>
      <c r="G1867" t="s">
        <v>19</v>
      </c>
      <c r="H1867">
        <v>30147</v>
      </c>
      <c r="I1867">
        <v>8375</v>
      </c>
      <c r="J1867">
        <v>0</v>
      </c>
      <c r="K1867">
        <v>0</v>
      </c>
      <c r="L1867" s="4" t="s">
        <v>2309</v>
      </c>
      <c r="M1867" s="4" t="str">
        <f t="shared" si="263"/>
        <v>4/28/2019</v>
      </c>
      <c r="N1867" s="1">
        <f t="shared" ca="1" si="264"/>
        <v>46064</v>
      </c>
      <c r="O1867" s="6" t="e">
        <f t="shared" ca="1" si="265"/>
        <v>#VALUE!</v>
      </c>
      <c r="P1867">
        <v>1</v>
      </c>
      <c r="Q1867">
        <f t="shared" si="266"/>
        <v>38522</v>
      </c>
      <c r="R1867" s="2">
        <f t="shared" si="267"/>
        <v>19261</v>
      </c>
      <c r="S1867" s="2" t="str">
        <f t="shared" si="268"/>
        <v xml:space="preserve"> Not Achieved</v>
      </c>
      <c r="T1867" s="2" t="str">
        <f t="shared" si="269"/>
        <v>Average</v>
      </c>
      <c r="U1867" s="2"/>
    </row>
    <row r="1868" spans="1:21" x14ac:dyDescent="0.3">
      <c r="A1868">
        <v>1867</v>
      </c>
      <c r="B1868" t="s">
        <v>2709</v>
      </c>
      <c r="C1868" t="str">
        <f t="shared" si="261"/>
        <v>EMP_1867</v>
      </c>
      <c r="D1868" t="s">
        <v>11</v>
      </c>
      <c r="E1868" t="str">
        <f t="shared" si="262"/>
        <v>EMP_1867Finance</v>
      </c>
      <c r="F1868" t="s">
        <v>18</v>
      </c>
      <c r="G1868" t="s">
        <v>16</v>
      </c>
      <c r="H1868">
        <v>34556</v>
      </c>
      <c r="I1868">
        <v>4357</v>
      </c>
      <c r="J1868">
        <v>0</v>
      </c>
      <c r="K1868">
        <v>0</v>
      </c>
      <c r="L1868" s="4">
        <v>43719</v>
      </c>
      <c r="M1868" s="4" t="str">
        <f t="shared" si="263"/>
        <v>2019</v>
      </c>
      <c r="N1868" s="1">
        <f t="shared" ca="1" si="264"/>
        <v>46064</v>
      </c>
      <c r="O1868" s="6">
        <f t="shared" ca="1" si="265"/>
        <v>6</v>
      </c>
      <c r="P1868">
        <v>1</v>
      </c>
      <c r="Q1868">
        <f t="shared" si="266"/>
        <v>38913</v>
      </c>
      <c r="R1868" s="2">
        <f t="shared" si="267"/>
        <v>19456.5</v>
      </c>
      <c r="S1868" s="2" t="str">
        <f t="shared" si="268"/>
        <v xml:space="preserve"> Not Achieved</v>
      </c>
      <c r="T1868" s="2" t="str">
        <f t="shared" si="269"/>
        <v>Average</v>
      </c>
      <c r="U1868" s="2"/>
    </row>
    <row r="1869" spans="1:21" x14ac:dyDescent="0.3">
      <c r="A1869">
        <v>1868</v>
      </c>
      <c r="B1869" t="s">
        <v>2710</v>
      </c>
      <c r="C1869" t="str">
        <f t="shared" si="261"/>
        <v>EMP_1868</v>
      </c>
      <c r="D1869" t="s">
        <v>15</v>
      </c>
      <c r="E1869" t="str">
        <f t="shared" si="262"/>
        <v>EMP_1868IT</v>
      </c>
      <c r="F1869" t="s">
        <v>21</v>
      </c>
      <c r="G1869" t="s">
        <v>16</v>
      </c>
      <c r="H1869">
        <v>22765</v>
      </c>
      <c r="I1869">
        <v>5131</v>
      </c>
      <c r="J1869">
        <v>0</v>
      </c>
      <c r="K1869">
        <v>0</v>
      </c>
      <c r="L1869" s="4">
        <v>43225</v>
      </c>
      <c r="M1869" s="4" t="str">
        <f t="shared" si="263"/>
        <v>2018</v>
      </c>
      <c r="N1869" s="1">
        <f t="shared" ca="1" si="264"/>
        <v>46064</v>
      </c>
      <c r="O1869" s="6">
        <f t="shared" ca="1" si="265"/>
        <v>7</v>
      </c>
      <c r="P1869">
        <v>2</v>
      </c>
      <c r="Q1869">
        <f t="shared" si="266"/>
        <v>27896</v>
      </c>
      <c r="R1869" s="2">
        <f t="shared" si="267"/>
        <v>13948</v>
      </c>
      <c r="S1869" s="2" t="str">
        <f t="shared" si="268"/>
        <v xml:space="preserve"> Not Achieved</v>
      </c>
      <c r="T1869" s="2" t="str">
        <f t="shared" si="269"/>
        <v>poor</v>
      </c>
      <c r="U1869" s="2"/>
    </row>
    <row r="1870" spans="1:21" x14ac:dyDescent="0.3">
      <c r="A1870">
        <v>1869</v>
      </c>
      <c r="B1870" t="s">
        <v>2711</v>
      </c>
      <c r="C1870" t="str">
        <f t="shared" si="261"/>
        <v>EMP_1869</v>
      </c>
      <c r="D1870" t="s">
        <v>11</v>
      </c>
      <c r="E1870" t="str">
        <f t="shared" si="262"/>
        <v>EMP_1869IT</v>
      </c>
      <c r="F1870" t="s">
        <v>21</v>
      </c>
      <c r="G1870" t="s">
        <v>13</v>
      </c>
      <c r="H1870">
        <v>66197</v>
      </c>
      <c r="I1870">
        <v>11139</v>
      </c>
      <c r="J1870">
        <v>0</v>
      </c>
      <c r="K1870">
        <v>0</v>
      </c>
      <c r="L1870" s="4" t="s">
        <v>2712</v>
      </c>
      <c r="M1870" s="4" t="str">
        <f t="shared" si="263"/>
        <v>11/25/2023</v>
      </c>
      <c r="N1870" s="1">
        <f t="shared" ca="1" si="264"/>
        <v>46064</v>
      </c>
      <c r="O1870" s="6" t="e">
        <f t="shared" ca="1" si="265"/>
        <v>#VALUE!</v>
      </c>
      <c r="P1870">
        <v>3</v>
      </c>
      <c r="Q1870">
        <f t="shared" si="266"/>
        <v>77336</v>
      </c>
      <c r="R1870" s="2">
        <f t="shared" si="267"/>
        <v>38668</v>
      </c>
      <c r="S1870" s="2" t="str">
        <f t="shared" si="268"/>
        <v xml:space="preserve"> Not Achieved</v>
      </c>
      <c r="T1870" s="2" t="str">
        <f t="shared" si="269"/>
        <v xml:space="preserve"> Excellent</v>
      </c>
      <c r="U1870" s="2"/>
    </row>
    <row r="1871" spans="1:21" x14ac:dyDescent="0.3">
      <c r="A1871">
        <v>1870</v>
      </c>
      <c r="B1871" t="s">
        <v>2713</v>
      </c>
      <c r="C1871" t="str">
        <f t="shared" si="261"/>
        <v>EMP_1870</v>
      </c>
      <c r="D1871" t="s">
        <v>15</v>
      </c>
      <c r="E1871" t="str">
        <f t="shared" si="262"/>
        <v>EMP_1870IT</v>
      </c>
      <c r="F1871" t="s">
        <v>21</v>
      </c>
      <c r="G1871" t="s">
        <v>13</v>
      </c>
      <c r="H1871">
        <v>22177</v>
      </c>
      <c r="I1871">
        <v>12767</v>
      </c>
      <c r="J1871">
        <v>0</v>
      </c>
      <c r="K1871">
        <v>0</v>
      </c>
      <c r="L1871" s="4">
        <v>45145</v>
      </c>
      <c r="M1871" s="4" t="str">
        <f t="shared" si="263"/>
        <v>2023</v>
      </c>
      <c r="N1871" s="1">
        <f t="shared" ca="1" si="264"/>
        <v>46064</v>
      </c>
      <c r="O1871" s="6">
        <f t="shared" ca="1" si="265"/>
        <v>2</v>
      </c>
      <c r="P1871">
        <v>2</v>
      </c>
      <c r="Q1871">
        <f t="shared" si="266"/>
        <v>34944</v>
      </c>
      <c r="R1871" s="2">
        <f t="shared" si="267"/>
        <v>17472</v>
      </c>
      <c r="S1871" s="2" t="str">
        <f t="shared" si="268"/>
        <v xml:space="preserve"> Not Achieved</v>
      </c>
      <c r="T1871" s="2" t="str">
        <f t="shared" si="269"/>
        <v>poor</v>
      </c>
      <c r="U1871" s="2"/>
    </row>
    <row r="1872" spans="1:21" x14ac:dyDescent="0.3">
      <c r="A1872">
        <v>1871</v>
      </c>
      <c r="B1872" t="s">
        <v>2714</v>
      </c>
      <c r="C1872" t="str">
        <f t="shared" si="261"/>
        <v>EMP_1871</v>
      </c>
      <c r="D1872" t="s">
        <v>15</v>
      </c>
      <c r="E1872" t="str">
        <f t="shared" si="262"/>
        <v>EMP_1871Finance</v>
      </c>
      <c r="F1872" t="s">
        <v>18</v>
      </c>
      <c r="G1872" t="s">
        <v>13</v>
      </c>
      <c r="H1872">
        <v>40685</v>
      </c>
      <c r="I1872">
        <v>14363</v>
      </c>
      <c r="J1872">
        <v>0</v>
      </c>
      <c r="K1872">
        <v>0</v>
      </c>
      <c r="L1872" s="4" t="s">
        <v>2701</v>
      </c>
      <c r="M1872" s="4" t="str">
        <f t="shared" si="263"/>
        <v>9/29/2020</v>
      </c>
      <c r="N1872" s="1">
        <f t="shared" ca="1" si="264"/>
        <v>46064</v>
      </c>
      <c r="O1872" s="6" t="e">
        <f t="shared" ca="1" si="265"/>
        <v>#VALUE!</v>
      </c>
      <c r="P1872">
        <v>5</v>
      </c>
      <c r="Q1872">
        <f t="shared" si="266"/>
        <v>55048</v>
      </c>
      <c r="R1872" s="2">
        <f t="shared" si="267"/>
        <v>27524</v>
      </c>
      <c r="S1872" s="2" t="str">
        <f t="shared" si="268"/>
        <v xml:space="preserve"> Not Achieved</v>
      </c>
      <c r="T1872" s="2" t="str">
        <f t="shared" si="269"/>
        <v>Good</v>
      </c>
      <c r="U1872" s="2"/>
    </row>
    <row r="1873" spans="1:21" x14ac:dyDescent="0.3">
      <c r="A1873">
        <v>1872</v>
      </c>
      <c r="B1873" t="s">
        <v>2715</v>
      </c>
      <c r="C1873" t="str">
        <f t="shared" si="261"/>
        <v>EMP_1872</v>
      </c>
      <c r="D1873" t="s">
        <v>15</v>
      </c>
      <c r="E1873" t="str">
        <f t="shared" si="262"/>
        <v>EMP_1872Finance</v>
      </c>
      <c r="F1873" t="s">
        <v>18</v>
      </c>
      <c r="G1873" t="s">
        <v>16</v>
      </c>
      <c r="H1873">
        <v>46343</v>
      </c>
      <c r="I1873">
        <v>12815</v>
      </c>
      <c r="J1873">
        <v>0</v>
      </c>
      <c r="K1873">
        <v>0</v>
      </c>
      <c r="L1873" s="4" t="s">
        <v>2716</v>
      </c>
      <c r="M1873" s="4" t="str">
        <f t="shared" si="263"/>
        <v>11/25/2024</v>
      </c>
      <c r="N1873" s="1">
        <f t="shared" ca="1" si="264"/>
        <v>46064</v>
      </c>
      <c r="O1873" s="6" t="e">
        <f t="shared" ca="1" si="265"/>
        <v>#VALUE!</v>
      </c>
      <c r="P1873">
        <v>4</v>
      </c>
      <c r="Q1873">
        <f t="shared" si="266"/>
        <v>59158</v>
      </c>
      <c r="R1873" s="2">
        <f t="shared" si="267"/>
        <v>29579</v>
      </c>
      <c r="S1873" s="2" t="str">
        <f t="shared" si="268"/>
        <v xml:space="preserve"> Not Achieved</v>
      </c>
      <c r="T1873" s="2" t="str">
        <f t="shared" si="269"/>
        <v>Good</v>
      </c>
      <c r="U1873" s="2"/>
    </row>
    <row r="1874" spans="1:21" x14ac:dyDescent="0.3">
      <c r="A1874">
        <v>1873</v>
      </c>
      <c r="B1874" t="s">
        <v>2717</v>
      </c>
      <c r="C1874" t="str">
        <f t="shared" si="261"/>
        <v>EMP_1873</v>
      </c>
      <c r="D1874" t="s">
        <v>15</v>
      </c>
      <c r="E1874" t="str">
        <f t="shared" si="262"/>
        <v>EMP_1873Marketing</v>
      </c>
      <c r="F1874" t="s">
        <v>24</v>
      </c>
      <c r="G1874" t="s">
        <v>13</v>
      </c>
      <c r="H1874">
        <v>78857</v>
      </c>
      <c r="I1874">
        <v>11133</v>
      </c>
      <c r="J1874">
        <v>0</v>
      </c>
      <c r="K1874">
        <v>0</v>
      </c>
      <c r="L1874" s="4">
        <v>43865</v>
      </c>
      <c r="M1874" s="4" t="str">
        <f t="shared" si="263"/>
        <v>2020</v>
      </c>
      <c r="N1874" s="1">
        <f t="shared" ca="1" si="264"/>
        <v>46064</v>
      </c>
      <c r="O1874" s="6">
        <f t="shared" ca="1" si="265"/>
        <v>6</v>
      </c>
      <c r="P1874">
        <v>4</v>
      </c>
      <c r="Q1874">
        <f t="shared" si="266"/>
        <v>89990</v>
      </c>
      <c r="R1874" s="2">
        <f t="shared" si="267"/>
        <v>44995</v>
      </c>
      <c r="S1874" s="2" t="str">
        <f t="shared" si="268"/>
        <v xml:space="preserve"> Not Achieved</v>
      </c>
      <c r="T1874" s="2" t="str">
        <f t="shared" si="269"/>
        <v xml:space="preserve"> Excellent</v>
      </c>
      <c r="U1874" s="2"/>
    </row>
    <row r="1875" spans="1:21" x14ac:dyDescent="0.3">
      <c r="A1875">
        <v>1874</v>
      </c>
      <c r="B1875" t="s">
        <v>2718</v>
      </c>
      <c r="C1875" t="str">
        <f t="shared" si="261"/>
        <v>EMP_1874</v>
      </c>
      <c r="D1875" t="s">
        <v>11</v>
      </c>
      <c r="E1875" t="str">
        <f t="shared" si="262"/>
        <v>EMP_1874Finance</v>
      </c>
      <c r="F1875" t="s">
        <v>18</v>
      </c>
      <c r="G1875" t="s">
        <v>19</v>
      </c>
      <c r="H1875">
        <v>57605</v>
      </c>
      <c r="I1875">
        <v>7328</v>
      </c>
      <c r="J1875">
        <v>0</v>
      </c>
      <c r="K1875">
        <v>0</v>
      </c>
      <c r="L1875" s="4">
        <v>44287</v>
      </c>
      <c r="M1875" s="4" t="str">
        <f t="shared" si="263"/>
        <v>2021</v>
      </c>
      <c r="N1875" s="1">
        <f t="shared" ca="1" si="264"/>
        <v>46064</v>
      </c>
      <c r="O1875" s="6">
        <f t="shared" ca="1" si="265"/>
        <v>4</v>
      </c>
      <c r="P1875">
        <v>4</v>
      </c>
      <c r="Q1875">
        <f t="shared" si="266"/>
        <v>64933</v>
      </c>
      <c r="R1875" s="2">
        <f t="shared" si="267"/>
        <v>32466.5</v>
      </c>
      <c r="S1875" s="2" t="str">
        <f t="shared" si="268"/>
        <v xml:space="preserve"> Not Achieved</v>
      </c>
      <c r="T1875" s="2" t="str">
        <f t="shared" si="269"/>
        <v xml:space="preserve"> Excellent</v>
      </c>
      <c r="U1875" s="2"/>
    </row>
    <row r="1876" spans="1:21" x14ac:dyDescent="0.3">
      <c r="A1876">
        <v>1875</v>
      </c>
      <c r="B1876" t="s">
        <v>2719</v>
      </c>
      <c r="C1876" t="str">
        <f t="shared" si="261"/>
        <v>EMP_1875</v>
      </c>
      <c r="D1876" t="s">
        <v>15</v>
      </c>
      <c r="E1876" t="str">
        <f t="shared" si="262"/>
        <v>EMP_1875IT</v>
      </c>
      <c r="F1876" t="s">
        <v>21</v>
      </c>
      <c r="G1876" t="s">
        <v>22</v>
      </c>
      <c r="H1876">
        <v>21257</v>
      </c>
      <c r="I1876">
        <v>12964</v>
      </c>
      <c r="J1876">
        <v>0</v>
      </c>
      <c r="K1876">
        <v>0</v>
      </c>
      <c r="L1876" s="4">
        <v>43105</v>
      </c>
      <c r="M1876" s="4" t="str">
        <f t="shared" si="263"/>
        <v>2018</v>
      </c>
      <c r="N1876" s="1">
        <f t="shared" ca="1" si="264"/>
        <v>46064</v>
      </c>
      <c r="O1876" s="6">
        <f t="shared" ca="1" si="265"/>
        <v>8</v>
      </c>
      <c r="P1876">
        <v>4</v>
      </c>
      <c r="Q1876">
        <f t="shared" si="266"/>
        <v>34221</v>
      </c>
      <c r="R1876" s="2">
        <f t="shared" si="267"/>
        <v>17110.5</v>
      </c>
      <c r="S1876" s="2" t="str">
        <f t="shared" si="268"/>
        <v xml:space="preserve"> Not Achieved</v>
      </c>
      <c r="T1876" s="2" t="str">
        <f t="shared" si="269"/>
        <v>poor</v>
      </c>
      <c r="U1876" s="2"/>
    </row>
    <row r="1877" spans="1:21" x14ac:dyDescent="0.3">
      <c r="A1877">
        <v>1876</v>
      </c>
      <c r="B1877" t="s">
        <v>2720</v>
      </c>
      <c r="C1877" t="str">
        <f t="shared" si="261"/>
        <v>EMP_1876</v>
      </c>
      <c r="D1877" t="s">
        <v>11</v>
      </c>
      <c r="E1877" t="str">
        <f t="shared" si="262"/>
        <v>EMP_1876IT</v>
      </c>
      <c r="F1877" t="s">
        <v>21</v>
      </c>
      <c r="G1877" t="s">
        <v>13</v>
      </c>
      <c r="H1877">
        <v>67736</v>
      </c>
      <c r="I1877">
        <v>9720</v>
      </c>
      <c r="J1877">
        <v>0</v>
      </c>
      <c r="K1877">
        <v>0</v>
      </c>
      <c r="L1877" s="4" t="s">
        <v>186</v>
      </c>
      <c r="M1877" s="4" t="str">
        <f t="shared" si="263"/>
        <v>9/19/2018</v>
      </c>
      <c r="N1877" s="1">
        <f t="shared" ca="1" si="264"/>
        <v>46064</v>
      </c>
      <c r="O1877" s="6" t="e">
        <f t="shared" ca="1" si="265"/>
        <v>#VALUE!</v>
      </c>
      <c r="P1877">
        <v>2</v>
      </c>
      <c r="Q1877">
        <f t="shared" si="266"/>
        <v>77456</v>
      </c>
      <c r="R1877" s="2">
        <f t="shared" si="267"/>
        <v>38728</v>
      </c>
      <c r="S1877" s="2" t="str">
        <f t="shared" si="268"/>
        <v xml:space="preserve"> Not Achieved</v>
      </c>
      <c r="T1877" s="2" t="str">
        <f t="shared" si="269"/>
        <v xml:space="preserve"> Excellent</v>
      </c>
      <c r="U1877" s="2"/>
    </row>
    <row r="1878" spans="1:21" x14ac:dyDescent="0.3">
      <c r="A1878">
        <v>1877</v>
      </c>
      <c r="B1878" t="s">
        <v>2721</v>
      </c>
      <c r="C1878" t="str">
        <f t="shared" si="261"/>
        <v>EMP_1877</v>
      </c>
      <c r="D1878" t="s">
        <v>15</v>
      </c>
      <c r="E1878" t="str">
        <f t="shared" si="262"/>
        <v>EMP_1877Finance</v>
      </c>
      <c r="F1878" t="s">
        <v>18</v>
      </c>
      <c r="G1878" t="s">
        <v>13</v>
      </c>
      <c r="H1878">
        <v>67761</v>
      </c>
      <c r="I1878">
        <v>9579</v>
      </c>
      <c r="J1878">
        <v>0</v>
      </c>
      <c r="K1878">
        <v>0</v>
      </c>
      <c r="L1878" s="4">
        <v>43168</v>
      </c>
      <c r="M1878" s="4" t="str">
        <f t="shared" si="263"/>
        <v>2018</v>
      </c>
      <c r="N1878" s="1">
        <f t="shared" ca="1" si="264"/>
        <v>46064</v>
      </c>
      <c r="O1878" s="6">
        <f t="shared" ca="1" si="265"/>
        <v>7</v>
      </c>
      <c r="P1878">
        <v>4</v>
      </c>
      <c r="Q1878">
        <f t="shared" si="266"/>
        <v>77340</v>
      </c>
      <c r="R1878" s="2">
        <f t="shared" si="267"/>
        <v>38670</v>
      </c>
      <c r="S1878" s="2" t="str">
        <f t="shared" si="268"/>
        <v xml:space="preserve"> Not Achieved</v>
      </c>
      <c r="T1878" s="2" t="str">
        <f t="shared" si="269"/>
        <v xml:space="preserve"> Excellent</v>
      </c>
      <c r="U1878" s="2"/>
    </row>
    <row r="1879" spans="1:21" x14ac:dyDescent="0.3">
      <c r="A1879">
        <v>1878</v>
      </c>
      <c r="B1879" t="s">
        <v>2722</v>
      </c>
      <c r="C1879" t="str">
        <f t="shared" si="261"/>
        <v>EMP_1878</v>
      </c>
      <c r="D1879" t="s">
        <v>15</v>
      </c>
      <c r="E1879" t="str">
        <f t="shared" si="262"/>
        <v>EMP_1878HR</v>
      </c>
      <c r="F1879" t="s">
        <v>12</v>
      </c>
      <c r="G1879" t="s">
        <v>19</v>
      </c>
      <c r="H1879">
        <v>27171</v>
      </c>
      <c r="I1879">
        <v>4653</v>
      </c>
      <c r="J1879">
        <v>0</v>
      </c>
      <c r="K1879">
        <v>0</v>
      </c>
      <c r="L1879" s="4" t="s">
        <v>1605</v>
      </c>
      <c r="M1879" s="4" t="str">
        <f t="shared" si="263"/>
        <v>12/24/2018</v>
      </c>
      <c r="N1879" s="1">
        <f t="shared" ca="1" si="264"/>
        <v>46064</v>
      </c>
      <c r="O1879" s="6" t="e">
        <f t="shared" ca="1" si="265"/>
        <v>#VALUE!</v>
      </c>
      <c r="P1879">
        <v>3</v>
      </c>
      <c r="Q1879">
        <f t="shared" si="266"/>
        <v>31824</v>
      </c>
      <c r="R1879" s="2">
        <f t="shared" si="267"/>
        <v>15912</v>
      </c>
      <c r="S1879" s="2" t="str">
        <f t="shared" si="268"/>
        <v xml:space="preserve"> Not Achieved</v>
      </c>
      <c r="T1879" s="2" t="str">
        <f t="shared" si="269"/>
        <v>poor</v>
      </c>
      <c r="U1879" s="2"/>
    </row>
    <row r="1880" spans="1:21" x14ac:dyDescent="0.3">
      <c r="A1880">
        <v>1879</v>
      </c>
      <c r="B1880" t="s">
        <v>2723</v>
      </c>
      <c r="C1880" t="str">
        <f t="shared" si="261"/>
        <v>EMP_1879</v>
      </c>
      <c r="D1880" t="s">
        <v>11</v>
      </c>
      <c r="E1880" t="str">
        <f t="shared" si="262"/>
        <v>EMP_1879HR</v>
      </c>
      <c r="F1880" t="s">
        <v>12</v>
      </c>
      <c r="G1880" t="s">
        <v>16</v>
      </c>
      <c r="H1880">
        <v>47127</v>
      </c>
      <c r="I1880">
        <v>3557</v>
      </c>
      <c r="J1880">
        <v>0</v>
      </c>
      <c r="K1880">
        <v>0</v>
      </c>
      <c r="L1880" s="4" t="s">
        <v>2724</v>
      </c>
      <c r="M1880" s="4" t="str">
        <f t="shared" si="263"/>
        <v>3/29/2022</v>
      </c>
      <c r="N1880" s="1">
        <f t="shared" ca="1" si="264"/>
        <v>46064</v>
      </c>
      <c r="O1880" s="6" t="e">
        <f t="shared" ca="1" si="265"/>
        <v>#VALUE!</v>
      </c>
      <c r="P1880">
        <v>1</v>
      </c>
      <c r="Q1880">
        <f t="shared" si="266"/>
        <v>50684</v>
      </c>
      <c r="R1880" s="2">
        <f t="shared" si="267"/>
        <v>25342</v>
      </c>
      <c r="S1880" s="2" t="str">
        <f t="shared" si="268"/>
        <v xml:space="preserve"> Not Achieved</v>
      </c>
      <c r="T1880" s="2" t="str">
        <f t="shared" si="269"/>
        <v>Good</v>
      </c>
      <c r="U1880" s="2"/>
    </row>
    <row r="1881" spans="1:21" x14ac:dyDescent="0.3">
      <c r="A1881">
        <v>1880</v>
      </c>
      <c r="B1881" t="s">
        <v>2725</v>
      </c>
      <c r="C1881" t="str">
        <f t="shared" si="261"/>
        <v>EMP_1880</v>
      </c>
      <c r="D1881" t="s">
        <v>15</v>
      </c>
      <c r="E1881" t="str">
        <f t="shared" si="262"/>
        <v>EMP_1880Sales</v>
      </c>
      <c r="F1881" t="s">
        <v>7</v>
      </c>
      <c r="G1881" t="s">
        <v>13</v>
      </c>
      <c r="H1881">
        <v>77974</v>
      </c>
      <c r="I1881">
        <v>10486</v>
      </c>
      <c r="J1881">
        <v>249452</v>
      </c>
      <c r="K1881">
        <v>181181</v>
      </c>
      <c r="L1881" s="4" t="s">
        <v>2726</v>
      </c>
      <c r="M1881" s="4" t="str">
        <f t="shared" si="263"/>
        <v>12/24/2022</v>
      </c>
      <c r="N1881" s="1">
        <f t="shared" ca="1" si="264"/>
        <v>46064</v>
      </c>
      <c r="O1881" s="6" t="e">
        <f t="shared" ca="1" si="265"/>
        <v>#VALUE!</v>
      </c>
      <c r="P1881">
        <v>3</v>
      </c>
      <c r="Q1881">
        <f t="shared" si="266"/>
        <v>88460</v>
      </c>
      <c r="R1881" s="2">
        <f t="shared" si="267"/>
        <v>44230</v>
      </c>
      <c r="S1881" s="2" t="str">
        <f t="shared" si="268"/>
        <v>Achieved</v>
      </c>
      <c r="T1881" s="2" t="str">
        <f t="shared" si="269"/>
        <v xml:space="preserve"> Excellent</v>
      </c>
      <c r="U1881" s="2"/>
    </row>
    <row r="1882" spans="1:21" x14ac:dyDescent="0.3">
      <c r="A1882">
        <v>1881</v>
      </c>
      <c r="B1882" t="s">
        <v>2727</v>
      </c>
      <c r="C1882" t="str">
        <f t="shared" si="261"/>
        <v>EMP_1881</v>
      </c>
      <c r="D1882" t="s">
        <v>15</v>
      </c>
      <c r="E1882" t="str">
        <f t="shared" si="262"/>
        <v>EMP_1881Marketing</v>
      </c>
      <c r="F1882" t="s">
        <v>24</v>
      </c>
      <c r="G1882" t="s">
        <v>16</v>
      </c>
      <c r="H1882">
        <v>74504</v>
      </c>
      <c r="I1882">
        <v>11871</v>
      </c>
      <c r="J1882">
        <v>0</v>
      </c>
      <c r="K1882">
        <v>0</v>
      </c>
      <c r="L1882" s="4" t="s">
        <v>2728</v>
      </c>
      <c r="M1882" s="4" t="str">
        <f t="shared" si="263"/>
        <v>4/16/2019</v>
      </c>
      <c r="N1882" s="1">
        <f t="shared" ca="1" si="264"/>
        <v>46064</v>
      </c>
      <c r="O1882" s="6" t="e">
        <f t="shared" ca="1" si="265"/>
        <v>#VALUE!</v>
      </c>
      <c r="P1882">
        <v>2</v>
      </c>
      <c r="Q1882">
        <f t="shared" si="266"/>
        <v>86375</v>
      </c>
      <c r="R1882" s="2">
        <f t="shared" si="267"/>
        <v>43187.5</v>
      </c>
      <c r="S1882" s="2" t="str">
        <f t="shared" si="268"/>
        <v xml:space="preserve"> Not Achieved</v>
      </c>
      <c r="T1882" s="2" t="str">
        <f t="shared" si="269"/>
        <v xml:space="preserve"> Excellent</v>
      </c>
      <c r="U1882" s="2"/>
    </row>
    <row r="1883" spans="1:21" x14ac:dyDescent="0.3">
      <c r="A1883">
        <v>1882</v>
      </c>
      <c r="B1883" t="s">
        <v>2729</v>
      </c>
      <c r="C1883" t="str">
        <f t="shared" si="261"/>
        <v>EMP_1882</v>
      </c>
      <c r="D1883" t="s">
        <v>15</v>
      </c>
      <c r="E1883" t="str">
        <f t="shared" si="262"/>
        <v>EMP_1882Marketing</v>
      </c>
      <c r="F1883" t="s">
        <v>24</v>
      </c>
      <c r="G1883" t="s">
        <v>13</v>
      </c>
      <c r="H1883">
        <v>62267</v>
      </c>
      <c r="I1883">
        <v>5166</v>
      </c>
      <c r="J1883">
        <v>0</v>
      </c>
      <c r="K1883">
        <v>0</v>
      </c>
      <c r="L1883" s="4">
        <v>45263</v>
      </c>
      <c r="M1883" s="4" t="str">
        <f t="shared" si="263"/>
        <v>2023</v>
      </c>
      <c r="N1883" s="1">
        <f t="shared" ca="1" si="264"/>
        <v>46064</v>
      </c>
      <c r="O1883" s="6">
        <f t="shared" ca="1" si="265"/>
        <v>2</v>
      </c>
      <c r="P1883">
        <v>5</v>
      </c>
      <c r="Q1883">
        <f t="shared" si="266"/>
        <v>67433</v>
      </c>
      <c r="R1883" s="2">
        <f t="shared" si="267"/>
        <v>33716.5</v>
      </c>
      <c r="S1883" s="2" t="str">
        <f t="shared" si="268"/>
        <v xml:space="preserve"> Not Achieved</v>
      </c>
      <c r="T1883" s="2" t="str">
        <f t="shared" si="269"/>
        <v xml:space="preserve"> Excellent</v>
      </c>
      <c r="U1883" s="2"/>
    </row>
    <row r="1884" spans="1:21" x14ac:dyDescent="0.3">
      <c r="A1884">
        <v>1883</v>
      </c>
      <c r="B1884" t="s">
        <v>2730</v>
      </c>
      <c r="C1884" t="str">
        <f t="shared" si="261"/>
        <v>EMP_1883</v>
      </c>
      <c r="D1884" t="s">
        <v>15</v>
      </c>
      <c r="E1884" t="str">
        <f t="shared" si="262"/>
        <v>EMP_1883Marketing</v>
      </c>
      <c r="F1884" t="s">
        <v>24</v>
      </c>
      <c r="G1884" t="s">
        <v>13</v>
      </c>
      <c r="H1884">
        <v>29617</v>
      </c>
      <c r="I1884">
        <v>9340</v>
      </c>
      <c r="J1884">
        <v>0</v>
      </c>
      <c r="K1884">
        <v>0</v>
      </c>
      <c r="L1884" s="4" t="s">
        <v>2731</v>
      </c>
      <c r="M1884" s="4" t="str">
        <f t="shared" si="263"/>
        <v>12/15/2018</v>
      </c>
      <c r="N1884" s="1">
        <f t="shared" ca="1" si="264"/>
        <v>46064</v>
      </c>
      <c r="O1884" s="6" t="e">
        <f t="shared" ca="1" si="265"/>
        <v>#VALUE!</v>
      </c>
      <c r="P1884">
        <v>4</v>
      </c>
      <c r="Q1884">
        <f t="shared" si="266"/>
        <v>38957</v>
      </c>
      <c r="R1884" s="2">
        <f t="shared" si="267"/>
        <v>19478.5</v>
      </c>
      <c r="S1884" s="2" t="str">
        <f t="shared" si="268"/>
        <v xml:space="preserve"> Not Achieved</v>
      </c>
      <c r="T1884" s="2" t="str">
        <f t="shared" si="269"/>
        <v>poor</v>
      </c>
      <c r="U1884" s="2"/>
    </row>
    <row r="1885" spans="1:21" x14ac:dyDescent="0.3">
      <c r="A1885">
        <v>1884</v>
      </c>
      <c r="B1885" t="s">
        <v>2732</v>
      </c>
      <c r="C1885" t="str">
        <f t="shared" si="261"/>
        <v>EMP_1884</v>
      </c>
      <c r="D1885" t="s">
        <v>11</v>
      </c>
      <c r="E1885" t="str">
        <f t="shared" si="262"/>
        <v>EMP_1884Marketing</v>
      </c>
      <c r="F1885" t="s">
        <v>24</v>
      </c>
      <c r="G1885" t="s">
        <v>16</v>
      </c>
      <c r="H1885">
        <v>62420</v>
      </c>
      <c r="I1885">
        <v>2027</v>
      </c>
      <c r="J1885">
        <v>0</v>
      </c>
      <c r="K1885">
        <v>0</v>
      </c>
      <c r="L1885" s="4" t="s">
        <v>2733</v>
      </c>
      <c r="M1885" s="4" t="str">
        <f t="shared" si="263"/>
        <v>4/25/2020</v>
      </c>
      <c r="N1885" s="1">
        <f t="shared" ca="1" si="264"/>
        <v>46064</v>
      </c>
      <c r="O1885" s="6" t="e">
        <f t="shared" ca="1" si="265"/>
        <v>#VALUE!</v>
      </c>
      <c r="P1885">
        <v>1</v>
      </c>
      <c r="Q1885">
        <f t="shared" si="266"/>
        <v>64447</v>
      </c>
      <c r="R1885" s="2">
        <f t="shared" si="267"/>
        <v>32223.5</v>
      </c>
      <c r="S1885" s="2" t="str">
        <f t="shared" si="268"/>
        <v xml:space="preserve"> Not Achieved</v>
      </c>
      <c r="T1885" s="2" t="str">
        <f t="shared" si="269"/>
        <v xml:space="preserve"> Excellent</v>
      </c>
      <c r="U1885" s="2"/>
    </row>
    <row r="1886" spans="1:21" x14ac:dyDescent="0.3">
      <c r="A1886">
        <v>1885</v>
      </c>
      <c r="B1886" t="s">
        <v>2734</v>
      </c>
      <c r="C1886" t="str">
        <f t="shared" si="261"/>
        <v>EMP_1885</v>
      </c>
      <c r="D1886" t="s">
        <v>15</v>
      </c>
      <c r="E1886" t="str">
        <f t="shared" si="262"/>
        <v>EMP_1885Finance</v>
      </c>
      <c r="F1886" t="s">
        <v>18</v>
      </c>
      <c r="G1886" t="s">
        <v>22</v>
      </c>
      <c r="H1886">
        <v>47071</v>
      </c>
      <c r="I1886">
        <v>7981</v>
      </c>
      <c r="J1886">
        <v>0</v>
      </c>
      <c r="K1886">
        <v>0</v>
      </c>
      <c r="L1886" s="4">
        <v>44388</v>
      </c>
      <c r="M1886" s="4" t="str">
        <f t="shared" si="263"/>
        <v>2021</v>
      </c>
      <c r="N1886" s="1">
        <f t="shared" ca="1" si="264"/>
        <v>46064</v>
      </c>
      <c r="O1886" s="6">
        <f t="shared" ca="1" si="265"/>
        <v>4</v>
      </c>
      <c r="P1886">
        <v>5</v>
      </c>
      <c r="Q1886">
        <f t="shared" si="266"/>
        <v>55052</v>
      </c>
      <c r="R1886" s="2">
        <f t="shared" si="267"/>
        <v>27526</v>
      </c>
      <c r="S1886" s="2" t="str">
        <f t="shared" si="268"/>
        <v xml:space="preserve"> Not Achieved</v>
      </c>
      <c r="T1886" s="2" t="str">
        <f t="shared" si="269"/>
        <v>Good</v>
      </c>
      <c r="U1886" s="2"/>
    </row>
    <row r="1887" spans="1:21" x14ac:dyDescent="0.3">
      <c r="A1887">
        <v>1886</v>
      </c>
      <c r="B1887" t="s">
        <v>2735</v>
      </c>
      <c r="C1887" t="str">
        <f t="shared" si="261"/>
        <v>EMP_1886</v>
      </c>
      <c r="D1887" t="s">
        <v>15</v>
      </c>
      <c r="E1887" t="str">
        <f t="shared" si="262"/>
        <v>EMP_1886HR</v>
      </c>
      <c r="F1887" t="s">
        <v>12</v>
      </c>
      <c r="G1887" t="s">
        <v>16</v>
      </c>
      <c r="H1887">
        <v>71385</v>
      </c>
      <c r="I1887">
        <v>14779</v>
      </c>
      <c r="J1887">
        <v>0</v>
      </c>
      <c r="K1887">
        <v>0</v>
      </c>
      <c r="L1887" s="4" t="s">
        <v>1093</v>
      </c>
      <c r="M1887" s="4" t="str">
        <f t="shared" si="263"/>
        <v>11/15/2018</v>
      </c>
      <c r="N1887" s="1">
        <f t="shared" ca="1" si="264"/>
        <v>46064</v>
      </c>
      <c r="O1887" s="6" t="e">
        <f t="shared" ca="1" si="265"/>
        <v>#VALUE!</v>
      </c>
      <c r="P1887">
        <v>4</v>
      </c>
      <c r="Q1887">
        <f t="shared" si="266"/>
        <v>86164</v>
      </c>
      <c r="R1887" s="2">
        <f t="shared" si="267"/>
        <v>43082</v>
      </c>
      <c r="S1887" s="2" t="str">
        <f t="shared" si="268"/>
        <v xml:space="preserve"> Not Achieved</v>
      </c>
      <c r="T1887" s="2" t="str">
        <f t="shared" si="269"/>
        <v xml:space="preserve"> Excellent</v>
      </c>
      <c r="U1887" s="2"/>
    </row>
    <row r="1888" spans="1:21" x14ac:dyDescent="0.3">
      <c r="A1888">
        <v>1887</v>
      </c>
      <c r="B1888" t="s">
        <v>2736</v>
      </c>
      <c r="C1888" t="str">
        <f t="shared" si="261"/>
        <v>EMP_1887</v>
      </c>
      <c r="D1888" t="s">
        <v>11</v>
      </c>
      <c r="E1888" t="str">
        <f t="shared" si="262"/>
        <v>EMP_1887HR</v>
      </c>
      <c r="F1888" t="s">
        <v>12</v>
      </c>
      <c r="G1888" t="s">
        <v>19</v>
      </c>
      <c r="H1888">
        <v>45211</v>
      </c>
      <c r="I1888">
        <v>13980</v>
      </c>
      <c r="J1888">
        <v>0</v>
      </c>
      <c r="K1888">
        <v>0</v>
      </c>
      <c r="L1888" s="4" t="s">
        <v>2737</v>
      </c>
      <c r="M1888" s="4" t="str">
        <f t="shared" si="263"/>
        <v>1/20/2020</v>
      </c>
      <c r="N1888" s="1">
        <f t="shared" ca="1" si="264"/>
        <v>46064</v>
      </c>
      <c r="O1888" s="6" t="e">
        <f t="shared" ca="1" si="265"/>
        <v>#VALUE!</v>
      </c>
      <c r="P1888">
        <v>5</v>
      </c>
      <c r="Q1888">
        <f t="shared" si="266"/>
        <v>59191</v>
      </c>
      <c r="R1888" s="2">
        <f t="shared" si="267"/>
        <v>29595.5</v>
      </c>
      <c r="S1888" s="2" t="str">
        <f t="shared" si="268"/>
        <v xml:space="preserve"> Not Achieved</v>
      </c>
      <c r="T1888" s="2" t="str">
        <f t="shared" si="269"/>
        <v>Good</v>
      </c>
      <c r="U1888" s="2"/>
    </row>
    <row r="1889" spans="1:21" x14ac:dyDescent="0.3">
      <c r="A1889">
        <v>1888</v>
      </c>
      <c r="B1889" t="s">
        <v>2738</v>
      </c>
      <c r="C1889" t="str">
        <f t="shared" si="261"/>
        <v>EMP_1888</v>
      </c>
      <c r="D1889" t="s">
        <v>11</v>
      </c>
      <c r="E1889" t="str">
        <f t="shared" si="262"/>
        <v>EMP_1888Sales</v>
      </c>
      <c r="F1889" t="s">
        <v>7</v>
      </c>
      <c r="G1889" t="s">
        <v>19</v>
      </c>
      <c r="H1889">
        <v>44352</v>
      </c>
      <c r="I1889">
        <v>3291</v>
      </c>
      <c r="J1889">
        <v>116992</v>
      </c>
      <c r="K1889">
        <v>249756</v>
      </c>
      <c r="L1889" s="4">
        <v>45087</v>
      </c>
      <c r="M1889" s="4" t="str">
        <f t="shared" si="263"/>
        <v>2023</v>
      </c>
      <c r="N1889" s="1">
        <f t="shared" ca="1" si="264"/>
        <v>46064</v>
      </c>
      <c r="O1889" s="6">
        <f t="shared" ca="1" si="265"/>
        <v>2</v>
      </c>
      <c r="P1889">
        <v>5</v>
      </c>
      <c r="Q1889">
        <f t="shared" si="266"/>
        <v>47643</v>
      </c>
      <c r="R1889" s="2">
        <f t="shared" si="267"/>
        <v>23821.5</v>
      </c>
      <c r="S1889" s="2" t="str">
        <f t="shared" si="268"/>
        <v xml:space="preserve"> Not Achieved</v>
      </c>
      <c r="T1889" s="2" t="str">
        <f t="shared" si="269"/>
        <v>Good</v>
      </c>
      <c r="U1889" s="2"/>
    </row>
    <row r="1890" spans="1:21" x14ac:dyDescent="0.3">
      <c r="A1890">
        <v>1889</v>
      </c>
      <c r="B1890" t="s">
        <v>2739</v>
      </c>
      <c r="C1890" t="str">
        <f t="shared" si="261"/>
        <v>EMP_1889</v>
      </c>
      <c r="D1890" t="s">
        <v>11</v>
      </c>
      <c r="E1890" t="str">
        <f t="shared" si="262"/>
        <v>EMP_1889Sales</v>
      </c>
      <c r="F1890" t="s">
        <v>7</v>
      </c>
      <c r="G1890" t="s">
        <v>25</v>
      </c>
      <c r="H1890">
        <v>21492</v>
      </c>
      <c r="I1890">
        <v>7372</v>
      </c>
      <c r="J1890">
        <v>133432</v>
      </c>
      <c r="K1890">
        <v>231626</v>
      </c>
      <c r="L1890" s="4" t="s">
        <v>2740</v>
      </c>
      <c r="M1890" s="4" t="str">
        <f t="shared" si="263"/>
        <v>10/23/2021</v>
      </c>
      <c r="N1890" s="1">
        <f t="shared" ca="1" si="264"/>
        <v>46064</v>
      </c>
      <c r="O1890" s="6" t="e">
        <f t="shared" ca="1" si="265"/>
        <v>#VALUE!</v>
      </c>
      <c r="P1890">
        <v>5</v>
      </c>
      <c r="Q1890">
        <f t="shared" si="266"/>
        <v>28864</v>
      </c>
      <c r="R1890" s="2">
        <f t="shared" si="267"/>
        <v>14432</v>
      </c>
      <c r="S1890" s="2" t="str">
        <f t="shared" si="268"/>
        <v xml:space="preserve"> Not Achieved</v>
      </c>
      <c r="T1890" s="2" t="str">
        <f t="shared" si="269"/>
        <v>poor</v>
      </c>
      <c r="U1890" s="2"/>
    </row>
    <row r="1891" spans="1:21" x14ac:dyDescent="0.3">
      <c r="A1891">
        <v>1890</v>
      </c>
      <c r="B1891" t="s">
        <v>2741</v>
      </c>
      <c r="C1891" t="str">
        <f t="shared" si="261"/>
        <v>EMP_1890</v>
      </c>
      <c r="D1891" t="s">
        <v>15</v>
      </c>
      <c r="E1891" t="str">
        <f t="shared" si="262"/>
        <v>EMP_1890Sales</v>
      </c>
      <c r="F1891" t="s">
        <v>7</v>
      </c>
      <c r="G1891" t="s">
        <v>16</v>
      </c>
      <c r="H1891">
        <v>67867</v>
      </c>
      <c r="I1891">
        <v>10224</v>
      </c>
      <c r="J1891">
        <v>121000</v>
      </c>
      <c r="K1891">
        <v>158255</v>
      </c>
      <c r="L1891" s="4">
        <v>45272</v>
      </c>
      <c r="M1891" s="4" t="str">
        <f t="shared" si="263"/>
        <v>2023</v>
      </c>
      <c r="N1891" s="1">
        <f t="shared" ca="1" si="264"/>
        <v>46064</v>
      </c>
      <c r="O1891" s="6">
        <f t="shared" ca="1" si="265"/>
        <v>2</v>
      </c>
      <c r="P1891">
        <v>3</v>
      </c>
      <c r="Q1891">
        <f t="shared" si="266"/>
        <v>78091</v>
      </c>
      <c r="R1891" s="2">
        <f t="shared" si="267"/>
        <v>39045.5</v>
      </c>
      <c r="S1891" s="2" t="str">
        <f t="shared" si="268"/>
        <v xml:space="preserve"> Not Achieved</v>
      </c>
      <c r="T1891" s="2" t="str">
        <f t="shared" si="269"/>
        <v xml:space="preserve"> Excellent</v>
      </c>
      <c r="U1891" s="2"/>
    </row>
    <row r="1892" spans="1:21" x14ac:dyDescent="0.3">
      <c r="A1892">
        <v>1891</v>
      </c>
      <c r="B1892" t="s">
        <v>2742</v>
      </c>
      <c r="C1892" t="str">
        <f t="shared" si="261"/>
        <v>EMP_1891</v>
      </c>
      <c r="D1892" t="s">
        <v>11</v>
      </c>
      <c r="E1892" t="str">
        <f t="shared" si="262"/>
        <v>EMP_1891IT</v>
      </c>
      <c r="F1892" t="s">
        <v>21</v>
      </c>
      <c r="G1892" t="s">
        <v>16</v>
      </c>
      <c r="H1892">
        <v>45084</v>
      </c>
      <c r="I1892">
        <v>6746</v>
      </c>
      <c r="J1892">
        <v>0</v>
      </c>
      <c r="K1892">
        <v>0</v>
      </c>
      <c r="L1892" s="4" t="s">
        <v>2743</v>
      </c>
      <c r="M1892" s="4" t="str">
        <f t="shared" si="263"/>
        <v>5/30/2023</v>
      </c>
      <c r="N1892" s="1">
        <f t="shared" ca="1" si="264"/>
        <v>46064</v>
      </c>
      <c r="O1892" s="6" t="e">
        <f t="shared" ca="1" si="265"/>
        <v>#VALUE!</v>
      </c>
      <c r="P1892">
        <v>2</v>
      </c>
      <c r="Q1892">
        <f t="shared" si="266"/>
        <v>51830</v>
      </c>
      <c r="R1892" s="2">
        <f t="shared" si="267"/>
        <v>25915</v>
      </c>
      <c r="S1892" s="2" t="str">
        <f t="shared" si="268"/>
        <v xml:space="preserve"> Not Achieved</v>
      </c>
      <c r="T1892" s="2" t="str">
        <f t="shared" si="269"/>
        <v>Good</v>
      </c>
      <c r="U1892" s="2"/>
    </row>
    <row r="1893" spans="1:21" x14ac:dyDescent="0.3">
      <c r="A1893">
        <v>1892</v>
      </c>
      <c r="B1893" t="s">
        <v>2744</v>
      </c>
      <c r="C1893" t="str">
        <f t="shared" si="261"/>
        <v>EMP_1892</v>
      </c>
      <c r="D1893" t="s">
        <v>11</v>
      </c>
      <c r="E1893" t="str">
        <f t="shared" si="262"/>
        <v>EMP_1892Marketing</v>
      </c>
      <c r="F1893" t="s">
        <v>24</v>
      </c>
      <c r="G1893" t="s">
        <v>16</v>
      </c>
      <c r="H1893">
        <v>24634</v>
      </c>
      <c r="I1893">
        <v>13722</v>
      </c>
      <c r="J1893">
        <v>0</v>
      </c>
      <c r="K1893">
        <v>0</v>
      </c>
      <c r="L1893" s="4">
        <v>44233</v>
      </c>
      <c r="M1893" s="4" t="str">
        <f t="shared" si="263"/>
        <v>2021</v>
      </c>
      <c r="N1893" s="1">
        <f t="shared" ca="1" si="264"/>
        <v>46064</v>
      </c>
      <c r="O1893" s="6">
        <f t="shared" ca="1" si="265"/>
        <v>5</v>
      </c>
      <c r="P1893">
        <v>3</v>
      </c>
      <c r="Q1893">
        <f t="shared" si="266"/>
        <v>38356</v>
      </c>
      <c r="R1893" s="2">
        <f t="shared" si="267"/>
        <v>19178</v>
      </c>
      <c r="S1893" s="2" t="str">
        <f t="shared" si="268"/>
        <v xml:space="preserve"> Not Achieved</v>
      </c>
      <c r="T1893" s="2" t="str">
        <f t="shared" si="269"/>
        <v>poor</v>
      </c>
      <c r="U1893" s="2"/>
    </row>
    <row r="1894" spans="1:21" x14ac:dyDescent="0.3">
      <c r="A1894">
        <v>1893</v>
      </c>
      <c r="B1894" t="s">
        <v>2745</v>
      </c>
      <c r="C1894" t="str">
        <f t="shared" si="261"/>
        <v>EMP_1893</v>
      </c>
      <c r="D1894" t="s">
        <v>11</v>
      </c>
      <c r="E1894" t="str">
        <f t="shared" si="262"/>
        <v>EMP_1893IT</v>
      </c>
      <c r="F1894" t="s">
        <v>21</v>
      </c>
      <c r="G1894" t="s">
        <v>22</v>
      </c>
      <c r="H1894">
        <v>25648</v>
      </c>
      <c r="I1894">
        <v>7984</v>
      </c>
      <c r="J1894">
        <v>0</v>
      </c>
      <c r="K1894">
        <v>0</v>
      </c>
      <c r="L1894" s="4" t="s">
        <v>2746</v>
      </c>
      <c r="M1894" s="4" t="str">
        <f t="shared" si="263"/>
        <v>6/25/2022</v>
      </c>
      <c r="N1894" s="1">
        <f t="shared" ca="1" si="264"/>
        <v>46064</v>
      </c>
      <c r="O1894" s="6" t="e">
        <f t="shared" ca="1" si="265"/>
        <v>#VALUE!</v>
      </c>
      <c r="P1894">
        <v>1</v>
      </c>
      <c r="Q1894">
        <f t="shared" si="266"/>
        <v>33632</v>
      </c>
      <c r="R1894" s="2">
        <f t="shared" si="267"/>
        <v>16816</v>
      </c>
      <c r="S1894" s="2" t="str">
        <f t="shared" si="268"/>
        <v xml:space="preserve"> Not Achieved</v>
      </c>
      <c r="T1894" s="2" t="str">
        <f t="shared" si="269"/>
        <v>poor</v>
      </c>
      <c r="U1894" s="2"/>
    </row>
    <row r="1895" spans="1:21" x14ac:dyDescent="0.3">
      <c r="A1895">
        <v>1894</v>
      </c>
      <c r="B1895" t="s">
        <v>2747</v>
      </c>
      <c r="C1895" t="str">
        <f t="shared" si="261"/>
        <v>EMP_1894</v>
      </c>
      <c r="D1895" t="s">
        <v>11</v>
      </c>
      <c r="E1895" t="str">
        <f t="shared" si="262"/>
        <v>EMP_1894Finance</v>
      </c>
      <c r="F1895" t="s">
        <v>18</v>
      </c>
      <c r="G1895" t="s">
        <v>13</v>
      </c>
      <c r="H1895">
        <v>73500</v>
      </c>
      <c r="I1895">
        <v>8046</v>
      </c>
      <c r="J1895">
        <v>0</v>
      </c>
      <c r="K1895">
        <v>0</v>
      </c>
      <c r="L1895" s="4" t="s">
        <v>847</v>
      </c>
      <c r="M1895" s="4" t="str">
        <f t="shared" si="263"/>
        <v>8/13/2018</v>
      </c>
      <c r="N1895" s="1">
        <f t="shared" ca="1" si="264"/>
        <v>46064</v>
      </c>
      <c r="O1895" s="6" t="e">
        <f t="shared" ca="1" si="265"/>
        <v>#VALUE!</v>
      </c>
      <c r="P1895">
        <v>1</v>
      </c>
      <c r="Q1895">
        <f t="shared" si="266"/>
        <v>81546</v>
      </c>
      <c r="R1895" s="2">
        <f t="shared" si="267"/>
        <v>40773</v>
      </c>
      <c r="S1895" s="2" t="str">
        <f t="shared" si="268"/>
        <v xml:space="preserve"> Not Achieved</v>
      </c>
      <c r="T1895" s="2" t="str">
        <f t="shared" si="269"/>
        <v xml:space="preserve"> Excellent</v>
      </c>
      <c r="U1895" s="2"/>
    </row>
    <row r="1896" spans="1:21" x14ac:dyDescent="0.3">
      <c r="A1896">
        <v>1895</v>
      </c>
      <c r="B1896" t="s">
        <v>2748</v>
      </c>
      <c r="C1896" t="str">
        <f t="shared" si="261"/>
        <v>EMP_1895</v>
      </c>
      <c r="D1896" t="s">
        <v>15</v>
      </c>
      <c r="E1896" t="str">
        <f t="shared" si="262"/>
        <v>EMP_1895Sales</v>
      </c>
      <c r="F1896" t="s">
        <v>7</v>
      </c>
      <c r="G1896" t="s">
        <v>19</v>
      </c>
      <c r="H1896">
        <v>52558</v>
      </c>
      <c r="I1896">
        <v>14204</v>
      </c>
      <c r="J1896">
        <v>223493</v>
      </c>
      <c r="K1896">
        <v>151814</v>
      </c>
      <c r="L1896" s="4" t="s">
        <v>2749</v>
      </c>
      <c r="M1896" s="4" t="str">
        <f t="shared" si="263"/>
        <v>8/16/2022</v>
      </c>
      <c r="N1896" s="1">
        <f t="shared" ca="1" si="264"/>
        <v>46064</v>
      </c>
      <c r="O1896" s="6" t="e">
        <f t="shared" ca="1" si="265"/>
        <v>#VALUE!</v>
      </c>
      <c r="P1896">
        <v>3</v>
      </c>
      <c r="Q1896">
        <f t="shared" si="266"/>
        <v>66762</v>
      </c>
      <c r="R1896" s="2">
        <f t="shared" si="267"/>
        <v>33381</v>
      </c>
      <c r="S1896" s="2" t="str">
        <f t="shared" si="268"/>
        <v>Achieved</v>
      </c>
      <c r="T1896" s="2" t="str">
        <f t="shared" si="269"/>
        <v xml:space="preserve"> Excellent</v>
      </c>
      <c r="U1896" s="2"/>
    </row>
    <row r="1897" spans="1:21" x14ac:dyDescent="0.3">
      <c r="A1897">
        <v>1896</v>
      </c>
      <c r="B1897" t="s">
        <v>2750</v>
      </c>
      <c r="C1897" t="str">
        <f t="shared" si="261"/>
        <v>EMP_1896</v>
      </c>
      <c r="D1897" t="s">
        <v>11</v>
      </c>
      <c r="E1897" t="str">
        <f t="shared" si="262"/>
        <v>EMP_1896HR</v>
      </c>
      <c r="F1897" t="s">
        <v>12</v>
      </c>
      <c r="G1897" t="s">
        <v>19</v>
      </c>
      <c r="H1897">
        <v>50183</v>
      </c>
      <c r="I1897">
        <v>4836</v>
      </c>
      <c r="J1897">
        <v>0</v>
      </c>
      <c r="K1897">
        <v>0</v>
      </c>
      <c r="L1897" s="4" t="s">
        <v>2209</v>
      </c>
      <c r="M1897" s="4" t="str">
        <f t="shared" si="263"/>
        <v>1/25/2024</v>
      </c>
      <c r="N1897" s="1">
        <f t="shared" ca="1" si="264"/>
        <v>46064</v>
      </c>
      <c r="O1897" s="6" t="e">
        <f t="shared" ca="1" si="265"/>
        <v>#VALUE!</v>
      </c>
      <c r="P1897">
        <v>5</v>
      </c>
      <c r="Q1897">
        <f t="shared" si="266"/>
        <v>55019</v>
      </c>
      <c r="R1897" s="2">
        <f t="shared" si="267"/>
        <v>27509.5</v>
      </c>
      <c r="S1897" s="2" t="str">
        <f t="shared" si="268"/>
        <v xml:space="preserve"> Not Achieved</v>
      </c>
      <c r="T1897" s="2" t="str">
        <f t="shared" si="269"/>
        <v xml:space="preserve"> Excellent</v>
      </c>
      <c r="U1897" s="2"/>
    </row>
    <row r="1898" spans="1:21" x14ac:dyDescent="0.3">
      <c r="A1898">
        <v>1897</v>
      </c>
      <c r="B1898" t="s">
        <v>2751</v>
      </c>
      <c r="C1898" t="str">
        <f t="shared" si="261"/>
        <v>EMP_1897</v>
      </c>
      <c r="D1898" t="s">
        <v>11</v>
      </c>
      <c r="E1898" t="str">
        <f t="shared" si="262"/>
        <v>EMP_1897Finance</v>
      </c>
      <c r="F1898" t="s">
        <v>18</v>
      </c>
      <c r="G1898" t="s">
        <v>16</v>
      </c>
      <c r="H1898">
        <v>23172</v>
      </c>
      <c r="I1898">
        <v>12814</v>
      </c>
      <c r="J1898">
        <v>0</v>
      </c>
      <c r="K1898">
        <v>0</v>
      </c>
      <c r="L1898" s="4" t="s">
        <v>459</v>
      </c>
      <c r="M1898" s="4" t="str">
        <f t="shared" si="263"/>
        <v>7/25/2021</v>
      </c>
      <c r="N1898" s="1">
        <f t="shared" ca="1" si="264"/>
        <v>46064</v>
      </c>
      <c r="O1898" s="6" t="e">
        <f t="shared" ca="1" si="265"/>
        <v>#VALUE!</v>
      </c>
      <c r="P1898">
        <v>4</v>
      </c>
      <c r="Q1898">
        <f t="shared" si="266"/>
        <v>35986</v>
      </c>
      <c r="R1898" s="2">
        <f t="shared" si="267"/>
        <v>17993</v>
      </c>
      <c r="S1898" s="2" t="str">
        <f t="shared" si="268"/>
        <v xml:space="preserve"> Not Achieved</v>
      </c>
      <c r="T1898" s="2" t="str">
        <f t="shared" si="269"/>
        <v>poor</v>
      </c>
      <c r="U1898" s="2"/>
    </row>
    <row r="1899" spans="1:21" x14ac:dyDescent="0.3">
      <c r="A1899">
        <v>1898</v>
      </c>
      <c r="B1899" t="s">
        <v>2752</v>
      </c>
      <c r="C1899" t="str">
        <f t="shared" si="261"/>
        <v>EMP_1898</v>
      </c>
      <c r="D1899" t="s">
        <v>11</v>
      </c>
      <c r="E1899" t="str">
        <f t="shared" si="262"/>
        <v>EMP_1898IT</v>
      </c>
      <c r="F1899" t="s">
        <v>21</v>
      </c>
      <c r="G1899" t="s">
        <v>25</v>
      </c>
      <c r="H1899">
        <v>26126</v>
      </c>
      <c r="I1899">
        <v>8950</v>
      </c>
      <c r="J1899">
        <v>0</v>
      </c>
      <c r="K1899">
        <v>0</v>
      </c>
      <c r="L1899" s="4" t="s">
        <v>2108</v>
      </c>
      <c r="M1899" s="4" t="str">
        <f t="shared" si="263"/>
        <v>10/22/2020</v>
      </c>
      <c r="N1899" s="1">
        <f t="shared" ca="1" si="264"/>
        <v>46064</v>
      </c>
      <c r="O1899" s="6" t="e">
        <f t="shared" ca="1" si="265"/>
        <v>#VALUE!</v>
      </c>
      <c r="P1899">
        <v>4</v>
      </c>
      <c r="Q1899">
        <f t="shared" si="266"/>
        <v>35076</v>
      </c>
      <c r="R1899" s="2">
        <f t="shared" si="267"/>
        <v>17538</v>
      </c>
      <c r="S1899" s="2" t="str">
        <f t="shared" si="268"/>
        <v xml:space="preserve"> Not Achieved</v>
      </c>
      <c r="T1899" s="2" t="str">
        <f t="shared" si="269"/>
        <v>poor</v>
      </c>
      <c r="U1899" s="2"/>
    </row>
    <row r="1900" spans="1:21" x14ac:dyDescent="0.3">
      <c r="A1900">
        <v>1899</v>
      </c>
      <c r="B1900" t="s">
        <v>2753</v>
      </c>
      <c r="C1900" t="str">
        <f t="shared" si="261"/>
        <v>EMP_1899</v>
      </c>
      <c r="D1900" t="s">
        <v>15</v>
      </c>
      <c r="E1900" t="str">
        <f t="shared" si="262"/>
        <v>EMP_1899Finance</v>
      </c>
      <c r="F1900" t="s">
        <v>18</v>
      </c>
      <c r="G1900" t="s">
        <v>25</v>
      </c>
      <c r="H1900">
        <v>72665</v>
      </c>
      <c r="I1900">
        <v>13213</v>
      </c>
      <c r="J1900">
        <v>0</v>
      </c>
      <c r="K1900">
        <v>0</v>
      </c>
      <c r="L1900" s="4">
        <v>44511</v>
      </c>
      <c r="M1900" s="4" t="str">
        <f t="shared" si="263"/>
        <v>2021</v>
      </c>
      <c r="N1900" s="1">
        <f t="shared" ca="1" si="264"/>
        <v>46064</v>
      </c>
      <c r="O1900" s="6">
        <f t="shared" ca="1" si="265"/>
        <v>4</v>
      </c>
      <c r="P1900">
        <v>1</v>
      </c>
      <c r="Q1900">
        <f t="shared" si="266"/>
        <v>85878</v>
      </c>
      <c r="R1900" s="2">
        <f t="shared" si="267"/>
        <v>42939</v>
      </c>
      <c r="S1900" s="2" t="str">
        <f t="shared" si="268"/>
        <v xml:space="preserve"> Not Achieved</v>
      </c>
      <c r="T1900" s="2" t="str">
        <f t="shared" si="269"/>
        <v xml:space="preserve"> Excellent</v>
      </c>
      <c r="U1900" s="2"/>
    </row>
    <row r="1901" spans="1:21" x14ac:dyDescent="0.3">
      <c r="A1901">
        <v>1900</v>
      </c>
      <c r="B1901" t="s">
        <v>2754</v>
      </c>
      <c r="C1901" t="str">
        <f t="shared" si="261"/>
        <v>EMP_1900</v>
      </c>
      <c r="D1901" t="s">
        <v>15</v>
      </c>
      <c r="E1901" t="str">
        <f t="shared" si="262"/>
        <v>EMP_1900Sales</v>
      </c>
      <c r="F1901" t="s">
        <v>7</v>
      </c>
      <c r="G1901" t="s">
        <v>19</v>
      </c>
      <c r="H1901">
        <v>46756</v>
      </c>
      <c r="I1901">
        <v>9909</v>
      </c>
      <c r="J1901">
        <v>136012</v>
      </c>
      <c r="K1901">
        <v>190036</v>
      </c>
      <c r="L1901" s="4">
        <v>43956</v>
      </c>
      <c r="M1901" s="4" t="str">
        <f t="shared" si="263"/>
        <v>2020</v>
      </c>
      <c r="N1901" s="1">
        <f t="shared" ca="1" si="264"/>
        <v>46064</v>
      </c>
      <c r="O1901" s="6">
        <f t="shared" ca="1" si="265"/>
        <v>5</v>
      </c>
      <c r="P1901">
        <v>2</v>
      </c>
      <c r="Q1901">
        <f t="shared" si="266"/>
        <v>56665</v>
      </c>
      <c r="R1901" s="2">
        <f t="shared" si="267"/>
        <v>28332.5</v>
      </c>
      <c r="S1901" s="2" t="str">
        <f t="shared" si="268"/>
        <v xml:space="preserve"> Not Achieved</v>
      </c>
      <c r="T1901" s="2" t="str">
        <f t="shared" si="269"/>
        <v>Good</v>
      </c>
      <c r="U1901" s="2"/>
    </row>
    <row r="1902" spans="1:21" x14ac:dyDescent="0.3">
      <c r="A1902">
        <v>1901</v>
      </c>
      <c r="B1902" t="s">
        <v>2755</v>
      </c>
      <c r="C1902" t="str">
        <f t="shared" si="261"/>
        <v>EMP_1901</v>
      </c>
      <c r="D1902" t="s">
        <v>11</v>
      </c>
      <c r="E1902" t="str">
        <f t="shared" si="262"/>
        <v>EMP_1901HR</v>
      </c>
      <c r="F1902" t="s">
        <v>12</v>
      </c>
      <c r="G1902" t="s">
        <v>19</v>
      </c>
      <c r="H1902">
        <v>34115</v>
      </c>
      <c r="I1902">
        <v>14370</v>
      </c>
      <c r="J1902">
        <v>0</v>
      </c>
      <c r="K1902">
        <v>0</v>
      </c>
      <c r="L1902" s="4">
        <v>43225</v>
      </c>
      <c r="M1902" s="4" t="str">
        <f t="shared" si="263"/>
        <v>2018</v>
      </c>
      <c r="N1902" s="1">
        <f t="shared" ca="1" si="264"/>
        <v>46064</v>
      </c>
      <c r="O1902" s="6">
        <f t="shared" ca="1" si="265"/>
        <v>7</v>
      </c>
      <c r="P1902">
        <v>2</v>
      </c>
      <c r="Q1902">
        <f t="shared" si="266"/>
        <v>48485</v>
      </c>
      <c r="R1902" s="2">
        <f t="shared" si="267"/>
        <v>24242.5</v>
      </c>
      <c r="S1902" s="2" t="str">
        <f t="shared" si="268"/>
        <v xml:space="preserve"> Not Achieved</v>
      </c>
      <c r="T1902" s="2" t="str">
        <f t="shared" si="269"/>
        <v>Average</v>
      </c>
      <c r="U1902" s="2"/>
    </row>
    <row r="1903" spans="1:21" x14ac:dyDescent="0.3">
      <c r="A1903">
        <v>1902</v>
      </c>
      <c r="B1903" t="s">
        <v>2756</v>
      </c>
      <c r="C1903" t="str">
        <f t="shared" si="261"/>
        <v>EMP_1902</v>
      </c>
      <c r="D1903" t="s">
        <v>11</v>
      </c>
      <c r="E1903" t="str">
        <f t="shared" si="262"/>
        <v>EMP_1902Finance</v>
      </c>
      <c r="F1903" t="s">
        <v>18</v>
      </c>
      <c r="G1903" t="s">
        <v>16</v>
      </c>
      <c r="H1903">
        <v>27663</v>
      </c>
      <c r="I1903">
        <v>9021</v>
      </c>
      <c r="J1903">
        <v>0</v>
      </c>
      <c r="K1903">
        <v>0</v>
      </c>
      <c r="L1903" s="4">
        <v>45386</v>
      </c>
      <c r="M1903" s="4" t="str">
        <f t="shared" si="263"/>
        <v>2024</v>
      </c>
      <c r="N1903" s="1">
        <f t="shared" ca="1" si="264"/>
        <v>46064</v>
      </c>
      <c r="O1903" s="6">
        <f t="shared" ca="1" si="265"/>
        <v>1</v>
      </c>
      <c r="P1903">
        <v>1</v>
      </c>
      <c r="Q1903">
        <f t="shared" si="266"/>
        <v>36684</v>
      </c>
      <c r="R1903" s="2">
        <f t="shared" si="267"/>
        <v>18342</v>
      </c>
      <c r="S1903" s="2" t="str">
        <f t="shared" si="268"/>
        <v xml:space="preserve"> Not Achieved</v>
      </c>
      <c r="T1903" s="2" t="str">
        <f t="shared" si="269"/>
        <v>poor</v>
      </c>
      <c r="U1903" s="2"/>
    </row>
    <row r="1904" spans="1:21" x14ac:dyDescent="0.3">
      <c r="A1904">
        <v>1903</v>
      </c>
      <c r="B1904" t="s">
        <v>2757</v>
      </c>
      <c r="C1904" t="str">
        <f t="shared" si="261"/>
        <v>EMP_1903</v>
      </c>
      <c r="D1904" t="s">
        <v>15</v>
      </c>
      <c r="E1904" t="str">
        <f t="shared" si="262"/>
        <v>EMP_1903IT</v>
      </c>
      <c r="F1904" t="s">
        <v>21</v>
      </c>
      <c r="G1904" t="s">
        <v>13</v>
      </c>
      <c r="H1904">
        <v>55533</v>
      </c>
      <c r="I1904">
        <v>9711</v>
      </c>
      <c r="J1904">
        <v>0</v>
      </c>
      <c r="K1904">
        <v>0</v>
      </c>
      <c r="L1904" s="4" t="s">
        <v>668</v>
      </c>
      <c r="M1904" s="4" t="str">
        <f t="shared" si="263"/>
        <v>7/18/2021</v>
      </c>
      <c r="N1904" s="1">
        <f t="shared" ca="1" si="264"/>
        <v>46064</v>
      </c>
      <c r="O1904" s="6" t="e">
        <f t="shared" ca="1" si="265"/>
        <v>#VALUE!</v>
      </c>
      <c r="P1904">
        <v>2</v>
      </c>
      <c r="Q1904">
        <f t="shared" si="266"/>
        <v>65244</v>
      </c>
      <c r="R1904" s="2">
        <f t="shared" si="267"/>
        <v>32622</v>
      </c>
      <c r="S1904" s="2" t="str">
        <f t="shared" si="268"/>
        <v xml:space="preserve"> Not Achieved</v>
      </c>
      <c r="T1904" s="2" t="str">
        <f t="shared" si="269"/>
        <v xml:space="preserve"> Excellent</v>
      </c>
      <c r="U1904" s="2"/>
    </row>
    <row r="1905" spans="1:21" x14ac:dyDescent="0.3">
      <c r="A1905">
        <v>1904</v>
      </c>
      <c r="B1905" t="s">
        <v>2758</v>
      </c>
      <c r="C1905" t="str">
        <f t="shared" si="261"/>
        <v>EMP_1904</v>
      </c>
      <c r="D1905" t="s">
        <v>15</v>
      </c>
      <c r="E1905" t="str">
        <f t="shared" si="262"/>
        <v>EMP_1904IT</v>
      </c>
      <c r="F1905" t="s">
        <v>21</v>
      </c>
      <c r="G1905" t="s">
        <v>16</v>
      </c>
      <c r="H1905">
        <v>35471</v>
      </c>
      <c r="I1905">
        <v>14728</v>
      </c>
      <c r="J1905">
        <v>0</v>
      </c>
      <c r="K1905">
        <v>0</v>
      </c>
      <c r="L1905" s="4" t="s">
        <v>176</v>
      </c>
      <c r="M1905" s="4" t="str">
        <f t="shared" si="263"/>
        <v>4/27/2021</v>
      </c>
      <c r="N1905" s="1">
        <f t="shared" ca="1" si="264"/>
        <v>46064</v>
      </c>
      <c r="O1905" s="6" t="e">
        <f t="shared" ca="1" si="265"/>
        <v>#VALUE!</v>
      </c>
      <c r="P1905">
        <v>2</v>
      </c>
      <c r="Q1905">
        <f t="shared" si="266"/>
        <v>50199</v>
      </c>
      <c r="R1905" s="2">
        <f t="shared" si="267"/>
        <v>25099.5</v>
      </c>
      <c r="S1905" s="2" t="str">
        <f t="shared" si="268"/>
        <v xml:space="preserve"> Not Achieved</v>
      </c>
      <c r="T1905" s="2" t="str">
        <f t="shared" si="269"/>
        <v>Average</v>
      </c>
      <c r="U1905" s="2"/>
    </row>
    <row r="1906" spans="1:21" x14ac:dyDescent="0.3">
      <c r="A1906">
        <v>1905</v>
      </c>
      <c r="B1906" t="s">
        <v>2759</v>
      </c>
      <c r="C1906" t="str">
        <f t="shared" si="261"/>
        <v>EMP_1905</v>
      </c>
      <c r="D1906" t="s">
        <v>15</v>
      </c>
      <c r="E1906" t="str">
        <f t="shared" si="262"/>
        <v>EMP_1905Finance</v>
      </c>
      <c r="F1906" t="s">
        <v>18</v>
      </c>
      <c r="G1906" t="s">
        <v>13</v>
      </c>
      <c r="H1906">
        <v>44707</v>
      </c>
      <c r="I1906">
        <v>8996</v>
      </c>
      <c r="J1906">
        <v>0</v>
      </c>
      <c r="K1906">
        <v>0</v>
      </c>
      <c r="L1906" s="4" t="s">
        <v>2760</v>
      </c>
      <c r="M1906" s="4" t="str">
        <f t="shared" si="263"/>
        <v>4/24/2019</v>
      </c>
      <c r="N1906" s="1">
        <f t="shared" ca="1" si="264"/>
        <v>46064</v>
      </c>
      <c r="O1906" s="6" t="e">
        <f t="shared" ca="1" si="265"/>
        <v>#VALUE!</v>
      </c>
      <c r="P1906">
        <v>2</v>
      </c>
      <c r="Q1906">
        <f t="shared" si="266"/>
        <v>53703</v>
      </c>
      <c r="R1906" s="2">
        <f t="shared" si="267"/>
        <v>26851.5</v>
      </c>
      <c r="S1906" s="2" t="str">
        <f t="shared" si="268"/>
        <v xml:space="preserve"> Not Achieved</v>
      </c>
      <c r="T1906" s="2" t="str">
        <f t="shared" si="269"/>
        <v>Good</v>
      </c>
      <c r="U1906" s="2"/>
    </row>
    <row r="1907" spans="1:21" x14ac:dyDescent="0.3">
      <c r="A1907">
        <v>1906</v>
      </c>
      <c r="B1907" t="s">
        <v>2761</v>
      </c>
      <c r="C1907" t="str">
        <f t="shared" si="261"/>
        <v>EMP_1906</v>
      </c>
      <c r="D1907" t="s">
        <v>11</v>
      </c>
      <c r="E1907" t="str">
        <f t="shared" si="262"/>
        <v>EMP_1906Marketing</v>
      </c>
      <c r="F1907" t="s">
        <v>24</v>
      </c>
      <c r="G1907" t="s">
        <v>13</v>
      </c>
      <c r="H1907">
        <v>48654</v>
      </c>
      <c r="I1907">
        <v>8892</v>
      </c>
      <c r="J1907">
        <v>0</v>
      </c>
      <c r="K1907">
        <v>0</v>
      </c>
      <c r="L1907" s="4">
        <v>45359</v>
      </c>
      <c r="M1907" s="4" t="str">
        <f t="shared" si="263"/>
        <v>2024</v>
      </c>
      <c r="N1907" s="1">
        <f t="shared" ca="1" si="264"/>
        <v>46064</v>
      </c>
      <c r="O1907" s="6">
        <f t="shared" ca="1" si="265"/>
        <v>1</v>
      </c>
      <c r="P1907">
        <v>5</v>
      </c>
      <c r="Q1907">
        <f t="shared" si="266"/>
        <v>57546</v>
      </c>
      <c r="R1907" s="2">
        <f t="shared" si="267"/>
        <v>28773</v>
      </c>
      <c r="S1907" s="2" t="str">
        <f t="shared" si="268"/>
        <v xml:space="preserve"> Not Achieved</v>
      </c>
      <c r="T1907" s="2" t="str">
        <f t="shared" si="269"/>
        <v>Good</v>
      </c>
      <c r="U1907" s="2"/>
    </row>
    <row r="1908" spans="1:21" x14ac:dyDescent="0.3">
      <c r="A1908">
        <v>1907</v>
      </c>
      <c r="B1908" t="s">
        <v>2762</v>
      </c>
      <c r="C1908" t="str">
        <f t="shared" si="261"/>
        <v>EMP_1907</v>
      </c>
      <c r="D1908" t="s">
        <v>15</v>
      </c>
      <c r="E1908" t="str">
        <f t="shared" si="262"/>
        <v>EMP_1907Finance</v>
      </c>
      <c r="F1908" t="s">
        <v>18</v>
      </c>
      <c r="G1908" t="s">
        <v>13</v>
      </c>
      <c r="H1908">
        <v>38155</v>
      </c>
      <c r="I1908">
        <v>13795</v>
      </c>
      <c r="J1908">
        <v>0</v>
      </c>
      <c r="K1908">
        <v>0</v>
      </c>
      <c r="L1908" s="4">
        <v>43811</v>
      </c>
      <c r="M1908" s="4" t="str">
        <f t="shared" si="263"/>
        <v>2019</v>
      </c>
      <c r="N1908" s="1">
        <f t="shared" ca="1" si="264"/>
        <v>46064</v>
      </c>
      <c r="O1908" s="6">
        <f t="shared" ca="1" si="265"/>
        <v>6</v>
      </c>
      <c r="P1908">
        <v>4</v>
      </c>
      <c r="Q1908">
        <f t="shared" si="266"/>
        <v>51950</v>
      </c>
      <c r="R1908" s="2">
        <f t="shared" si="267"/>
        <v>25975</v>
      </c>
      <c r="S1908" s="2" t="str">
        <f t="shared" si="268"/>
        <v xml:space="preserve"> Not Achieved</v>
      </c>
      <c r="T1908" s="2" t="str">
        <f t="shared" si="269"/>
        <v>Average</v>
      </c>
      <c r="U1908" s="2"/>
    </row>
    <row r="1909" spans="1:21" x14ac:dyDescent="0.3">
      <c r="A1909">
        <v>1908</v>
      </c>
      <c r="B1909" t="s">
        <v>2763</v>
      </c>
      <c r="C1909" t="str">
        <f t="shared" si="261"/>
        <v>EMP_1908</v>
      </c>
      <c r="D1909" t="s">
        <v>15</v>
      </c>
      <c r="E1909" t="str">
        <f t="shared" si="262"/>
        <v>EMP_1908IT</v>
      </c>
      <c r="F1909" t="s">
        <v>21</v>
      </c>
      <c r="G1909" t="s">
        <v>22</v>
      </c>
      <c r="H1909">
        <v>50072</v>
      </c>
      <c r="I1909">
        <v>12594</v>
      </c>
      <c r="J1909">
        <v>0</v>
      </c>
      <c r="K1909">
        <v>0</v>
      </c>
      <c r="L1909" s="4">
        <v>43805</v>
      </c>
      <c r="M1909" s="4" t="str">
        <f t="shared" si="263"/>
        <v>2019</v>
      </c>
      <c r="N1909" s="1">
        <f t="shared" ca="1" si="264"/>
        <v>46064</v>
      </c>
      <c r="O1909" s="6">
        <f t="shared" ca="1" si="265"/>
        <v>6</v>
      </c>
      <c r="P1909">
        <v>3</v>
      </c>
      <c r="Q1909">
        <f t="shared" si="266"/>
        <v>62666</v>
      </c>
      <c r="R1909" s="2">
        <f t="shared" si="267"/>
        <v>31333</v>
      </c>
      <c r="S1909" s="2" t="str">
        <f t="shared" si="268"/>
        <v xml:space="preserve"> Not Achieved</v>
      </c>
      <c r="T1909" s="2" t="str">
        <f t="shared" si="269"/>
        <v xml:space="preserve"> Excellent</v>
      </c>
      <c r="U1909" s="2"/>
    </row>
    <row r="1910" spans="1:21" x14ac:dyDescent="0.3">
      <c r="A1910">
        <v>1909</v>
      </c>
      <c r="B1910" t="s">
        <v>2764</v>
      </c>
      <c r="C1910" t="str">
        <f t="shared" si="261"/>
        <v>EMP_1909</v>
      </c>
      <c r="D1910" t="s">
        <v>15</v>
      </c>
      <c r="E1910" t="str">
        <f t="shared" si="262"/>
        <v>EMP_1909IT</v>
      </c>
      <c r="F1910" t="s">
        <v>21</v>
      </c>
      <c r="G1910" t="s">
        <v>19</v>
      </c>
      <c r="H1910">
        <v>68965</v>
      </c>
      <c r="I1910">
        <v>3303</v>
      </c>
      <c r="J1910">
        <v>0</v>
      </c>
      <c r="K1910">
        <v>0</v>
      </c>
      <c r="L1910" s="4" t="s">
        <v>1391</v>
      </c>
      <c r="M1910" s="4" t="str">
        <f t="shared" si="263"/>
        <v>8/15/2019</v>
      </c>
      <c r="N1910" s="1">
        <f t="shared" ca="1" si="264"/>
        <v>46064</v>
      </c>
      <c r="O1910" s="6" t="e">
        <f t="shared" ca="1" si="265"/>
        <v>#VALUE!</v>
      </c>
      <c r="P1910">
        <v>5</v>
      </c>
      <c r="Q1910">
        <f t="shared" si="266"/>
        <v>72268</v>
      </c>
      <c r="R1910" s="2">
        <f t="shared" si="267"/>
        <v>36134</v>
      </c>
      <c r="S1910" s="2" t="str">
        <f t="shared" si="268"/>
        <v xml:space="preserve"> Not Achieved</v>
      </c>
      <c r="T1910" s="2" t="str">
        <f t="shared" si="269"/>
        <v xml:space="preserve"> Excellent</v>
      </c>
      <c r="U1910" s="2"/>
    </row>
    <row r="1911" spans="1:21" x14ac:dyDescent="0.3">
      <c r="A1911">
        <v>1910</v>
      </c>
      <c r="B1911" t="s">
        <v>2765</v>
      </c>
      <c r="C1911" t="str">
        <f t="shared" si="261"/>
        <v>EMP_1910</v>
      </c>
      <c r="D1911" t="s">
        <v>11</v>
      </c>
      <c r="E1911" t="str">
        <f t="shared" si="262"/>
        <v>EMP_1910IT</v>
      </c>
      <c r="F1911" t="s">
        <v>21</v>
      </c>
      <c r="G1911" t="s">
        <v>19</v>
      </c>
      <c r="H1911">
        <v>33066</v>
      </c>
      <c r="I1911">
        <v>9833</v>
      </c>
      <c r="J1911">
        <v>0</v>
      </c>
      <c r="K1911">
        <v>0</v>
      </c>
      <c r="L1911" s="4">
        <v>44966</v>
      </c>
      <c r="M1911" s="4" t="str">
        <f t="shared" si="263"/>
        <v>2023</v>
      </c>
      <c r="N1911" s="1">
        <f t="shared" ca="1" si="264"/>
        <v>46064</v>
      </c>
      <c r="O1911" s="6">
        <f t="shared" ca="1" si="265"/>
        <v>3</v>
      </c>
      <c r="P1911">
        <v>2</v>
      </c>
      <c r="Q1911">
        <f t="shared" si="266"/>
        <v>42899</v>
      </c>
      <c r="R1911" s="2">
        <f t="shared" si="267"/>
        <v>21449.5</v>
      </c>
      <c r="S1911" s="2" t="str">
        <f t="shared" si="268"/>
        <v xml:space="preserve"> Not Achieved</v>
      </c>
      <c r="T1911" s="2" t="str">
        <f t="shared" si="269"/>
        <v>Average</v>
      </c>
      <c r="U1911" s="2"/>
    </row>
    <row r="1912" spans="1:21" x14ac:dyDescent="0.3">
      <c r="A1912">
        <v>1911</v>
      </c>
      <c r="B1912" t="s">
        <v>2766</v>
      </c>
      <c r="C1912" t="str">
        <f t="shared" si="261"/>
        <v>EMP_1911</v>
      </c>
      <c r="D1912" t="s">
        <v>11</v>
      </c>
      <c r="E1912" t="str">
        <f t="shared" si="262"/>
        <v>EMP_1911HR</v>
      </c>
      <c r="F1912" t="s">
        <v>12</v>
      </c>
      <c r="G1912" t="s">
        <v>13</v>
      </c>
      <c r="H1912">
        <v>60981</v>
      </c>
      <c r="I1912">
        <v>2048</v>
      </c>
      <c r="J1912">
        <v>0</v>
      </c>
      <c r="K1912">
        <v>0</v>
      </c>
      <c r="L1912" s="4" t="s">
        <v>685</v>
      </c>
      <c r="M1912" s="4" t="str">
        <f t="shared" si="263"/>
        <v>12/13/2019</v>
      </c>
      <c r="N1912" s="1">
        <f t="shared" ca="1" si="264"/>
        <v>46064</v>
      </c>
      <c r="O1912" s="6" t="e">
        <f t="shared" ca="1" si="265"/>
        <v>#VALUE!</v>
      </c>
      <c r="P1912">
        <v>5</v>
      </c>
      <c r="Q1912">
        <f t="shared" si="266"/>
        <v>63029</v>
      </c>
      <c r="R1912" s="2">
        <f t="shared" si="267"/>
        <v>31514.5</v>
      </c>
      <c r="S1912" s="2" t="str">
        <f t="shared" si="268"/>
        <v xml:space="preserve"> Not Achieved</v>
      </c>
      <c r="T1912" s="2" t="str">
        <f t="shared" si="269"/>
        <v xml:space="preserve"> Excellent</v>
      </c>
      <c r="U1912" s="2"/>
    </row>
    <row r="1913" spans="1:21" x14ac:dyDescent="0.3">
      <c r="A1913">
        <v>1912</v>
      </c>
      <c r="B1913" t="s">
        <v>2767</v>
      </c>
      <c r="C1913" t="str">
        <f t="shared" si="261"/>
        <v>EMP_1912</v>
      </c>
      <c r="D1913" t="s">
        <v>11</v>
      </c>
      <c r="E1913" t="str">
        <f t="shared" si="262"/>
        <v>EMP_1912IT</v>
      </c>
      <c r="F1913" t="s">
        <v>21</v>
      </c>
      <c r="G1913" t="s">
        <v>13</v>
      </c>
      <c r="H1913">
        <v>23938</v>
      </c>
      <c r="I1913">
        <v>10635</v>
      </c>
      <c r="J1913">
        <v>0</v>
      </c>
      <c r="K1913">
        <v>0</v>
      </c>
      <c r="L1913" s="4" t="s">
        <v>1793</v>
      </c>
      <c r="M1913" s="4" t="str">
        <f t="shared" si="263"/>
        <v>4/23/2021</v>
      </c>
      <c r="N1913" s="1">
        <f t="shared" ca="1" si="264"/>
        <v>46064</v>
      </c>
      <c r="O1913" s="6" t="e">
        <f t="shared" ca="1" si="265"/>
        <v>#VALUE!</v>
      </c>
      <c r="P1913">
        <v>1</v>
      </c>
      <c r="Q1913">
        <f t="shared" si="266"/>
        <v>34573</v>
      </c>
      <c r="R1913" s="2">
        <f t="shared" si="267"/>
        <v>17286.5</v>
      </c>
      <c r="S1913" s="2" t="str">
        <f t="shared" si="268"/>
        <v xml:space="preserve"> Not Achieved</v>
      </c>
      <c r="T1913" s="2" t="str">
        <f t="shared" si="269"/>
        <v>poor</v>
      </c>
      <c r="U1913" s="2"/>
    </row>
    <row r="1914" spans="1:21" x14ac:dyDescent="0.3">
      <c r="A1914">
        <v>1913</v>
      </c>
      <c r="B1914" t="s">
        <v>2768</v>
      </c>
      <c r="C1914" t="str">
        <f t="shared" si="261"/>
        <v>EMP_1913</v>
      </c>
      <c r="D1914" t="s">
        <v>11</v>
      </c>
      <c r="E1914" t="str">
        <f t="shared" si="262"/>
        <v>EMP_1913Marketing</v>
      </c>
      <c r="F1914" t="s">
        <v>24</v>
      </c>
      <c r="G1914" t="s">
        <v>13</v>
      </c>
      <c r="H1914">
        <v>21780</v>
      </c>
      <c r="I1914">
        <v>6120</v>
      </c>
      <c r="J1914">
        <v>0</v>
      </c>
      <c r="K1914">
        <v>0</v>
      </c>
      <c r="L1914" s="4" t="s">
        <v>2464</v>
      </c>
      <c r="M1914" s="4" t="str">
        <f t="shared" si="263"/>
        <v>4/22/2021</v>
      </c>
      <c r="N1914" s="1">
        <f t="shared" ca="1" si="264"/>
        <v>46064</v>
      </c>
      <c r="O1914" s="6" t="e">
        <f t="shared" ca="1" si="265"/>
        <v>#VALUE!</v>
      </c>
      <c r="P1914">
        <v>2</v>
      </c>
      <c r="Q1914">
        <f t="shared" si="266"/>
        <v>27900</v>
      </c>
      <c r="R1914" s="2">
        <f t="shared" si="267"/>
        <v>13950</v>
      </c>
      <c r="S1914" s="2" t="str">
        <f t="shared" si="268"/>
        <v xml:space="preserve"> Not Achieved</v>
      </c>
      <c r="T1914" s="2" t="str">
        <f t="shared" si="269"/>
        <v>poor</v>
      </c>
      <c r="U1914" s="2"/>
    </row>
    <row r="1915" spans="1:21" x14ac:dyDescent="0.3">
      <c r="A1915">
        <v>1914</v>
      </c>
      <c r="B1915" t="s">
        <v>2769</v>
      </c>
      <c r="C1915" t="str">
        <f t="shared" si="261"/>
        <v>EMP_1914</v>
      </c>
      <c r="D1915" t="s">
        <v>11</v>
      </c>
      <c r="E1915" t="str">
        <f t="shared" si="262"/>
        <v>EMP_1914Sales</v>
      </c>
      <c r="F1915" t="s">
        <v>7</v>
      </c>
      <c r="G1915" t="s">
        <v>16</v>
      </c>
      <c r="H1915">
        <v>49650</v>
      </c>
      <c r="I1915">
        <v>9311</v>
      </c>
      <c r="J1915">
        <v>204927</v>
      </c>
      <c r="K1915">
        <v>83402</v>
      </c>
      <c r="L1915" s="4">
        <v>44906</v>
      </c>
      <c r="M1915" s="4" t="str">
        <f t="shared" si="263"/>
        <v>2022</v>
      </c>
      <c r="N1915" s="1">
        <f t="shared" ca="1" si="264"/>
        <v>46064</v>
      </c>
      <c r="O1915" s="6">
        <f t="shared" ca="1" si="265"/>
        <v>3</v>
      </c>
      <c r="P1915">
        <v>3</v>
      </c>
      <c r="Q1915">
        <f t="shared" si="266"/>
        <v>58961</v>
      </c>
      <c r="R1915" s="2">
        <f t="shared" si="267"/>
        <v>29480.5</v>
      </c>
      <c r="S1915" s="2" t="str">
        <f t="shared" si="268"/>
        <v>Achieved</v>
      </c>
      <c r="T1915" s="2" t="str">
        <f t="shared" si="269"/>
        <v>Good</v>
      </c>
      <c r="U1915" s="2"/>
    </row>
    <row r="1916" spans="1:21" x14ac:dyDescent="0.3">
      <c r="A1916">
        <v>1915</v>
      </c>
      <c r="B1916" t="s">
        <v>2770</v>
      </c>
      <c r="C1916" t="str">
        <f t="shared" si="261"/>
        <v>EMP_1915</v>
      </c>
      <c r="D1916" t="s">
        <v>11</v>
      </c>
      <c r="E1916" t="str">
        <f t="shared" si="262"/>
        <v>EMP_1915Finance</v>
      </c>
      <c r="F1916" t="s">
        <v>18</v>
      </c>
      <c r="G1916" t="s">
        <v>22</v>
      </c>
      <c r="H1916">
        <v>72168</v>
      </c>
      <c r="I1916">
        <v>9035</v>
      </c>
      <c r="J1916">
        <v>0</v>
      </c>
      <c r="K1916">
        <v>0</v>
      </c>
      <c r="L1916" s="4">
        <v>44599</v>
      </c>
      <c r="M1916" s="4" t="str">
        <f t="shared" si="263"/>
        <v>2022</v>
      </c>
      <c r="N1916" s="1">
        <f t="shared" ca="1" si="264"/>
        <v>46064</v>
      </c>
      <c r="O1916" s="6">
        <f t="shared" ca="1" si="265"/>
        <v>4</v>
      </c>
      <c r="P1916">
        <v>5</v>
      </c>
      <c r="Q1916">
        <f t="shared" si="266"/>
        <v>81203</v>
      </c>
      <c r="R1916" s="2">
        <f t="shared" si="267"/>
        <v>40601.5</v>
      </c>
      <c r="S1916" s="2" t="str">
        <f t="shared" si="268"/>
        <v xml:space="preserve"> Not Achieved</v>
      </c>
      <c r="T1916" s="2" t="str">
        <f t="shared" si="269"/>
        <v xml:space="preserve"> Excellent</v>
      </c>
      <c r="U1916" s="2"/>
    </row>
    <row r="1917" spans="1:21" x14ac:dyDescent="0.3">
      <c r="A1917">
        <v>1916</v>
      </c>
      <c r="B1917" t="s">
        <v>2771</v>
      </c>
      <c r="C1917" t="str">
        <f t="shared" si="261"/>
        <v>EMP_1916</v>
      </c>
      <c r="D1917" t="s">
        <v>11</v>
      </c>
      <c r="E1917" t="str">
        <f t="shared" si="262"/>
        <v>EMP_1916Marketing</v>
      </c>
      <c r="F1917" t="s">
        <v>24</v>
      </c>
      <c r="G1917" t="s">
        <v>25</v>
      </c>
      <c r="H1917">
        <v>39852</v>
      </c>
      <c r="I1917">
        <v>12846</v>
      </c>
      <c r="J1917">
        <v>0</v>
      </c>
      <c r="K1917">
        <v>0</v>
      </c>
      <c r="L1917" s="4">
        <v>44566</v>
      </c>
      <c r="M1917" s="4" t="str">
        <f t="shared" si="263"/>
        <v>2022</v>
      </c>
      <c r="N1917" s="1">
        <f t="shared" ca="1" si="264"/>
        <v>46064</v>
      </c>
      <c r="O1917" s="6">
        <f t="shared" ca="1" si="265"/>
        <v>4</v>
      </c>
      <c r="P1917">
        <v>1</v>
      </c>
      <c r="Q1917">
        <f t="shared" si="266"/>
        <v>52698</v>
      </c>
      <c r="R1917" s="2">
        <f t="shared" si="267"/>
        <v>26349</v>
      </c>
      <c r="S1917" s="2" t="str">
        <f t="shared" si="268"/>
        <v xml:space="preserve"> Not Achieved</v>
      </c>
      <c r="T1917" s="2" t="str">
        <f t="shared" si="269"/>
        <v>Average</v>
      </c>
      <c r="U1917" s="2"/>
    </row>
    <row r="1918" spans="1:21" x14ac:dyDescent="0.3">
      <c r="A1918">
        <v>1917</v>
      </c>
      <c r="B1918" t="s">
        <v>2772</v>
      </c>
      <c r="C1918" t="str">
        <f t="shared" si="261"/>
        <v>EMP_1917</v>
      </c>
      <c r="D1918" t="s">
        <v>15</v>
      </c>
      <c r="E1918" t="str">
        <f t="shared" si="262"/>
        <v>EMP_1917IT</v>
      </c>
      <c r="F1918" t="s">
        <v>21</v>
      </c>
      <c r="G1918" t="s">
        <v>19</v>
      </c>
      <c r="H1918">
        <v>54356</v>
      </c>
      <c r="I1918">
        <v>5773</v>
      </c>
      <c r="J1918">
        <v>0</v>
      </c>
      <c r="K1918">
        <v>0</v>
      </c>
      <c r="L1918" s="4">
        <v>43142</v>
      </c>
      <c r="M1918" s="4" t="str">
        <f t="shared" si="263"/>
        <v>2018</v>
      </c>
      <c r="N1918" s="1">
        <f t="shared" ca="1" si="264"/>
        <v>46064</v>
      </c>
      <c r="O1918" s="6">
        <f t="shared" ca="1" si="265"/>
        <v>8</v>
      </c>
      <c r="P1918">
        <v>4</v>
      </c>
      <c r="Q1918">
        <f t="shared" si="266"/>
        <v>60129</v>
      </c>
      <c r="R1918" s="2">
        <f t="shared" si="267"/>
        <v>30064.5</v>
      </c>
      <c r="S1918" s="2" t="str">
        <f t="shared" si="268"/>
        <v xml:space="preserve"> Not Achieved</v>
      </c>
      <c r="T1918" s="2" t="str">
        <f t="shared" si="269"/>
        <v xml:space="preserve"> Excellent</v>
      </c>
      <c r="U1918" s="2"/>
    </row>
    <row r="1919" spans="1:21" x14ac:dyDescent="0.3">
      <c r="A1919">
        <v>1918</v>
      </c>
      <c r="B1919" t="s">
        <v>2773</v>
      </c>
      <c r="C1919" t="str">
        <f t="shared" si="261"/>
        <v>EMP_1918</v>
      </c>
      <c r="D1919" t="s">
        <v>11</v>
      </c>
      <c r="E1919" t="str">
        <f t="shared" si="262"/>
        <v>EMP_1918Sales</v>
      </c>
      <c r="F1919" t="s">
        <v>7</v>
      </c>
      <c r="G1919" t="s">
        <v>13</v>
      </c>
      <c r="H1919">
        <v>56288</v>
      </c>
      <c r="I1919">
        <v>2806</v>
      </c>
      <c r="J1919">
        <v>190187</v>
      </c>
      <c r="K1919">
        <v>126073</v>
      </c>
      <c r="L1919" s="4" t="s">
        <v>2774</v>
      </c>
      <c r="M1919" s="4" t="str">
        <f t="shared" si="263"/>
        <v>12/15/2021</v>
      </c>
      <c r="N1919" s="1">
        <f t="shared" ca="1" si="264"/>
        <v>46064</v>
      </c>
      <c r="O1919" s="6" t="e">
        <f t="shared" ca="1" si="265"/>
        <v>#VALUE!</v>
      </c>
      <c r="P1919">
        <v>5</v>
      </c>
      <c r="Q1919">
        <f t="shared" si="266"/>
        <v>59094</v>
      </c>
      <c r="R1919" s="2">
        <f t="shared" si="267"/>
        <v>29547</v>
      </c>
      <c r="S1919" s="2" t="str">
        <f t="shared" si="268"/>
        <v>Achieved</v>
      </c>
      <c r="T1919" s="2" t="str">
        <f t="shared" si="269"/>
        <v xml:space="preserve"> Excellent</v>
      </c>
      <c r="U1919" s="2"/>
    </row>
    <row r="1920" spans="1:21" x14ac:dyDescent="0.3">
      <c r="A1920">
        <v>1919</v>
      </c>
      <c r="B1920" t="s">
        <v>2775</v>
      </c>
      <c r="C1920" t="str">
        <f t="shared" si="261"/>
        <v>EMP_1919</v>
      </c>
      <c r="D1920" t="s">
        <v>15</v>
      </c>
      <c r="E1920" t="str">
        <f t="shared" si="262"/>
        <v>EMP_1919Finance</v>
      </c>
      <c r="F1920" t="s">
        <v>18</v>
      </c>
      <c r="G1920" t="s">
        <v>22</v>
      </c>
      <c r="H1920">
        <v>36613</v>
      </c>
      <c r="I1920">
        <v>14216</v>
      </c>
      <c r="J1920">
        <v>0</v>
      </c>
      <c r="K1920">
        <v>0</v>
      </c>
      <c r="L1920" s="4" t="s">
        <v>2776</v>
      </c>
      <c r="M1920" s="4" t="str">
        <f t="shared" si="263"/>
        <v>7/29/2020</v>
      </c>
      <c r="N1920" s="1">
        <f t="shared" ca="1" si="264"/>
        <v>46064</v>
      </c>
      <c r="O1920" s="6" t="e">
        <f t="shared" ca="1" si="265"/>
        <v>#VALUE!</v>
      </c>
      <c r="P1920">
        <v>4</v>
      </c>
      <c r="Q1920">
        <f t="shared" si="266"/>
        <v>50829</v>
      </c>
      <c r="R1920" s="2">
        <f t="shared" si="267"/>
        <v>25414.5</v>
      </c>
      <c r="S1920" s="2" t="str">
        <f t="shared" si="268"/>
        <v xml:space="preserve"> Not Achieved</v>
      </c>
      <c r="T1920" s="2" t="str">
        <f t="shared" si="269"/>
        <v>Average</v>
      </c>
      <c r="U1920" s="2"/>
    </row>
    <row r="1921" spans="1:21" x14ac:dyDescent="0.3">
      <c r="A1921">
        <v>1920</v>
      </c>
      <c r="B1921" t="s">
        <v>2777</v>
      </c>
      <c r="C1921" t="str">
        <f t="shared" si="261"/>
        <v>EMP_1920</v>
      </c>
      <c r="D1921" t="s">
        <v>15</v>
      </c>
      <c r="E1921" t="str">
        <f t="shared" si="262"/>
        <v>EMP_1920Finance</v>
      </c>
      <c r="F1921" t="s">
        <v>18</v>
      </c>
      <c r="G1921" t="s">
        <v>22</v>
      </c>
      <c r="H1921">
        <v>24817</v>
      </c>
      <c r="I1921">
        <v>5691</v>
      </c>
      <c r="J1921">
        <v>0</v>
      </c>
      <c r="K1921">
        <v>0</v>
      </c>
      <c r="L1921" s="4" t="s">
        <v>1839</v>
      </c>
      <c r="M1921" s="4" t="str">
        <f t="shared" si="263"/>
        <v>8/21/2018</v>
      </c>
      <c r="N1921" s="1">
        <f t="shared" ca="1" si="264"/>
        <v>46064</v>
      </c>
      <c r="O1921" s="6" t="e">
        <f t="shared" ca="1" si="265"/>
        <v>#VALUE!</v>
      </c>
      <c r="P1921">
        <v>1</v>
      </c>
      <c r="Q1921">
        <f t="shared" si="266"/>
        <v>30508</v>
      </c>
      <c r="R1921" s="2">
        <f t="shared" si="267"/>
        <v>15254</v>
      </c>
      <c r="S1921" s="2" t="str">
        <f t="shared" si="268"/>
        <v xml:space="preserve"> Not Achieved</v>
      </c>
      <c r="T1921" s="2" t="str">
        <f t="shared" si="269"/>
        <v>poor</v>
      </c>
      <c r="U1921" s="2"/>
    </row>
    <row r="1922" spans="1:21" x14ac:dyDescent="0.3">
      <c r="A1922">
        <v>1921</v>
      </c>
      <c r="B1922" t="s">
        <v>2778</v>
      </c>
      <c r="C1922" t="str">
        <f t="shared" si="261"/>
        <v>EMP_1921</v>
      </c>
      <c r="D1922" t="s">
        <v>11</v>
      </c>
      <c r="E1922" t="str">
        <f t="shared" si="262"/>
        <v>EMP_1921IT</v>
      </c>
      <c r="F1922" t="s">
        <v>21</v>
      </c>
      <c r="G1922" t="s">
        <v>16</v>
      </c>
      <c r="H1922">
        <v>69648</v>
      </c>
      <c r="I1922">
        <v>4435</v>
      </c>
      <c r="J1922">
        <v>0</v>
      </c>
      <c r="K1922">
        <v>0</v>
      </c>
      <c r="L1922" s="4">
        <v>43193</v>
      </c>
      <c r="M1922" s="4" t="str">
        <f t="shared" si="263"/>
        <v>2018</v>
      </c>
      <c r="N1922" s="1">
        <f t="shared" ca="1" si="264"/>
        <v>46064</v>
      </c>
      <c r="O1922" s="6">
        <f t="shared" ca="1" si="265"/>
        <v>7</v>
      </c>
      <c r="P1922">
        <v>5</v>
      </c>
      <c r="Q1922">
        <f t="shared" si="266"/>
        <v>74083</v>
      </c>
      <c r="R1922" s="2">
        <f t="shared" si="267"/>
        <v>37041.5</v>
      </c>
      <c r="S1922" s="2" t="str">
        <f t="shared" si="268"/>
        <v xml:space="preserve"> Not Achieved</v>
      </c>
      <c r="T1922" s="2" t="str">
        <f t="shared" si="269"/>
        <v xml:space="preserve"> Excellent</v>
      </c>
      <c r="U1922" s="2"/>
    </row>
    <row r="1923" spans="1:21" x14ac:dyDescent="0.3">
      <c r="A1923">
        <v>1922</v>
      </c>
      <c r="B1923" t="s">
        <v>2779</v>
      </c>
      <c r="C1923" t="str">
        <f t="shared" ref="C1923:C1986" si="270">UPPER(B1923)</f>
        <v>EMP_1922</v>
      </c>
      <c r="D1923" t="s">
        <v>15</v>
      </c>
      <c r="E1923" t="str">
        <f t="shared" ref="E1923:E1986" si="271">_xlfn.CONCAT(C1923,F1923)</f>
        <v>EMP_1922IT</v>
      </c>
      <c r="F1923" t="s">
        <v>21</v>
      </c>
      <c r="G1923" t="s">
        <v>16</v>
      </c>
      <c r="H1923">
        <v>70963</v>
      </c>
      <c r="I1923">
        <v>6260</v>
      </c>
      <c r="J1923">
        <v>0</v>
      </c>
      <c r="K1923">
        <v>0</v>
      </c>
      <c r="L1923" s="4" t="s">
        <v>28</v>
      </c>
      <c r="M1923" s="4" t="str">
        <f t="shared" ref="M1923:M1986" si="272">TEXT(L1923,"yyyy")</f>
        <v>12/19/2024</v>
      </c>
      <c r="N1923" s="1">
        <f t="shared" ref="N1923:N1986" ca="1" si="273">TODAY()</f>
        <v>46064</v>
      </c>
      <c r="O1923" s="6" t="e">
        <f t="shared" ref="O1923:O1986" ca="1" si="274">DATEDIF(L1923, TODAY(), "y")</f>
        <v>#VALUE!</v>
      </c>
      <c r="P1923">
        <v>3</v>
      </c>
      <c r="Q1923">
        <f t="shared" ref="Q1923:Q1986" si="275">SUM(H1923,I1923)</f>
        <v>77223</v>
      </c>
      <c r="R1923" s="2">
        <f t="shared" ref="R1923:R1986" si="276">AVERAGE(H1923,I1923)</f>
        <v>38611.5</v>
      </c>
      <c r="S1923" s="2" t="str">
        <f t="shared" ref="S1923:S1986" si="277">IF(J1923&gt;K1923,"Achieved"," Not Achieved")</f>
        <v xml:space="preserve"> Not Achieved</v>
      </c>
      <c r="T1923" s="2" t="str">
        <f t="shared" ref="T1923:T1986" si="278">_xlfn.IFS(H1923&gt;=50000," Excellent",H1923&gt;=40000,"Good",H1923&gt;=30000,"Average",H1923&lt;30000,"poor")</f>
        <v xml:space="preserve"> Excellent</v>
      </c>
      <c r="U1923" s="2"/>
    </row>
    <row r="1924" spans="1:21" x14ac:dyDescent="0.3">
      <c r="A1924">
        <v>1923</v>
      </c>
      <c r="B1924" t="s">
        <v>2780</v>
      </c>
      <c r="C1924" t="str">
        <f t="shared" si="270"/>
        <v>EMP_1923</v>
      </c>
      <c r="D1924" t="s">
        <v>15</v>
      </c>
      <c r="E1924" t="str">
        <f t="shared" si="271"/>
        <v>EMP_1923Finance</v>
      </c>
      <c r="F1924" t="s">
        <v>18</v>
      </c>
      <c r="G1924" t="s">
        <v>13</v>
      </c>
      <c r="H1924">
        <v>55431</v>
      </c>
      <c r="I1924">
        <v>14380</v>
      </c>
      <c r="J1924">
        <v>0</v>
      </c>
      <c r="K1924">
        <v>0</v>
      </c>
      <c r="L1924" s="4" t="s">
        <v>364</v>
      </c>
      <c r="M1924" s="4" t="str">
        <f t="shared" si="272"/>
        <v>3/17/2022</v>
      </c>
      <c r="N1924" s="1">
        <f t="shared" ca="1" si="273"/>
        <v>46064</v>
      </c>
      <c r="O1924" s="6" t="e">
        <f t="shared" ca="1" si="274"/>
        <v>#VALUE!</v>
      </c>
      <c r="P1924">
        <v>4</v>
      </c>
      <c r="Q1924">
        <f t="shared" si="275"/>
        <v>69811</v>
      </c>
      <c r="R1924" s="2">
        <f t="shared" si="276"/>
        <v>34905.5</v>
      </c>
      <c r="S1924" s="2" t="str">
        <f t="shared" si="277"/>
        <v xml:space="preserve"> Not Achieved</v>
      </c>
      <c r="T1924" s="2" t="str">
        <f t="shared" si="278"/>
        <v xml:space="preserve"> Excellent</v>
      </c>
      <c r="U1924" s="2"/>
    </row>
    <row r="1925" spans="1:21" x14ac:dyDescent="0.3">
      <c r="A1925">
        <v>1924</v>
      </c>
      <c r="B1925" t="s">
        <v>2781</v>
      </c>
      <c r="C1925" t="str">
        <f t="shared" si="270"/>
        <v>EMP_1924</v>
      </c>
      <c r="D1925" t="s">
        <v>15</v>
      </c>
      <c r="E1925" t="str">
        <f t="shared" si="271"/>
        <v>EMP_1924Sales</v>
      </c>
      <c r="F1925" t="s">
        <v>7</v>
      </c>
      <c r="G1925" t="s">
        <v>22</v>
      </c>
      <c r="H1925">
        <v>53116</v>
      </c>
      <c r="I1925">
        <v>2784</v>
      </c>
      <c r="J1925">
        <v>101223</v>
      </c>
      <c r="K1925">
        <v>195327</v>
      </c>
      <c r="L1925" s="4" t="s">
        <v>1307</v>
      </c>
      <c r="M1925" s="4" t="str">
        <f t="shared" si="272"/>
        <v>12/21/2020</v>
      </c>
      <c r="N1925" s="1">
        <f t="shared" ca="1" si="273"/>
        <v>46064</v>
      </c>
      <c r="O1925" s="6" t="e">
        <f t="shared" ca="1" si="274"/>
        <v>#VALUE!</v>
      </c>
      <c r="P1925">
        <v>2</v>
      </c>
      <c r="Q1925">
        <f t="shared" si="275"/>
        <v>55900</v>
      </c>
      <c r="R1925" s="2">
        <f t="shared" si="276"/>
        <v>27950</v>
      </c>
      <c r="S1925" s="2" t="str">
        <f t="shared" si="277"/>
        <v xml:space="preserve"> Not Achieved</v>
      </c>
      <c r="T1925" s="2" t="str">
        <f t="shared" si="278"/>
        <v xml:space="preserve"> Excellent</v>
      </c>
      <c r="U1925" s="2"/>
    </row>
    <row r="1926" spans="1:21" x14ac:dyDescent="0.3">
      <c r="A1926">
        <v>1925</v>
      </c>
      <c r="B1926" t="s">
        <v>2782</v>
      </c>
      <c r="C1926" t="str">
        <f t="shared" si="270"/>
        <v>EMP_1925</v>
      </c>
      <c r="D1926" t="s">
        <v>11</v>
      </c>
      <c r="E1926" t="str">
        <f t="shared" si="271"/>
        <v>EMP_1925IT</v>
      </c>
      <c r="F1926" t="s">
        <v>21</v>
      </c>
      <c r="G1926" t="s">
        <v>25</v>
      </c>
      <c r="H1926">
        <v>75070</v>
      </c>
      <c r="I1926">
        <v>5862</v>
      </c>
      <c r="J1926">
        <v>0</v>
      </c>
      <c r="K1926">
        <v>0</v>
      </c>
      <c r="L1926" s="4" t="s">
        <v>2783</v>
      </c>
      <c r="M1926" s="4" t="str">
        <f t="shared" si="272"/>
        <v>11/26/2024</v>
      </c>
      <c r="N1926" s="1">
        <f t="shared" ca="1" si="273"/>
        <v>46064</v>
      </c>
      <c r="O1926" s="6" t="e">
        <f t="shared" ca="1" si="274"/>
        <v>#VALUE!</v>
      </c>
      <c r="P1926">
        <v>3</v>
      </c>
      <c r="Q1926">
        <f t="shared" si="275"/>
        <v>80932</v>
      </c>
      <c r="R1926" s="2">
        <f t="shared" si="276"/>
        <v>40466</v>
      </c>
      <c r="S1926" s="2" t="str">
        <f t="shared" si="277"/>
        <v xml:space="preserve"> Not Achieved</v>
      </c>
      <c r="T1926" s="2" t="str">
        <f t="shared" si="278"/>
        <v xml:space="preserve"> Excellent</v>
      </c>
      <c r="U1926" s="2"/>
    </row>
    <row r="1927" spans="1:21" x14ac:dyDescent="0.3">
      <c r="A1927">
        <v>1926</v>
      </c>
      <c r="B1927" t="s">
        <v>2784</v>
      </c>
      <c r="C1927" t="str">
        <f t="shared" si="270"/>
        <v>EMP_1926</v>
      </c>
      <c r="D1927" t="s">
        <v>15</v>
      </c>
      <c r="E1927" t="str">
        <f t="shared" si="271"/>
        <v>EMP_1926Finance</v>
      </c>
      <c r="F1927" t="s">
        <v>18</v>
      </c>
      <c r="G1927" t="s">
        <v>19</v>
      </c>
      <c r="H1927">
        <v>57776</v>
      </c>
      <c r="I1927">
        <v>10152</v>
      </c>
      <c r="J1927">
        <v>0</v>
      </c>
      <c r="K1927">
        <v>0</v>
      </c>
      <c r="L1927" s="4">
        <v>44206</v>
      </c>
      <c r="M1927" s="4" t="str">
        <f t="shared" si="272"/>
        <v>2021</v>
      </c>
      <c r="N1927" s="1">
        <f t="shared" ca="1" si="273"/>
        <v>46064</v>
      </c>
      <c r="O1927" s="6">
        <f t="shared" ca="1" si="274"/>
        <v>5</v>
      </c>
      <c r="P1927">
        <v>5</v>
      </c>
      <c r="Q1927">
        <f t="shared" si="275"/>
        <v>67928</v>
      </c>
      <c r="R1927" s="2">
        <f t="shared" si="276"/>
        <v>33964</v>
      </c>
      <c r="S1927" s="2" t="str">
        <f t="shared" si="277"/>
        <v xml:space="preserve"> Not Achieved</v>
      </c>
      <c r="T1927" s="2" t="str">
        <f t="shared" si="278"/>
        <v xml:space="preserve"> Excellent</v>
      </c>
      <c r="U1927" s="2"/>
    </row>
    <row r="1928" spans="1:21" x14ac:dyDescent="0.3">
      <c r="A1928">
        <v>1927</v>
      </c>
      <c r="B1928" t="s">
        <v>2785</v>
      </c>
      <c r="C1928" t="str">
        <f t="shared" si="270"/>
        <v>EMP_1927</v>
      </c>
      <c r="D1928" t="s">
        <v>11</v>
      </c>
      <c r="E1928" t="str">
        <f t="shared" si="271"/>
        <v>EMP_1927Finance</v>
      </c>
      <c r="F1928" t="s">
        <v>18</v>
      </c>
      <c r="G1928" t="s">
        <v>13</v>
      </c>
      <c r="H1928">
        <v>32141</v>
      </c>
      <c r="I1928">
        <v>3829</v>
      </c>
      <c r="J1928">
        <v>0</v>
      </c>
      <c r="K1928">
        <v>0</v>
      </c>
      <c r="L1928" s="4" t="s">
        <v>96</v>
      </c>
      <c r="M1928" s="4" t="str">
        <f t="shared" si="272"/>
        <v>8/19/2024</v>
      </c>
      <c r="N1928" s="1">
        <f t="shared" ca="1" si="273"/>
        <v>46064</v>
      </c>
      <c r="O1928" s="6" t="e">
        <f t="shared" ca="1" si="274"/>
        <v>#VALUE!</v>
      </c>
      <c r="P1928">
        <v>1</v>
      </c>
      <c r="Q1928">
        <f t="shared" si="275"/>
        <v>35970</v>
      </c>
      <c r="R1928" s="2">
        <f t="shared" si="276"/>
        <v>17985</v>
      </c>
      <c r="S1928" s="2" t="str">
        <f t="shared" si="277"/>
        <v xml:space="preserve"> Not Achieved</v>
      </c>
      <c r="T1928" s="2" t="str">
        <f t="shared" si="278"/>
        <v>Average</v>
      </c>
      <c r="U1928" s="2"/>
    </row>
    <row r="1929" spans="1:21" x14ac:dyDescent="0.3">
      <c r="A1929">
        <v>1928</v>
      </c>
      <c r="B1929" t="s">
        <v>2786</v>
      </c>
      <c r="C1929" t="str">
        <f t="shared" si="270"/>
        <v>EMP_1928</v>
      </c>
      <c r="D1929" t="s">
        <v>15</v>
      </c>
      <c r="E1929" t="str">
        <f t="shared" si="271"/>
        <v>EMP_1928Sales</v>
      </c>
      <c r="F1929" t="s">
        <v>7</v>
      </c>
      <c r="G1929" t="s">
        <v>16</v>
      </c>
      <c r="H1929">
        <v>55195</v>
      </c>
      <c r="I1929">
        <v>2967</v>
      </c>
      <c r="J1929">
        <v>233025</v>
      </c>
      <c r="K1929">
        <v>147064</v>
      </c>
      <c r="L1929" s="4">
        <v>43259</v>
      </c>
      <c r="M1929" s="4" t="str">
        <f t="shared" si="272"/>
        <v>2018</v>
      </c>
      <c r="N1929" s="1">
        <f t="shared" ca="1" si="273"/>
        <v>46064</v>
      </c>
      <c r="O1929" s="6">
        <f t="shared" ca="1" si="274"/>
        <v>7</v>
      </c>
      <c r="P1929">
        <v>2</v>
      </c>
      <c r="Q1929">
        <f t="shared" si="275"/>
        <v>58162</v>
      </c>
      <c r="R1929" s="2">
        <f t="shared" si="276"/>
        <v>29081</v>
      </c>
      <c r="S1929" s="2" t="str">
        <f t="shared" si="277"/>
        <v>Achieved</v>
      </c>
      <c r="T1929" s="2" t="str">
        <f t="shared" si="278"/>
        <v xml:space="preserve"> Excellent</v>
      </c>
      <c r="U1929" s="2"/>
    </row>
    <row r="1930" spans="1:21" x14ac:dyDescent="0.3">
      <c r="A1930">
        <v>1929</v>
      </c>
      <c r="B1930" t="s">
        <v>2787</v>
      </c>
      <c r="C1930" t="str">
        <f t="shared" si="270"/>
        <v>EMP_1929</v>
      </c>
      <c r="D1930" t="s">
        <v>11</v>
      </c>
      <c r="E1930" t="str">
        <f t="shared" si="271"/>
        <v>EMP_1929IT</v>
      </c>
      <c r="F1930" t="s">
        <v>21</v>
      </c>
      <c r="G1930" t="s">
        <v>13</v>
      </c>
      <c r="H1930">
        <v>68282</v>
      </c>
      <c r="I1930">
        <v>10713</v>
      </c>
      <c r="J1930">
        <v>0</v>
      </c>
      <c r="K1930">
        <v>0</v>
      </c>
      <c r="L1930" s="4">
        <v>44420</v>
      </c>
      <c r="M1930" s="4" t="str">
        <f t="shared" si="272"/>
        <v>2021</v>
      </c>
      <c r="N1930" s="1">
        <f t="shared" ca="1" si="273"/>
        <v>46064</v>
      </c>
      <c r="O1930" s="6">
        <f t="shared" ca="1" si="274"/>
        <v>4</v>
      </c>
      <c r="P1930">
        <v>5</v>
      </c>
      <c r="Q1930">
        <f t="shared" si="275"/>
        <v>78995</v>
      </c>
      <c r="R1930" s="2">
        <f t="shared" si="276"/>
        <v>39497.5</v>
      </c>
      <c r="S1930" s="2" t="str">
        <f t="shared" si="277"/>
        <v xml:space="preserve"> Not Achieved</v>
      </c>
      <c r="T1930" s="2" t="str">
        <f t="shared" si="278"/>
        <v xml:space="preserve"> Excellent</v>
      </c>
      <c r="U1930" s="2"/>
    </row>
    <row r="1931" spans="1:21" x14ac:dyDescent="0.3">
      <c r="A1931">
        <v>1930</v>
      </c>
      <c r="B1931" t="s">
        <v>2788</v>
      </c>
      <c r="C1931" t="str">
        <f t="shared" si="270"/>
        <v>EMP_1930</v>
      </c>
      <c r="D1931" t="s">
        <v>11</v>
      </c>
      <c r="E1931" t="str">
        <f t="shared" si="271"/>
        <v>EMP_1930IT</v>
      </c>
      <c r="F1931" t="s">
        <v>21</v>
      </c>
      <c r="G1931" t="s">
        <v>22</v>
      </c>
      <c r="H1931">
        <v>69633</v>
      </c>
      <c r="I1931">
        <v>10756</v>
      </c>
      <c r="J1931">
        <v>0</v>
      </c>
      <c r="K1931">
        <v>0</v>
      </c>
      <c r="L1931" s="4" t="s">
        <v>2789</v>
      </c>
      <c r="M1931" s="4" t="str">
        <f t="shared" si="272"/>
        <v>1/31/2020</v>
      </c>
      <c r="N1931" s="1">
        <f t="shared" ca="1" si="273"/>
        <v>46064</v>
      </c>
      <c r="O1931" s="6" t="e">
        <f t="shared" ca="1" si="274"/>
        <v>#VALUE!</v>
      </c>
      <c r="P1931">
        <v>3</v>
      </c>
      <c r="Q1931">
        <f t="shared" si="275"/>
        <v>80389</v>
      </c>
      <c r="R1931" s="2">
        <f t="shared" si="276"/>
        <v>40194.5</v>
      </c>
      <c r="S1931" s="2" t="str">
        <f t="shared" si="277"/>
        <v xml:space="preserve"> Not Achieved</v>
      </c>
      <c r="T1931" s="2" t="str">
        <f t="shared" si="278"/>
        <v xml:space="preserve"> Excellent</v>
      </c>
      <c r="U1931" s="2"/>
    </row>
    <row r="1932" spans="1:21" x14ac:dyDescent="0.3">
      <c r="A1932">
        <v>1931</v>
      </c>
      <c r="B1932" t="s">
        <v>2790</v>
      </c>
      <c r="C1932" t="str">
        <f t="shared" si="270"/>
        <v>EMP_1931</v>
      </c>
      <c r="D1932" t="s">
        <v>11</v>
      </c>
      <c r="E1932" t="str">
        <f t="shared" si="271"/>
        <v>EMP_1931HR</v>
      </c>
      <c r="F1932" t="s">
        <v>12</v>
      </c>
      <c r="G1932" t="s">
        <v>19</v>
      </c>
      <c r="H1932">
        <v>71789</v>
      </c>
      <c r="I1932">
        <v>12297</v>
      </c>
      <c r="J1932">
        <v>0</v>
      </c>
      <c r="K1932">
        <v>0</v>
      </c>
      <c r="L1932" s="4" t="s">
        <v>2791</v>
      </c>
      <c r="M1932" s="4" t="str">
        <f t="shared" si="272"/>
        <v>9/20/2019</v>
      </c>
      <c r="N1932" s="1">
        <f t="shared" ca="1" si="273"/>
        <v>46064</v>
      </c>
      <c r="O1932" s="6" t="e">
        <f t="shared" ca="1" si="274"/>
        <v>#VALUE!</v>
      </c>
      <c r="P1932">
        <v>5</v>
      </c>
      <c r="Q1932">
        <f t="shared" si="275"/>
        <v>84086</v>
      </c>
      <c r="R1932" s="2">
        <f t="shared" si="276"/>
        <v>42043</v>
      </c>
      <c r="S1932" s="2" t="str">
        <f t="shared" si="277"/>
        <v xml:space="preserve"> Not Achieved</v>
      </c>
      <c r="T1932" s="2" t="str">
        <f t="shared" si="278"/>
        <v xml:space="preserve"> Excellent</v>
      </c>
      <c r="U1932" s="2"/>
    </row>
    <row r="1933" spans="1:21" x14ac:dyDescent="0.3">
      <c r="A1933">
        <v>1932</v>
      </c>
      <c r="B1933" t="s">
        <v>2792</v>
      </c>
      <c r="C1933" t="str">
        <f t="shared" si="270"/>
        <v>EMP_1932</v>
      </c>
      <c r="D1933" t="s">
        <v>11</v>
      </c>
      <c r="E1933" t="str">
        <f t="shared" si="271"/>
        <v>EMP_1932IT</v>
      </c>
      <c r="F1933" t="s">
        <v>21</v>
      </c>
      <c r="G1933" t="s">
        <v>22</v>
      </c>
      <c r="H1933">
        <v>65066</v>
      </c>
      <c r="I1933">
        <v>11839</v>
      </c>
      <c r="J1933">
        <v>0</v>
      </c>
      <c r="K1933">
        <v>0</v>
      </c>
      <c r="L1933" s="4">
        <v>44508</v>
      </c>
      <c r="M1933" s="4" t="str">
        <f t="shared" si="272"/>
        <v>2021</v>
      </c>
      <c r="N1933" s="1">
        <f t="shared" ca="1" si="273"/>
        <v>46064</v>
      </c>
      <c r="O1933" s="6">
        <f t="shared" ca="1" si="274"/>
        <v>4</v>
      </c>
      <c r="P1933">
        <v>2</v>
      </c>
      <c r="Q1933">
        <f t="shared" si="275"/>
        <v>76905</v>
      </c>
      <c r="R1933" s="2">
        <f t="shared" si="276"/>
        <v>38452.5</v>
      </c>
      <c r="S1933" s="2" t="str">
        <f t="shared" si="277"/>
        <v xml:space="preserve"> Not Achieved</v>
      </c>
      <c r="T1933" s="2" t="str">
        <f t="shared" si="278"/>
        <v xml:space="preserve"> Excellent</v>
      </c>
      <c r="U1933" s="2"/>
    </row>
    <row r="1934" spans="1:21" x14ac:dyDescent="0.3">
      <c r="A1934">
        <v>1933</v>
      </c>
      <c r="B1934" t="s">
        <v>2793</v>
      </c>
      <c r="C1934" t="str">
        <f t="shared" si="270"/>
        <v>EMP_1933</v>
      </c>
      <c r="D1934" t="s">
        <v>15</v>
      </c>
      <c r="E1934" t="str">
        <f t="shared" si="271"/>
        <v>EMP_1933IT</v>
      </c>
      <c r="F1934" t="s">
        <v>21</v>
      </c>
      <c r="G1934" t="s">
        <v>16</v>
      </c>
      <c r="H1934">
        <v>57663</v>
      </c>
      <c r="I1934">
        <v>4133</v>
      </c>
      <c r="J1934">
        <v>0</v>
      </c>
      <c r="K1934">
        <v>0</v>
      </c>
      <c r="L1934" s="4" t="s">
        <v>364</v>
      </c>
      <c r="M1934" s="4" t="str">
        <f t="shared" si="272"/>
        <v>3/17/2022</v>
      </c>
      <c r="N1934" s="1">
        <f t="shared" ca="1" si="273"/>
        <v>46064</v>
      </c>
      <c r="O1934" s="6" t="e">
        <f t="shared" ca="1" si="274"/>
        <v>#VALUE!</v>
      </c>
      <c r="P1934">
        <v>1</v>
      </c>
      <c r="Q1934">
        <f t="shared" si="275"/>
        <v>61796</v>
      </c>
      <c r="R1934" s="2">
        <f t="shared" si="276"/>
        <v>30898</v>
      </c>
      <c r="S1934" s="2" t="str">
        <f t="shared" si="277"/>
        <v xml:space="preserve"> Not Achieved</v>
      </c>
      <c r="T1934" s="2" t="str">
        <f t="shared" si="278"/>
        <v xml:space="preserve"> Excellent</v>
      </c>
      <c r="U1934" s="2"/>
    </row>
    <row r="1935" spans="1:21" x14ac:dyDescent="0.3">
      <c r="A1935">
        <v>1934</v>
      </c>
      <c r="B1935" t="s">
        <v>2794</v>
      </c>
      <c r="C1935" t="str">
        <f t="shared" si="270"/>
        <v>EMP_1934</v>
      </c>
      <c r="D1935" t="s">
        <v>11</v>
      </c>
      <c r="E1935" t="str">
        <f t="shared" si="271"/>
        <v>EMP_1934Marketing</v>
      </c>
      <c r="F1935" t="s">
        <v>24</v>
      </c>
      <c r="G1935" t="s">
        <v>25</v>
      </c>
      <c r="H1935">
        <v>72655</v>
      </c>
      <c r="I1935">
        <v>13261</v>
      </c>
      <c r="J1935">
        <v>0</v>
      </c>
      <c r="K1935">
        <v>0</v>
      </c>
      <c r="L1935" s="4">
        <v>44205</v>
      </c>
      <c r="M1935" s="4" t="str">
        <f t="shared" si="272"/>
        <v>2021</v>
      </c>
      <c r="N1935" s="1">
        <f t="shared" ca="1" si="273"/>
        <v>46064</v>
      </c>
      <c r="O1935" s="6">
        <f t="shared" ca="1" si="274"/>
        <v>5</v>
      </c>
      <c r="P1935">
        <v>1</v>
      </c>
      <c r="Q1935">
        <f t="shared" si="275"/>
        <v>85916</v>
      </c>
      <c r="R1935" s="2">
        <f t="shared" si="276"/>
        <v>42958</v>
      </c>
      <c r="S1935" s="2" t="str">
        <f t="shared" si="277"/>
        <v xml:space="preserve"> Not Achieved</v>
      </c>
      <c r="T1935" s="2" t="str">
        <f t="shared" si="278"/>
        <v xml:space="preserve"> Excellent</v>
      </c>
      <c r="U1935" s="2"/>
    </row>
    <row r="1936" spans="1:21" x14ac:dyDescent="0.3">
      <c r="A1936">
        <v>1935</v>
      </c>
      <c r="B1936" t="s">
        <v>2795</v>
      </c>
      <c r="C1936" t="str">
        <f t="shared" si="270"/>
        <v>EMP_1935</v>
      </c>
      <c r="D1936" t="s">
        <v>15</v>
      </c>
      <c r="E1936" t="str">
        <f t="shared" si="271"/>
        <v>EMP_1935Marketing</v>
      </c>
      <c r="F1936" t="s">
        <v>24</v>
      </c>
      <c r="G1936" t="s">
        <v>25</v>
      </c>
      <c r="H1936">
        <v>49093</v>
      </c>
      <c r="I1936">
        <v>14060</v>
      </c>
      <c r="J1936">
        <v>0</v>
      </c>
      <c r="K1936">
        <v>0</v>
      </c>
      <c r="L1936" s="4">
        <v>43957</v>
      </c>
      <c r="M1936" s="4" t="str">
        <f t="shared" si="272"/>
        <v>2020</v>
      </c>
      <c r="N1936" s="1">
        <f t="shared" ca="1" si="273"/>
        <v>46064</v>
      </c>
      <c r="O1936" s="6">
        <f t="shared" ca="1" si="274"/>
        <v>5</v>
      </c>
      <c r="P1936">
        <v>3</v>
      </c>
      <c r="Q1936">
        <f t="shared" si="275"/>
        <v>63153</v>
      </c>
      <c r="R1936" s="2">
        <f t="shared" si="276"/>
        <v>31576.5</v>
      </c>
      <c r="S1936" s="2" t="str">
        <f t="shared" si="277"/>
        <v xml:space="preserve"> Not Achieved</v>
      </c>
      <c r="T1936" s="2" t="str">
        <f t="shared" si="278"/>
        <v>Good</v>
      </c>
      <c r="U1936" s="2"/>
    </row>
    <row r="1937" spans="1:21" x14ac:dyDescent="0.3">
      <c r="A1937">
        <v>1936</v>
      </c>
      <c r="B1937" t="s">
        <v>2796</v>
      </c>
      <c r="C1937" t="str">
        <f t="shared" si="270"/>
        <v>EMP_1936</v>
      </c>
      <c r="D1937" t="s">
        <v>15</v>
      </c>
      <c r="E1937" t="str">
        <f t="shared" si="271"/>
        <v>EMP_1936Marketing</v>
      </c>
      <c r="F1937" t="s">
        <v>24</v>
      </c>
      <c r="G1937" t="s">
        <v>22</v>
      </c>
      <c r="H1937">
        <v>49483</v>
      </c>
      <c r="I1937">
        <v>12661</v>
      </c>
      <c r="J1937">
        <v>0</v>
      </c>
      <c r="K1937">
        <v>0</v>
      </c>
      <c r="L1937" s="4">
        <v>44961</v>
      </c>
      <c r="M1937" s="4" t="str">
        <f t="shared" si="272"/>
        <v>2023</v>
      </c>
      <c r="N1937" s="1">
        <f t="shared" ca="1" si="273"/>
        <v>46064</v>
      </c>
      <c r="O1937" s="6">
        <f t="shared" ca="1" si="274"/>
        <v>3</v>
      </c>
      <c r="P1937">
        <v>1</v>
      </c>
      <c r="Q1937">
        <f t="shared" si="275"/>
        <v>62144</v>
      </c>
      <c r="R1937" s="2">
        <f t="shared" si="276"/>
        <v>31072</v>
      </c>
      <c r="S1937" s="2" t="str">
        <f t="shared" si="277"/>
        <v xml:space="preserve"> Not Achieved</v>
      </c>
      <c r="T1937" s="2" t="str">
        <f t="shared" si="278"/>
        <v>Good</v>
      </c>
      <c r="U1937" s="2"/>
    </row>
    <row r="1938" spans="1:21" x14ac:dyDescent="0.3">
      <c r="A1938">
        <v>1937</v>
      </c>
      <c r="B1938" t="s">
        <v>2797</v>
      </c>
      <c r="C1938" t="str">
        <f t="shared" si="270"/>
        <v>EMP_1937</v>
      </c>
      <c r="D1938" t="s">
        <v>15</v>
      </c>
      <c r="E1938" t="str">
        <f t="shared" si="271"/>
        <v>EMP_1937Marketing</v>
      </c>
      <c r="F1938" t="s">
        <v>24</v>
      </c>
      <c r="G1938" t="s">
        <v>19</v>
      </c>
      <c r="H1938">
        <v>34701</v>
      </c>
      <c r="I1938">
        <v>8114</v>
      </c>
      <c r="J1938">
        <v>0</v>
      </c>
      <c r="K1938">
        <v>0</v>
      </c>
      <c r="L1938" s="4">
        <v>44531</v>
      </c>
      <c r="M1938" s="4" t="str">
        <f t="shared" si="272"/>
        <v>2021</v>
      </c>
      <c r="N1938" s="1">
        <f t="shared" ca="1" si="273"/>
        <v>46064</v>
      </c>
      <c r="O1938" s="6">
        <f t="shared" ca="1" si="274"/>
        <v>4</v>
      </c>
      <c r="P1938">
        <v>4</v>
      </c>
      <c r="Q1938">
        <f t="shared" si="275"/>
        <v>42815</v>
      </c>
      <c r="R1938" s="2">
        <f t="shared" si="276"/>
        <v>21407.5</v>
      </c>
      <c r="S1938" s="2" t="str">
        <f t="shared" si="277"/>
        <v xml:space="preserve"> Not Achieved</v>
      </c>
      <c r="T1938" s="2" t="str">
        <f t="shared" si="278"/>
        <v>Average</v>
      </c>
      <c r="U1938" s="2"/>
    </row>
    <row r="1939" spans="1:21" x14ac:dyDescent="0.3">
      <c r="A1939">
        <v>1938</v>
      </c>
      <c r="B1939" t="s">
        <v>2798</v>
      </c>
      <c r="C1939" t="str">
        <f t="shared" si="270"/>
        <v>EMP_1938</v>
      </c>
      <c r="D1939" t="s">
        <v>15</v>
      </c>
      <c r="E1939" t="str">
        <f t="shared" si="271"/>
        <v>EMP_1938Finance</v>
      </c>
      <c r="F1939" t="s">
        <v>18</v>
      </c>
      <c r="G1939" t="s">
        <v>16</v>
      </c>
      <c r="H1939">
        <v>35437</v>
      </c>
      <c r="I1939">
        <v>14412</v>
      </c>
      <c r="J1939">
        <v>0</v>
      </c>
      <c r="K1939">
        <v>0</v>
      </c>
      <c r="L1939" s="4" t="s">
        <v>33</v>
      </c>
      <c r="M1939" s="4" t="str">
        <f t="shared" si="272"/>
        <v>2/20/2019</v>
      </c>
      <c r="N1939" s="1">
        <f t="shared" ca="1" si="273"/>
        <v>46064</v>
      </c>
      <c r="O1939" s="6" t="e">
        <f t="shared" ca="1" si="274"/>
        <v>#VALUE!</v>
      </c>
      <c r="P1939">
        <v>2</v>
      </c>
      <c r="Q1939">
        <f t="shared" si="275"/>
        <v>49849</v>
      </c>
      <c r="R1939" s="2">
        <f t="shared" si="276"/>
        <v>24924.5</v>
      </c>
      <c r="S1939" s="2" t="str">
        <f t="shared" si="277"/>
        <v xml:space="preserve"> Not Achieved</v>
      </c>
      <c r="T1939" s="2" t="str">
        <f t="shared" si="278"/>
        <v>Average</v>
      </c>
      <c r="U1939" s="2"/>
    </row>
    <row r="1940" spans="1:21" x14ac:dyDescent="0.3">
      <c r="A1940">
        <v>1939</v>
      </c>
      <c r="B1940" t="s">
        <v>2799</v>
      </c>
      <c r="C1940" t="str">
        <f t="shared" si="270"/>
        <v>EMP_1939</v>
      </c>
      <c r="D1940" t="s">
        <v>15</v>
      </c>
      <c r="E1940" t="str">
        <f t="shared" si="271"/>
        <v>EMP_1939Marketing</v>
      </c>
      <c r="F1940" t="s">
        <v>24</v>
      </c>
      <c r="G1940" t="s">
        <v>25</v>
      </c>
      <c r="H1940">
        <v>26976</v>
      </c>
      <c r="I1940">
        <v>10171</v>
      </c>
      <c r="J1940">
        <v>0</v>
      </c>
      <c r="K1940">
        <v>0</v>
      </c>
      <c r="L1940" s="4">
        <v>44112</v>
      </c>
      <c r="M1940" s="4" t="str">
        <f t="shared" si="272"/>
        <v>2020</v>
      </c>
      <c r="N1940" s="1">
        <f t="shared" ca="1" si="273"/>
        <v>46064</v>
      </c>
      <c r="O1940" s="6">
        <f t="shared" ca="1" si="274"/>
        <v>5</v>
      </c>
      <c r="P1940">
        <v>5</v>
      </c>
      <c r="Q1940">
        <f t="shared" si="275"/>
        <v>37147</v>
      </c>
      <c r="R1940" s="2">
        <f t="shared" si="276"/>
        <v>18573.5</v>
      </c>
      <c r="S1940" s="2" t="str">
        <f t="shared" si="277"/>
        <v xml:space="preserve"> Not Achieved</v>
      </c>
      <c r="T1940" s="2" t="str">
        <f t="shared" si="278"/>
        <v>poor</v>
      </c>
      <c r="U1940" s="2"/>
    </row>
    <row r="1941" spans="1:21" x14ac:dyDescent="0.3">
      <c r="A1941">
        <v>1940</v>
      </c>
      <c r="B1941" t="s">
        <v>2800</v>
      </c>
      <c r="C1941" t="str">
        <f t="shared" si="270"/>
        <v>EMP_1940</v>
      </c>
      <c r="D1941" t="s">
        <v>11</v>
      </c>
      <c r="E1941" t="str">
        <f t="shared" si="271"/>
        <v>EMP_1940Marketing</v>
      </c>
      <c r="F1941" t="s">
        <v>24</v>
      </c>
      <c r="G1941" t="s">
        <v>16</v>
      </c>
      <c r="H1941">
        <v>40382</v>
      </c>
      <c r="I1941">
        <v>4326</v>
      </c>
      <c r="J1941">
        <v>0</v>
      </c>
      <c r="K1941">
        <v>0</v>
      </c>
      <c r="L1941" s="4">
        <v>45510</v>
      </c>
      <c r="M1941" s="4" t="str">
        <f t="shared" si="272"/>
        <v>2024</v>
      </c>
      <c r="N1941" s="1">
        <f t="shared" ca="1" si="273"/>
        <v>46064</v>
      </c>
      <c r="O1941" s="6">
        <f t="shared" ca="1" si="274"/>
        <v>1</v>
      </c>
      <c r="P1941">
        <v>1</v>
      </c>
      <c r="Q1941">
        <f t="shared" si="275"/>
        <v>44708</v>
      </c>
      <c r="R1941" s="2">
        <f t="shared" si="276"/>
        <v>22354</v>
      </c>
      <c r="S1941" s="2" t="str">
        <f t="shared" si="277"/>
        <v xml:space="preserve"> Not Achieved</v>
      </c>
      <c r="T1941" s="2" t="str">
        <f t="shared" si="278"/>
        <v>Good</v>
      </c>
      <c r="U1941" s="2"/>
    </row>
    <row r="1942" spans="1:21" x14ac:dyDescent="0.3">
      <c r="A1942">
        <v>1941</v>
      </c>
      <c r="B1942" t="s">
        <v>2801</v>
      </c>
      <c r="C1942" t="str">
        <f t="shared" si="270"/>
        <v>EMP_1941</v>
      </c>
      <c r="D1942" t="s">
        <v>11</v>
      </c>
      <c r="E1942" t="str">
        <f t="shared" si="271"/>
        <v>EMP_1941Sales</v>
      </c>
      <c r="F1942" t="s">
        <v>7</v>
      </c>
      <c r="G1942" t="s">
        <v>19</v>
      </c>
      <c r="H1942">
        <v>44221</v>
      </c>
      <c r="I1942">
        <v>10207</v>
      </c>
      <c r="J1942">
        <v>119792</v>
      </c>
      <c r="K1942">
        <v>103214</v>
      </c>
      <c r="L1942" s="4" t="s">
        <v>2802</v>
      </c>
      <c r="M1942" s="4" t="str">
        <f t="shared" si="272"/>
        <v>5/16/2019</v>
      </c>
      <c r="N1942" s="1">
        <f t="shared" ca="1" si="273"/>
        <v>46064</v>
      </c>
      <c r="O1942" s="6" t="e">
        <f t="shared" ca="1" si="274"/>
        <v>#VALUE!</v>
      </c>
      <c r="P1942">
        <v>3</v>
      </c>
      <c r="Q1942">
        <f t="shared" si="275"/>
        <v>54428</v>
      </c>
      <c r="R1942" s="2">
        <f t="shared" si="276"/>
        <v>27214</v>
      </c>
      <c r="S1942" s="2" t="str">
        <f t="shared" si="277"/>
        <v>Achieved</v>
      </c>
      <c r="T1942" s="2" t="str">
        <f t="shared" si="278"/>
        <v>Good</v>
      </c>
      <c r="U1942" s="2"/>
    </row>
    <row r="1943" spans="1:21" x14ac:dyDescent="0.3">
      <c r="A1943">
        <v>1942</v>
      </c>
      <c r="B1943" t="s">
        <v>2803</v>
      </c>
      <c r="C1943" t="str">
        <f t="shared" si="270"/>
        <v>EMP_1942</v>
      </c>
      <c r="D1943" t="s">
        <v>11</v>
      </c>
      <c r="E1943" t="str">
        <f t="shared" si="271"/>
        <v>EMP_1942Finance</v>
      </c>
      <c r="F1943" t="s">
        <v>18</v>
      </c>
      <c r="G1943" t="s">
        <v>13</v>
      </c>
      <c r="H1943">
        <v>26857</v>
      </c>
      <c r="I1943">
        <v>8389</v>
      </c>
      <c r="J1943">
        <v>0</v>
      </c>
      <c r="K1943">
        <v>0</v>
      </c>
      <c r="L1943" s="4">
        <v>43717</v>
      </c>
      <c r="M1943" s="4" t="str">
        <f t="shared" si="272"/>
        <v>2019</v>
      </c>
      <c r="N1943" s="1">
        <f t="shared" ca="1" si="273"/>
        <v>46064</v>
      </c>
      <c r="O1943" s="6">
        <f t="shared" ca="1" si="274"/>
        <v>6</v>
      </c>
      <c r="P1943">
        <v>2</v>
      </c>
      <c r="Q1943">
        <f t="shared" si="275"/>
        <v>35246</v>
      </c>
      <c r="R1943" s="2">
        <f t="shared" si="276"/>
        <v>17623</v>
      </c>
      <c r="S1943" s="2" t="str">
        <f t="shared" si="277"/>
        <v xml:space="preserve"> Not Achieved</v>
      </c>
      <c r="T1943" s="2" t="str">
        <f t="shared" si="278"/>
        <v>poor</v>
      </c>
      <c r="U1943" s="2"/>
    </row>
    <row r="1944" spans="1:21" x14ac:dyDescent="0.3">
      <c r="A1944">
        <v>1943</v>
      </c>
      <c r="B1944" t="s">
        <v>2804</v>
      </c>
      <c r="C1944" t="str">
        <f t="shared" si="270"/>
        <v>EMP_1943</v>
      </c>
      <c r="D1944" t="s">
        <v>11</v>
      </c>
      <c r="E1944" t="str">
        <f t="shared" si="271"/>
        <v>EMP_1943IT</v>
      </c>
      <c r="F1944" t="s">
        <v>21</v>
      </c>
      <c r="G1944" t="s">
        <v>19</v>
      </c>
      <c r="H1944">
        <v>31600</v>
      </c>
      <c r="I1944">
        <v>12742</v>
      </c>
      <c r="J1944">
        <v>0</v>
      </c>
      <c r="K1944">
        <v>0</v>
      </c>
      <c r="L1944" s="4">
        <v>43654</v>
      </c>
      <c r="M1944" s="4" t="str">
        <f t="shared" si="272"/>
        <v>2019</v>
      </c>
      <c r="N1944" s="1">
        <f t="shared" ca="1" si="273"/>
        <v>46064</v>
      </c>
      <c r="O1944" s="6">
        <f t="shared" ca="1" si="274"/>
        <v>6</v>
      </c>
      <c r="P1944">
        <v>1</v>
      </c>
      <c r="Q1944">
        <f t="shared" si="275"/>
        <v>44342</v>
      </c>
      <c r="R1944" s="2">
        <f t="shared" si="276"/>
        <v>22171</v>
      </c>
      <c r="S1944" s="2" t="str">
        <f t="shared" si="277"/>
        <v xml:space="preserve"> Not Achieved</v>
      </c>
      <c r="T1944" s="2" t="str">
        <f t="shared" si="278"/>
        <v>Average</v>
      </c>
      <c r="U1944" s="2"/>
    </row>
    <row r="1945" spans="1:21" x14ac:dyDescent="0.3">
      <c r="A1945">
        <v>1944</v>
      </c>
      <c r="B1945" t="s">
        <v>2805</v>
      </c>
      <c r="C1945" t="str">
        <f t="shared" si="270"/>
        <v>EMP_1944</v>
      </c>
      <c r="D1945" t="s">
        <v>11</v>
      </c>
      <c r="E1945" t="str">
        <f t="shared" si="271"/>
        <v>EMP_1944Sales</v>
      </c>
      <c r="F1945" t="s">
        <v>7</v>
      </c>
      <c r="G1945" t="s">
        <v>22</v>
      </c>
      <c r="H1945">
        <v>60418</v>
      </c>
      <c r="I1945">
        <v>3608</v>
      </c>
      <c r="J1945">
        <v>198348</v>
      </c>
      <c r="K1945">
        <v>109283</v>
      </c>
      <c r="L1945" s="4" t="s">
        <v>2806</v>
      </c>
      <c r="M1945" s="4" t="str">
        <f t="shared" si="272"/>
        <v>6/16/2022</v>
      </c>
      <c r="N1945" s="1">
        <f t="shared" ca="1" si="273"/>
        <v>46064</v>
      </c>
      <c r="O1945" s="6" t="e">
        <f t="shared" ca="1" si="274"/>
        <v>#VALUE!</v>
      </c>
      <c r="P1945">
        <v>3</v>
      </c>
      <c r="Q1945">
        <f t="shared" si="275"/>
        <v>64026</v>
      </c>
      <c r="R1945" s="2">
        <f t="shared" si="276"/>
        <v>32013</v>
      </c>
      <c r="S1945" s="2" t="str">
        <f t="shared" si="277"/>
        <v>Achieved</v>
      </c>
      <c r="T1945" s="2" t="str">
        <f t="shared" si="278"/>
        <v xml:space="preserve"> Excellent</v>
      </c>
      <c r="U1945" s="2"/>
    </row>
    <row r="1946" spans="1:21" x14ac:dyDescent="0.3">
      <c r="A1946">
        <v>1945</v>
      </c>
      <c r="B1946" t="s">
        <v>2807</v>
      </c>
      <c r="C1946" t="str">
        <f t="shared" si="270"/>
        <v>EMP_1945</v>
      </c>
      <c r="D1946" t="s">
        <v>15</v>
      </c>
      <c r="E1946" t="str">
        <f t="shared" si="271"/>
        <v>EMP_1945Sales</v>
      </c>
      <c r="F1946" t="s">
        <v>7</v>
      </c>
      <c r="G1946" t="s">
        <v>19</v>
      </c>
      <c r="H1946">
        <v>29422</v>
      </c>
      <c r="I1946">
        <v>8940</v>
      </c>
      <c r="J1946">
        <v>292576</v>
      </c>
      <c r="K1946">
        <v>231082</v>
      </c>
      <c r="L1946" s="4" t="s">
        <v>1003</v>
      </c>
      <c r="M1946" s="4" t="str">
        <f t="shared" si="272"/>
        <v>2/14/2018</v>
      </c>
      <c r="N1946" s="1">
        <f t="shared" ca="1" si="273"/>
        <v>46064</v>
      </c>
      <c r="O1946" s="6" t="e">
        <f t="shared" ca="1" si="274"/>
        <v>#VALUE!</v>
      </c>
      <c r="P1946">
        <v>1</v>
      </c>
      <c r="Q1946">
        <f t="shared" si="275"/>
        <v>38362</v>
      </c>
      <c r="R1946" s="2">
        <f t="shared" si="276"/>
        <v>19181</v>
      </c>
      <c r="S1946" s="2" t="str">
        <f t="shared" si="277"/>
        <v>Achieved</v>
      </c>
      <c r="T1946" s="2" t="str">
        <f t="shared" si="278"/>
        <v>poor</v>
      </c>
      <c r="U1946" s="2"/>
    </row>
    <row r="1947" spans="1:21" x14ac:dyDescent="0.3">
      <c r="A1947">
        <v>1946</v>
      </c>
      <c r="B1947" t="s">
        <v>2808</v>
      </c>
      <c r="C1947" t="str">
        <f t="shared" si="270"/>
        <v>EMP_1946</v>
      </c>
      <c r="D1947" t="s">
        <v>15</v>
      </c>
      <c r="E1947" t="str">
        <f t="shared" si="271"/>
        <v>EMP_1946HR</v>
      </c>
      <c r="F1947" t="s">
        <v>12</v>
      </c>
      <c r="G1947" t="s">
        <v>22</v>
      </c>
      <c r="H1947">
        <v>28619</v>
      </c>
      <c r="I1947">
        <v>8211</v>
      </c>
      <c r="J1947">
        <v>0</v>
      </c>
      <c r="K1947">
        <v>0</v>
      </c>
      <c r="L1947" s="4" t="s">
        <v>2809</v>
      </c>
      <c r="M1947" s="4" t="str">
        <f t="shared" si="272"/>
        <v>4/19/2019</v>
      </c>
      <c r="N1947" s="1">
        <f t="shared" ca="1" si="273"/>
        <v>46064</v>
      </c>
      <c r="O1947" s="6" t="e">
        <f t="shared" ca="1" si="274"/>
        <v>#VALUE!</v>
      </c>
      <c r="P1947">
        <v>3</v>
      </c>
      <c r="Q1947">
        <f t="shared" si="275"/>
        <v>36830</v>
      </c>
      <c r="R1947" s="2">
        <f t="shared" si="276"/>
        <v>18415</v>
      </c>
      <c r="S1947" s="2" t="str">
        <f t="shared" si="277"/>
        <v xml:space="preserve"> Not Achieved</v>
      </c>
      <c r="T1947" s="2" t="str">
        <f t="shared" si="278"/>
        <v>poor</v>
      </c>
      <c r="U1947" s="2"/>
    </row>
    <row r="1948" spans="1:21" x14ac:dyDescent="0.3">
      <c r="A1948">
        <v>1947</v>
      </c>
      <c r="B1948" t="s">
        <v>2810</v>
      </c>
      <c r="C1948" t="str">
        <f t="shared" si="270"/>
        <v>EMP_1947</v>
      </c>
      <c r="D1948" t="s">
        <v>11</v>
      </c>
      <c r="E1948" t="str">
        <f t="shared" si="271"/>
        <v>EMP_1947Marketing</v>
      </c>
      <c r="F1948" t="s">
        <v>24</v>
      </c>
      <c r="G1948" t="s">
        <v>13</v>
      </c>
      <c r="H1948">
        <v>23633</v>
      </c>
      <c r="I1948">
        <v>2353</v>
      </c>
      <c r="J1948">
        <v>0</v>
      </c>
      <c r="K1948">
        <v>0</v>
      </c>
      <c r="L1948" s="4" t="s">
        <v>1536</v>
      </c>
      <c r="M1948" s="4" t="str">
        <f t="shared" si="272"/>
        <v>5/13/2024</v>
      </c>
      <c r="N1948" s="1">
        <f t="shared" ca="1" si="273"/>
        <v>46064</v>
      </c>
      <c r="O1948" s="6" t="e">
        <f t="shared" ca="1" si="274"/>
        <v>#VALUE!</v>
      </c>
      <c r="P1948">
        <v>1</v>
      </c>
      <c r="Q1948">
        <f t="shared" si="275"/>
        <v>25986</v>
      </c>
      <c r="R1948" s="2">
        <f t="shared" si="276"/>
        <v>12993</v>
      </c>
      <c r="S1948" s="2" t="str">
        <f t="shared" si="277"/>
        <v xml:space="preserve"> Not Achieved</v>
      </c>
      <c r="T1948" s="2" t="str">
        <f t="shared" si="278"/>
        <v>poor</v>
      </c>
      <c r="U1948" s="2"/>
    </row>
    <row r="1949" spans="1:21" x14ac:dyDescent="0.3">
      <c r="A1949">
        <v>1948</v>
      </c>
      <c r="B1949" t="s">
        <v>2811</v>
      </c>
      <c r="C1949" t="str">
        <f t="shared" si="270"/>
        <v>EMP_1948</v>
      </c>
      <c r="D1949" t="s">
        <v>15</v>
      </c>
      <c r="E1949" t="str">
        <f t="shared" si="271"/>
        <v>EMP_1948Marketing</v>
      </c>
      <c r="F1949" t="s">
        <v>24</v>
      </c>
      <c r="G1949" t="s">
        <v>16</v>
      </c>
      <c r="H1949">
        <v>42326</v>
      </c>
      <c r="I1949">
        <v>7369</v>
      </c>
      <c r="J1949">
        <v>0</v>
      </c>
      <c r="K1949">
        <v>0</v>
      </c>
      <c r="L1949" s="4" t="s">
        <v>691</v>
      </c>
      <c r="M1949" s="4" t="str">
        <f t="shared" si="272"/>
        <v>2/20/2024</v>
      </c>
      <c r="N1949" s="1">
        <f t="shared" ca="1" si="273"/>
        <v>46064</v>
      </c>
      <c r="O1949" s="6" t="e">
        <f t="shared" ca="1" si="274"/>
        <v>#VALUE!</v>
      </c>
      <c r="P1949">
        <v>3</v>
      </c>
      <c r="Q1949">
        <f t="shared" si="275"/>
        <v>49695</v>
      </c>
      <c r="R1949" s="2">
        <f t="shared" si="276"/>
        <v>24847.5</v>
      </c>
      <c r="S1949" s="2" t="str">
        <f t="shared" si="277"/>
        <v xml:space="preserve"> Not Achieved</v>
      </c>
      <c r="T1949" s="2" t="str">
        <f t="shared" si="278"/>
        <v>Good</v>
      </c>
      <c r="U1949" s="2"/>
    </row>
    <row r="1950" spans="1:21" x14ac:dyDescent="0.3">
      <c r="A1950">
        <v>1949</v>
      </c>
      <c r="B1950" t="s">
        <v>2812</v>
      </c>
      <c r="C1950" t="str">
        <f t="shared" si="270"/>
        <v>EMP_1949</v>
      </c>
      <c r="D1950" t="s">
        <v>11</v>
      </c>
      <c r="E1950" t="str">
        <f t="shared" si="271"/>
        <v>EMP_1949Sales</v>
      </c>
      <c r="F1950" t="s">
        <v>7</v>
      </c>
      <c r="G1950" t="s">
        <v>25</v>
      </c>
      <c r="H1950">
        <v>57507</v>
      </c>
      <c r="I1950">
        <v>14108</v>
      </c>
      <c r="J1950">
        <v>54120</v>
      </c>
      <c r="K1950">
        <v>109640</v>
      </c>
      <c r="L1950" s="4">
        <v>43226</v>
      </c>
      <c r="M1950" s="4" t="str">
        <f t="shared" si="272"/>
        <v>2018</v>
      </c>
      <c r="N1950" s="1">
        <f t="shared" ca="1" si="273"/>
        <v>46064</v>
      </c>
      <c r="O1950" s="6">
        <f t="shared" ca="1" si="274"/>
        <v>7</v>
      </c>
      <c r="P1950">
        <v>4</v>
      </c>
      <c r="Q1950">
        <f t="shared" si="275"/>
        <v>71615</v>
      </c>
      <c r="R1950" s="2">
        <f t="shared" si="276"/>
        <v>35807.5</v>
      </c>
      <c r="S1950" s="2" t="str">
        <f t="shared" si="277"/>
        <v xml:space="preserve"> Not Achieved</v>
      </c>
      <c r="T1950" s="2" t="str">
        <f t="shared" si="278"/>
        <v xml:space="preserve"> Excellent</v>
      </c>
      <c r="U1950" s="2"/>
    </row>
    <row r="1951" spans="1:21" x14ac:dyDescent="0.3">
      <c r="A1951">
        <v>1950</v>
      </c>
      <c r="B1951" t="s">
        <v>2813</v>
      </c>
      <c r="C1951" t="str">
        <f t="shared" si="270"/>
        <v>EMP_1950</v>
      </c>
      <c r="D1951" t="s">
        <v>15</v>
      </c>
      <c r="E1951" t="str">
        <f t="shared" si="271"/>
        <v>EMP_1950Finance</v>
      </c>
      <c r="F1951" t="s">
        <v>18</v>
      </c>
      <c r="G1951" t="s">
        <v>22</v>
      </c>
      <c r="H1951">
        <v>56093</v>
      </c>
      <c r="I1951">
        <v>7482</v>
      </c>
      <c r="J1951">
        <v>0</v>
      </c>
      <c r="K1951">
        <v>0</v>
      </c>
      <c r="L1951" s="4" t="s">
        <v>1317</v>
      </c>
      <c r="M1951" s="4" t="str">
        <f t="shared" si="272"/>
        <v>8/26/2023</v>
      </c>
      <c r="N1951" s="1">
        <f t="shared" ca="1" si="273"/>
        <v>46064</v>
      </c>
      <c r="O1951" s="6" t="e">
        <f t="shared" ca="1" si="274"/>
        <v>#VALUE!</v>
      </c>
      <c r="P1951">
        <v>1</v>
      </c>
      <c r="Q1951">
        <f t="shared" si="275"/>
        <v>63575</v>
      </c>
      <c r="R1951" s="2">
        <f t="shared" si="276"/>
        <v>31787.5</v>
      </c>
      <c r="S1951" s="2" t="str">
        <f t="shared" si="277"/>
        <v xml:space="preserve"> Not Achieved</v>
      </c>
      <c r="T1951" s="2" t="str">
        <f t="shared" si="278"/>
        <v xml:space="preserve"> Excellent</v>
      </c>
      <c r="U1951" s="2"/>
    </row>
    <row r="1952" spans="1:21" x14ac:dyDescent="0.3">
      <c r="A1952">
        <v>1951</v>
      </c>
      <c r="B1952" t="s">
        <v>2814</v>
      </c>
      <c r="C1952" t="str">
        <f t="shared" si="270"/>
        <v>EMP_1951</v>
      </c>
      <c r="D1952" t="s">
        <v>15</v>
      </c>
      <c r="E1952" t="str">
        <f t="shared" si="271"/>
        <v>EMP_1951IT</v>
      </c>
      <c r="F1952" t="s">
        <v>21</v>
      </c>
      <c r="G1952" t="s">
        <v>22</v>
      </c>
      <c r="H1952">
        <v>22903</v>
      </c>
      <c r="I1952">
        <v>4216</v>
      </c>
      <c r="J1952">
        <v>0</v>
      </c>
      <c r="K1952">
        <v>0</v>
      </c>
      <c r="L1952" s="4" t="s">
        <v>652</v>
      </c>
      <c r="M1952" s="4" t="str">
        <f t="shared" si="272"/>
        <v>4/23/2018</v>
      </c>
      <c r="N1952" s="1">
        <f t="shared" ca="1" si="273"/>
        <v>46064</v>
      </c>
      <c r="O1952" s="6" t="e">
        <f t="shared" ca="1" si="274"/>
        <v>#VALUE!</v>
      </c>
      <c r="P1952">
        <v>1</v>
      </c>
      <c r="Q1952">
        <f t="shared" si="275"/>
        <v>27119</v>
      </c>
      <c r="R1952" s="2">
        <f t="shared" si="276"/>
        <v>13559.5</v>
      </c>
      <c r="S1952" s="2" t="str">
        <f t="shared" si="277"/>
        <v xml:space="preserve"> Not Achieved</v>
      </c>
      <c r="T1952" s="2" t="str">
        <f t="shared" si="278"/>
        <v>poor</v>
      </c>
      <c r="U1952" s="2"/>
    </row>
    <row r="1953" spans="1:21" x14ac:dyDescent="0.3">
      <c r="A1953">
        <v>1952</v>
      </c>
      <c r="B1953" t="s">
        <v>2815</v>
      </c>
      <c r="C1953" t="str">
        <f t="shared" si="270"/>
        <v>EMP_1952</v>
      </c>
      <c r="D1953" t="s">
        <v>11</v>
      </c>
      <c r="E1953" t="str">
        <f t="shared" si="271"/>
        <v>EMP_1952Finance</v>
      </c>
      <c r="F1953" t="s">
        <v>18</v>
      </c>
      <c r="G1953" t="s">
        <v>25</v>
      </c>
      <c r="H1953">
        <v>53792</v>
      </c>
      <c r="I1953">
        <v>11628</v>
      </c>
      <c r="J1953">
        <v>0</v>
      </c>
      <c r="K1953">
        <v>0</v>
      </c>
      <c r="L1953" s="4" t="s">
        <v>2194</v>
      </c>
      <c r="M1953" s="4" t="str">
        <f t="shared" si="272"/>
        <v>5/30/2022</v>
      </c>
      <c r="N1953" s="1">
        <f t="shared" ca="1" si="273"/>
        <v>46064</v>
      </c>
      <c r="O1953" s="6" t="e">
        <f t="shared" ca="1" si="274"/>
        <v>#VALUE!</v>
      </c>
      <c r="P1953">
        <v>3</v>
      </c>
      <c r="Q1953">
        <f t="shared" si="275"/>
        <v>65420</v>
      </c>
      <c r="R1953" s="2">
        <f t="shared" si="276"/>
        <v>32710</v>
      </c>
      <c r="S1953" s="2" t="str">
        <f t="shared" si="277"/>
        <v xml:space="preserve"> Not Achieved</v>
      </c>
      <c r="T1953" s="2" t="str">
        <f t="shared" si="278"/>
        <v xml:space="preserve"> Excellent</v>
      </c>
      <c r="U1953" s="2"/>
    </row>
    <row r="1954" spans="1:21" x14ac:dyDescent="0.3">
      <c r="A1954">
        <v>1953</v>
      </c>
      <c r="B1954" t="s">
        <v>2816</v>
      </c>
      <c r="C1954" t="str">
        <f t="shared" si="270"/>
        <v>EMP_1953</v>
      </c>
      <c r="D1954" t="s">
        <v>11</v>
      </c>
      <c r="E1954" t="str">
        <f t="shared" si="271"/>
        <v>EMP_1953Finance</v>
      </c>
      <c r="F1954" t="s">
        <v>18</v>
      </c>
      <c r="G1954" t="s">
        <v>25</v>
      </c>
      <c r="H1954">
        <v>54982</v>
      </c>
      <c r="I1954">
        <v>12932</v>
      </c>
      <c r="J1954">
        <v>0</v>
      </c>
      <c r="K1954">
        <v>0</v>
      </c>
      <c r="L1954" s="4">
        <v>43842</v>
      </c>
      <c r="M1954" s="4" t="str">
        <f t="shared" si="272"/>
        <v>2020</v>
      </c>
      <c r="N1954" s="1">
        <f t="shared" ca="1" si="273"/>
        <v>46064</v>
      </c>
      <c r="O1954" s="6">
        <f t="shared" ca="1" si="274"/>
        <v>6</v>
      </c>
      <c r="P1954">
        <v>4</v>
      </c>
      <c r="Q1954">
        <f t="shared" si="275"/>
        <v>67914</v>
      </c>
      <c r="R1954" s="2">
        <f t="shared" si="276"/>
        <v>33957</v>
      </c>
      <c r="S1954" s="2" t="str">
        <f t="shared" si="277"/>
        <v xml:space="preserve"> Not Achieved</v>
      </c>
      <c r="T1954" s="2" t="str">
        <f t="shared" si="278"/>
        <v xml:space="preserve"> Excellent</v>
      </c>
      <c r="U1954" s="2"/>
    </row>
    <row r="1955" spans="1:21" x14ac:dyDescent="0.3">
      <c r="A1955">
        <v>1954</v>
      </c>
      <c r="B1955" t="s">
        <v>2817</v>
      </c>
      <c r="C1955" t="str">
        <f t="shared" si="270"/>
        <v>EMP_1954</v>
      </c>
      <c r="D1955" t="s">
        <v>15</v>
      </c>
      <c r="E1955" t="str">
        <f t="shared" si="271"/>
        <v>EMP_1954Marketing</v>
      </c>
      <c r="F1955" t="s">
        <v>24</v>
      </c>
      <c r="G1955" t="s">
        <v>22</v>
      </c>
      <c r="H1955">
        <v>23740</v>
      </c>
      <c r="I1955">
        <v>4543</v>
      </c>
      <c r="J1955">
        <v>0</v>
      </c>
      <c r="K1955">
        <v>0</v>
      </c>
      <c r="L1955" s="4" t="s">
        <v>2004</v>
      </c>
      <c r="M1955" s="4" t="str">
        <f t="shared" si="272"/>
        <v>3/21/2019</v>
      </c>
      <c r="N1955" s="1">
        <f t="shared" ca="1" si="273"/>
        <v>46064</v>
      </c>
      <c r="O1955" s="6" t="e">
        <f t="shared" ca="1" si="274"/>
        <v>#VALUE!</v>
      </c>
      <c r="P1955">
        <v>2</v>
      </c>
      <c r="Q1955">
        <f t="shared" si="275"/>
        <v>28283</v>
      </c>
      <c r="R1955" s="2">
        <f t="shared" si="276"/>
        <v>14141.5</v>
      </c>
      <c r="S1955" s="2" t="str">
        <f t="shared" si="277"/>
        <v xml:space="preserve"> Not Achieved</v>
      </c>
      <c r="T1955" s="2" t="str">
        <f t="shared" si="278"/>
        <v>poor</v>
      </c>
      <c r="U1955" s="2"/>
    </row>
    <row r="1956" spans="1:21" x14ac:dyDescent="0.3">
      <c r="A1956">
        <v>1955</v>
      </c>
      <c r="B1956" t="s">
        <v>2818</v>
      </c>
      <c r="C1956" t="str">
        <f t="shared" si="270"/>
        <v>EMP_1955</v>
      </c>
      <c r="D1956" t="s">
        <v>15</v>
      </c>
      <c r="E1956" t="str">
        <f t="shared" si="271"/>
        <v>EMP_1955Finance</v>
      </c>
      <c r="F1956" t="s">
        <v>18</v>
      </c>
      <c r="G1956" t="s">
        <v>25</v>
      </c>
      <c r="H1956">
        <v>40294</v>
      </c>
      <c r="I1956">
        <v>7331</v>
      </c>
      <c r="J1956">
        <v>0</v>
      </c>
      <c r="K1956">
        <v>0</v>
      </c>
      <c r="L1956" s="4" t="s">
        <v>1645</v>
      </c>
      <c r="M1956" s="4" t="str">
        <f t="shared" si="272"/>
        <v>10/16/2019</v>
      </c>
      <c r="N1956" s="1">
        <f t="shared" ca="1" si="273"/>
        <v>46064</v>
      </c>
      <c r="O1956" s="6" t="e">
        <f t="shared" ca="1" si="274"/>
        <v>#VALUE!</v>
      </c>
      <c r="P1956">
        <v>2</v>
      </c>
      <c r="Q1956">
        <f t="shared" si="275"/>
        <v>47625</v>
      </c>
      <c r="R1956" s="2">
        <f t="shared" si="276"/>
        <v>23812.5</v>
      </c>
      <c r="S1956" s="2" t="str">
        <f t="shared" si="277"/>
        <v xml:space="preserve"> Not Achieved</v>
      </c>
      <c r="T1956" s="2" t="str">
        <f t="shared" si="278"/>
        <v>Good</v>
      </c>
      <c r="U1956" s="2"/>
    </row>
    <row r="1957" spans="1:21" x14ac:dyDescent="0.3">
      <c r="A1957">
        <v>1956</v>
      </c>
      <c r="B1957" t="s">
        <v>2819</v>
      </c>
      <c r="C1957" t="str">
        <f t="shared" si="270"/>
        <v>EMP_1956</v>
      </c>
      <c r="D1957" t="s">
        <v>11</v>
      </c>
      <c r="E1957" t="str">
        <f t="shared" si="271"/>
        <v>EMP_1956Finance</v>
      </c>
      <c r="F1957" t="s">
        <v>18</v>
      </c>
      <c r="G1957" t="s">
        <v>16</v>
      </c>
      <c r="H1957">
        <v>75101</v>
      </c>
      <c r="I1957">
        <v>6677</v>
      </c>
      <c r="J1957">
        <v>0</v>
      </c>
      <c r="K1957">
        <v>0</v>
      </c>
      <c r="L1957" s="4" t="s">
        <v>1987</v>
      </c>
      <c r="M1957" s="4" t="str">
        <f t="shared" si="272"/>
        <v>10/15/2021</v>
      </c>
      <c r="N1957" s="1">
        <f t="shared" ca="1" si="273"/>
        <v>46064</v>
      </c>
      <c r="O1957" s="6" t="e">
        <f t="shared" ca="1" si="274"/>
        <v>#VALUE!</v>
      </c>
      <c r="P1957">
        <v>4</v>
      </c>
      <c r="Q1957">
        <f t="shared" si="275"/>
        <v>81778</v>
      </c>
      <c r="R1957" s="2">
        <f t="shared" si="276"/>
        <v>40889</v>
      </c>
      <c r="S1957" s="2" t="str">
        <f t="shared" si="277"/>
        <v xml:space="preserve"> Not Achieved</v>
      </c>
      <c r="T1957" s="2" t="str">
        <f t="shared" si="278"/>
        <v xml:space="preserve"> Excellent</v>
      </c>
      <c r="U1957" s="2"/>
    </row>
    <row r="1958" spans="1:21" x14ac:dyDescent="0.3">
      <c r="A1958">
        <v>1957</v>
      </c>
      <c r="B1958" t="s">
        <v>2820</v>
      </c>
      <c r="C1958" t="str">
        <f t="shared" si="270"/>
        <v>EMP_1957</v>
      </c>
      <c r="D1958" t="s">
        <v>15</v>
      </c>
      <c r="E1958" t="str">
        <f t="shared" si="271"/>
        <v>EMP_1957HR</v>
      </c>
      <c r="F1958" t="s">
        <v>12</v>
      </c>
      <c r="G1958" t="s">
        <v>25</v>
      </c>
      <c r="H1958">
        <v>60068</v>
      </c>
      <c r="I1958">
        <v>5878</v>
      </c>
      <c r="J1958">
        <v>0</v>
      </c>
      <c r="K1958">
        <v>0</v>
      </c>
      <c r="L1958" s="4">
        <v>43384</v>
      </c>
      <c r="M1958" s="4" t="str">
        <f t="shared" si="272"/>
        <v>2018</v>
      </c>
      <c r="N1958" s="1">
        <f t="shared" ca="1" si="273"/>
        <v>46064</v>
      </c>
      <c r="O1958" s="6">
        <f t="shared" ca="1" si="274"/>
        <v>7</v>
      </c>
      <c r="P1958">
        <v>5</v>
      </c>
      <c r="Q1958">
        <f t="shared" si="275"/>
        <v>65946</v>
      </c>
      <c r="R1958" s="2">
        <f t="shared" si="276"/>
        <v>32973</v>
      </c>
      <c r="S1958" s="2" t="str">
        <f t="shared" si="277"/>
        <v xml:space="preserve"> Not Achieved</v>
      </c>
      <c r="T1958" s="2" t="str">
        <f t="shared" si="278"/>
        <v xml:space="preserve"> Excellent</v>
      </c>
      <c r="U1958" s="2"/>
    </row>
    <row r="1959" spans="1:21" x14ac:dyDescent="0.3">
      <c r="A1959">
        <v>1958</v>
      </c>
      <c r="B1959" t="s">
        <v>2821</v>
      </c>
      <c r="C1959" t="str">
        <f t="shared" si="270"/>
        <v>EMP_1958</v>
      </c>
      <c r="D1959" t="s">
        <v>15</v>
      </c>
      <c r="E1959" t="str">
        <f t="shared" si="271"/>
        <v>EMP_1958Finance</v>
      </c>
      <c r="F1959" t="s">
        <v>18</v>
      </c>
      <c r="G1959" t="s">
        <v>16</v>
      </c>
      <c r="H1959">
        <v>27038</v>
      </c>
      <c r="I1959">
        <v>2838</v>
      </c>
      <c r="J1959">
        <v>0</v>
      </c>
      <c r="K1959">
        <v>0</v>
      </c>
      <c r="L1959" s="4">
        <v>45323</v>
      </c>
      <c r="M1959" s="4" t="str">
        <f t="shared" si="272"/>
        <v>2024</v>
      </c>
      <c r="N1959" s="1">
        <f t="shared" ca="1" si="273"/>
        <v>46064</v>
      </c>
      <c r="O1959" s="6">
        <f t="shared" ca="1" si="274"/>
        <v>2</v>
      </c>
      <c r="P1959">
        <v>1</v>
      </c>
      <c r="Q1959">
        <f t="shared" si="275"/>
        <v>29876</v>
      </c>
      <c r="R1959" s="2">
        <f t="shared" si="276"/>
        <v>14938</v>
      </c>
      <c r="S1959" s="2" t="str">
        <f t="shared" si="277"/>
        <v xml:space="preserve"> Not Achieved</v>
      </c>
      <c r="T1959" s="2" t="str">
        <f t="shared" si="278"/>
        <v>poor</v>
      </c>
      <c r="U1959" s="2"/>
    </row>
    <row r="1960" spans="1:21" x14ac:dyDescent="0.3">
      <c r="A1960">
        <v>1959</v>
      </c>
      <c r="B1960" t="s">
        <v>2822</v>
      </c>
      <c r="C1960" t="str">
        <f t="shared" si="270"/>
        <v>EMP_1959</v>
      </c>
      <c r="D1960" t="s">
        <v>15</v>
      </c>
      <c r="E1960" t="str">
        <f t="shared" si="271"/>
        <v>EMP_1959IT</v>
      </c>
      <c r="F1960" t="s">
        <v>21</v>
      </c>
      <c r="G1960" t="s">
        <v>16</v>
      </c>
      <c r="H1960">
        <v>52919</v>
      </c>
      <c r="I1960">
        <v>6230</v>
      </c>
      <c r="J1960">
        <v>0</v>
      </c>
      <c r="K1960">
        <v>0</v>
      </c>
      <c r="L1960" s="4" t="s">
        <v>2823</v>
      </c>
      <c r="M1960" s="4" t="str">
        <f t="shared" si="272"/>
        <v>4/20/2018</v>
      </c>
      <c r="N1960" s="1">
        <f t="shared" ca="1" si="273"/>
        <v>46064</v>
      </c>
      <c r="O1960" s="6" t="e">
        <f t="shared" ca="1" si="274"/>
        <v>#VALUE!</v>
      </c>
      <c r="P1960">
        <v>3</v>
      </c>
      <c r="Q1960">
        <f t="shared" si="275"/>
        <v>59149</v>
      </c>
      <c r="R1960" s="2">
        <f t="shared" si="276"/>
        <v>29574.5</v>
      </c>
      <c r="S1960" s="2" t="str">
        <f t="shared" si="277"/>
        <v xml:space="preserve"> Not Achieved</v>
      </c>
      <c r="T1960" s="2" t="str">
        <f t="shared" si="278"/>
        <v xml:space="preserve"> Excellent</v>
      </c>
      <c r="U1960" s="2"/>
    </row>
    <row r="1961" spans="1:21" x14ac:dyDescent="0.3">
      <c r="A1961">
        <v>1960</v>
      </c>
      <c r="B1961" t="s">
        <v>2824</v>
      </c>
      <c r="C1961" t="str">
        <f t="shared" si="270"/>
        <v>EMP_1960</v>
      </c>
      <c r="D1961" t="s">
        <v>11</v>
      </c>
      <c r="E1961" t="str">
        <f t="shared" si="271"/>
        <v>EMP_1960Marketing</v>
      </c>
      <c r="F1961" t="s">
        <v>24</v>
      </c>
      <c r="G1961" t="s">
        <v>13</v>
      </c>
      <c r="H1961">
        <v>58087</v>
      </c>
      <c r="I1961">
        <v>12126</v>
      </c>
      <c r="J1961">
        <v>0</v>
      </c>
      <c r="K1961">
        <v>0</v>
      </c>
      <c r="L1961" s="4" t="s">
        <v>2535</v>
      </c>
      <c r="M1961" s="4" t="str">
        <f t="shared" si="272"/>
        <v>1/25/2020</v>
      </c>
      <c r="N1961" s="1">
        <f t="shared" ca="1" si="273"/>
        <v>46064</v>
      </c>
      <c r="O1961" s="6" t="e">
        <f t="shared" ca="1" si="274"/>
        <v>#VALUE!</v>
      </c>
      <c r="P1961">
        <v>4</v>
      </c>
      <c r="Q1961">
        <f t="shared" si="275"/>
        <v>70213</v>
      </c>
      <c r="R1961" s="2">
        <f t="shared" si="276"/>
        <v>35106.5</v>
      </c>
      <c r="S1961" s="2" t="str">
        <f t="shared" si="277"/>
        <v xml:space="preserve"> Not Achieved</v>
      </c>
      <c r="T1961" s="2" t="str">
        <f t="shared" si="278"/>
        <v xml:space="preserve"> Excellent</v>
      </c>
      <c r="U1961" s="2"/>
    </row>
    <row r="1962" spans="1:21" x14ac:dyDescent="0.3">
      <c r="A1962">
        <v>1961</v>
      </c>
      <c r="B1962" t="s">
        <v>2825</v>
      </c>
      <c r="C1962" t="str">
        <f t="shared" si="270"/>
        <v>EMP_1961</v>
      </c>
      <c r="D1962" t="s">
        <v>11</v>
      </c>
      <c r="E1962" t="str">
        <f t="shared" si="271"/>
        <v>EMP_1961Sales</v>
      </c>
      <c r="F1962" t="s">
        <v>7</v>
      </c>
      <c r="G1962" t="s">
        <v>16</v>
      </c>
      <c r="H1962">
        <v>42605</v>
      </c>
      <c r="I1962">
        <v>9336</v>
      </c>
      <c r="J1962">
        <v>155315</v>
      </c>
      <c r="K1962">
        <v>93267</v>
      </c>
      <c r="L1962" s="4">
        <v>44200</v>
      </c>
      <c r="M1962" s="4" t="str">
        <f t="shared" si="272"/>
        <v>2021</v>
      </c>
      <c r="N1962" s="1">
        <f t="shared" ca="1" si="273"/>
        <v>46064</v>
      </c>
      <c r="O1962" s="6">
        <f t="shared" ca="1" si="274"/>
        <v>5</v>
      </c>
      <c r="P1962">
        <v>3</v>
      </c>
      <c r="Q1962">
        <f t="shared" si="275"/>
        <v>51941</v>
      </c>
      <c r="R1962" s="2">
        <f t="shared" si="276"/>
        <v>25970.5</v>
      </c>
      <c r="S1962" s="2" t="str">
        <f t="shared" si="277"/>
        <v>Achieved</v>
      </c>
      <c r="T1962" s="2" t="str">
        <f t="shared" si="278"/>
        <v>Good</v>
      </c>
      <c r="U1962" s="2"/>
    </row>
    <row r="1963" spans="1:21" x14ac:dyDescent="0.3">
      <c r="A1963">
        <v>1962</v>
      </c>
      <c r="B1963" t="s">
        <v>2826</v>
      </c>
      <c r="C1963" t="str">
        <f t="shared" si="270"/>
        <v>EMP_1962</v>
      </c>
      <c r="D1963" t="s">
        <v>15</v>
      </c>
      <c r="E1963" t="str">
        <f t="shared" si="271"/>
        <v>EMP_1962Marketing</v>
      </c>
      <c r="F1963" t="s">
        <v>24</v>
      </c>
      <c r="G1963" t="s">
        <v>16</v>
      </c>
      <c r="H1963">
        <v>54434</v>
      </c>
      <c r="I1963">
        <v>14115</v>
      </c>
      <c r="J1963">
        <v>0</v>
      </c>
      <c r="K1963">
        <v>0</v>
      </c>
      <c r="L1963" s="4" t="s">
        <v>561</v>
      </c>
      <c r="M1963" s="4" t="str">
        <f t="shared" si="272"/>
        <v>2/16/2022</v>
      </c>
      <c r="N1963" s="1">
        <f t="shared" ca="1" si="273"/>
        <v>46064</v>
      </c>
      <c r="O1963" s="6" t="e">
        <f t="shared" ca="1" si="274"/>
        <v>#VALUE!</v>
      </c>
      <c r="P1963">
        <v>1</v>
      </c>
      <c r="Q1963">
        <f t="shared" si="275"/>
        <v>68549</v>
      </c>
      <c r="R1963" s="2">
        <f t="shared" si="276"/>
        <v>34274.5</v>
      </c>
      <c r="S1963" s="2" t="str">
        <f t="shared" si="277"/>
        <v xml:space="preserve"> Not Achieved</v>
      </c>
      <c r="T1963" s="2" t="str">
        <f t="shared" si="278"/>
        <v xml:space="preserve"> Excellent</v>
      </c>
      <c r="U1963" s="2"/>
    </row>
    <row r="1964" spans="1:21" x14ac:dyDescent="0.3">
      <c r="A1964">
        <v>1963</v>
      </c>
      <c r="B1964" t="s">
        <v>2827</v>
      </c>
      <c r="C1964" t="str">
        <f t="shared" si="270"/>
        <v>EMP_1963</v>
      </c>
      <c r="D1964" t="s">
        <v>11</v>
      </c>
      <c r="E1964" t="str">
        <f t="shared" si="271"/>
        <v>EMP_1963Sales</v>
      </c>
      <c r="F1964" t="s">
        <v>7</v>
      </c>
      <c r="G1964" t="s">
        <v>25</v>
      </c>
      <c r="H1964">
        <v>71606</v>
      </c>
      <c r="I1964">
        <v>12865</v>
      </c>
      <c r="J1964">
        <v>195262</v>
      </c>
      <c r="K1964">
        <v>161890</v>
      </c>
      <c r="L1964" s="4" t="s">
        <v>28</v>
      </c>
      <c r="M1964" s="4" t="str">
        <f t="shared" si="272"/>
        <v>12/19/2024</v>
      </c>
      <c r="N1964" s="1">
        <f t="shared" ca="1" si="273"/>
        <v>46064</v>
      </c>
      <c r="O1964" s="6" t="e">
        <f t="shared" ca="1" si="274"/>
        <v>#VALUE!</v>
      </c>
      <c r="P1964">
        <v>3</v>
      </c>
      <c r="Q1964">
        <f t="shared" si="275"/>
        <v>84471</v>
      </c>
      <c r="R1964" s="2">
        <f t="shared" si="276"/>
        <v>42235.5</v>
      </c>
      <c r="S1964" s="2" t="str">
        <f t="shared" si="277"/>
        <v>Achieved</v>
      </c>
      <c r="T1964" s="2" t="str">
        <f t="shared" si="278"/>
        <v xml:space="preserve"> Excellent</v>
      </c>
      <c r="U1964" s="2"/>
    </row>
    <row r="1965" spans="1:21" x14ac:dyDescent="0.3">
      <c r="A1965">
        <v>1964</v>
      </c>
      <c r="B1965" t="s">
        <v>2828</v>
      </c>
      <c r="C1965" t="str">
        <f t="shared" si="270"/>
        <v>EMP_1964</v>
      </c>
      <c r="D1965" t="s">
        <v>11</v>
      </c>
      <c r="E1965" t="str">
        <f t="shared" si="271"/>
        <v>EMP_1964Sales</v>
      </c>
      <c r="F1965" t="s">
        <v>7</v>
      </c>
      <c r="G1965" t="s">
        <v>16</v>
      </c>
      <c r="H1965">
        <v>33396</v>
      </c>
      <c r="I1965">
        <v>9930</v>
      </c>
      <c r="J1965">
        <v>246836</v>
      </c>
      <c r="K1965">
        <v>245654</v>
      </c>
      <c r="L1965" s="4" t="s">
        <v>2337</v>
      </c>
      <c r="M1965" s="4" t="str">
        <f t="shared" si="272"/>
        <v>5/16/2024</v>
      </c>
      <c r="N1965" s="1">
        <f t="shared" ca="1" si="273"/>
        <v>46064</v>
      </c>
      <c r="O1965" s="6" t="e">
        <f t="shared" ca="1" si="274"/>
        <v>#VALUE!</v>
      </c>
      <c r="P1965">
        <v>4</v>
      </c>
      <c r="Q1965">
        <f t="shared" si="275"/>
        <v>43326</v>
      </c>
      <c r="R1965" s="2">
        <f t="shared" si="276"/>
        <v>21663</v>
      </c>
      <c r="S1965" s="2" t="str">
        <f t="shared" si="277"/>
        <v>Achieved</v>
      </c>
      <c r="T1965" s="2" t="str">
        <f t="shared" si="278"/>
        <v>Average</v>
      </c>
      <c r="U1965" s="2"/>
    </row>
    <row r="1966" spans="1:21" x14ac:dyDescent="0.3">
      <c r="A1966">
        <v>1965</v>
      </c>
      <c r="B1966" t="s">
        <v>2829</v>
      </c>
      <c r="C1966" t="str">
        <f t="shared" si="270"/>
        <v>EMP_1965</v>
      </c>
      <c r="D1966" t="s">
        <v>11</v>
      </c>
      <c r="E1966" t="str">
        <f t="shared" si="271"/>
        <v>EMP_1965Sales</v>
      </c>
      <c r="F1966" t="s">
        <v>7</v>
      </c>
      <c r="G1966" t="s">
        <v>25</v>
      </c>
      <c r="H1966">
        <v>73578</v>
      </c>
      <c r="I1966">
        <v>7579</v>
      </c>
      <c r="J1966">
        <v>110012</v>
      </c>
      <c r="K1966">
        <v>170861</v>
      </c>
      <c r="L1966" s="4">
        <v>43437</v>
      </c>
      <c r="M1966" s="4" t="str">
        <f t="shared" si="272"/>
        <v>2018</v>
      </c>
      <c r="N1966" s="1">
        <f t="shared" ca="1" si="273"/>
        <v>46064</v>
      </c>
      <c r="O1966" s="6">
        <f t="shared" ca="1" si="274"/>
        <v>7</v>
      </c>
      <c r="P1966">
        <v>5</v>
      </c>
      <c r="Q1966">
        <f t="shared" si="275"/>
        <v>81157</v>
      </c>
      <c r="R1966" s="2">
        <f t="shared" si="276"/>
        <v>40578.5</v>
      </c>
      <c r="S1966" s="2" t="str">
        <f t="shared" si="277"/>
        <v xml:space="preserve"> Not Achieved</v>
      </c>
      <c r="T1966" s="2" t="str">
        <f t="shared" si="278"/>
        <v xml:space="preserve"> Excellent</v>
      </c>
      <c r="U1966" s="2"/>
    </row>
    <row r="1967" spans="1:21" x14ac:dyDescent="0.3">
      <c r="A1967">
        <v>1966</v>
      </c>
      <c r="B1967" t="s">
        <v>2830</v>
      </c>
      <c r="C1967" t="str">
        <f t="shared" si="270"/>
        <v>EMP_1966</v>
      </c>
      <c r="D1967" t="s">
        <v>15</v>
      </c>
      <c r="E1967" t="str">
        <f t="shared" si="271"/>
        <v>EMP_1966Marketing</v>
      </c>
      <c r="F1967" t="s">
        <v>24</v>
      </c>
      <c r="G1967" t="s">
        <v>16</v>
      </c>
      <c r="H1967">
        <v>34998</v>
      </c>
      <c r="I1967">
        <v>4243</v>
      </c>
      <c r="J1967">
        <v>0</v>
      </c>
      <c r="K1967">
        <v>0</v>
      </c>
      <c r="L1967" s="4" t="s">
        <v>1058</v>
      </c>
      <c r="M1967" s="4" t="str">
        <f t="shared" si="272"/>
        <v>12/18/2021</v>
      </c>
      <c r="N1967" s="1">
        <f t="shared" ca="1" si="273"/>
        <v>46064</v>
      </c>
      <c r="O1967" s="6" t="e">
        <f t="shared" ca="1" si="274"/>
        <v>#VALUE!</v>
      </c>
      <c r="P1967">
        <v>4</v>
      </c>
      <c r="Q1967">
        <f t="shared" si="275"/>
        <v>39241</v>
      </c>
      <c r="R1967" s="2">
        <f t="shared" si="276"/>
        <v>19620.5</v>
      </c>
      <c r="S1967" s="2" t="str">
        <f t="shared" si="277"/>
        <v xml:space="preserve"> Not Achieved</v>
      </c>
      <c r="T1967" s="2" t="str">
        <f t="shared" si="278"/>
        <v>Average</v>
      </c>
      <c r="U1967" s="2"/>
    </row>
    <row r="1968" spans="1:21" x14ac:dyDescent="0.3">
      <c r="A1968">
        <v>1967</v>
      </c>
      <c r="B1968" t="s">
        <v>2831</v>
      </c>
      <c r="C1968" t="str">
        <f t="shared" si="270"/>
        <v>EMP_1967</v>
      </c>
      <c r="D1968" t="s">
        <v>11</v>
      </c>
      <c r="E1968" t="str">
        <f t="shared" si="271"/>
        <v>EMP_1967Finance</v>
      </c>
      <c r="F1968" t="s">
        <v>18</v>
      </c>
      <c r="G1968" t="s">
        <v>22</v>
      </c>
      <c r="H1968">
        <v>70458</v>
      </c>
      <c r="I1968">
        <v>7155</v>
      </c>
      <c r="J1968">
        <v>0</v>
      </c>
      <c r="K1968">
        <v>0</v>
      </c>
      <c r="L1968" s="4">
        <v>44748</v>
      </c>
      <c r="M1968" s="4" t="str">
        <f t="shared" si="272"/>
        <v>2022</v>
      </c>
      <c r="N1968" s="1">
        <f t="shared" ca="1" si="273"/>
        <v>46064</v>
      </c>
      <c r="O1968" s="6">
        <f t="shared" ca="1" si="274"/>
        <v>3</v>
      </c>
      <c r="P1968">
        <v>2</v>
      </c>
      <c r="Q1968">
        <f t="shared" si="275"/>
        <v>77613</v>
      </c>
      <c r="R1968" s="2">
        <f t="shared" si="276"/>
        <v>38806.5</v>
      </c>
      <c r="S1968" s="2" t="str">
        <f t="shared" si="277"/>
        <v xml:space="preserve"> Not Achieved</v>
      </c>
      <c r="T1968" s="2" t="str">
        <f t="shared" si="278"/>
        <v xml:space="preserve"> Excellent</v>
      </c>
      <c r="U1968" s="2"/>
    </row>
    <row r="1969" spans="1:21" x14ac:dyDescent="0.3">
      <c r="A1969">
        <v>1968</v>
      </c>
      <c r="B1969" t="s">
        <v>2832</v>
      </c>
      <c r="C1969" t="str">
        <f t="shared" si="270"/>
        <v>EMP_1968</v>
      </c>
      <c r="D1969" t="s">
        <v>15</v>
      </c>
      <c r="E1969" t="str">
        <f t="shared" si="271"/>
        <v>EMP_1968HR</v>
      </c>
      <c r="F1969" t="s">
        <v>12</v>
      </c>
      <c r="G1969" t="s">
        <v>19</v>
      </c>
      <c r="H1969">
        <v>34402</v>
      </c>
      <c r="I1969">
        <v>4739</v>
      </c>
      <c r="J1969">
        <v>0</v>
      </c>
      <c r="K1969">
        <v>0</v>
      </c>
      <c r="L1969" s="4" t="s">
        <v>2833</v>
      </c>
      <c r="M1969" s="4" t="str">
        <f t="shared" si="272"/>
        <v>9/19/2024</v>
      </c>
      <c r="N1969" s="1">
        <f t="shared" ca="1" si="273"/>
        <v>46064</v>
      </c>
      <c r="O1969" s="6" t="e">
        <f t="shared" ca="1" si="274"/>
        <v>#VALUE!</v>
      </c>
      <c r="P1969">
        <v>4</v>
      </c>
      <c r="Q1969">
        <f t="shared" si="275"/>
        <v>39141</v>
      </c>
      <c r="R1969" s="2">
        <f t="shared" si="276"/>
        <v>19570.5</v>
      </c>
      <c r="S1969" s="2" t="str">
        <f t="shared" si="277"/>
        <v xml:space="preserve"> Not Achieved</v>
      </c>
      <c r="T1969" s="2" t="str">
        <f t="shared" si="278"/>
        <v>Average</v>
      </c>
      <c r="U1969" s="2"/>
    </row>
    <row r="1970" spans="1:21" x14ac:dyDescent="0.3">
      <c r="A1970">
        <v>1969</v>
      </c>
      <c r="B1970" t="s">
        <v>2834</v>
      </c>
      <c r="C1970" t="str">
        <f t="shared" si="270"/>
        <v>EMP_1969</v>
      </c>
      <c r="D1970" t="s">
        <v>11</v>
      </c>
      <c r="E1970" t="str">
        <f t="shared" si="271"/>
        <v>EMP_1969Marketing</v>
      </c>
      <c r="F1970" t="s">
        <v>24</v>
      </c>
      <c r="G1970" t="s">
        <v>22</v>
      </c>
      <c r="H1970">
        <v>23773</v>
      </c>
      <c r="I1970">
        <v>12716</v>
      </c>
      <c r="J1970">
        <v>0</v>
      </c>
      <c r="K1970">
        <v>0</v>
      </c>
      <c r="L1970" s="4">
        <v>43869</v>
      </c>
      <c r="M1970" s="4" t="str">
        <f t="shared" si="272"/>
        <v>2020</v>
      </c>
      <c r="N1970" s="1">
        <f t="shared" ca="1" si="273"/>
        <v>46064</v>
      </c>
      <c r="O1970" s="6">
        <f t="shared" ca="1" si="274"/>
        <v>6</v>
      </c>
      <c r="P1970">
        <v>4</v>
      </c>
      <c r="Q1970">
        <f t="shared" si="275"/>
        <v>36489</v>
      </c>
      <c r="R1970" s="2">
        <f t="shared" si="276"/>
        <v>18244.5</v>
      </c>
      <c r="S1970" s="2" t="str">
        <f t="shared" si="277"/>
        <v xml:space="preserve"> Not Achieved</v>
      </c>
      <c r="T1970" s="2" t="str">
        <f t="shared" si="278"/>
        <v>poor</v>
      </c>
      <c r="U1970" s="2"/>
    </row>
    <row r="1971" spans="1:21" x14ac:dyDescent="0.3">
      <c r="A1971">
        <v>1970</v>
      </c>
      <c r="B1971" t="s">
        <v>2835</v>
      </c>
      <c r="C1971" t="str">
        <f t="shared" si="270"/>
        <v>EMP_1970</v>
      </c>
      <c r="D1971" t="s">
        <v>15</v>
      </c>
      <c r="E1971" t="str">
        <f t="shared" si="271"/>
        <v>EMP_1970Sales</v>
      </c>
      <c r="F1971" t="s">
        <v>7</v>
      </c>
      <c r="G1971" t="s">
        <v>13</v>
      </c>
      <c r="H1971">
        <v>54884</v>
      </c>
      <c r="I1971">
        <v>6794</v>
      </c>
      <c r="J1971">
        <v>286266</v>
      </c>
      <c r="K1971">
        <v>234111</v>
      </c>
      <c r="L1971" s="4">
        <v>43770</v>
      </c>
      <c r="M1971" s="4" t="str">
        <f t="shared" si="272"/>
        <v>2019</v>
      </c>
      <c r="N1971" s="1">
        <f t="shared" ca="1" si="273"/>
        <v>46064</v>
      </c>
      <c r="O1971" s="6">
        <f t="shared" ca="1" si="274"/>
        <v>6</v>
      </c>
      <c r="P1971">
        <v>1</v>
      </c>
      <c r="Q1971">
        <f t="shared" si="275"/>
        <v>61678</v>
      </c>
      <c r="R1971" s="2">
        <f t="shared" si="276"/>
        <v>30839</v>
      </c>
      <c r="S1971" s="2" t="str">
        <f t="shared" si="277"/>
        <v>Achieved</v>
      </c>
      <c r="T1971" s="2" t="str">
        <f t="shared" si="278"/>
        <v xml:space="preserve"> Excellent</v>
      </c>
      <c r="U1971" s="2"/>
    </row>
    <row r="1972" spans="1:21" x14ac:dyDescent="0.3">
      <c r="A1972">
        <v>1971</v>
      </c>
      <c r="B1972" t="s">
        <v>2836</v>
      </c>
      <c r="C1972" t="str">
        <f t="shared" si="270"/>
        <v>EMP_1971</v>
      </c>
      <c r="D1972" t="s">
        <v>11</v>
      </c>
      <c r="E1972" t="str">
        <f t="shared" si="271"/>
        <v>EMP_1971Marketing</v>
      </c>
      <c r="F1972" t="s">
        <v>24</v>
      </c>
      <c r="G1972" t="s">
        <v>19</v>
      </c>
      <c r="H1972">
        <v>53827</v>
      </c>
      <c r="I1972">
        <v>2246</v>
      </c>
      <c r="J1972">
        <v>0</v>
      </c>
      <c r="K1972">
        <v>0</v>
      </c>
      <c r="L1972" s="4" t="s">
        <v>2519</v>
      </c>
      <c r="M1972" s="4" t="str">
        <f t="shared" si="272"/>
        <v>5/24/2019</v>
      </c>
      <c r="N1972" s="1">
        <f t="shared" ca="1" si="273"/>
        <v>46064</v>
      </c>
      <c r="O1972" s="6" t="e">
        <f t="shared" ca="1" si="274"/>
        <v>#VALUE!</v>
      </c>
      <c r="P1972">
        <v>4</v>
      </c>
      <c r="Q1972">
        <f t="shared" si="275"/>
        <v>56073</v>
      </c>
      <c r="R1972" s="2">
        <f t="shared" si="276"/>
        <v>28036.5</v>
      </c>
      <c r="S1972" s="2" t="str">
        <f t="shared" si="277"/>
        <v xml:space="preserve"> Not Achieved</v>
      </c>
      <c r="T1972" s="2" t="str">
        <f t="shared" si="278"/>
        <v xml:space="preserve"> Excellent</v>
      </c>
      <c r="U1972" s="2"/>
    </row>
    <row r="1973" spans="1:21" x14ac:dyDescent="0.3">
      <c r="A1973">
        <v>1972</v>
      </c>
      <c r="B1973" t="s">
        <v>2837</v>
      </c>
      <c r="C1973" t="str">
        <f t="shared" si="270"/>
        <v>EMP_1972</v>
      </c>
      <c r="D1973" t="s">
        <v>15</v>
      </c>
      <c r="E1973" t="str">
        <f t="shared" si="271"/>
        <v>EMP_1972Sales</v>
      </c>
      <c r="F1973" t="s">
        <v>7</v>
      </c>
      <c r="G1973" t="s">
        <v>13</v>
      </c>
      <c r="H1973">
        <v>45351</v>
      </c>
      <c r="I1973">
        <v>2765</v>
      </c>
      <c r="J1973">
        <v>297951</v>
      </c>
      <c r="K1973">
        <v>110779</v>
      </c>
      <c r="L1973" s="4" t="s">
        <v>2601</v>
      </c>
      <c r="M1973" s="4" t="str">
        <f t="shared" si="272"/>
        <v>10/23/2022</v>
      </c>
      <c r="N1973" s="1">
        <f t="shared" ca="1" si="273"/>
        <v>46064</v>
      </c>
      <c r="O1973" s="6" t="e">
        <f t="shared" ca="1" si="274"/>
        <v>#VALUE!</v>
      </c>
      <c r="P1973">
        <v>5</v>
      </c>
      <c r="Q1973">
        <f t="shared" si="275"/>
        <v>48116</v>
      </c>
      <c r="R1973" s="2">
        <f t="shared" si="276"/>
        <v>24058</v>
      </c>
      <c r="S1973" s="2" t="str">
        <f t="shared" si="277"/>
        <v>Achieved</v>
      </c>
      <c r="T1973" s="2" t="str">
        <f t="shared" si="278"/>
        <v>Good</v>
      </c>
      <c r="U1973" s="2"/>
    </row>
    <row r="1974" spans="1:21" x14ac:dyDescent="0.3">
      <c r="A1974">
        <v>1973</v>
      </c>
      <c r="B1974" t="s">
        <v>2838</v>
      </c>
      <c r="C1974" t="str">
        <f t="shared" si="270"/>
        <v>EMP_1973</v>
      </c>
      <c r="D1974" t="s">
        <v>15</v>
      </c>
      <c r="E1974" t="str">
        <f t="shared" si="271"/>
        <v>EMP_1973Marketing</v>
      </c>
      <c r="F1974" t="s">
        <v>24</v>
      </c>
      <c r="G1974" t="s">
        <v>22</v>
      </c>
      <c r="H1974">
        <v>72582</v>
      </c>
      <c r="I1974">
        <v>4779</v>
      </c>
      <c r="J1974">
        <v>0</v>
      </c>
      <c r="K1974">
        <v>0</v>
      </c>
      <c r="L1974" s="4" t="s">
        <v>2839</v>
      </c>
      <c r="M1974" s="4" t="str">
        <f t="shared" si="272"/>
        <v>5/23/2020</v>
      </c>
      <c r="N1974" s="1">
        <f t="shared" ca="1" si="273"/>
        <v>46064</v>
      </c>
      <c r="O1974" s="6" t="e">
        <f t="shared" ca="1" si="274"/>
        <v>#VALUE!</v>
      </c>
      <c r="P1974">
        <v>4</v>
      </c>
      <c r="Q1974">
        <f t="shared" si="275"/>
        <v>77361</v>
      </c>
      <c r="R1974" s="2">
        <f t="shared" si="276"/>
        <v>38680.5</v>
      </c>
      <c r="S1974" s="2" t="str">
        <f t="shared" si="277"/>
        <v xml:space="preserve"> Not Achieved</v>
      </c>
      <c r="T1974" s="2" t="str">
        <f t="shared" si="278"/>
        <v xml:space="preserve"> Excellent</v>
      </c>
      <c r="U1974" s="2"/>
    </row>
    <row r="1975" spans="1:21" x14ac:dyDescent="0.3">
      <c r="A1975">
        <v>1974</v>
      </c>
      <c r="B1975" t="s">
        <v>2840</v>
      </c>
      <c r="C1975" t="str">
        <f t="shared" si="270"/>
        <v>EMP_1974</v>
      </c>
      <c r="D1975" t="s">
        <v>15</v>
      </c>
      <c r="E1975" t="str">
        <f t="shared" si="271"/>
        <v>EMP_1974Marketing</v>
      </c>
      <c r="F1975" t="s">
        <v>24</v>
      </c>
      <c r="G1975" t="s">
        <v>13</v>
      </c>
      <c r="H1975">
        <v>64746</v>
      </c>
      <c r="I1975">
        <v>8689</v>
      </c>
      <c r="J1975">
        <v>0</v>
      </c>
      <c r="K1975">
        <v>0</v>
      </c>
      <c r="L1975" s="4" t="s">
        <v>2641</v>
      </c>
      <c r="M1975" s="4" t="str">
        <f t="shared" si="272"/>
        <v>3/13/2022</v>
      </c>
      <c r="N1975" s="1">
        <f t="shared" ca="1" si="273"/>
        <v>46064</v>
      </c>
      <c r="O1975" s="6" t="e">
        <f t="shared" ca="1" si="274"/>
        <v>#VALUE!</v>
      </c>
      <c r="P1975">
        <v>4</v>
      </c>
      <c r="Q1975">
        <f t="shared" si="275"/>
        <v>73435</v>
      </c>
      <c r="R1975" s="2">
        <f t="shared" si="276"/>
        <v>36717.5</v>
      </c>
      <c r="S1975" s="2" t="str">
        <f t="shared" si="277"/>
        <v xml:space="preserve"> Not Achieved</v>
      </c>
      <c r="T1975" s="2" t="str">
        <f t="shared" si="278"/>
        <v xml:space="preserve"> Excellent</v>
      </c>
      <c r="U1975" s="2"/>
    </row>
    <row r="1976" spans="1:21" x14ac:dyDescent="0.3">
      <c r="A1976">
        <v>1975</v>
      </c>
      <c r="B1976" t="s">
        <v>2841</v>
      </c>
      <c r="C1976" t="str">
        <f t="shared" si="270"/>
        <v>EMP_1975</v>
      </c>
      <c r="D1976" t="s">
        <v>15</v>
      </c>
      <c r="E1976" t="str">
        <f t="shared" si="271"/>
        <v>EMP_1975Finance</v>
      </c>
      <c r="F1976" t="s">
        <v>18</v>
      </c>
      <c r="G1976" t="s">
        <v>13</v>
      </c>
      <c r="H1976">
        <v>51118</v>
      </c>
      <c r="I1976">
        <v>14623</v>
      </c>
      <c r="J1976">
        <v>0</v>
      </c>
      <c r="K1976">
        <v>0</v>
      </c>
      <c r="L1976" s="4" t="s">
        <v>2842</v>
      </c>
      <c r="M1976" s="4" t="str">
        <f t="shared" si="272"/>
        <v>3/29/2019</v>
      </c>
      <c r="N1976" s="1">
        <f t="shared" ca="1" si="273"/>
        <v>46064</v>
      </c>
      <c r="O1976" s="6" t="e">
        <f t="shared" ca="1" si="274"/>
        <v>#VALUE!</v>
      </c>
      <c r="P1976">
        <v>2</v>
      </c>
      <c r="Q1976">
        <f t="shared" si="275"/>
        <v>65741</v>
      </c>
      <c r="R1976" s="2">
        <f t="shared" si="276"/>
        <v>32870.5</v>
      </c>
      <c r="S1976" s="2" t="str">
        <f t="shared" si="277"/>
        <v xml:space="preserve"> Not Achieved</v>
      </c>
      <c r="T1976" s="2" t="str">
        <f t="shared" si="278"/>
        <v xml:space="preserve"> Excellent</v>
      </c>
      <c r="U1976" s="2"/>
    </row>
    <row r="1977" spans="1:21" x14ac:dyDescent="0.3">
      <c r="A1977">
        <v>1976</v>
      </c>
      <c r="B1977" t="s">
        <v>2843</v>
      </c>
      <c r="C1977" t="str">
        <f t="shared" si="270"/>
        <v>EMP_1976</v>
      </c>
      <c r="D1977" t="s">
        <v>11</v>
      </c>
      <c r="E1977" t="str">
        <f t="shared" si="271"/>
        <v>EMP_1976Marketing</v>
      </c>
      <c r="F1977" t="s">
        <v>24</v>
      </c>
      <c r="G1977" t="s">
        <v>16</v>
      </c>
      <c r="H1977">
        <v>36679</v>
      </c>
      <c r="I1977">
        <v>14986</v>
      </c>
      <c r="J1977">
        <v>0</v>
      </c>
      <c r="K1977">
        <v>0</v>
      </c>
      <c r="L1977" s="4">
        <v>44838</v>
      </c>
      <c r="M1977" s="4" t="str">
        <f t="shared" si="272"/>
        <v>2022</v>
      </c>
      <c r="N1977" s="1">
        <f t="shared" ca="1" si="273"/>
        <v>46064</v>
      </c>
      <c r="O1977" s="6">
        <f t="shared" ca="1" si="274"/>
        <v>3</v>
      </c>
      <c r="P1977">
        <v>3</v>
      </c>
      <c r="Q1977">
        <f t="shared" si="275"/>
        <v>51665</v>
      </c>
      <c r="R1977" s="2">
        <f t="shared" si="276"/>
        <v>25832.5</v>
      </c>
      <c r="S1977" s="2" t="str">
        <f t="shared" si="277"/>
        <v xml:space="preserve"> Not Achieved</v>
      </c>
      <c r="T1977" s="2" t="str">
        <f t="shared" si="278"/>
        <v>Average</v>
      </c>
      <c r="U1977" s="2"/>
    </row>
    <row r="1978" spans="1:21" x14ac:dyDescent="0.3">
      <c r="A1978">
        <v>1977</v>
      </c>
      <c r="B1978" t="s">
        <v>2844</v>
      </c>
      <c r="C1978" t="str">
        <f t="shared" si="270"/>
        <v>EMP_1977</v>
      </c>
      <c r="D1978" t="s">
        <v>15</v>
      </c>
      <c r="E1978" t="str">
        <f t="shared" si="271"/>
        <v>EMP_1977Marketing</v>
      </c>
      <c r="F1978" t="s">
        <v>24</v>
      </c>
      <c r="G1978" t="s">
        <v>13</v>
      </c>
      <c r="H1978">
        <v>21468</v>
      </c>
      <c r="I1978">
        <v>12305</v>
      </c>
      <c r="J1978">
        <v>0</v>
      </c>
      <c r="K1978">
        <v>0</v>
      </c>
      <c r="L1978" s="4">
        <v>43143</v>
      </c>
      <c r="M1978" s="4" t="str">
        <f t="shared" si="272"/>
        <v>2018</v>
      </c>
      <c r="N1978" s="1">
        <f t="shared" ca="1" si="273"/>
        <v>46064</v>
      </c>
      <c r="O1978" s="6">
        <f t="shared" ca="1" si="274"/>
        <v>7</v>
      </c>
      <c r="P1978">
        <v>4</v>
      </c>
      <c r="Q1978">
        <f t="shared" si="275"/>
        <v>33773</v>
      </c>
      <c r="R1978" s="2">
        <f t="shared" si="276"/>
        <v>16886.5</v>
      </c>
      <c r="S1978" s="2" t="str">
        <f t="shared" si="277"/>
        <v xml:space="preserve"> Not Achieved</v>
      </c>
      <c r="T1978" s="2" t="str">
        <f t="shared" si="278"/>
        <v>poor</v>
      </c>
      <c r="U1978" s="2"/>
    </row>
    <row r="1979" spans="1:21" x14ac:dyDescent="0.3">
      <c r="A1979">
        <v>1978</v>
      </c>
      <c r="B1979" t="s">
        <v>2845</v>
      </c>
      <c r="C1979" t="str">
        <f t="shared" si="270"/>
        <v>EMP_1978</v>
      </c>
      <c r="D1979" t="s">
        <v>15</v>
      </c>
      <c r="E1979" t="str">
        <f t="shared" si="271"/>
        <v>EMP_1978IT</v>
      </c>
      <c r="F1979" t="s">
        <v>21</v>
      </c>
      <c r="G1979" t="s">
        <v>13</v>
      </c>
      <c r="H1979">
        <v>54445</v>
      </c>
      <c r="I1979">
        <v>8920</v>
      </c>
      <c r="J1979">
        <v>0</v>
      </c>
      <c r="K1979">
        <v>0</v>
      </c>
      <c r="L1979" s="4" t="s">
        <v>2231</v>
      </c>
      <c r="M1979" s="4" t="str">
        <f t="shared" si="272"/>
        <v>6/21/2024</v>
      </c>
      <c r="N1979" s="1">
        <f t="shared" ca="1" si="273"/>
        <v>46064</v>
      </c>
      <c r="O1979" s="6" t="e">
        <f t="shared" ca="1" si="274"/>
        <v>#VALUE!</v>
      </c>
      <c r="P1979">
        <v>1</v>
      </c>
      <c r="Q1979">
        <f t="shared" si="275"/>
        <v>63365</v>
      </c>
      <c r="R1979" s="2">
        <f t="shared" si="276"/>
        <v>31682.5</v>
      </c>
      <c r="S1979" s="2" t="str">
        <f t="shared" si="277"/>
        <v xml:space="preserve"> Not Achieved</v>
      </c>
      <c r="T1979" s="2" t="str">
        <f t="shared" si="278"/>
        <v xml:space="preserve"> Excellent</v>
      </c>
      <c r="U1979" s="2"/>
    </row>
    <row r="1980" spans="1:21" x14ac:dyDescent="0.3">
      <c r="A1980">
        <v>1979</v>
      </c>
      <c r="B1980" t="s">
        <v>2846</v>
      </c>
      <c r="C1980" t="str">
        <f t="shared" si="270"/>
        <v>EMP_1979</v>
      </c>
      <c r="D1980" t="s">
        <v>15</v>
      </c>
      <c r="E1980" t="str">
        <f t="shared" si="271"/>
        <v>EMP_1979Marketing</v>
      </c>
      <c r="F1980" t="s">
        <v>24</v>
      </c>
      <c r="G1980" t="s">
        <v>16</v>
      </c>
      <c r="H1980">
        <v>44457</v>
      </c>
      <c r="I1980">
        <v>11358</v>
      </c>
      <c r="J1980">
        <v>0</v>
      </c>
      <c r="K1980">
        <v>0</v>
      </c>
      <c r="L1980" s="4" t="s">
        <v>1804</v>
      </c>
      <c r="M1980" s="4" t="str">
        <f t="shared" si="272"/>
        <v>3/23/2021</v>
      </c>
      <c r="N1980" s="1">
        <f t="shared" ca="1" si="273"/>
        <v>46064</v>
      </c>
      <c r="O1980" s="6" t="e">
        <f t="shared" ca="1" si="274"/>
        <v>#VALUE!</v>
      </c>
      <c r="P1980">
        <v>2</v>
      </c>
      <c r="Q1980">
        <f t="shared" si="275"/>
        <v>55815</v>
      </c>
      <c r="R1980" s="2">
        <f t="shared" si="276"/>
        <v>27907.5</v>
      </c>
      <c r="S1980" s="2" t="str">
        <f t="shared" si="277"/>
        <v xml:space="preserve"> Not Achieved</v>
      </c>
      <c r="T1980" s="2" t="str">
        <f t="shared" si="278"/>
        <v>Good</v>
      </c>
      <c r="U1980" s="2"/>
    </row>
    <row r="1981" spans="1:21" x14ac:dyDescent="0.3">
      <c r="A1981">
        <v>1980</v>
      </c>
      <c r="B1981" t="s">
        <v>2847</v>
      </c>
      <c r="C1981" t="str">
        <f t="shared" si="270"/>
        <v>EMP_1980</v>
      </c>
      <c r="D1981" t="s">
        <v>11</v>
      </c>
      <c r="E1981" t="str">
        <f t="shared" si="271"/>
        <v>EMP_1980IT</v>
      </c>
      <c r="F1981" t="s">
        <v>21</v>
      </c>
      <c r="G1981" t="s">
        <v>25</v>
      </c>
      <c r="H1981">
        <v>26092</v>
      </c>
      <c r="I1981">
        <v>11673</v>
      </c>
      <c r="J1981">
        <v>0</v>
      </c>
      <c r="K1981">
        <v>0</v>
      </c>
      <c r="L1981" s="4" t="s">
        <v>435</v>
      </c>
      <c r="M1981" s="4" t="str">
        <f t="shared" si="272"/>
        <v>3/28/2021</v>
      </c>
      <c r="N1981" s="1">
        <f t="shared" ca="1" si="273"/>
        <v>46064</v>
      </c>
      <c r="O1981" s="6" t="e">
        <f t="shared" ca="1" si="274"/>
        <v>#VALUE!</v>
      </c>
      <c r="P1981">
        <v>2</v>
      </c>
      <c r="Q1981">
        <f t="shared" si="275"/>
        <v>37765</v>
      </c>
      <c r="R1981" s="2">
        <f t="shared" si="276"/>
        <v>18882.5</v>
      </c>
      <c r="S1981" s="2" t="str">
        <f t="shared" si="277"/>
        <v xml:space="preserve"> Not Achieved</v>
      </c>
      <c r="T1981" s="2" t="str">
        <f t="shared" si="278"/>
        <v>poor</v>
      </c>
      <c r="U1981" s="2"/>
    </row>
    <row r="1982" spans="1:21" x14ac:dyDescent="0.3">
      <c r="A1982">
        <v>1981</v>
      </c>
      <c r="B1982" t="s">
        <v>2848</v>
      </c>
      <c r="C1982" t="str">
        <f t="shared" si="270"/>
        <v>EMP_1981</v>
      </c>
      <c r="D1982" t="s">
        <v>11</v>
      </c>
      <c r="E1982" t="str">
        <f t="shared" si="271"/>
        <v>EMP_1981Sales</v>
      </c>
      <c r="F1982" t="s">
        <v>7</v>
      </c>
      <c r="G1982" t="s">
        <v>13</v>
      </c>
      <c r="H1982">
        <v>32127</v>
      </c>
      <c r="I1982">
        <v>12066</v>
      </c>
      <c r="J1982">
        <v>125653</v>
      </c>
      <c r="K1982">
        <v>239861</v>
      </c>
      <c r="L1982" s="4">
        <v>45631</v>
      </c>
      <c r="M1982" s="4" t="str">
        <f t="shared" si="272"/>
        <v>2024</v>
      </c>
      <c r="N1982" s="1">
        <f t="shared" ca="1" si="273"/>
        <v>46064</v>
      </c>
      <c r="O1982" s="6">
        <f t="shared" ca="1" si="274"/>
        <v>1</v>
      </c>
      <c r="P1982">
        <v>4</v>
      </c>
      <c r="Q1982">
        <f t="shared" si="275"/>
        <v>44193</v>
      </c>
      <c r="R1982" s="2">
        <f t="shared" si="276"/>
        <v>22096.5</v>
      </c>
      <c r="S1982" s="2" t="str">
        <f t="shared" si="277"/>
        <v xml:space="preserve"> Not Achieved</v>
      </c>
      <c r="T1982" s="2" t="str">
        <f t="shared" si="278"/>
        <v>Average</v>
      </c>
      <c r="U1982" s="2"/>
    </row>
    <row r="1983" spans="1:21" x14ac:dyDescent="0.3">
      <c r="A1983">
        <v>1982</v>
      </c>
      <c r="B1983" t="s">
        <v>2849</v>
      </c>
      <c r="C1983" t="str">
        <f t="shared" si="270"/>
        <v>EMP_1982</v>
      </c>
      <c r="D1983" t="s">
        <v>15</v>
      </c>
      <c r="E1983" t="str">
        <f t="shared" si="271"/>
        <v>EMP_1982Marketing</v>
      </c>
      <c r="F1983" t="s">
        <v>24</v>
      </c>
      <c r="G1983" t="s">
        <v>19</v>
      </c>
      <c r="H1983">
        <v>42931</v>
      </c>
      <c r="I1983">
        <v>6737</v>
      </c>
      <c r="J1983">
        <v>0</v>
      </c>
      <c r="K1983">
        <v>0</v>
      </c>
      <c r="L1983" s="4" t="s">
        <v>201</v>
      </c>
      <c r="M1983" s="4" t="str">
        <f t="shared" si="272"/>
        <v>3/30/2023</v>
      </c>
      <c r="N1983" s="1">
        <f t="shared" ca="1" si="273"/>
        <v>46064</v>
      </c>
      <c r="O1983" s="6" t="e">
        <f t="shared" ca="1" si="274"/>
        <v>#VALUE!</v>
      </c>
      <c r="P1983">
        <v>4</v>
      </c>
      <c r="Q1983">
        <f t="shared" si="275"/>
        <v>49668</v>
      </c>
      <c r="R1983" s="2">
        <f t="shared" si="276"/>
        <v>24834</v>
      </c>
      <c r="S1983" s="2" t="str">
        <f t="shared" si="277"/>
        <v xml:space="preserve"> Not Achieved</v>
      </c>
      <c r="T1983" s="2" t="str">
        <f t="shared" si="278"/>
        <v>Good</v>
      </c>
      <c r="U1983" s="2"/>
    </row>
    <row r="1984" spans="1:21" x14ac:dyDescent="0.3">
      <c r="A1984">
        <v>1983</v>
      </c>
      <c r="B1984" t="s">
        <v>2850</v>
      </c>
      <c r="C1984" t="str">
        <f t="shared" si="270"/>
        <v>EMP_1983</v>
      </c>
      <c r="D1984" t="s">
        <v>11</v>
      </c>
      <c r="E1984" t="str">
        <f t="shared" si="271"/>
        <v>EMP_1983Sales</v>
      </c>
      <c r="F1984" t="s">
        <v>7</v>
      </c>
      <c r="G1984" t="s">
        <v>19</v>
      </c>
      <c r="H1984">
        <v>22951</v>
      </c>
      <c r="I1984">
        <v>5287</v>
      </c>
      <c r="J1984">
        <v>160454</v>
      </c>
      <c r="K1984">
        <v>180873</v>
      </c>
      <c r="L1984" s="4">
        <v>44471</v>
      </c>
      <c r="M1984" s="4" t="str">
        <f t="shared" si="272"/>
        <v>2021</v>
      </c>
      <c r="N1984" s="1">
        <f t="shared" ca="1" si="273"/>
        <v>46064</v>
      </c>
      <c r="O1984" s="6">
        <f t="shared" ca="1" si="274"/>
        <v>4</v>
      </c>
      <c r="P1984">
        <v>3</v>
      </c>
      <c r="Q1984">
        <f t="shared" si="275"/>
        <v>28238</v>
      </c>
      <c r="R1984" s="2">
        <f t="shared" si="276"/>
        <v>14119</v>
      </c>
      <c r="S1984" s="2" t="str">
        <f t="shared" si="277"/>
        <v xml:space="preserve"> Not Achieved</v>
      </c>
      <c r="T1984" s="2" t="str">
        <f t="shared" si="278"/>
        <v>poor</v>
      </c>
      <c r="U1984" s="2"/>
    </row>
    <row r="1985" spans="1:21" x14ac:dyDescent="0.3">
      <c r="A1985">
        <v>1984</v>
      </c>
      <c r="B1985" t="s">
        <v>2851</v>
      </c>
      <c r="C1985" t="str">
        <f t="shared" si="270"/>
        <v>EMP_1984</v>
      </c>
      <c r="D1985" t="s">
        <v>11</v>
      </c>
      <c r="E1985" t="str">
        <f t="shared" si="271"/>
        <v>EMP_1984HR</v>
      </c>
      <c r="F1985" t="s">
        <v>12</v>
      </c>
      <c r="G1985" t="s">
        <v>19</v>
      </c>
      <c r="H1985">
        <v>56939</v>
      </c>
      <c r="I1985">
        <v>10379</v>
      </c>
      <c r="J1985">
        <v>0</v>
      </c>
      <c r="K1985">
        <v>0</v>
      </c>
      <c r="L1985" s="4">
        <v>44017</v>
      </c>
      <c r="M1985" s="4" t="str">
        <f t="shared" si="272"/>
        <v>2020</v>
      </c>
      <c r="N1985" s="1">
        <f t="shared" ca="1" si="273"/>
        <v>46064</v>
      </c>
      <c r="O1985" s="6">
        <f t="shared" ca="1" si="274"/>
        <v>5</v>
      </c>
      <c r="P1985">
        <v>1</v>
      </c>
      <c r="Q1985">
        <f t="shared" si="275"/>
        <v>67318</v>
      </c>
      <c r="R1985" s="2">
        <f t="shared" si="276"/>
        <v>33659</v>
      </c>
      <c r="S1985" s="2" t="str">
        <f t="shared" si="277"/>
        <v xml:space="preserve"> Not Achieved</v>
      </c>
      <c r="T1985" s="2" t="str">
        <f t="shared" si="278"/>
        <v xml:space="preserve"> Excellent</v>
      </c>
      <c r="U1985" s="2"/>
    </row>
    <row r="1986" spans="1:21" x14ac:dyDescent="0.3">
      <c r="A1986">
        <v>1985</v>
      </c>
      <c r="B1986" t="s">
        <v>2852</v>
      </c>
      <c r="C1986" t="str">
        <f t="shared" si="270"/>
        <v>EMP_1985</v>
      </c>
      <c r="D1986" t="s">
        <v>15</v>
      </c>
      <c r="E1986" t="str">
        <f t="shared" si="271"/>
        <v>EMP_1985HR</v>
      </c>
      <c r="F1986" t="s">
        <v>12</v>
      </c>
      <c r="G1986" t="s">
        <v>22</v>
      </c>
      <c r="H1986">
        <v>69453</v>
      </c>
      <c r="I1986">
        <v>9551</v>
      </c>
      <c r="J1986">
        <v>0</v>
      </c>
      <c r="K1986">
        <v>0</v>
      </c>
      <c r="L1986" s="4">
        <v>45112</v>
      </c>
      <c r="M1986" s="4" t="str">
        <f t="shared" si="272"/>
        <v>2023</v>
      </c>
      <c r="N1986" s="1">
        <f t="shared" ca="1" si="273"/>
        <v>46064</v>
      </c>
      <c r="O1986" s="6">
        <f t="shared" ca="1" si="274"/>
        <v>2</v>
      </c>
      <c r="P1986">
        <v>5</v>
      </c>
      <c r="Q1986">
        <f t="shared" si="275"/>
        <v>79004</v>
      </c>
      <c r="R1986" s="2">
        <f t="shared" si="276"/>
        <v>39502</v>
      </c>
      <c r="S1986" s="2" t="str">
        <f t="shared" si="277"/>
        <v xml:space="preserve"> Not Achieved</v>
      </c>
      <c r="T1986" s="2" t="str">
        <f t="shared" si="278"/>
        <v xml:space="preserve"> Excellent</v>
      </c>
      <c r="U1986" s="2"/>
    </row>
    <row r="1987" spans="1:21" x14ac:dyDescent="0.3">
      <c r="A1987">
        <v>1986</v>
      </c>
      <c r="B1987" t="s">
        <v>2853</v>
      </c>
      <c r="C1987" t="str">
        <f t="shared" ref="C1987:C2050" si="279">UPPER(B1987)</f>
        <v>EMP_1986</v>
      </c>
      <c r="D1987" t="s">
        <v>15</v>
      </c>
      <c r="E1987" t="str">
        <f t="shared" ref="E1987:E2050" si="280">_xlfn.CONCAT(C1987,F1987)</f>
        <v>EMP_1986Marketing</v>
      </c>
      <c r="F1987" t="s">
        <v>24</v>
      </c>
      <c r="G1987" t="s">
        <v>19</v>
      </c>
      <c r="H1987">
        <v>67039</v>
      </c>
      <c r="I1987">
        <v>5900</v>
      </c>
      <c r="J1987">
        <v>0</v>
      </c>
      <c r="K1987">
        <v>0</v>
      </c>
      <c r="L1987" s="4" t="s">
        <v>2854</v>
      </c>
      <c r="M1987" s="4" t="str">
        <f t="shared" ref="M1987:M2050" si="281">TEXT(L1987,"yyyy")</f>
        <v>1/15/2023</v>
      </c>
      <c r="N1987" s="1">
        <f t="shared" ref="N1987:N2050" ca="1" si="282">TODAY()</f>
        <v>46064</v>
      </c>
      <c r="O1987" s="6" t="e">
        <f t="shared" ref="O1987:O2050" ca="1" si="283">DATEDIF(L1987, TODAY(), "y")</f>
        <v>#VALUE!</v>
      </c>
      <c r="P1987">
        <v>3</v>
      </c>
      <c r="Q1987">
        <f t="shared" ref="Q1987:Q2050" si="284">SUM(H1987,I1987)</f>
        <v>72939</v>
      </c>
      <c r="R1987" s="2">
        <f t="shared" ref="R1987:R2050" si="285">AVERAGE(H1987,I1987)</f>
        <v>36469.5</v>
      </c>
      <c r="S1987" s="2" t="str">
        <f t="shared" ref="S1987:S2050" si="286">IF(J1987&gt;K1987,"Achieved"," Not Achieved")</f>
        <v xml:space="preserve"> Not Achieved</v>
      </c>
      <c r="T1987" s="2" t="str">
        <f t="shared" ref="T1987:T2050" si="287">_xlfn.IFS(H1987&gt;=50000," Excellent",H1987&gt;=40000,"Good",H1987&gt;=30000,"Average",H1987&lt;30000,"poor")</f>
        <v xml:space="preserve"> Excellent</v>
      </c>
      <c r="U1987" s="2"/>
    </row>
    <row r="1988" spans="1:21" x14ac:dyDescent="0.3">
      <c r="A1988">
        <v>1987</v>
      </c>
      <c r="B1988" t="s">
        <v>2855</v>
      </c>
      <c r="C1988" t="str">
        <f t="shared" si="279"/>
        <v>EMP_1987</v>
      </c>
      <c r="D1988" t="s">
        <v>15</v>
      </c>
      <c r="E1988" t="str">
        <f t="shared" si="280"/>
        <v>EMP_1987HR</v>
      </c>
      <c r="F1988" t="s">
        <v>12</v>
      </c>
      <c r="G1988" t="s">
        <v>19</v>
      </c>
      <c r="H1988">
        <v>20184</v>
      </c>
      <c r="I1988">
        <v>5064</v>
      </c>
      <c r="J1988">
        <v>0</v>
      </c>
      <c r="K1988">
        <v>0</v>
      </c>
      <c r="L1988" s="4">
        <v>45293</v>
      </c>
      <c r="M1988" s="4" t="str">
        <f t="shared" si="281"/>
        <v>2024</v>
      </c>
      <c r="N1988" s="1">
        <f t="shared" ca="1" si="282"/>
        <v>46064</v>
      </c>
      <c r="O1988" s="6">
        <f t="shared" ca="1" si="283"/>
        <v>2</v>
      </c>
      <c r="P1988">
        <v>1</v>
      </c>
      <c r="Q1988">
        <f t="shared" si="284"/>
        <v>25248</v>
      </c>
      <c r="R1988" s="2">
        <f t="shared" si="285"/>
        <v>12624</v>
      </c>
      <c r="S1988" s="2" t="str">
        <f t="shared" si="286"/>
        <v xml:space="preserve"> Not Achieved</v>
      </c>
      <c r="T1988" s="2" t="str">
        <f t="shared" si="287"/>
        <v>poor</v>
      </c>
      <c r="U1988" s="2"/>
    </row>
    <row r="1989" spans="1:21" x14ac:dyDescent="0.3">
      <c r="A1989">
        <v>1988</v>
      </c>
      <c r="B1989" t="s">
        <v>2856</v>
      </c>
      <c r="C1989" t="str">
        <f t="shared" si="279"/>
        <v>EMP_1988</v>
      </c>
      <c r="D1989" t="s">
        <v>11</v>
      </c>
      <c r="E1989" t="str">
        <f t="shared" si="280"/>
        <v>EMP_1988Marketing</v>
      </c>
      <c r="F1989" t="s">
        <v>24</v>
      </c>
      <c r="G1989" t="s">
        <v>22</v>
      </c>
      <c r="H1989">
        <v>28846</v>
      </c>
      <c r="I1989">
        <v>9354</v>
      </c>
      <c r="J1989">
        <v>0</v>
      </c>
      <c r="K1989">
        <v>0</v>
      </c>
      <c r="L1989" s="4" t="s">
        <v>1379</v>
      </c>
      <c r="M1989" s="4" t="str">
        <f t="shared" si="281"/>
        <v>2/19/2019</v>
      </c>
      <c r="N1989" s="1">
        <f t="shared" ca="1" si="282"/>
        <v>46064</v>
      </c>
      <c r="O1989" s="6" t="e">
        <f t="shared" ca="1" si="283"/>
        <v>#VALUE!</v>
      </c>
      <c r="P1989">
        <v>5</v>
      </c>
      <c r="Q1989">
        <f t="shared" si="284"/>
        <v>38200</v>
      </c>
      <c r="R1989" s="2">
        <f t="shared" si="285"/>
        <v>19100</v>
      </c>
      <c r="S1989" s="2" t="str">
        <f t="shared" si="286"/>
        <v xml:space="preserve"> Not Achieved</v>
      </c>
      <c r="T1989" s="2" t="str">
        <f t="shared" si="287"/>
        <v>poor</v>
      </c>
      <c r="U1989" s="2"/>
    </row>
    <row r="1990" spans="1:21" x14ac:dyDescent="0.3">
      <c r="A1990">
        <v>1989</v>
      </c>
      <c r="B1990" t="s">
        <v>2857</v>
      </c>
      <c r="C1990" t="str">
        <f t="shared" si="279"/>
        <v>EMP_1989</v>
      </c>
      <c r="D1990" t="s">
        <v>15</v>
      </c>
      <c r="E1990" t="str">
        <f t="shared" si="280"/>
        <v>EMP_1989Finance</v>
      </c>
      <c r="F1990" t="s">
        <v>18</v>
      </c>
      <c r="G1990" t="s">
        <v>19</v>
      </c>
      <c r="H1990">
        <v>70469</v>
      </c>
      <c r="I1990">
        <v>9987</v>
      </c>
      <c r="J1990">
        <v>0</v>
      </c>
      <c r="K1990">
        <v>0</v>
      </c>
      <c r="L1990" s="4" t="s">
        <v>2858</v>
      </c>
      <c r="M1990" s="4" t="str">
        <f t="shared" si="281"/>
        <v>2/18/2019</v>
      </c>
      <c r="N1990" s="1">
        <f t="shared" ca="1" si="282"/>
        <v>46064</v>
      </c>
      <c r="O1990" s="6" t="e">
        <f t="shared" ca="1" si="283"/>
        <v>#VALUE!</v>
      </c>
      <c r="P1990">
        <v>5</v>
      </c>
      <c r="Q1990">
        <f t="shared" si="284"/>
        <v>80456</v>
      </c>
      <c r="R1990" s="2">
        <f t="shared" si="285"/>
        <v>40228</v>
      </c>
      <c r="S1990" s="2" t="str">
        <f t="shared" si="286"/>
        <v xml:space="preserve"> Not Achieved</v>
      </c>
      <c r="T1990" s="2" t="str">
        <f t="shared" si="287"/>
        <v xml:space="preserve"> Excellent</v>
      </c>
      <c r="U1990" s="2"/>
    </row>
    <row r="1991" spans="1:21" x14ac:dyDescent="0.3">
      <c r="A1991">
        <v>1990</v>
      </c>
      <c r="B1991" t="s">
        <v>2859</v>
      </c>
      <c r="C1991" t="str">
        <f t="shared" si="279"/>
        <v>EMP_1990</v>
      </c>
      <c r="D1991" t="s">
        <v>15</v>
      </c>
      <c r="E1991" t="str">
        <f t="shared" si="280"/>
        <v>EMP_1990Finance</v>
      </c>
      <c r="F1991" t="s">
        <v>18</v>
      </c>
      <c r="G1991" t="s">
        <v>25</v>
      </c>
      <c r="H1991">
        <v>43245</v>
      </c>
      <c r="I1991">
        <v>7775</v>
      </c>
      <c r="J1991">
        <v>0</v>
      </c>
      <c r="K1991">
        <v>0</v>
      </c>
      <c r="L1991" s="4" t="s">
        <v>2860</v>
      </c>
      <c r="M1991" s="4" t="str">
        <f t="shared" si="281"/>
        <v>11/25/2019</v>
      </c>
      <c r="N1991" s="1">
        <f t="shared" ca="1" si="282"/>
        <v>46064</v>
      </c>
      <c r="O1991" s="6" t="e">
        <f t="shared" ca="1" si="283"/>
        <v>#VALUE!</v>
      </c>
      <c r="P1991">
        <v>3</v>
      </c>
      <c r="Q1991">
        <f t="shared" si="284"/>
        <v>51020</v>
      </c>
      <c r="R1991" s="2">
        <f t="shared" si="285"/>
        <v>25510</v>
      </c>
      <c r="S1991" s="2" t="str">
        <f t="shared" si="286"/>
        <v xml:space="preserve"> Not Achieved</v>
      </c>
      <c r="T1991" s="2" t="str">
        <f t="shared" si="287"/>
        <v>Good</v>
      </c>
      <c r="U1991" s="2"/>
    </row>
    <row r="1992" spans="1:21" x14ac:dyDescent="0.3">
      <c r="A1992">
        <v>1991</v>
      </c>
      <c r="B1992" t="s">
        <v>2861</v>
      </c>
      <c r="C1992" t="str">
        <f t="shared" si="279"/>
        <v>EMP_1991</v>
      </c>
      <c r="D1992" t="s">
        <v>15</v>
      </c>
      <c r="E1992" t="str">
        <f t="shared" si="280"/>
        <v>EMP_1991HR</v>
      </c>
      <c r="F1992" t="s">
        <v>12</v>
      </c>
      <c r="G1992" t="s">
        <v>19</v>
      </c>
      <c r="H1992">
        <v>61947</v>
      </c>
      <c r="I1992">
        <v>8286</v>
      </c>
      <c r="J1992">
        <v>0</v>
      </c>
      <c r="K1992">
        <v>0</v>
      </c>
      <c r="L1992" s="4" t="s">
        <v>2862</v>
      </c>
      <c r="M1992" s="4" t="str">
        <f t="shared" si="281"/>
        <v>6/20/2024</v>
      </c>
      <c r="N1992" s="1">
        <f t="shared" ca="1" si="282"/>
        <v>46064</v>
      </c>
      <c r="O1992" s="6" t="e">
        <f t="shared" ca="1" si="283"/>
        <v>#VALUE!</v>
      </c>
      <c r="P1992">
        <v>1</v>
      </c>
      <c r="Q1992">
        <f t="shared" si="284"/>
        <v>70233</v>
      </c>
      <c r="R1992" s="2">
        <f t="shared" si="285"/>
        <v>35116.5</v>
      </c>
      <c r="S1992" s="2" t="str">
        <f t="shared" si="286"/>
        <v xml:space="preserve"> Not Achieved</v>
      </c>
      <c r="T1992" s="2" t="str">
        <f t="shared" si="287"/>
        <v xml:space="preserve"> Excellent</v>
      </c>
      <c r="U1992" s="2"/>
    </row>
    <row r="1993" spans="1:21" x14ac:dyDescent="0.3">
      <c r="A1993">
        <v>1992</v>
      </c>
      <c r="B1993" t="s">
        <v>2863</v>
      </c>
      <c r="C1993" t="str">
        <f t="shared" si="279"/>
        <v>EMP_1992</v>
      </c>
      <c r="D1993" t="s">
        <v>15</v>
      </c>
      <c r="E1993" t="str">
        <f t="shared" si="280"/>
        <v>EMP_1992Marketing</v>
      </c>
      <c r="F1993" t="s">
        <v>24</v>
      </c>
      <c r="G1993" t="s">
        <v>25</v>
      </c>
      <c r="H1993">
        <v>36129</v>
      </c>
      <c r="I1993">
        <v>6069</v>
      </c>
      <c r="J1993">
        <v>0</v>
      </c>
      <c r="K1993">
        <v>0</v>
      </c>
      <c r="L1993" s="4" t="s">
        <v>2864</v>
      </c>
      <c r="M1993" s="4" t="str">
        <f t="shared" si="281"/>
        <v>12/17/2023</v>
      </c>
      <c r="N1993" s="1">
        <f t="shared" ca="1" si="282"/>
        <v>46064</v>
      </c>
      <c r="O1993" s="6" t="e">
        <f t="shared" ca="1" si="283"/>
        <v>#VALUE!</v>
      </c>
      <c r="P1993">
        <v>3</v>
      </c>
      <c r="Q1993">
        <f t="shared" si="284"/>
        <v>42198</v>
      </c>
      <c r="R1993" s="2">
        <f t="shared" si="285"/>
        <v>21099</v>
      </c>
      <c r="S1993" s="2" t="str">
        <f t="shared" si="286"/>
        <v xml:space="preserve"> Not Achieved</v>
      </c>
      <c r="T1993" s="2" t="str">
        <f t="shared" si="287"/>
        <v>Average</v>
      </c>
      <c r="U1993" s="2"/>
    </row>
    <row r="1994" spans="1:21" x14ac:dyDescent="0.3">
      <c r="A1994">
        <v>1993</v>
      </c>
      <c r="B1994" t="s">
        <v>2865</v>
      </c>
      <c r="C1994" t="str">
        <f t="shared" si="279"/>
        <v>EMP_1993</v>
      </c>
      <c r="D1994" t="s">
        <v>11</v>
      </c>
      <c r="E1994" t="str">
        <f t="shared" si="280"/>
        <v>EMP_1993Marketing</v>
      </c>
      <c r="F1994" t="s">
        <v>24</v>
      </c>
      <c r="G1994" t="s">
        <v>13</v>
      </c>
      <c r="H1994">
        <v>78740</v>
      </c>
      <c r="I1994">
        <v>3235</v>
      </c>
      <c r="J1994">
        <v>0</v>
      </c>
      <c r="K1994">
        <v>0</v>
      </c>
      <c r="L1994" s="4" t="s">
        <v>2866</v>
      </c>
      <c r="M1994" s="4" t="str">
        <f t="shared" si="281"/>
        <v>3/22/2021</v>
      </c>
      <c r="N1994" s="1">
        <f t="shared" ca="1" si="282"/>
        <v>46064</v>
      </c>
      <c r="O1994" s="6" t="e">
        <f t="shared" ca="1" si="283"/>
        <v>#VALUE!</v>
      </c>
      <c r="P1994">
        <v>4</v>
      </c>
      <c r="Q1994">
        <f t="shared" si="284"/>
        <v>81975</v>
      </c>
      <c r="R1994" s="2">
        <f t="shared" si="285"/>
        <v>40987.5</v>
      </c>
      <c r="S1994" s="2" t="str">
        <f t="shared" si="286"/>
        <v xml:space="preserve"> Not Achieved</v>
      </c>
      <c r="T1994" s="2" t="str">
        <f t="shared" si="287"/>
        <v xml:space="preserve"> Excellent</v>
      </c>
      <c r="U1994" s="2"/>
    </row>
    <row r="1995" spans="1:21" x14ac:dyDescent="0.3">
      <c r="A1995">
        <v>1994</v>
      </c>
      <c r="B1995" t="s">
        <v>2867</v>
      </c>
      <c r="C1995" t="str">
        <f t="shared" si="279"/>
        <v>EMP_1994</v>
      </c>
      <c r="D1995" t="s">
        <v>11</v>
      </c>
      <c r="E1995" t="str">
        <f t="shared" si="280"/>
        <v>EMP_1994HR</v>
      </c>
      <c r="F1995" t="s">
        <v>12</v>
      </c>
      <c r="G1995" t="s">
        <v>25</v>
      </c>
      <c r="H1995">
        <v>42069</v>
      </c>
      <c r="I1995">
        <v>10057</v>
      </c>
      <c r="J1995">
        <v>0</v>
      </c>
      <c r="K1995">
        <v>0</v>
      </c>
      <c r="L1995" s="4" t="s">
        <v>2868</v>
      </c>
      <c r="M1995" s="4" t="str">
        <f t="shared" si="281"/>
        <v>5/19/2020</v>
      </c>
      <c r="N1995" s="1">
        <f t="shared" ca="1" si="282"/>
        <v>46064</v>
      </c>
      <c r="O1995" s="6" t="e">
        <f t="shared" ca="1" si="283"/>
        <v>#VALUE!</v>
      </c>
      <c r="P1995">
        <v>5</v>
      </c>
      <c r="Q1995">
        <f t="shared" si="284"/>
        <v>52126</v>
      </c>
      <c r="R1995" s="2">
        <f t="shared" si="285"/>
        <v>26063</v>
      </c>
      <c r="S1995" s="2" t="str">
        <f t="shared" si="286"/>
        <v xml:space="preserve"> Not Achieved</v>
      </c>
      <c r="T1995" s="2" t="str">
        <f t="shared" si="287"/>
        <v>Good</v>
      </c>
      <c r="U1995" s="2"/>
    </row>
    <row r="1996" spans="1:21" x14ac:dyDescent="0.3">
      <c r="A1996">
        <v>1995</v>
      </c>
      <c r="B1996" t="s">
        <v>2869</v>
      </c>
      <c r="C1996" t="str">
        <f t="shared" si="279"/>
        <v>EMP_1995</v>
      </c>
      <c r="D1996" t="s">
        <v>11</v>
      </c>
      <c r="E1996" t="str">
        <f t="shared" si="280"/>
        <v>EMP_1995Marketing</v>
      </c>
      <c r="F1996" t="s">
        <v>24</v>
      </c>
      <c r="G1996" t="s">
        <v>19</v>
      </c>
      <c r="H1996">
        <v>27170</v>
      </c>
      <c r="I1996">
        <v>10868</v>
      </c>
      <c r="J1996">
        <v>0</v>
      </c>
      <c r="K1996">
        <v>0</v>
      </c>
      <c r="L1996" s="4">
        <v>43778</v>
      </c>
      <c r="M1996" s="4" t="str">
        <f t="shared" si="281"/>
        <v>2019</v>
      </c>
      <c r="N1996" s="1">
        <f t="shared" ca="1" si="282"/>
        <v>46064</v>
      </c>
      <c r="O1996" s="6">
        <f t="shared" ca="1" si="283"/>
        <v>6</v>
      </c>
      <c r="P1996">
        <v>2</v>
      </c>
      <c r="Q1996">
        <f t="shared" si="284"/>
        <v>38038</v>
      </c>
      <c r="R1996" s="2">
        <f t="shared" si="285"/>
        <v>19019</v>
      </c>
      <c r="S1996" s="2" t="str">
        <f t="shared" si="286"/>
        <v xml:space="preserve"> Not Achieved</v>
      </c>
      <c r="T1996" s="2" t="str">
        <f t="shared" si="287"/>
        <v>poor</v>
      </c>
      <c r="U1996" s="2"/>
    </row>
    <row r="1997" spans="1:21" x14ac:dyDescent="0.3">
      <c r="A1997">
        <v>1996</v>
      </c>
      <c r="B1997" t="s">
        <v>2870</v>
      </c>
      <c r="C1997" t="str">
        <f t="shared" si="279"/>
        <v>EMP_1996</v>
      </c>
      <c r="D1997" t="s">
        <v>15</v>
      </c>
      <c r="E1997" t="str">
        <f t="shared" si="280"/>
        <v>EMP_1996Sales</v>
      </c>
      <c r="F1997" t="s">
        <v>7</v>
      </c>
      <c r="G1997" t="s">
        <v>16</v>
      </c>
      <c r="H1997">
        <v>72702</v>
      </c>
      <c r="I1997">
        <v>13373</v>
      </c>
      <c r="J1997">
        <v>277871</v>
      </c>
      <c r="K1997">
        <v>103451</v>
      </c>
      <c r="L1997" s="4" t="s">
        <v>1148</v>
      </c>
      <c r="M1997" s="4" t="str">
        <f t="shared" si="281"/>
        <v>2/22/2018</v>
      </c>
      <c r="N1997" s="1">
        <f t="shared" ca="1" si="282"/>
        <v>46064</v>
      </c>
      <c r="O1997" s="6" t="e">
        <f t="shared" ca="1" si="283"/>
        <v>#VALUE!</v>
      </c>
      <c r="P1997">
        <v>4</v>
      </c>
      <c r="Q1997">
        <f t="shared" si="284"/>
        <v>86075</v>
      </c>
      <c r="R1997" s="2">
        <f t="shared" si="285"/>
        <v>43037.5</v>
      </c>
      <c r="S1997" s="2" t="str">
        <f t="shared" si="286"/>
        <v>Achieved</v>
      </c>
      <c r="T1997" s="2" t="str">
        <f t="shared" si="287"/>
        <v xml:space="preserve"> Excellent</v>
      </c>
      <c r="U1997" s="2"/>
    </row>
    <row r="1998" spans="1:21" x14ac:dyDescent="0.3">
      <c r="A1998">
        <v>1997</v>
      </c>
      <c r="B1998" t="s">
        <v>2871</v>
      </c>
      <c r="C1998" t="str">
        <f t="shared" si="279"/>
        <v>EMP_1997</v>
      </c>
      <c r="D1998" t="s">
        <v>15</v>
      </c>
      <c r="E1998" t="str">
        <f t="shared" si="280"/>
        <v>EMP_1997Marketing</v>
      </c>
      <c r="F1998" t="s">
        <v>24</v>
      </c>
      <c r="G1998" t="s">
        <v>13</v>
      </c>
      <c r="H1998">
        <v>49524</v>
      </c>
      <c r="I1998">
        <v>2660</v>
      </c>
      <c r="J1998">
        <v>0</v>
      </c>
      <c r="K1998">
        <v>0</v>
      </c>
      <c r="L1998" s="4" t="s">
        <v>345</v>
      </c>
      <c r="M1998" s="4" t="str">
        <f t="shared" si="281"/>
        <v>10/24/2023</v>
      </c>
      <c r="N1998" s="1">
        <f t="shared" ca="1" si="282"/>
        <v>46064</v>
      </c>
      <c r="O1998" s="6" t="e">
        <f t="shared" ca="1" si="283"/>
        <v>#VALUE!</v>
      </c>
      <c r="P1998">
        <v>5</v>
      </c>
      <c r="Q1998">
        <f t="shared" si="284"/>
        <v>52184</v>
      </c>
      <c r="R1998" s="2">
        <f t="shared" si="285"/>
        <v>26092</v>
      </c>
      <c r="S1998" s="2" t="str">
        <f t="shared" si="286"/>
        <v xml:space="preserve"> Not Achieved</v>
      </c>
      <c r="T1998" s="2" t="str">
        <f t="shared" si="287"/>
        <v>Good</v>
      </c>
      <c r="U1998" s="2"/>
    </row>
    <row r="1999" spans="1:21" x14ac:dyDescent="0.3">
      <c r="A1999">
        <v>1998</v>
      </c>
      <c r="B1999" t="s">
        <v>2872</v>
      </c>
      <c r="C1999" t="str">
        <f t="shared" si="279"/>
        <v>EMP_1998</v>
      </c>
      <c r="D1999" t="s">
        <v>11</v>
      </c>
      <c r="E1999" t="str">
        <f t="shared" si="280"/>
        <v>EMP_1998HR</v>
      </c>
      <c r="F1999" t="s">
        <v>12</v>
      </c>
      <c r="G1999" t="s">
        <v>25</v>
      </c>
      <c r="H1999">
        <v>49790</v>
      </c>
      <c r="I1999">
        <v>10436</v>
      </c>
      <c r="J1999">
        <v>0</v>
      </c>
      <c r="K1999">
        <v>0</v>
      </c>
      <c r="L1999" s="4">
        <v>44512</v>
      </c>
      <c r="M1999" s="4" t="str">
        <f t="shared" si="281"/>
        <v>2021</v>
      </c>
      <c r="N1999" s="1">
        <f t="shared" ca="1" si="282"/>
        <v>46064</v>
      </c>
      <c r="O1999" s="6">
        <f t="shared" ca="1" si="283"/>
        <v>4</v>
      </c>
      <c r="P1999">
        <v>4</v>
      </c>
      <c r="Q1999">
        <f t="shared" si="284"/>
        <v>60226</v>
      </c>
      <c r="R1999" s="2">
        <f t="shared" si="285"/>
        <v>30113</v>
      </c>
      <c r="S1999" s="2" t="str">
        <f t="shared" si="286"/>
        <v xml:space="preserve"> Not Achieved</v>
      </c>
      <c r="T1999" s="2" t="str">
        <f t="shared" si="287"/>
        <v>Good</v>
      </c>
      <c r="U1999" s="2"/>
    </row>
    <row r="2000" spans="1:21" x14ac:dyDescent="0.3">
      <c r="A2000">
        <v>1999</v>
      </c>
      <c r="B2000" t="s">
        <v>2873</v>
      </c>
      <c r="C2000" t="str">
        <f t="shared" si="279"/>
        <v>EMP_1999</v>
      </c>
      <c r="D2000" t="s">
        <v>15</v>
      </c>
      <c r="E2000" t="str">
        <f t="shared" si="280"/>
        <v>EMP_1999Finance</v>
      </c>
      <c r="F2000" t="s">
        <v>18</v>
      </c>
      <c r="G2000" t="s">
        <v>13</v>
      </c>
      <c r="H2000">
        <v>79612</v>
      </c>
      <c r="I2000">
        <v>2781</v>
      </c>
      <c r="J2000">
        <v>0</v>
      </c>
      <c r="K2000">
        <v>0</v>
      </c>
      <c r="L2000" s="4">
        <v>45237</v>
      </c>
      <c r="M2000" s="4" t="str">
        <f t="shared" si="281"/>
        <v>2023</v>
      </c>
      <c r="N2000" s="1">
        <f t="shared" ca="1" si="282"/>
        <v>46064</v>
      </c>
      <c r="O2000" s="6">
        <f t="shared" ca="1" si="283"/>
        <v>2</v>
      </c>
      <c r="P2000">
        <v>5</v>
      </c>
      <c r="Q2000">
        <f t="shared" si="284"/>
        <v>82393</v>
      </c>
      <c r="R2000" s="2">
        <f t="shared" si="285"/>
        <v>41196.5</v>
      </c>
      <c r="S2000" s="2" t="str">
        <f t="shared" si="286"/>
        <v xml:space="preserve"> Not Achieved</v>
      </c>
      <c r="T2000" s="2" t="str">
        <f t="shared" si="287"/>
        <v xml:space="preserve"> Excellent</v>
      </c>
      <c r="U2000" s="2"/>
    </row>
    <row r="2001" spans="1:21" x14ac:dyDescent="0.3">
      <c r="A2001">
        <v>2000</v>
      </c>
      <c r="B2001" t="s">
        <v>2874</v>
      </c>
      <c r="C2001" t="str">
        <f t="shared" si="279"/>
        <v>EMP_2000</v>
      </c>
      <c r="D2001" t="s">
        <v>15</v>
      </c>
      <c r="E2001" t="str">
        <f t="shared" si="280"/>
        <v>EMP_2000HR</v>
      </c>
      <c r="F2001" t="s">
        <v>12</v>
      </c>
      <c r="G2001" t="s">
        <v>19</v>
      </c>
      <c r="H2001">
        <v>34116</v>
      </c>
      <c r="I2001">
        <v>2633</v>
      </c>
      <c r="J2001">
        <v>0</v>
      </c>
      <c r="K2001">
        <v>0</v>
      </c>
      <c r="L2001" s="4" t="s">
        <v>2864</v>
      </c>
      <c r="M2001" s="4" t="str">
        <f t="shared" si="281"/>
        <v>12/17/2023</v>
      </c>
      <c r="N2001" s="1">
        <f t="shared" ca="1" si="282"/>
        <v>46064</v>
      </c>
      <c r="O2001" s="6" t="e">
        <f t="shared" ca="1" si="283"/>
        <v>#VALUE!</v>
      </c>
      <c r="P2001">
        <v>3</v>
      </c>
      <c r="Q2001">
        <f t="shared" si="284"/>
        <v>36749</v>
      </c>
      <c r="R2001" s="2">
        <f t="shared" si="285"/>
        <v>18374.5</v>
      </c>
      <c r="S2001" s="2" t="str">
        <f t="shared" si="286"/>
        <v xml:space="preserve"> Not Achieved</v>
      </c>
      <c r="T2001" s="2" t="str">
        <f t="shared" si="287"/>
        <v>Average</v>
      </c>
      <c r="U2001" s="2"/>
    </row>
    <row r="2002" spans="1:21" x14ac:dyDescent="0.3">
      <c r="A2002">
        <v>2001</v>
      </c>
      <c r="B2002" t="s">
        <v>2875</v>
      </c>
      <c r="C2002" t="str">
        <f t="shared" si="279"/>
        <v>EMP_2001</v>
      </c>
      <c r="D2002" t="s">
        <v>11</v>
      </c>
      <c r="E2002" t="str">
        <f t="shared" si="280"/>
        <v>EMP_2001Finance</v>
      </c>
      <c r="F2002" t="s">
        <v>18</v>
      </c>
      <c r="G2002" t="s">
        <v>13</v>
      </c>
      <c r="H2002">
        <v>51740</v>
      </c>
      <c r="I2002">
        <v>6011</v>
      </c>
      <c r="J2002">
        <v>0</v>
      </c>
      <c r="K2002">
        <v>0</v>
      </c>
      <c r="L2002" s="4">
        <v>44601</v>
      </c>
      <c r="M2002" s="4" t="str">
        <f t="shared" si="281"/>
        <v>2022</v>
      </c>
      <c r="N2002" s="1">
        <f t="shared" ca="1" si="282"/>
        <v>46064</v>
      </c>
      <c r="O2002" s="6">
        <f t="shared" ca="1" si="283"/>
        <v>4</v>
      </c>
      <c r="P2002">
        <v>5</v>
      </c>
      <c r="Q2002">
        <f t="shared" si="284"/>
        <v>57751</v>
      </c>
      <c r="R2002" s="2">
        <f t="shared" si="285"/>
        <v>28875.5</v>
      </c>
      <c r="S2002" s="2" t="str">
        <f t="shared" si="286"/>
        <v xml:space="preserve"> Not Achieved</v>
      </c>
      <c r="T2002" s="2" t="str">
        <f t="shared" si="287"/>
        <v xml:space="preserve"> Excellent</v>
      </c>
      <c r="U2002" s="2"/>
    </row>
    <row r="2003" spans="1:21" x14ac:dyDescent="0.3">
      <c r="A2003">
        <v>2002</v>
      </c>
      <c r="B2003" t="s">
        <v>2876</v>
      </c>
      <c r="C2003" t="str">
        <f t="shared" si="279"/>
        <v>EMP_2002</v>
      </c>
      <c r="D2003" t="s">
        <v>15</v>
      </c>
      <c r="E2003" t="str">
        <f t="shared" si="280"/>
        <v>EMP_2002HR</v>
      </c>
      <c r="F2003" t="s">
        <v>12</v>
      </c>
      <c r="G2003" t="s">
        <v>16</v>
      </c>
      <c r="H2003">
        <v>23424</v>
      </c>
      <c r="I2003">
        <v>6737</v>
      </c>
      <c r="J2003">
        <v>0</v>
      </c>
      <c r="K2003">
        <v>0</v>
      </c>
      <c r="L2003" s="4">
        <v>45358</v>
      </c>
      <c r="M2003" s="4" t="str">
        <f t="shared" si="281"/>
        <v>2024</v>
      </c>
      <c r="N2003" s="1">
        <f t="shared" ca="1" si="282"/>
        <v>46064</v>
      </c>
      <c r="O2003" s="6">
        <f t="shared" ca="1" si="283"/>
        <v>1</v>
      </c>
      <c r="P2003">
        <v>5</v>
      </c>
      <c r="Q2003">
        <f t="shared" si="284"/>
        <v>30161</v>
      </c>
      <c r="R2003" s="2">
        <f t="shared" si="285"/>
        <v>15080.5</v>
      </c>
      <c r="S2003" s="2" t="str">
        <f t="shared" si="286"/>
        <v xml:space="preserve"> Not Achieved</v>
      </c>
      <c r="T2003" s="2" t="str">
        <f t="shared" si="287"/>
        <v>poor</v>
      </c>
      <c r="U2003" s="2"/>
    </row>
    <row r="2004" spans="1:21" x14ac:dyDescent="0.3">
      <c r="A2004">
        <v>2003</v>
      </c>
      <c r="B2004" t="s">
        <v>2877</v>
      </c>
      <c r="C2004" t="str">
        <f t="shared" si="279"/>
        <v>EMP_2003</v>
      </c>
      <c r="D2004" t="s">
        <v>15</v>
      </c>
      <c r="E2004" t="str">
        <f t="shared" si="280"/>
        <v>EMP_2003HR</v>
      </c>
      <c r="F2004" t="s">
        <v>12</v>
      </c>
      <c r="G2004" t="s">
        <v>19</v>
      </c>
      <c r="H2004">
        <v>47559</v>
      </c>
      <c r="I2004">
        <v>8700</v>
      </c>
      <c r="J2004">
        <v>0</v>
      </c>
      <c r="K2004">
        <v>0</v>
      </c>
      <c r="L2004" s="4" t="s">
        <v>1907</v>
      </c>
      <c r="M2004" s="4" t="str">
        <f t="shared" si="281"/>
        <v>7/31/2024</v>
      </c>
      <c r="N2004" s="1">
        <f t="shared" ca="1" si="282"/>
        <v>46064</v>
      </c>
      <c r="O2004" s="6" t="e">
        <f t="shared" ca="1" si="283"/>
        <v>#VALUE!</v>
      </c>
      <c r="P2004">
        <v>5</v>
      </c>
      <c r="Q2004">
        <f t="shared" si="284"/>
        <v>56259</v>
      </c>
      <c r="R2004" s="2">
        <f t="shared" si="285"/>
        <v>28129.5</v>
      </c>
      <c r="S2004" s="2" t="str">
        <f t="shared" si="286"/>
        <v xml:space="preserve"> Not Achieved</v>
      </c>
      <c r="T2004" s="2" t="str">
        <f t="shared" si="287"/>
        <v>Good</v>
      </c>
      <c r="U2004" s="2"/>
    </row>
    <row r="2005" spans="1:21" x14ac:dyDescent="0.3">
      <c r="A2005">
        <v>2004</v>
      </c>
      <c r="B2005" t="s">
        <v>2878</v>
      </c>
      <c r="C2005" t="str">
        <f t="shared" si="279"/>
        <v>EMP_2004</v>
      </c>
      <c r="D2005" t="s">
        <v>11</v>
      </c>
      <c r="E2005" t="str">
        <f t="shared" si="280"/>
        <v>EMP_2004Finance</v>
      </c>
      <c r="F2005" t="s">
        <v>18</v>
      </c>
      <c r="G2005" t="s">
        <v>16</v>
      </c>
      <c r="H2005">
        <v>78309</v>
      </c>
      <c r="I2005">
        <v>6182</v>
      </c>
      <c r="J2005">
        <v>0</v>
      </c>
      <c r="K2005">
        <v>0</v>
      </c>
      <c r="L2005" s="4" t="s">
        <v>2879</v>
      </c>
      <c r="M2005" s="4" t="str">
        <f t="shared" si="281"/>
        <v>10/30/2019</v>
      </c>
      <c r="N2005" s="1">
        <f t="shared" ca="1" si="282"/>
        <v>46064</v>
      </c>
      <c r="O2005" s="6" t="e">
        <f t="shared" ca="1" si="283"/>
        <v>#VALUE!</v>
      </c>
      <c r="P2005">
        <v>2</v>
      </c>
      <c r="Q2005">
        <f t="shared" si="284"/>
        <v>84491</v>
      </c>
      <c r="R2005" s="2">
        <f t="shared" si="285"/>
        <v>42245.5</v>
      </c>
      <c r="S2005" s="2" t="str">
        <f t="shared" si="286"/>
        <v xml:space="preserve"> Not Achieved</v>
      </c>
      <c r="T2005" s="2" t="str">
        <f t="shared" si="287"/>
        <v xml:space="preserve"> Excellent</v>
      </c>
      <c r="U2005" s="2"/>
    </row>
    <row r="2006" spans="1:21" x14ac:dyDescent="0.3">
      <c r="A2006">
        <v>2005</v>
      </c>
      <c r="B2006" t="s">
        <v>2880</v>
      </c>
      <c r="C2006" t="str">
        <f t="shared" si="279"/>
        <v>EMP_2005</v>
      </c>
      <c r="D2006" t="s">
        <v>15</v>
      </c>
      <c r="E2006" t="str">
        <f t="shared" si="280"/>
        <v>EMP_2005Finance</v>
      </c>
      <c r="F2006" t="s">
        <v>18</v>
      </c>
      <c r="G2006" t="s">
        <v>25</v>
      </c>
      <c r="H2006">
        <v>77467</v>
      </c>
      <c r="I2006">
        <v>4240</v>
      </c>
      <c r="J2006">
        <v>0</v>
      </c>
      <c r="K2006">
        <v>0</v>
      </c>
      <c r="L2006" s="4" t="s">
        <v>2881</v>
      </c>
      <c r="M2006" s="4" t="str">
        <f t="shared" si="281"/>
        <v>12/13/2020</v>
      </c>
      <c r="N2006" s="1">
        <f t="shared" ca="1" si="282"/>
        <v>46064</v>
      </c>
      <c r="O2006" s="6" t="e">
        <f t="shared" ca="1" si="283"/>
        <v>#VALUE!</v>
      </c>
      <c r="P2006">
        <v>3</v>
      </c>
      <c r="Q2006">
        <f t="shared" si="284"/>
        <v>81707</v>
      </c>
      <c r="R2006" s="2">
        <f t="shared" si="285"/>
        <v>40853.5</v>
      </c>
      <c r="S2006" s="2" t="str">
        <f t="shared" si="286"/>
        <v xml:space="preserve"> Not Achieved</v>
      </c>
      <c r="T2006" s="2" t="str">
        <f t="shared" si="287"/>
        <v xml:space="preserve"> Excellent</v>
      </c>
      <c r="U2006" s="2"/>
    </row>
    <row r="2007" spans="1:21" x14ac:dyDescent="0.3">
      <c r="A2007">
        <v>2006</v>
      </c>
      <c r="B2007" t="s">
        <v>2882</v>
      </c>
      <c r="C2007" t="str">
        <f t="shared" si="279"/>
        <v>EMP_2006</v>
      </c>
      <c r="D2007" t="s">
        <v>11</v>
      </c>
      <c r="E2007" t="str">
        <f t="shared" si="280"/>
        <v>EMP_2006Marketing</v>
      </c>
      <c r="F2007" t="s">
        <v>24</v>
      </c>
      <c r="G2007" t="s">
        <v>22</v>
      </c>
      <c r="H2007">
        <v>74195</v>
      </c>
      <c r="I2007">
        <v>5957</v>
      </c>
      <c r="J2007">
        <v>0</v>
      </c>
      <c r="K2007">
        <v>0</v>
      </c>
      <c r="L2007" s="4" t="s">
        <v>1193</v>
      </c>
      <c r="M2007" s="4" t="str">
        <f t="shared" si="281"/>
        <v>6/17/2023</v>
      </c>
      <c r="N2007" s="1">
        <f t="shared" ca="1" si="282"/>
        <v>46064</v>
      </c>
      <c r="O2007" s="6" t="e">
        <f t="shared" ca="1" si="283"/>
        <v>#VALUE!</v>
      </c>
      <c r="P2007">
        <v>5</v>
      </c>
      <c r="Q2007">
        <f t="shared" si="284"/>
        <v>80152</v>
      </c>
      <c r="R2007" s="2">
        <f t="shared" si="285"/>
        <v>40076</v>
      </c>
      <c r="S2007" s="2" t="str">
        <f t="shared" si="286"/>
        <v xml:space="preserve"> Not Achieved</v>
      </c>
      <c r="T2007" s="2" t="str">
        <f t="shared" si="287"/>
        <v xml:space="preserve"> Excellent</v>
      </c>
      <c r="U2007" s="2"/>
    </row>
    <row r="2008" spans="1:21" x14ac:dyDescent="0.3">
      <c r="A2008">
        <v>2007</v>
      </c>
      <c r="B2008" t="s">
        <v>2883</v>
      </c>
      <c r="C2008" t="str">
        <f t="shared" si="279"/>
        <v>EMP_2007</v>
      </c>
      <c r="D2008" t="s">
        <v>11</v>
      </c>
      <c r="E2008" t="str">
        <f t="shared" si="280"/>
        <v>EMP_2007Finance</v>
      </c>
      <c r="F2008" t="s">
        <v>18</v>
      </c>
      <c r="G2008" t="s">
        <v>13</v>
      </c>
      <c r="H2008">
        <v>31823</v>
      </c>
      <c r="I2008">
        <v>11702</v>
      </c>
      <c r="J2008">
        <v>0</v>
      </c>
      <c r="K2008">
        <v>0</v>
      </c>
      <c r="L2008" s="4" t="s">
        <v>61</v>
      </c>
      <c r="M2008" s="4" t="str">
        <f t="shared" si="281"/>
        <v>9/14/2023</v>
      </c>
      <c r="N2008" s="1">
        <f t="shared" ca="1" si="282"/>
        <v>46064</v>
      </c>
      <c r="O2008" s="6" t="e">
        <f t="shared" ca="1" si="283"/>
        <v>#VALUE!</v>
      </c>
      <c r="P2008">
        <v>3</v>
      </c>
      <c r="Q2008">
        <f t="shared" si="284"/>
        <v>43525</v>
      </c>
      <c r="R2008" s="2">
        <f t="shared" si="285"/>
        <v>21762.5</v>
      </c>
      <c r="S2008" s="2" t="str">
        <f t="shared" si="286"/>
        <v xml:space="preserve"> Not Achieved</v>
      </c>
      <c r="T2008" s="2" t="str">
        <f t="shared" si="287"/>
        <v>Average</v>
      </c>
      <c r="U2008" s="2"/>
    </row>
    <row r="2009" spans="1:21" x14ac:dyDescent="0.3">
      <c r="A2009">
        <v>2008</v>
      </c>
      <c r="B2009" t="s">
        <v>2884</v>
      </c>
      <c r="C2009" t="str">
        <f t="shared" si="279"/>
        <v>EMP_2008</v>
      </c>
      <c r="D2009" t="s">
        <v>11</v>
      </c>
      <c r="E2009" t="str">
        <f t="shared" si="280"/>
        <v>EMP_2008Finance</v>
      </c>
      <c r="F2009" t="s">
        <v>18</v>
      </c>
      <c r="G2009" t="s">
        <v>19</v>
      </c>
      <c r="H2009">
        <v>59954</v>
      </c>
      <c r="I2009">
        <v>6833</v>
      </c>
      <c r="J2009">
        <v>0</v>
      </c>
      <c r="K2009">
        <v>0</v>
      </c>
      <c r="L2009" s="4">
        <v>43252</v>
      </c>
      <c r="M2009" s="4" t="str">
        <f t="shared" si="281"/>
        <v>2018</v>
      </c>
      <c r="N2009" s="1">
        <f t="shared" ca="1" si="282"/>
        <v>46064</v>
      </c>
      <c r="O2009" s="6">
        <f t="shared" ca="1" si="283"/>
        <v>7</v>
      </c>
      <c r="P2009">
        <v>4</v>
      </c>
      <c r="Q2009">
        <f t="shared" si="284"/>
        <v>66787</v>
      </c>
      <c r="R2009" s="2">
        <f t="shared" si="285"/>
        <v>33393.5</v>
      </c>
      <c r="S2009" s="2" t="str">
        <f t="shared" si="286"/>
        <v xml:space="preserve"> Not Achieved</v>
      </c>
      <c r="T2009" s="2" t="str">
        <f t="shared" si="287"/>
        <v xml:space="preserve"> Excellent</v>
      </c>
      <c r="U2009" s="2"/>
    </row>
    <row r="2010" spans="1:21" x14ac:dyDescent="0.3">
      <c r="A2010">
        <v>2009</v>
      </c>
      <c r="B2010" t="s">
        <v>2885</v>
      </c>
      <c r="C2010" t="str">
        <f t="shared" si="279"/>
        <v>EMP_2009</v>
      </c>
      <c r="D2010" t="s">
        <v>15</v>
      </c>
      <c r="E2010" t="str">
        <f t="shared" si="280"/>
        <v>EMP_2009HR</v>
      </c>
      <c r="F2010" t="s">
        <v>12</v>
      </c>
      <c r="G2010" t="s">
        <v>16</v>
      </c>
      <c r="H2010">
        <v>42278</v>
      </c>
      <c r="I2010">
        <v>2947</v>
      </c>
      <c r="J2010">
        <v>0</v>
      </c>
      <c r="K2010">
        <v>0</v>
      </c>
      <c r="L2010" s="4">
        <v>45393</v>
      </c>
      <c r="M2010" s="4" t="str">
        <f t="shared" si="281"/>
        <v>2024</v>
      </c>
      <c r="N2010" s="1">
        <f t="shared" ca="1" si="282"/>
        <v>46064</v>
      </c>
      <c r="O2010" s="6">
        <f t="shared" ca="1" si="283"/>
        <v>1</v>
      </c>
      <c r="P2010">
        <v>5</v>
      </c>
      <c r="Q2010">
        <f t="shared" si="284"/>
        <v>45225</v>
      </c>
      <c r="R2010" s="2">
        <f t="shared" si="285"/>
        <v>22612.5</v>
      </c>
      <c r="S2010" s="2" t="str">
        <f t="shared" si="286"/>
        <v xml:space="preserve"> Not Achieved</v>
      </c>
      <c r="T2010" s="2" t="str">
        <f t="shared" si="287"/>
        <v>Good</v>
      </c>
      <c r="U2010" s="2"/>
    </row>
    <row r="2011" spans="1:21" x14ac:dyDescent="0.3">
      <c r="A2011">
        <v>2010</v>
      </c>
      <c r="B2011" t="s">
        <v>2886</v>
      </c>
      <c r="C2011" t="str">
        <f t="shared" si="279"/>
        <v>EMP_2010</v>
      </c>
      <c r="D2011" t="s">
        <v>11</v>
      </c>
      <c r="E2011" t="str">
        <f t="shared" si="280"/>
        <v>EMP_2010Finance</v>
      </c>
      <c r="F2011" t="s">
        <v>18</v>
      </c>
      <c r="G2011" t="s">
        <v>13</v>
      </c>
      <c r="H2011">
        <v>55926</v>
      </c>
      <c r="I2011">
        <v>6915</v>
      </c>
      <c r="J2011">
        <v>0</v>
      </c>
      <c r="K2011">
        <v>0</v>
      </c>
      <c r="L2011" s="4" t="s">
        <v>2887</v>
      </c>
      <c r="M2011" s="4" t="str">
        <f t="shared" si="281"/>
        <v>10/31/2022</v>
      </c>
      <c r="N2011" s="1">
        <f t="shared" ca="1" si="282"/>
        <v>46064</v>
      </c>
      <c r="O2011" s="6" t="e">
        <f t="shared" ca="1" si="283"/>
        <v>#VALUE!</v>
      </c>
      <c r="P2011">
        <v>5</v>
      </c>
      <c r="Q2011">
        <f t="shared" si="284"/>
        <v>62841</v>
      </c>
      <c r="R2011" s="2">
        <f t="shared" si="285"/>
        <v>31420.5</v>
      </c>
      <c r="S2011" s="2" t="str">
        <f t="shared" si="286"/>
        <v xml:space="preserve"> Not Achieved</v>
      </c>
      <c r="T2011" s="2" t="str">
        <f t="shared" si="287"/>
        <v xml:space="preserve"> Excellent</v>
      </c>
      <c r="U2011" s="2"/>
    </row>
    <row r="2012" spans="1:21" x14ac:dyDescent="0.3">
      <c r="A2012">
        <v>2011</v>
      </c>
      <c r="B2012" t="s">
        <v>2888</v>
      </c>
      <c r="C2012" t="str">
        <f t="shared" si="279"/>
        <v>EMP_2011</v>
      </c>
      <c r="D2012" t="s">
        <v>11</v>
      </c>
      <c r="E2012" t="str">
        <f t="shared" si="280"/>
        <v>EMP_2011HR</v>
      </c>
      <c r="F2012" t="s">
        <v>12</v>
      </c>
      <c r="G2012" t="s">
        <v>22</v>
      </c>
      <c r="H2012">
        <v>47280</v>
      </c>
      <c r="I2012">
        <v>10165</v>
      </c>
      <c r="J2012">
        <v>0</v>
      </c>
      <c r="K2012">
        <v>0</v>
      </c>
      <c r="L2012" s="4" t="s">
        <v>1315</v>
      </c>
      <c r="M2012" s="4" t="str">
        <f t="shared" si="281"/>
        <v>7/16/2023</v>
      </c>
      <c r="N2012" s="1">
        <f t="shared" ca="1" si="282"/>
        <v>46064</v>
      </c>
      <c r="O2012" s="6" t="e">
        <f t="shared" ca="1" si="283"/>
        <v>#VALUE!</v>
      </c>
      <c r="P2012">
        <v>1</v>
      </c>
      <c r="Q2012">
        <f t="shared" si="284"/>
        <v>57445</v>
      </c>
      <c r="R2012" s="2">
        <f t="shared" si="285"/>
        <v>28722.5</v>
      </c>
      <c r="S2012" s="2" t="str">
        <f t="shared" si="286"/>
        <v xml:space="preserve"> Not Achieved</v>
      </c>
      <c r="T2012" s="2" t="str">
        <f t="shared" si="287"/>
        <v>Good</v>
      </c>
      <c r="U2012" s="2"/>
    </row>
    <row r="2013" spans="1:21" x14ac:dyDescent="0.3">
      <c r="A2013">
        <v>2012</v>
      </c>
      <c r="B2013" t="s">
        <v>2889</v>
      </c>
      <c r="C2013" t="str">
        <f t="shared" si="279"/>
        <v>EMP_2012</v>
      </c>
      <c r="D2013" t="s">
        <v>15</v>
      </c>
      <c r="E2013" t="str">
        <f t="shared" si="280"/>
        <v>EMP_2012Sales</v>
      </c>
      <c r="F2013" t="s">
        <v>7</v>
      </c>
      <c r="G2013" t="s">
        <v>19</v>
      </c>
      <c r="H2013">
        <v>35329</v>
      </c>
      <c r="I2013">
        <v>4705</v>
      </c>
      <c r="J2013">
        <v>74716</v>
      </c>
      <c r="K2013">
        <v>193684</v>
      </c>
      <c r="L2013" s="4" t="s">
        <v>2890</v>
      </c>
      <c r="M2013" s="4" t="str">
        <f t="shared" si="281"/>
        <v>3/30/2020</v>
      </c>
      <c r="N2013" s="1">
        <f t="shared" ca="1" si="282"/>
        <v>46064</v>
      </c>
      <c r="O2013" s="6" t="e">
        <f t="shared" ca="1" si="283"/>
        <v>#VALUE!</v>
      </c>
      <c r="P2013">
        <v>5</v>
      </c>
      <c r="Q2013">
        <f t="shared" si="284"/>
        <v>40034</v>
      </c>
      <c r="R2013" s="2">
        <f t="shared" si="285"/>
        <v>20017</v>
      </c>
      <c r="S2013" s="2" t="str">
        <f t="shared" si="286"/>
        <v xml:space="preserve"> Not Achieved</v>
      </c>
      <c r="T2013" s="2" t="str">
        <f t="shared" si="287"/>
        <v>Average</v>
      </c>
      <c r="U2013" s="2"/>
    </row>
    <row r="2014" spans="1:21" x14ac:dyDescent="0.3">
      <c r="A2014">
        <v>2013</v>
      </c>
      <c r="B2014" t="s">
        <v>2891</v>
      </c>
      <c r="C2014" t="str">
        <f t="shared" si="279"/>
        <v>EMP_2013</v>
      </c>
      <c r="D2014" t="s">
        <v>15</v>
      </c>
      <c r="E2014" t="str">
        <f t="shared" si="280"/>
        <v>EMP_2013Finance</v>
      </c>
      <c r="F2014" t="s">
        <v>18</v>
      </c>
      <c r="G2014" t="s">
        <v>19</v>
      </c>
      <c r="H2014">
        <v>61538</v>
      </c>
      <c r="I2014">
        <v>10692</v>
      </c>
      <c r="J2014">
        <v>0</v>
      </c>
      <c r="K2014">
        <v>0</v>
      </c>
      <c r="L2014" s="4" t="s">
        <v>2892</v>
      </c>
      <c r="M2014" s="4" t="str">
        <f t="shared" si="281"/>
        <v>2/26/2023</v>
      </c>
      <c r="N2014" s="1">
        <f t="shared" ca="1" si="282"/>
        <v>46064</v>
      </c>
      <c r="O2014" s="6" t="e">
        <f t="shared" ca="1" si="283"/>
        <v>#VALUE!</v>
      </c>
      <c r="P2014">
        <v>3</v>
      </c>
      <c r="Q2014">
        <f t="shared" si="284"/>
        <v>72230</v>
      </c>
      <c r="R2014" s="2">
        <f t="shared" si="285"/>
        <v>36115</v>
      </c>
      <c r="S2014" s="2" t="str">
        <f t="shared" si="286"/>
        <v xml:space="preserve"> Not Achieved</v>
      </c>
      <c r="T2014" s="2" t="str">
        <f t="shared" si="287"/>
        <v xml:space="preserve"> Excellent</v>
      </c>
      <c r="U2014" s="2"/>
    </row>
    <row r="2015" spans="1:21" x14ac:dyDescent="0.3">
      <c r="A2015">
        <v>2014</v>
      </c>
      <c r="B2015" t="s">
        <v>2893</v>
      </c>
      <c r="C2015" t="str">
        <f t="shared" si="279"/>
        <v>EMP_2014</v>
      </c>
      <c r="D2015" t="s">
        <v>15</v>
      </c>
      <c r="E2015" t="str">
        <f t="shared" si="280"/>
        <v>EMP_2014HR</v>
      </c>
      <c r="F2015" t="s">
        <v>12</v>
      </c>
      <c r="G2015" t="s">
        <v>22</v>
      </c>
      <c r="H2015">
        <v>44197</v>
      </c>
      <c r="I2015">
        <v>10456</v>
      </c>
      <c r="J2015">
        <v>0</v>
      </c>
      <c r="K2015">
        <v>0</v>
      </c>
      <c r="L2015" s="4" t="s">
        <v>530</v>
      </c>
      <c r="M2015" s="4" t="str">
        <f t="shared" si="281"/>
        <v>2/17/2019</v>
      </c>
      <c r="N2015" s="1">
        <f t="shared" ca="1" si="282"/>
        <v>46064</v>
      </c>
      <c r="O2015" s="6" t="e">
        <f t="shared" ca="1" si="283"/>
        <v>#VALUE!</v>
      </c>
      <c r="P2015">
        <v>2</v>
      </c>
      <c r="Q2015">
        <f t="shared" si="284"/>
        <v>54653</v>
      </c>
      <c r="R2015" s="2">
        <f t="shared" si="285"/>
        <v>27326.5</v>
      </c>
      <c r="S2015" s="2" t="str">
        <f t="shared" si="286"/>
        <v xml:space="preserve"> Not Achieved</v>
      </c>
      <c r="T2015" s="2" t="str">
        <f t="shared" si="287"/>
        <v>Good</v>
      </c>
      <c r="U2015" s="2"/>
    </row>
    <row r="2016" spans="1:21" x14ac:dyDescent="0.3">
      <c r="A2016">
        <v>2015</v>
      </c>
      <c r="B2016" t="s">
        <v>2894</v>
      </c>
      <c r="C2016" t="str">
        <f t="shared" si="279"/>
        <v>EMP_2015</v>
      </c>
      <c r="D2016" t="s">
        <v>11</v>
      </c>
      <c r="E2016" t="str">
        <f t="shared" si="280"/>
        <v>EMP_2015Finance</v>
      </c>
      <c r="F2016" t="s">
        <v>18</v>
      </c>
      <c r="G2016" t="s">
        <v>19</v>
      </c>
      <c r="H2016">
        <v>61313</v>
      </c>
      <c r="I2016">
        <v>8394</v>
      </c>
      <c r="J2016">
        <v>0</v>
      </c>
      <c r="K2016">
        <v>0</v>
      </c>
      <c r="L2016" s="4">
        <v>45577</v>
      </c>
      <c r="M2016" s="4" t="str">
        <f t="shared" si="281"/>
        <v>2024</v>
      </c>
      <c r="N2016" s="1">
        <f t="shared" ca="1" si="282"/>
        <v>46064</v>
      </c>
      <c r="O2016" s="6">
        <f t="shared" ca="1" si="283"/>
        <v>1</v>
      </c>
      <c r="P2016">
        <v>1</v>
      </c>
      <c r="Q2016">
        <f t="shared" si="284"/>
        <v>69707</v>
      </c>
      <c r="R2016" s="2">
        <f t="shared" si="285"/>
        <v>34853.5</v>
      </c>
      <c r="S2016" s="2" t="str">
        <f t="shared" si="286"/>
        <v xml:space="preserve"> Not Achieved</v>
      </c>
      <c r="T2016" s="2" t="str">
        <f t="shared" si="287"/>
        <v xml:space="preserve"> Excellent</v>
      </c>
      <c r="U2016" s="2"/>
    </row>
    <row r="2017" spans="1:21" x14ac:dyDescent="0.3">
      <c r="A2017">
        <v>2016</v>
      </c>
      <c r="B2017" t="s">
        <v>2895</v>
      </c>
      <c r="C2017" t="str">
        <f t="shared" si="279"/>
        <v>EMP_2016</v>
      </c>
      <c r="D2017" t="s">
        <v>11</v>
      </c>
      <c r="E2017" t="str">
        <f t="shared" si="280"/>
        <v>EMP_2016HR</v>
      </c>
      <c r="F2017" t="s">
        <v>12</v>
      </c>
      <c r="G2017" t="s">
        <v>13</v>
      </c>
      <c r="H2017">
        <v>49664</v>
      </c>
      <c r="I2017">
        <v>3243</v>
      </c>
      <c r="J2017">
        <v>0</v>
      </c>
      <c r="K2017">
        <v>0</v>
      </c>
      <c r="L2017" s="4" t="s">
        <v>2896</v>
      </c>
      <c r="M2017" s="4" t="str">
        <f t="shared" si="281"/>
        <v>10/21/2019</v>
      </c>
      <c r="N2017" s="1">
        <f t="shared" ca="1" si="282"/>
        <v>46064</v>
      </c>
      <c r="O2017" s="6" t="e">
        <f t="shared" ca="1" si="283"/>
        <v>#VALUE!</v>
      </c>
      <c r="P2017">
        <v>3</v>
      </c>
      <c r="Q2017">
        <f t="shared" si="284"/>
        <v>52907</v>
      </c>
      <c r="R2017" s="2">
        <f t="shared" si="285"/>
        <v>26453.5</v>
      </c>
      <c r="S2017" s="2" t="str">
        <f t="shared" si="286"/>
        <v xml:space="preserve"> Not Achieved</v>
      </c>
      <c r="T2017" s="2" t="str">
        <f t="shared" si="287"/>
        <v>Good</v>
      </c>
      <c r="U2017" s="2"/>
    </row>
    <row r="2018" spans="1:21" x14ac:dyDescent="0.3">
      <c r="A2018">
        <v>2017</v>
      </c>
      <c r="B2018" t="s">
        <v>2897</v>
      </c>
      <c r="C2018" t="str">
        <f t="shared" si="279"/>
        <v>EMP_2017</v>
      </c>
      <c r="D2018" t="s">
        <v>15</v>
      </c>
      <c r="E2018" t="str">
        <f t="shared" si="280"/>
        <v>EMP_2017Marketing</v>
      </c>
      <c r="F2018" t="s">
        <v>24</v>
      </c>
      <c r="G2018" t="s">
        <v>22</v>
      </c>
      <c r="H2018">
        <v>20930</v>
      </c>
      <c r="I2018">
        <v>12126</v>
      </c>
      <c r="J2018">
        <v>0</v>
      </c>
      <c r="K2018">
        <v>0</v>
      </c>
      <c r="L2018" s="4">
        <v>43994</v>
      </c>
      <c r="M2018" s="4" t="str">
        <f t="shared" si="281"/>
        <v>2020</v>
      </c>
      <c r="N2018" s="1">
        <f t="shared" ca="1" si="282"/>
        <v>46064</v>
      </c>
      <c r="O2018" s="6">
        <f t="shared" ca="1" si="283"/>
        <v>5</v>
      </c>
      <c r="P2018">
        <v>2</v>
      </c>
      <c r="Q2018">
        <f t="shared" si="284"/>
        <v>33056</v>
      </c>
      <c r="R2018" s="2">
        <f t="shared" si="285"/>
        <v>16528</v>
      </c>
      <c r="S2018" s="2" t="str">
        <f t="shared" si="286"/>
        <v xml:space="preserve"> Not Achieved</v>
      </c>
      <c r="T2018" s="2" t="str">
        <f t="shared" si="287"/>
        <v>poor</v>
      </c>
      <c r="U2018" s="2"/>
    </row>
    <row r="2019" spans="1:21" x14ac:dyDescent="0.3">
      <c r="A2019">
        <v>2018</v>
      </c>
      <c r="B2019" t="s">
        <v>2898</v>
      </c>
      <c r="C2019" t="str">
        <f t="shared" si="279"/>
        <v>EMP_2018</v>
      </c>
      <c r="D2019" t="s">
        <v>11</v>
      </c>
      <c r="E2019" t="str">
        <f t="shared" si="280"/>
        <v>EMP_2018HR</v>
      </c>
      <c r="F2019" t="s">
        <v>12</v>
      </c>
      <c r="G2019" t="s">
        <v>13</v>
      </c>
      <c r="H2019">
        <v>66504</v>
      </c>
      <c r="I2019">
        <v>9464</v>
      </c>
      <c r="J2019">
        <v>0</v>
      </c>
      <c r="K2019">
        <v>0</v>
      </c>
      <c r="L2019" s="4" t="s">
        <v>2899</v>
      </c>
      <c r="M2019" s="4" t="str">
        <f t="shared" si="281"/>
        <v>7/17/2021</v>
      </c>
      <c r="N2019" s="1">
        <f t="shared" ca="1" si="282"/>
        <v>46064</v>
      </c>
      <c r="O2019" s="6" t="e">
        <f t="shared" ca="1" si="283"/>
        <v>#VALUE!</v>
      </c>
      <c r="P2019">
        <v>2</v>
      </c>
      <c r="Q2019">
        <f t="shared" si="284"/>
        <v>75968</v>
      </c>
      <c r="R2019" s="2">
        <f t="shared" si="285"/>
        <v>37984</v>
      </c>
      <c r="S2019" s="2" t="str">
        <f t="shared" si="286"/>
        <v xml:space="preserve"> Not Achieved</v>
      </c>
      <c r="T2019" s="2" t="str">
        <f t="shared" si="287"/>
        <v xml:space="preserve"> Excellent</v>
      </c>
      <c r="U2019" s="2"/>
    </row>
    <row r="2020" spans="1:21" x14ac:dyDescent="0.3">
      <c r="A2020">
        <v>2019</v>
      </c>
      <c r="B2020" t="s">
        <v>2900</v>
      </c>
      <c r="C2020" t="str">
        <f t="shared" si="279"/>
        <v>EMP_2019</v>
      </c>
      <c r="D2020" t="s">
        <v>11</v>
      </c>
      <c r="E2020" t="str">
        <f t="shared" si="280"/>
        <v>EMP_2019Marketing</v>
      </c>
      <c r="F2020" t="s">
        <v>24</v>
      </c>
      <c r="G2020" t="s">
        <v>16</v>
      </c>
      <c r="H2020">
        <v>37297</v>
      </c>
      <c r="I2020">
        <v>6481</v>
      </c>
      <c r="J2020">
        <v>0</v>
      </c>
      <c r="K2020">
        <v>0</v>
      </c>
      <c r="L2020" s="4" t="s">
        <v>2901</v>
      </c>
      <c r="M2020" s="4" t="str">
        <f t="shared" si="281"/>
        <v>2/19/2022</v>
      </c>
      <c r="N2020" s="1">
        <f t="shared" ca="1" si="282"/>
        <v>46064</v>
      </c>
      <c r="O2020" s="6" t="e">
        <f t="shared" ca="1" si="283"/>
        <v>#VALUE!</v>
      </c>
      <c r="P2020">
        <v>4</v>
      </c>
      <c r="Q2020">
        <f t="shared" si="284"/>
        <v>43778</v>
      </c>
      <c r="R2020" s="2">
        <f t="shared" si="285"/>
        <v>21889</v>
      </c>
      <c r="S2020" s="2" t="str">
        <f t="shared" si="286"/>
        <v xml:space="preserve"> Not Achieved</v>
      </c>
      <c r="T2020" s="2" t="str">
        <f t="shared" si="287"/>
        <v>Average</v>
      </c>
      <c r="U2020" s="2"/>
    </row>
    <row r="2021" spans="1:21" x14ac:dyDescent="0.3">
      <c r="A2021">
        <v>2020</v>
      </c>
      <c r="B2021" t="s">
        <v>2902</v>
      </c>
      <c r="C2021" t="str">
        <f t="shared" si="279"/>
        <v>EMP_2020</v>
      </c>
      <c r="D2021" t="s">
        <v>15</v>
      </c>
      <c r="E2021" t="str">
        <f t="shared" si="280"/>
        <v>EMP_2020HR</v>
      </c>
      <c r="F2021" t="s">
        <v>12</v>
      </c>
      <c r="G2021" t="s">
        <v>16</v>
      </c>
      <c r="H2021">
        <v>58408</v>
      </c>
      <c r="I2021">
        <v>13076</v>
      </c>
      <c r="J2021">
        <v>0</v>
      </c>
      <c r="K2021">
        <v>0</v>
      </c>
      <c r="L2021" s="4" t="s">
        <v>2903</v>
      </c>
      <c r="M2021" s="4" t="str">
        <f t="shared" si="281"/>
        <v>3/29/2024</v>
      </c>
      <c r="N2021" s="1">
        <f t="shared" ca="1" si="282"/>
        <v>46064</v>
      </c>
      <c r="O2021" s="6" t="e">
        <f t="shared" ca="1" si="283"/>
        <v>#VALUE!</v>
      </c>
      <c r="P2021">
        <v>1</v>
      </c>
      <c r="Q2021">
        <f t="shared" si="284"/>
        <v>71484</v>
      </c>
      <c r="R2021" s="2">
        <f t="shared" si="285"/>
        <v>35742</v>
      </c>
      <c r="S2021" s="2" t="str">
        <f t="shared" si="286"/>
        <v xml:space="preserve"> Not Achieved</v>
      </c>
      <c r="T2021" s="2" t="str">
        <f t="shared" si="287"/>
        <v xml:space="preserve"> Excellent</v>
      </c>
      <c r="U2021" s="2"/>
    </row>
    <row r="2022" spans="1:21" x14ac:dyDescent="0.3">
      <c r="A2022">
        <v>2021</v>
      </c>
      <c r="B2022" t="s">
        <v>2904</v>
      </c>
      <c r="C2022" t="str">
        <f t="shared" si="279"/>
        <v>EMP_2021</v>
      </c>
      <c r="D2022" t="s">
        <v>11</v>
      </c>
      <c r="E2022" t="str">
        <f t="shared" si="280"/>
        <v>EMP_2021IT</v>
      </c>
      <c r="F2022" t="s">
        <v>21</v>
      </c>
      <c r="G2022" t="s">
        <v>19</v>
      </c>
      <c r="H2022">
        <v>34576</v>
      </c>
      <c r="I2022">
        <v>4713</v>
      </c>
      <c r="J2022">
        <v>0</v>
      </c>
      <c r="K2022">
        <v>0</v>
      </c>
      <c r="L2022" s="4">
        <v>45608</v>
      </c>
      <c r="M2022" s="4" t="str">
        <f t="shared" si="281"/>
        <v>2024</v>
      </c>
      <c r="N2022" s="1">
        <f t="shared" ca="1" si="282"/>
        <v>46064</v>
      </c>
      <c r="O2022" s="6">
        <f t="shared" ca="1" si="283"/>
        <v>1</v>
      </c>
      <c r="P2022">
        <v>5</v>
      </c>
      <c r="Q2022">
        <f t="shared" si="284"/>
        <v>39289</v>
      </c>
      <c r="R2022" s="2">
        <f t="shared" si="285"/>
        <v>19644.5</v>
      </c>
      <c r="S2022" s="2" t="str">
        <f t="shared" si="286"/>
        <v xml:space="preserve"> Not Achieved</v>
      </c>
      <c r="T2022" s="2" t="str">
        <f t="shared" si="287"/>
        <v>Average</v>
      </c>
      <c r="U2022" s="2"/>
    </row>
    <row r="2023" spans="1:21" x14ac:dyDescent="0.3">
      <c r="A2023">
        <v>2022</v>
      </c>
      <c r="B2023" t="s">
        <v>2905</v>
      </c>
      <c r="C2023" t="str">
        <f t="shared" si="279"/>
        <v>EMP_2022</v>
      </c>
      <c r="D2023" t="s">
        <v>15</v>
      </c>
      <c r="E2023" t="str">
        <f t="shared" si="280"/>
        <v>EMP_2022HR</v>
      </c>
      <c r="F2023" t="s">
        <v>12</v>
      </c>
      <c r="G2023" t="s">
        <v>13</v>
      </c>
      <c r="H2023">
        <v>45770</v>
      </c>
      <c r="I2023">
        <v>7267</v>
      </c>
      <c r="J2023">
        <v>0</v>
      </c>
      <c r="K2023">
        <v>0</v>
      </c>
      <c r="L2023" s="4">
        <v>43689</v>
      </c>
      <c r="M2023" s="4" t="str">
        <f t="shared" si="281"/>
        <v>2019</v>
      </c>
      <c r="N2023" s="1">
        <f t="shared" ca="1" si="282"/>
        <v>46064</v>
      </c>
      <c r="O2023" s="6">
        <f t="shared" ca="1" si="283"/>
        <v>6</v>
      </c>
      <c r="P2023">
        <v>3</v>
      </c>
      <c r="Q2023">
        <f t="shared" si="284"/>
        <v>53037</v>
      </c>
      <c r="R2023" s="2">
        <f t="shared" si="285"/>
        <v>26518.5</v>
      </c>
      <c r="S2023" s="2" t="str">
        <f t="shared" si="286"/>
        <v xml:space="preserve"> Not Achieved</v>
      </c>
      <c r="T2023" s="2" t="str">
        <f t="shared" si="287"/>
        <v>Good</v>
      </c>
      <c r="U2023" s="2"/>
    </row>
    <row r="2024" spans="1:21" x14ac:dyDescent="0.3">
      <c r="A2024">
        <v>2023</v>
      </c>
      <c r="B2024" t="s">
        <v>2906</v>
      </c>
      <c r="C2024" t="str">
        <f t="shared" si="279"/>
        <v>EMP_2023</v>
      </c>
      <c r="D2024" t="s">
        <v>15</v>
      </c>
      <c r="E2024" t="str">
        <f t="shared" si="280"/>
        <v>EMP_2023Sales</v>
      </c>
      <c r="F2024" t="s">
        <v>7</v>
      </c>
      <c r="G2024" t="s">
        <v>13</v>
      </c>
      <c r="H2024">
        <v>74818</v>
      </c>
      <c r="I2024">
        <v>9980</v>
      </c>
      <c r="J2024">
        <v>167205</v>
      </c>
      <c r="K2024">
        <v>212850</v>
      </c>
      <c r="L2024" s="4">
        <v>44175</v>
      </c>
      <c r="M2024" s="4" t="str">
        <f t="shared" si="281"/>
        <v>2020</v>
      </c>
      <c r="N2024" s="1">
        <f t="shared" ca="1" si="282"/>
        <v>46064</v>
      </c>
      <c r="O2024" s="6">
        <f t="shared" ca="1" si="283"/>
        <v>5</v>
      </c>
      <c r="P2024">
        <v>3</v>
      </c>
      <c r="Q2024">
        <f t="shared" si="284"/>
        <v>84798</v>
      </c>
      <c r="R2024" s="2">
        <f t="shared" si="285"/>
        <v>42399</v>
      </c>
      <c r="S2024" s="2" t="str">
        <f t="shared" si="286"/>
        <v xml:space="preserve"> Not Achieved</v>
      </c>
      <c r="T2024" s="2" t="str">
        <f t="shared" si="287"/>
        <v xml:space="preserve"> Excellent</v>
      </c>
      <c r="U2024" s="2"/>
    </row>
    <row r="2025" spans="1:21" x14ac:dyDescent="0.3">
      <c r="A2025">
        <v>2024</v>
      </c>
      <c r="B2025" t="s">
        <v>2907</v>
      </c>
      <c r="C2025" t="str">
        <f t="shared" si="279"/>
        <v>EMP_2024</v>
      </c>
      <c r="D2025" t="s">
        <v>11</v>
      </c>
      <c r="E2025" t="str">
        <f t="shared" si="280"/>
        <v>EMP_2024HR</v>
      </c>
      <c r="F2025" t="s">
        <v>12</v>
      </c>
      <c r="G2025" t="s">
        <v>25</v>
      </c>
      <c r="H2025">
        <v>38758</v>
      </c>
      <c r="I2025">
        <v>8983</v>
      </c>
      <c r="J2025">
        <v>0</v>
      </c>
      <c r="K2025">
        <v>0</v>
      </c>
      <c r="L2025" s="4">
        <v>45483</v>
      </c>
      <c r="M2025" s="4" t="str">
        <f t="shared" si="281"/>
        <v>2024</v>
      </c>
      <c r="N2025" s="1">
        <f t="shared" ca="1" si="282"/>
        <v>46064</v>
      </c>
      <c r="O2025" s="6">
        <f t="shared" ca="1" si="283"/>
        <v>1</v>
      </c>
      <c r="P2025">
        <v>5</v>
      </c>
      <c r="Q2025">
        <f t="shared" si="284"/>
        <v>47741</v>
      </c>
      <c r="R2025" s="2">
        <f t="shared" si="285"/>
        <v>23870.5</v>
      </c>
      <c r="S2025" s="2" t="str">
        <f t="shared" si="286"/>
        <v xml:space="preserve"> Not Achieved</v>
      </c>
      <c r="T2025" s="2" t="str">
        <f t="shared" si="287"/>
        <v>Average</v>
      </c>
      <c r="U2025" s="2"/>
    </row>
    <row r="2026" spans="1:21" x14ac:dyDescent="0.3">
      <c r="A2026">
        <v>2025</v>
      </c>
      <c r="B2026" t="s">
        <v>2908</v>
      </c>
      <c r="C2026" t="str">
        <f t="shared" si="279"/>
        <v>EMP_2025</v>
      </c>
      <c r="D2026" t="s">
        <v>15</v>
      </c>
      <c r="E2026" t="str">
        <f t="shared" si="280"/>
        <v>EMP_2025Marketing</v>
      </c>
      <c r="F2026" t="s">
        <v>24</v>
      </c>
      <c r="G2026" t="s">
        <v>16</v>
      </c>
      <c r="H2026">
        <v>23644</v>
      </c>
      <c r="I2026">
        <v>8038</v>
      </c>
      <c r="J2026">
        <v>0</v>
      </c>
      <c r="K2026">
        <v>0</v>
      </c>
      <c r="L2026" s="4" t="s">
        <v>2630</v>
      </c>
      <c r="M2026" s="4" t="str">
        <f t="shared" si="281"/>
        <v>3/23/2024</v>
      </c>
      <c r="N2026" s="1">
        <f t="shared" ca="1" si="282"/>
        <v>46064</v>
      </c>
      <c r="O2026" s="6" t="e">
        <f t="shared" ca="1" si="283"/>
        <v>#VALUE!</v>
      </c>
      <c r="P2026">
        <v>3</v>
      </c>
      <c r="Q2026">
        <f t="shared" si="284"/>
        <v>31682</v>
      </c>
      <c r="R2026" s="2">
        <f t="shared" si="285"/>
        <v>15841</v>
      </c>
      <c r="S2026" s="2" t="str">
        <f t="shared" si="286"/>
        <v xml:space="preserve"> Not Achieved</v>
      </c>
      <c r="T2026" s="2" t="str">
        <f t="shared" si="287"/>
        <v>poor</v>
      </c>
      <c r="U2026" s="2"/>
    </row>
    <row r="2027" spans="1:21" x14ac:dyDescent="0.3">
      <c r="A2027">
        <v>2026</v>
      </c>
      <c r="B2027" t="s">
        <v>2909</v>
      </c>
      <c r="C2027" t="str">
        <f t="shared" si="279"/>
        <v>EMP_2026</v>
      </c>
      <c r="D2027" t="s">
        <v>11</v>
      </c>
      <c r="E2027" t="str">
        <f t="shared" si="280"/>
        <v>EMP_2026Sales</v>
      </c>
      <c r="F2027" t="s">
        <v>7</v>
      </c>
      <c r="G2027" t="s">
        <v>13</v>
      </c>
      <c r="H2027">
        <v>24633</v>
      </c>
      <c r="I2027">
        <v>14951</v>
      </c>
      <c r="J2027">
        <v>270622</v>
      </c>
      <c r="K2027">
        <v>229703</v>
      </c>
      <c r="L2027" s="4">
        <v>45634</v>
      </c>
      <c r="M2027" s="4" t="str">
        <f t="shared" si="281"/>
        <v>2024</v>
      </c>
      <c r="N2027" s="1">
        <f t="shared" ca="1" si="282"/>
        <v>46064</v>
      </c>
      <c r="O2027" s="6">
        <f t="shared" ca="1" si="283"/>
        <v>1</v>
      </c>
      <c r="P2027">
        <v>5</v>
      </c>
      <c r="Q2027">
        <f t="shared" si="284"/>
        <v>39584</v>
      </c>
      <c r="R2027" s="2">
        <f t="shared" si="285"/>
        <v>19792</v>
      </c>
      <c r="S2027" s="2" t="str">
        <f t="shared" si="286"/>
        <v>Achieved</v>
      </c>
      <c r="T2027" s="2" t="str">
        <f t="shared" si="287"/>
        <v>poor</v>
      </c>
      <c r="U2027" s="2"/>
    </row>
    <row r="2028" spans="1:21" x14ac:dyDescent="0.3">
      <c r="A2028">
        <v>2027</v>
      </c>
      <c r="B2028" t="s">
        <v>2910</v>
      </c>
      <c r="C2028" t="str">
        <f t="shared" si="279"/>
        <v>EMP_2027</v>
      </c>
      <c r="D2028" t="s">
        <v>11</v>
      </c>
      <c r="E2028" t="str">
        <f t="shared" si="280"/>
        <v>EMP_2027IT</v>
      </c>
      <c r="F2028" t="s">
        <v>21</v>
      </c>
      <c r="G2028" t="s">
        <v>25</v>
      </c>
      <c r="H2028">
        <v>33970</v>
      </c>
      <c r="I2028">
        <v>4641</v>
      </c>
      <c r="J2028">
        <v>0</v>
      </c>
      <c r="K2028">
        <v>0</v>
      </c>
      <c r="L2028" s="4" t="s">
        <v>2911</v>
      </c>
      <c r="M2028" s="4" t="str">
        <f t="shared" si="281"/>
        <v>8/22/2019</v>
      </c>
      <c r="N2028" s="1">
        <f t="shared" ca="1" si="282"/>
        <v>46064</v>
      </c>
      <c r="O2028" s="6" t="e">
        <f t="shared" ca="1" si="283"/>
        <v>#VALUE!</v>
      </c>
      <c r="P2028">
        <v>5</v>
      </c>
      <c r="Q2028">
        <f t="shared" si="284"/>
        <v>38611</v>
      </c>
      <c r="R2028" s="2">
        <f t="shared" si="285"/>
        <v>19305.5</v>
      </c>
      <c r="S2028" s="2" t="str">
        <f t="shared" si="286"/>
        <v xml:space="preserve"> Not Achieved</v>
      </c>
      <c r="T2028" s="2" t="str">
        <f t="shared" si="287"/>
        <v>Average</v>
      </c>
      <c r="U2028" s="2"/>
    </row>
    <row r="2029" spans="1:21" x14ac:dyDescent="0.3">
      <c r="A2029">
        <v>2028</v>
      </c>
      <c r="B2029" t="s">
        <v>2912</v>
      </c>
      <c r="C2029" t="str">
        <f t="shared" si="279"/>
        <v>EMP_2028</v>
      </c>
      <c r="D2029" t="s">
        <v>11</v>
      </c>
      <c r="E2029" t="str">
        <f t="shared" si="280"/>
        <v>EMP_2028Finance</v>
      </c>
      <c r="F2029" t="s">
        <v>18</v>
      </c>
      <c r="G2029" t="s">
        <v>13</v>
      </c>
      <c r="H2029">
        <v>40573</v>
      </c>
      <c r="I2029">
        <v>10971</v>
      </c>
      <c r="J2029">
        <v>0</v>
      </c>
      <c r="K2029">
        <v>0</v>
      </c>
      <c r="L2029" s="4" t="s">
        <v>2082</v>
      </c>
      <c r="M2029" s="4" t="str">
        <f t="shared" si="281"/>
        <v>12/18/2019</v>
      </c>
      <c r="N2029" s="1">
        <f t="shared" ca="1" si="282"/>
        <v>46064</v>
      </c>
      <c r="O2029" s="6" t="e">
        <f t="shared" ca="1" si="283"/>
        <v>#VALUE!</v>
      </c>
      <c r="P2029">
        <v>1</v>
      </c>
      <c r="Q2029">
        <f t="shared" si="284"/>
        <v>51544</v>
      </c>
      <c r="R2029" s="2">
        <f t="shared" si="285"/>
        <v>25772</v>
      </c>
      <c r="S2029" s="2" t="str">
        <f t="shared" si="286"/>
        <v xml:space="preserve"> Not Achieved</v>
      </c>
      <c r="T2029" s="2" t="str">
        <f t="shared" si="287"/>
        <v>Good</v>
      </c>
      <c r="U2029" s="2"/>
    </row>
    <row r="2030" spans="1:21" x14ac:dyDescent="0.3">
      <c r="A2030">
        <v>2029</v>
      </c>
      <c r="B2030" t="s">
        <v>2913</v>
      </c>
      <c r="C2030" t="str">
        <f t="shared" si="279"/>
        <v>EMP_2029</v>
      </c>
      <c r="D2030" t="s">
        <v>15</v>
      </c>
      <c r="E2030" t="str">
        <f t="shared" si="280"/>
        <v>EMP_2029Sales</v>
      </c>
      <c r="F2030" t="s">
        <v>7</v>
      </c>
      <c r="G2030" t="s">
        <v>25</v>
      </c>
      <c r="H2030">
        <v>44765</v>
      </c>
      <c r="I2030">
        <v>8340</v>
      </c>
      <c r="J2030">
        <v>185558</v>
      </c>
      <c r="K2030">
        <v>198478</v>
      </c>
      <c r="L2030" s="4" t="s">
        <v>2914</v>
      </c>
      <c r="M2030" s="4" t="str">
        <f t="shared" si="281"/>
        <v>10/28/2024</v>
      </c>
      <c r="N2030" s="1">
        <f t="shared" ca="1" si="282"/>
        <v>46064</v>
      </c>
      <c r="O2030" s="6" t="e">
        <f t="shared" ca="1" si="283"/>
        <v>#VALUE!</v>
      </c>
      <c r="P2030">
        <v>4</v>
      </c>
      <c r="Q2030">
        <f t="shared" si="284"/>
        <v>53105</v>
      </c>
      <c r="R2030" s="2">
        <f t="shared" si="285"/>
        <v>26552.5</v>
      </c>
      <c r="S2030" s="2" t="str">
        <f t="shared" si="286"/>
        <v xml:space="preserve"> Not Achieved</v>
      </c>
      <c r="T2030" s="2" t="str">
        <f t="shared" si="287"/>
        <v>Good</v>
      </c>
      <c r="U2030" s="2"/>
    </row>
    <row r="2031" spans="1:21" x14ac:dyDescent="0.3">
      <c r="A2031">
        <v>2030</v>
      </c>
      <c r="B2031" t="s">
        <v>2915</v>
      </c>
      <c r="C2031" t="str">
        <f t="shared" si="279"/>
        <v>EMP_2030</v>
      </c>
      <c r="D2031" t="s">
        <v>11</v>
      </c>
      <c r="E2031" t="str">
        <f t="shared" si="280"/>
        <v>EMP_2030Finance</v>
      </c>
      <c r="F2031" t="s">
        <v>18</v>
      </c>
      <c r="G2031" t="s">
        <v>16</v>
      </c>
      <c r="H2031">
        <v>76529</v>
      </c>
      <c r="I2031">
        <v>5308</v>
      </c>
      <c r="J2031">
        <v>0</v>
      </c>
      <c r="K2031">
        <v>0</v>
      </c>
      <c r="L2031" s="4">
        <v>44687</v>
      </c>
      <c r="M2031" s="4" t="str">
        <f t="shared" si="281"/>
        <v>2022</v>
      </c>
      <c r="N2031" s="1">
        <f t="shared" ca="1" si="282"/>
        <v>46064</v>
      </c>
      <c r="O2031" s="6">
        <f t="shared" ca="1" si="283"/>
        <v>3</v>
      </c>
      <c r="P2031">
        <v>3</v>
      </c>
      <c r="Q2031">
        <f t="shared" si="284"/>
        <v>81837</v>
      </c>
      <c r="R2031" s="2">
        <f t="shared" si="285"/>
        <v>40918.5</v>
      </c>
      <c r="S2031" s="2" t="str">
        <f t="shared" si="286"/>
        <v xml:space="preserve"> Not Achieved</v>
      </c>
      <c r="T2031" s="2" t="str">
        <f t="shared" si="287"/>
        <v xml:space="preserve"> Excellent</v>
      </c>
      <c r="U2031" s="2"/>
    </row>
    <row r="2032" spans="1:21" x14ac:dyDescent="0.3">
      <c r="A2032">
        <v>2031</v>
      </c>
      <c r="B2032" t="s">
        <v>2916</v>
      </c>
      <c r="C2032" t="str">
        <f t="shared" si="279"/>
        <v>EMP_2031</v>
      </c>
      <c r="D2032" t="s">
        <v>15</v>
      </c>
      <c r="E2032" t="str">
        <f t="shared" si="280"/>
        <v>EMP_2031Marketing</v>
      </c>
      <c r="F2032" t="s">
        <v>24</v>
      </c>
      <c r="G2032" t="s">
        <v>19</v>
      </c>
      <c r="H2032">
        <v>78002</v>
      </c>
      <c r="I2032">
        <v>10961</v>
      </c>
      <c r="J2032">
        <v>0</v>
      </c>
      <c r="K2032">
        <v>0</v>
      </c>
      <c r="L2032" s="4">
        <v>43750</v>
      </c>
      <c r="M2032" s="4" t="str">
        <f t="shared" si="281"/>
        <v>2019</v>
      </c>
      <c r="N2032" s="1">
        <f t="shared" ca="1" si="282"/>
        <v>46064</v>
      </c>
      <c r="O2032" s="6">
        <f t="shared" ca="1" si="283"/>
        <v>6</v>
      </c>
      <c r="P2032">
        <v>1</v>
      </c>
      <c r="Q2032">
        <f t="shared" si="284"/>
        <v>88963</v>
      </c>
      <c r="R2032" s="2">
        <f t="shared" si="285"/>
        <v>44481.5</v>
      </c>
      <c r="S2032" s="2" t="str">
        <f t="shared" si="286"/>
        <v xml:space="preserve"> Not Achieved</v>
      </c>
      <c r="T2032" s="2" t="str">
        <f t="shared" si="287"/>
        <v xml:space="preserve"> Excellent</v>
      </c>
      <c r="U2032" s="2"/>
    </row>
    <row r="2033" spans="1:21" x14ac:dyDescent="0.3">
      <c r="A2033">
        <v>2032</v>
      </c>
      <c r="B2033" t="s">
        <v>2917</v>
      </c>
      <c r="C2033" t="str">
        <f t="shared" si="279"/>
        <v>EMP_2032</v>
      </c>
      <c r="D2033" t="s">
        <v>15</v>
      </c>
      <c r="E2033" t="str">
        <f t="shared" si="280"/>
        <v>EMP_2032IT</v>
      </c>
      <c r="F2033" t="s">
        <v>21</v>
      </c>
      <c r="G2033" t="s">
        <v>16</v>
      </c>
      <c r="H2033">
        <v>21171</v>
      </c>
      <c r="I2033">
        <v>2001</v>
      </c>
      <c r="J2033">
        <v>0</v>
      </c>
      <c r="K2033">
        <v>0</v>
      </c>
      <c r="L2033" s="4" t="s">
        <v>1305</v>
      </c>
      <c r="M2033" s="4" t="str">
        <f t="shared" si="281"/>
        <v>5/15/2021</v>
      </c>
      <c r="N2033" s="1">
        <f t="shared" ca="1" si="282"/>
        <v>46064</v>
      </c>
      <c r="O2033" s="6" t="e">
        <f t="shared" ca="1" si="283"/>
        <v>#VALUE!</v>
      </c>
      <c r="P2033">
        <v>2</v>
      </c>
      <c r="Q2033">
        <f t="shared" si="284"/>
        <v>23172</v>
      </c>
      <c r="R2033" s="2">
        <f t="shared" si="285"/>
        <v>11586</v>
      </c>
      <c r="S2033" s="2" t="str">
        <f t="shared" si="286"/>
        <v xml:space="preserve"> Not Achieved</v>
      </c>
      <c r="T2033" s="2" t="str">
        <f t="shared" si="287"/>
        <v>poor</v>
      </c>
      <c r="U2033" s="2"/>
    </row>
    <row r="2034" spans="1:21" x14ac:dyDescent="0.3">
      <c r="A2034">
        <v>2033</v>
      </c>
      <c r="B2034" t="s">
        <v>2918</v>
      </c>
      <c r="C2034" t="str">
        <f t="shared" si="279"/>
        <v>EMP_2033</v>
      </c>
      <c r="D2034" t="s">
        <v>15</v>
      </c>
      <c r="E2034" t="str">
        <f t="shared" si="280"/>
        <v>EMP_2033Sales</v>
      </c>
      <c r="F2034" t="s">
        <v>7</v>
      </c>
      <c r="G2034" t="s">
        <v>25</v>
      </c>
      <c r="H2034">
        <v>52637</v>
      </c>
      <c r="I2034">
        <v>12260</v>
      </c>
      <c r="J2034">
        <v>87220</v>
      </c>
      <c r="K2034">
        <v>202738</v>
      </c>
      <c r="L2034" s="4">
        <v>44866</v>
      </c>
      <c r="M2034" s="4" t="str">
        <f t="shared" si="281"/>
        <v>2022</v>
      </c>
      <c r="N2034" s="1">
        <f t="shared" ca="1" si="282"/>
        <v>46064</v>
      </c>
      <c r="O2034" s="6">
        <f t="shared" ca="1" si="283"/>
        <v>3</v>
      </c>
      <c r="P2034">
        <v>3</v>
      </c>
      <c r="Q2034">
        <f t="shared" si="284"/>
        <v>64897</v>
      </c>
      <c r="R2034" s="2">
        <f t="shared" si="285"/>
        <v>32448.5</v>
      </c>
      <c r="S2034" s="2" t="str">
        <f t="shared" si="286"/>
        <v xml:space="preserve"> Not Achieved</v>
      </c>
      <c r="T2034" s="2" t="str">
        <f t="shared" si="287"/>
        <v xml:space="preserve"> Excellent</v>
      </c>
      <c r="U2034" s="2"/>
    </row>
    <row r="2035" spans="1:21" x14ac:dyDescent="0.3">
      <c r="A2035">
        <v>2034</v>
      </c>
      <c r="B2035" t="s">
        <v>2919</v>
      </c>
      <c r="C2035" t="str">
        <f t="shared" si="279"/>
        <v>EMP_2034</v>
      </c>
      <c r="D2035" t="s">
        <v>15</v>
      </c>
      <c r="E2035" t="str">
        <f t="shared" si="280"/>
        <v>EMP_2034Finance</v>
      </c>
      <c r="F2035" t="s">
        <v>18</v>
      </c>
      <c r="G2035" t="s">
        <v>25</v>
      </c>
      <c r="H2035">
        <v>46812</v>
      </c>
      <c r="I2035">
        <v>6885</v>
      </c>
      <c r="J2035">
        <v>0</v>
      </c>
      <c r="K2035">
        <v>0</v>
      </c>
      <c r="L2035" s="4" t="s">
        <v>2920</v>
      </c>
      <c r="M2035" s="4" t="str">
        <f t="shared" si="281"/>
        <v>2/14/2021</v>
      </c>
      <c r="N2035" s="1">
        <f t="shared" ca="1" si="282"/>
        <v>46064</v>
      </c>
      <c r="O2035" s="6" t="e">
        <f t="shared" ca="1" si="283"/>
        <v>#VALUE!</v>
      </c>
      <c r="P2035">
        <v>3</v>
      </c>
      <c r="Q2035">
        <f t="shared" si="284"/>
        <v>53697</v>
      </c>
      <c r="R2035" s="2">
        <f t="shared" si="285"/>
        <v>26848.5</v>
      </c>
      <c r="S2035" s="2" t="str">
        <f t="shared" si="286"/>
        <v xml:space="preserve"> Not Achieved</v>
      </c>
      <c r="T2035" s="2" t="str">
        <f t="shared" si="287"/>
        <v>Good</v>
      </c>
      <c r="U2035" s="2"/>
    </row>
    <row r="2036" spans="1:21" x14ac:dyDescent="0.3">
      <c r="A2036">
        <v>2035</v>
      </c>
      <c r="B2036" t="s">
        <v>2921</v>
      </c>
      <c r="C2036" t="str">
        <f t="shared" si="279"/>
        <v>EMP_2035</v>
      </c>
      <c r="D2036" t="s">
        <v>15</v>
      </c>
      <c r="E2036" t="str">
        <f t="shared" si="280"/>
        <v>EMP_2035Finance</v>
      </c>
      <c r="F2036" t="s">
        <v>18</v>
      </c>
      <c r="G2036" t="s">
        <v>25</v>
      </c>
      <c r="H2036">
        <v>58841</v>
      </c>
      <c r="I2036">
        <v>3380</v>
      </c>
      <c r="J2036">
        <v>0</v>
      </c>
      <c r="K2036">
        <v>0</v>
      </c>
      <c r="L2036" s="4">
        <v>44835</v>
      </c>
      <c r="M2036" s="4" t="str">
        <f t="shared" si="281"/>
        <v>2022</v>
      </c>
      <c r="N2036" s="1">
        <f t="shared" ca="1" si="282"/>
        <v>46064</v>
      </c>
      <c r="O2036" s="6">
        <f t="shared" ca="1" si="283"/>
        <v>3</v>
      </c>
      <c r="P2036">
        <v>2</v>
      </c>
      <c r="Q2036">
        <f t="shared" si="284"/>
        <v>62221</v>
      </c>
      <c r="R2036" s="2">
        <f t="shared" si="285"/>
        <v>31110.5</v>
      </c>
      <c r="S2036" s="2" t="str">
        <f t="shared" si="286"/>
        <v xml:space="preserve"> Not Achieved</v>
      </c>
      <c r="T2036" s="2" t="str">
        <f t="shared" si="287"/>
        <v xml:space="preserve"> Excellent</v>
      </c>
      <c r="U2036" s="2"/>
    </row>
    <row r="2037" spans="1:21" x14ac:dyDescent="0.3">
      <c r="A2037">
        <v>2036</v>
      </c>
      <c r="B2037" t="s">
        <v>2922</v>
      </c>
      <c r="C2037" t="str">
        <f t="shared" si="279"/>
        <v>EMP_2036</v>
      </c>
      <c r="D2037" t="s">
        <v>11</v>
      </c>
      <c r="E2037" t="str">
        <f t="shared" si="280"/>
        <v>EMP_2036IT</v>
      </c>
      <c r="F2037" t="s">
        <v>21</v>
      </c>
      <c r="G2037" t="s">
        <v>13</v>
      </c>
      <c r="H2037">
        <v>59542</v>
      </c>
      <c r="I2037">
        <v>4008</v>
      </c>
      <c r="J2037">
        <v>0</v>
      </c>
      <c r="K2037">
        <v>0</v>
      </c>
      <c r="L2037" s="4">
        <v>44991</v>
      </c>
      <c r="M2037" s="4" t="str">
        <f t="shared" si="281"/>
        <v>2023</v>
      </c>
      <c r="N2037" s="1">
        <f t="shared" ca="1" si="282"/>
        <v>46064</v>
      </c>
      <c r="O2037" s="6">
        <f t="shared" ca="1" si="283"/>
        <v>2</v>
      </c>
      <c r="P2037">
        <v>5</v>
      </c>
      <c r="Q2037">
        <f t="shared" si="284"/>
        <v>63550</v>
      </c>
      <c r="R2037" s="2">
        <f t="shared" si="285"/>
        <v>31775</v>
      </c>
      <c r="S2037" s="2" t="str">
        <f t="shared" si="286"/>
        <v xml:space="preserve"> Not Achieved</v>
      </c>
      <c r="T2037" s="2" t="str">
        <f t="shared" si="287"/>
        <v xml:space="preserve"> Excellent</v>
      </c>
      <c r="U2037" s="2"/>
    </row>
    <row r="2038" spans="1:21" x14ac:dyDescent="0.3">
      <c r="A2038">
        <v>2037</v>
      </c>
      <c r="B2038" t="s">
        <v>2923</v>
      </c>
      <c r="C2038" t="str">
        <f t="shared" si="279"/>
        <v>EMP_2037</v>
      </c>
      <c r="D2038" t="s">
        <v>15</v>
      </c>
      <c r="E2038" t="str">
        <f t="shared" si="280"/>
        <v>EMP_2037HR</v>
      </c>
      <c r="F2038" t="s">
        <v>12</v>
      </c>
      <c r="G2038" t="s">
        <v>25</v>
      </c>
      <c r="H2038">
        <v>58219</v>
      </c>
      <c r="I2038">
        <v>4896</v>
      </c>
      <c r="J2038">
        <v>0</v>
      </c>
      <c r="K2038">
        <v>0</v>
      </c>
      <c r="L2038" s="4">
        <v>43623</v>
      </c>
      <c r="M2038" s="4" t="str">
        <f t="shared" si="281"/>
        <v>2019</v>
      </c>
      <c r="N2038" s="1">
        <f t="shared" ca="1" si="282"/>
        <v>46064</v>
      </c>
      <c r="O2038" s="6">
        <f t="shared" ca="1" si="283"/>
        <v>6</v>
      </c>
      <c r="P2038">
        <v>5</v>
      </c>
      <c r="Q2038">
        <f t="shared" si="284"/>
        <v>63115</v>
      </c>
      <c r="R2038" s="2">
        <f t="shared" si="285"/>
        <v>31557.5</v>
      </c>
      <c r="S2038" s="2" t="str">
        <f t="shared" si="286"/>
        <v xml:space="preserve"> Not Achieved</v>
      </c>
      <c r="T2038" s="2" t="str">
        <f t="shared" si="287"/>
        <v xml:space="preserve"> Excellent</v>
      </c>
      <c r="U2038" s="2"/>
    </row>
    <row r="2039" spans="1:21" x14ac:dyDescent="0.3">
      <c r="A2039">
        <v>2038</v>
      </c>
      <c r="B2039" t="s">
        <v>2924</v>
      </c>
      <c r="C2039" t="str">
        <f t="shared" si="279"/>
        <v>EMP_2038</v>
      </c>
      <c r="D2039" t="s">
        <v>15</v>
      </c>
      <c r="E2039" t="str">
        <f t="shared" si="280"/>
        <v>EMP_2038Finance</v>
      </c>
      <c r="F2039" t="s">
        <v>18</v>
      </c>
      <c r="G2039" t="s">
        <v>16</v>
      </c>
      <c r="H2039">
        <v>52378</v>
      </c>
      <c r="I2039">
        <v>10714</v>
      </c>
      <c r="J2039">
        <v>0</v>
      </c>
      <c r="K2039">
        <v>0</v>
      </c>
      <c r="L2039" s="4">
        <v>44177</v>
      </c>
      <c r="M2039" s="4" t="str">
        <f t="shared" si="281"/>
        <v>2020</v>
      </c>
      <c r="N2039" s="1">
        <f t="shared" ca="1" si="282"/>
        <v>46064</v>
      </c>
      <c r="O2039" s="6">
        <f t="shared" ca="1" si="283"/>
        <v>5</v>
      </c>
      <c r="P2039">
        <v>3</v>
      </c>
      <c r="Q2039">
        <f t="shared" si="284"/>
        <v>63092</v>
      </c>
      <c r="R2039" s="2">
        <f t="shared" si="285"/>
        <v>31546</v>
      </c>
      <c r="S2039" s="2" t="str">
        <f t="shared" si="286"/>
        <v xml:space="preserve"> Not Achieved</v>
      </c>
      <c r="T2039" s="2" t="str">
        <f t="shared" si="287"/>
        <v xml:space="preserve"> Excellent</v>
      </c>
      <c r="U2039" s="2"/>
    </row>
    <row r="2040" spans="1:21" x14ac:dyDescent="0.3">
      <c r="A2040">
        <v>2039</v>
      </c>
      <c r="B2040" t="s">
        <v>2925</v>
      </c>
      <c r="C2040" t="str">
        <f t="shared" si="279"/>
        <v>EMP_2039</v>
      </c>
      <c r="D2040" t="s">
        <v>15</v>
      </c>
      <c r="E2040" t="str">
        <f t="shared" si="280"/>
        <v>EMP_2039Sales</v>
      </c>
      <c r="F2040" t="s">
        <v>7</v>
      </c>
      <c r="G2040" t="s">
        <v>13</v>
      </c>
      <c r="H2040">
        <v>34365</v>
      </c>
      <c r="I2040">
        <v>6498</v>
      </c>
      <c r="J2040">
        <v>264420</v>
      </c>
      <c r="K2040">
        <v>87672</v>
      </c>
      <c r="L2040" s="4" t="s">
        <v>2926</v>
      </c>
      <c r="M2040" s="4" t="str">
        <f t="shared" si="281"/>
        <v>1/21/2020</v>
      </c>
      <c r="N2040" s="1">
        <f t="shared" ca="1" si="282"/>
        <v>46064</v>
      </c>
      <c r="O2040" s="6" t="e">
        <f t="shared" ca="1" si="283"/>
        <v>#VALUE!</v>
      </c>
      <c r="P2040">
        <v>2</v>
      </c>
      <c r="Q2040">
        <f t="shared" si="284"/>
        <v>40863</v>
      </c>
      <c r="R2040" s="2">
        <f t="shared" si="285"/>
        <v>20431.5</v>
      </c>
      <c r="S2040" s="2" t="str">
        <f t="shared" si="286"/>
        <v>Achieved</v>
      </c>
      <c r="T2040" s="2" t="str">
        <f t="shared" si="287"/>
        <v>Average</v>
      </c>
      <c r="U2040" s="2"/>
    </row>
    <row r="2041" spans="1:21" x14ac:dyDescent="0.3">
      <c r="A2041">
        <v>2040</v>
      </c>
      <c r="B2041" t="s">
        <v>2927</v>
      </c>
      <c r="C2041" t="str">
        <f t="shared" si="279"/>
        <v>EMP_2040</v>
      </c>
      <c r="D2041" t="s">
        <v>11</v>
      </c>
      <c r="E2041" t="str">
        <f t="shared" si="280"/>
        <v>EMP_2040Finance</v>
      </c>
      <c r="F2041" t="s">
        <v>18</v>
      </c>
      <c r="G2041" t="s">
        <v>16</v>
      </c>
      <c r="H2041">
        <v>43174</v>
      </c>
      <c r="I2041">
        <v>10681</v>
      </c>
      <c r="J2041">
        <v>0</v>
      </c>
      <c r="K2041">
        <v>0</v>
      </c>
      <c r="L2041" s="4">
        <v>45478</v>
      </c>
      <c r="M2041" s="4" t="str">
        <f t="shared" si="281"/>
        <v>2024</v>
      </c>
      <c r="N2041" s="1">
        <f t="shared" ca="1" si="282"/>
        <v>46064</v>
      </c>
      <c r="O2041" s="6">
        <f t="shared" ca="1" si="283"/>
        <v>1</v>
      </c>
      <c r="P2041">
        <v>1</v>
      </c>
      <c r="Q2041">
        <f t="shared" si="284"/>
        <v>53855</v>
      </c>
      <c r="R2041" s="2">
        <f t="shared" si="285"/>
        <v>26927.5</v>
      </c>
      <c r="S2041" s="2" t="str">
        <f t="shared" si="286"/>
        <v xml:space="preserve"> Not Achieved</v>
      </c>
      <c r="T2041" s="2" t="str">
        <f t="shared" si="287"/>
        <v>Good</v>
      </c>
      <c r="U2041" s="2"/>
    </row>
    <row r="2042" spans="1:21" x14ac:dyDescent="0.3">
      <c r="A2042">
        <v>2041</v>
      </c>
      <c r="B2042" t="s">
        <v>2928</v>
      </c>
      <c r="C2042" t="str">
        <f t="shared" si="279"/>
        <v>EMP_2041</v>
      </c>
      <c r="D2042" t="s">
        <v>11</v>
      </c>
      <c r="E2042" t="str">
        <f t="shared" si="280"/>
        <v>EMP_2041Marketing</v>
      </c>
      <c r="F2042" t="s">
        <v>24</v>
      </c>
      <c r="G2042" t="s">
        <v>16</v>
      </c>
      <c r="H2042">
        <v>63468</v>
      </c>
      <c r="I2042">
        <v>6670</v>
      </c>
      <c r="J2042">
        <v>0</v>
      </c>
      <c r="K2042">
        <v>0</v>
      </c>
      <c r="L2042" s="4" t="s">
        <v>2443</v>
      </c>
      <c r="M2042" s="4" t="str">
        <f t="shared" si="281"/>
        <v>1/28/2020</v>
      </c>
      <c r="N2042" s="1">
        <f t="shared" ca="1" si="282"/>
        <v>46064</v>
      </c>
      <c r="O2042" s="6" t="e">
        <f t="shared" ca="1" si="283"/>
        <v>#VALUE!</v>
      </c>
      <c r="P2042">
        <v>1</v>
      </c>
      <c r="Q2042">
        <f t="shared" si="284"/>
        <v>70138</v>
      </c>
      <c r="R2042" s="2">
        <f t="shared" si="285"/>
        <v>35069</v>
      </c>
      <c r="S2042" s="2" t="str">
        <f t="shared" si="286"/>
        <v xml:space="preserve"> Not Achieved</v>
      </c>
      <c r="T2042" s="2" t="str">
        <f t="shared" si="287"/>
        <v xml:space="preserve"> Excellent</v>
      </c>
      <c r="U2042" s="2"/>
    </row>
    <row r="2043" spans="1:21" x14ac:dyDescent="0.3">
      <c r="A2043">
        <v>2042</v>
      </c>
      <c r="B2043" t="s">
        <v>2929</v>
      </c>
      <c r="C2043" t="str">
        <f t="shared" si="279"/>
        <v>EMP_2042</v>
      </c>
      <c r="D2043" t="s">
        <v>11</v>
      </c>
      <c r="E2043" t="str">
        <f t="shared" si="280"/>
        <v>EMP_2042Sales</v>
      </c>
      <c r="F2043" t="s">
        <v>7</v>
      </c>
      <c r="G2043" t="s">
        <v>13</v>
      </c>
      <c r="H2043">
        <v>30609</v>
      </c>
      <c r="I2043">
        <v>7949</v>
      </c>
      <c r="J2043">
        <v>128212</v>
      </c>
      <c r="K2043">
        <v>168677</v>
      </c>
      <c r="L2043" s="4" t="s">
        <v>2930</v>
      </c>
      <c r="M2043" s="4" t="str">
        <f t="shared" si="281"/>
        <v>4/25/2019</v>
      </c>
      <c r="N2043" s="1">
        <f t="shared" ca="1" si="282"/>
        <v>46064</v>
      </c>
      <c r="O2043" s="6" t="e">
        <f t="shared" ca="1" si="283"/>
        <v>#VALUE!</v>
      </c>
      <c r="P2043">
        <v>5</v>
      </c>
      <c r="Q2043">
        <f t="shared" si="284"/>
        <v>38558</v>
      </c>
      <c r="R2043" s="2">
        <f t="shared" si="285"/>
        <v>19279</v>
      </c>
      <c r="S2043" s="2" t="str">
        <f t="shared" si="286"/>
        <v xml:space="preserve"> Not Achieved</v>
      </c>
      <c r="T2043" s="2" t="str">
        <f t="shared" si="287"/>
        <v>Average</v>
      </c>
      <c r="U2043" s="2"/>
    </row>
    <row r="2044" spans="1:21" x14ac:dyDescent="0.3">
      <c r="A2044">
        <v>2043</v>
      </c>
      <c r="B2044" t="s">
        <v>2931</v>
      </c>
      <c r="C2044" t="str">
        <f t="shared" si="279"/>
        <v>EMP_2043</v>
      </c>
      <c r="D2044" t="s">
        <v>15</v>
      </c>
      <c r="E2044" t="str">
        <f t="shared" si="280"/>
        <v>EMP_2043HR</v>
      </c>
      <c r="F2044" t="s">
        <v>12</v>
      </c>
      <c r="G2044" t="s">
        <v>25</v>
      </c>
      <c r="H2044">
        <v>59260</v>
      </c>
      <c r="I2044">
        <v>7847</v>
      </c>
      <c r="J2044">
        <v>0</v>
      </c>
      <c r="K2044">
        <v>0</v>
      </c>
      <c r="L2044" s="4" t="s">
        <v>2932</v>
      </c>
      <c r="M2044" s="4" t="str">
        <f t="shared" si="281"/>
        <v>11/16/2019</v>
      </c>
      <c r="N2044" s="1">
        <f t="shared" ca="1" si="282"/>
        <v>46064</v>
      </c>
      <c r="O2044" s="6" t="e">
        <f t="shared" ca="1" si="283"/>
        <v>#VALUE!</v>
      </c>
      <c r="P2044">
        <v>1</v>
      </c>
      <c r="Q2044">
        <f t="shared" si="284"/>
        <v>67107</v>
      </c>
      <c r="R2044" s="2">
        <f t="shared" si="285"/>
        <v>33553.5</v>
      </c>
      <c r="S2044" s="2" t="str">
        <f t="shared" si="286"/>
        <v xml:space="preserve"> Not Achieved</v>
      </c>
      <c r="T2044" s="2" t="str">
        <f t="shared" si="287"/>
        <v xml:space="preserve"> Excellent</v>
      </c>
      <c r="U2044" s="2"/>
    </row>
    <row r="2045" spans="1:21" x14ac:dyDescent="0.3">
      <c r="A2045">
        <v>2044</v>
      </c>
      <c r="B2045" t="s">
        <v>2933</v>
      </c>
      <c r="C2045" t="str">
        <f t="shared" si="279"/>
        <v>EMP_2044</v>
      </c>
      <c r="D2045" t="s">
        <v>15</v>
      </c>
      <c r="E2045" t="str">
        <f t="shared" si="280"/>
        <v>EMP_2044Marketing</v>
      </c>
      <c r="F2045" t="s">
        <v>24</v>
      </c>
      <c r="G2045" t="s">
        <v>13</v>
      </c>
      <c r="H2045">
        <v>32108</v>
      </c>
      <c r="I2045">
        <v>3968</v>
      </c>
      <c r="J2045">
        <v>0</v>
      </c>
      <c r="K2045">
        <v>0</v>
      </c>
      <c r="L2045" s="4" t="s">
        <v>2934</v>
      </c>
      <c r="M2045" s="4" t="str">
        <f t="shared" si="281"/>
        <v>10/14/2022</v>
      </c>
      <c r="N2045" s="1">
        <f t="shared" ca="1" si="282"/>
        <v>46064</v>
      </c>
      <c r="O2045" s="6" t="e">
        <f t="shared" ca="1" si="283"/>
        <v>#VALUE!</v>
      </c>
      <c r="P2045">
        <v>5</v>
      </c>
      <c r="Q2045">
        <f t="shared" si="284"/>
        <v>36076</v>
      </c>
      <c r="R2045" s="2">
        <f t="shared" si="285"/>
        <v>18038</v>
      </c>
      <c r="S2045" s="2" t="str">
        <f t="shared" si="286"/>
        <v xml:space="preserve"> Not Achieved</v>
      </c>
      <c r="T2045" s="2" t="str">
        <f t="shared" si="287"/>
        <v>Average</v>
      </c>
      <c r="U2045" s="2"/>
    </row>
    <row r="2046" spans="1:21" x14ac:dyDescent="0.3">
      <c r="A2046">
        <v>2045</v>
      </c>
      <c r="B2046" t="s">
        <v>2935</v>
      </c>
      <c r="C2046" t="str">
        <f t="shared" si="279"/>
        <v>EMP_2045</v>
      </c>
      <c r="D2046" t="s">
        <v>15</v>
      </c>
      <c r="E2046" t="str">
        <f t="shared" si="280"/>
        <v>EMP_2045Finance</v>
      </c>
      <c r="F2046" t="s">
        <v>18</v>
      </c>
      <c r="G2046" t="s">
        <v>16</v>
      </c>
      <c r="H2046">
        <v>26254</v>
      </c>
      <c r="I2046">
        <v>7688</v>
      </c>
      <c r="J2046">
        <v>0</v>
      </c>
      <c r="K2046">
        <v>0</v>
      </c>
      <c r="L2046" s="4">
        <v>43625</v>
      </c>
      <c r="M2046" s="4" t="str">
        <f t="shared" si="281"/>
        <v>2019</v>
      </c>
      <c r="N2046" s="1">
        <f t="shared" ca="1" si="282"/>
        <v>46064</v>
      </c>
      <c r="O2046" s="6">
        <f t="shared" ca="1" si="283"/>
        <v>6</v>
      </c>
      <c r="P2046">
        <v>5</v>
      </c>
      <c r="Q2046">
        <f t="shared" si="284"/>
        <v>33942</v>
      </c>
      <c r="R2046" s="2">
        <f t="shared" si="285"/>
        <v>16971</v>
      </c>
      <c r="S2046" s="2" t="str">
        <f t="shared" si="286"/>
        <v xml:space="preserve"> Not Achieved</v>
      </c>
      <c r="T2046" s="2" t="str">
        <f t="shared" si="287"/>
        <v>poor</v>
      </c>
      <c r="U2046" s="2"/>
    </row>
    <row r="2047" spans="1:21" x14ac:dyDescent="0.3">
      <c r="A2047">
        <v>2046</v>
      </c>
      <c r="B2047" t="s">
        <v>2936</v>
      </c>
      <c r="C2047" t="str">
        <f t="shared" si="279"/>
        <v>EMP_2046</v>
      </c>
      <c r="D2047" t="s">
        <v>15</v>
      </c>
      <c r="E2047" t="str">
        <f t="shared" si="280"/>
        <v>EMP_2046Finance</v>
      </c>
      <c r="F2047" t="s">
        <v>18</v>
      </c>
      <c r="G2047" t="s">
        <v>13</v>
      </c>
      <c r="H2047">
        <v>74212</v>
      </c>
      <c r="I2047">
        <v>10634</v>
      </c>
      <c r="J2047">
        <v>0</v>
      </c>
      <c r="K2047">
        <v>0</v>
      </c>
      <c r="L2047" s="4">
        <v>43262</v>
      </c>
      <c r="M2047" s="4" t="str">
        <f t="shared" si="281"/>
        <v>2018</v>
      </c>
      <c r="N2047" s="1">
        <f t="shared" ca="1" si="282"/>
        <v>46064</v>
      </c>
      <c r="O2047" s="6">
        <f t="shared" ca="1" si="283"/>
        <v>7</v>
      </c>
      <c r="P2047">
        <v>1</v>
      </c>
      <c r="Q2047">
        <f t="shared" si="284"/>
        <v>84846</v>
      </c>
      <c r="R2047" s="2">
        <f t="shared" si="285"/>
        <v>42423</v>
      </c>
      <c r="S2047" s="2" t="str">
        <f t="shared" si="286"/>
        <v xml:space="preserve"> Not Achieved</v>
      </c>
      <c r="T2047" s="2" t="str">
        <f t="shared" si="287"/>
        <v xml:space="preserve"> Excellent</v>
      </c>
      <c r="U2047" s="2"/>
    </row>
    <row r="2048" spans="1:21" x14ac:dyDescent="0.3">
      <c r="A2048">
        <v>2047</v>
      </c>
      <c r="B2048" t="s">
        <v>2937</v>
      </c>
      <c r="C2048" t="str">
        <f t="shared" si="279"/>
        <v>EMP_2047</v>
      </c>
      <c r="D2048" t="s">
        <v>15</v>
      </c>
      <c r="E2048" t="str">
        <f t="shared" si="280"/>
        <v>EMP_2047Sales</v>
      </c>
      <c r="F2048" t="s">
        <v>7</v>
      </c>
      <c r="G2048" t="s">
        <v>19</v>
      </c>
      <c r="H2048">
        <v>63067</v>
      </c>
      <c r="I2048">
        <v>14108</v>
      </c>
      <c r="J2048">
        <v>154031</v>
      </c>
      <c r="K2048">
        <v>198019</v>
      </c>
      <c r="L2048" s="4">
        <v>45506</v>
      </c>
      <c r="M2048" s="4" t="str">
        <f t="shared" si="281"/>
        <v>2024</v>
      </c>
      <c r="N2048" s="1">
        <f t="shared" ca="1" si="282"/>
        <v>46064</v>
      </c>
      <c r="O2048" s="6">
        <f t="shared" ca="1" si="283"/>
        <v>1</v>
      </c>
      <c r="P2048">
        <v>1</v>
      </c>
      <c r="Q2048">
        <f t="shared" si="284"/>
        <v>77175</v>
      </c>
      <c r="R2048" s="2">
        <f t="shared" si="285"/>
        <v>38587.5</v>
      </c>
      <c r="S2048" s="2" t="str">
        <f t="shared" si="286"/>
        <v xml:space="preserve"> Not Achieved</v>
      </c>
      <c r="T2048" s="2" t="str">
        <f t="shared" si="287"/>
        <v xml:space="preserve"> Excellent</v>
      </c>
      <c r="U2048" s="2"/>
    </row>
    <row r="2049" spans="1:21" x14ac:dyDescent="0.3">
      <c r="A2049">
        <v>2048</v>
      </c>
      <c r="B2049" t="s">
        <v>2938</v>
      </c>
      <c r="C2049" t="str">
        <f t="shared" si="279"/>
        <v>EMP_2048</v>
      </c>
      <c r="D2049" t="s">
        <v>11</v>
      </c>
      <c r="E2049" t="str">
        <f t="shared" si="280"/>
        <v>EMP_2048Finance</v>
      </c>
      <c r="F2049" t="s">
        <v>18</v>
      </c>
      <c r="G2049" t="s">
        <v>19</v>
      </c>
      <c r="H2049">
        <v>79081</v>
      </c>
      <c r="I2049">
        <v>5488</v>
      </c>
      <c r="J2049">
        <v>0</v>
      </c>
      <c r="K2049">
        <v>0</v>
      </c>
      <c r="L2049" s="4" t="s">
        <v>2939</v>
      </c>
      <c r="M2049" s="4" t="str">
        <f t="shared" si="281"/>
        <v>2/16/2024</v>
      </c>
      <c r="N2049" s="1">
        <f t="shared" ca="1" si="282"/>
        <v>46064</v>
      </c>
      <c r="O2049" s="6" t="e">
        <f t="shared" ca="1" si="283"/>
        <v>#VALUE!</v>
      </c>
      <c r="P2049">
        <v>5</v>
      </c>
      <c r="Q2049">
        <f t="shared" si="284"/>
        <v>84569</v>
      </c>
      <c r="R2049" s="2">
        <f t="shared" si="285"/>
        <v>42284.5</v>
      </c>
      <c r="S2049" s="2" t="str">
        <f t="shared" si="286"/>
        <v xml:space="preserve"> Not Achieved</v>
      </c>
      <c r="T2049" s="2" t="str">
        <f t="shared" si="287"/>
        <v xml:space="preserve"> Excellent</v>
      </c>
      <c r="U2049" s="2"/>
    </row>
    <row r="2050" spans="1:21" x14ac:dyDescent="0.3">
      <c r="A2050">
        <v>2049</v>
      </c>
      <c r="B2050" t="s">
        <v>2940</v>
      </c>
      <c r="C2050" t="str">
        <f t="shared" si="279"/>
        <v>EMP_2049</v>
      </c>
      <c r="D2050" t="s">
        <v>11</v>
      </c>
      <c r="E2050" t="str">
        <f t="shared" si="280"/>
        <v>EMP_2049IT</v>
      </c>
      <c r="F2050" t="s">
        <v>21</v>
      </c>
      <c r="G2050" t="s">
        <v>25</v>
      </c>
      <c r="H2050">
        <v>27561</v>
      </c>
      <c r="I2050">
        <v>5124</v>
      </c>
      <c r="J2050">
        <v>0</v>
      </c>
      <c r="K2050">
        <v>0</v>
      </c>
      <c r="L2050" s="4">
        <v>44532</v>
      </c>
      <c r="M2050" s="4" t="str">
        <f t="shared" si="281"/>
        <v>2021</v>
      </c>
      <c r="N2050" s="1">
        <f t="shared" ca="1" si="282"/>
        <v>46064</v>
      </c>
      <c r="O2050" s="6">
        <f t="shared" ca="1" si="283"/>
        <v>4</v>
      </c>
      <c r="P2050">
        <v>2</v>
      </c>
      <c r="Q2050">
        <f t="shared" si="284"/>
        <v>32685</v>
      </c>
      <c r="R2050" s="2">
        <f t="shared" si="285"/>
        <v>16342.5</v>
      </c>
      <c r="S2050" s="2" t="str">
        <f t="shared" si="286"/>
        <v xml:space="preserve"> Not Achieved</v>
      </c>
      <c r="T2050" s="2" t="str">
        <f t="shared" si="287"/>
        <v>poor</v>
      </c>
      <c r="U2050" s="2"/>
    </row>
    <row r="2051" spans="1:21" x14ac:dyDescent="0.3">
      <c r="A2051">
        <v>2050</v>
      </c>
      <c r="B2051" t="s">
        <v>2941</v>
      </c>
      <c r="C2051" t="str">
        <f t="shared" ref="C2051:C2114" si="288">UPPER(B2051)</f>
        <v>EMP_2050</v>
      </c>
      <c r="D2051" t="s">
        <v>11</v>
      </c>
      <c r="E2051" t="str">
        <f t="shared" ref="E2051:E2114" si="289">_xlfn.CONCAT(C2051,F2051)</f>
        <v>EMP_2050Marketing</v>
      </c>
      <c r="F2051" t="s">
        <v>24</v>
      </c>
      <c r="G2051" t="s">
        <v>25</v>
      </c>
      <c r="H2051">
        <v>23195</v>
      </c>
      <c r="I2051">
        <v>7365</v>
      </c>
      <c r="J2051">
        <v>0</v>
      </c>
      <c r="K2051">
        <v>0</v>
      </c>
      <c r="L2051" s="4">
        <v>44750</v>
      </c>
      <c r="M2051" s="4" t="str">
        <f t="shared" ref="M2051:M2114" si="290">TEXT(L2051,"yyyy")</f>
        <v>2022</v>
      </c>
      <c r="N2051" s="1">
        <f t="shared" ref="N2051:N2114" ca="1" si="291">TODAY()</f>
        <v>46064</v>
      </c>
      <c r="O2051" s="6">
        <f t="shared" ref="O2051:O2114" ca="1" si="292">DATEDIF(L2051, TODAY(), "y")</f>
        <v>3</v>
      </c>
      <c r="P2051">
        <v>4</v>
      </c>
      <c r="Q2051">
        <f t="shared" ref="Q2051:Q2114" si="293">SUM(H2051,I2051)</f>
        <v>30560</v>
      </c>
      <c r="R2051" s="2">
        <f t="shared" ref="R2051:R2114" si="294">AVERAGE(H2051,I2051)</f>
        <v>15280</v>
      </c>
      <c r="S2051" s="2" t="str">
        <f t="shared" ref="S2051:S2114" si="295">IF(J2051&gt;K2051,"Achieved"," Not Achieved")</f>
        <v xml:space="preserve"> Not Achieved</v>
      </c>
      <c r="T2051" s="2" t="str">
        <f t="shared" ref="T2051:T2114" si="296">_xlfn.IFS(H2051&gt;=50000," Excellent",H2051&gt;=40000,"Good",H2051&gt;=30000,"Average",H2051&lt;30000,"poor")</f>
        <v>poor</v>
      </c>
      <c r="U2051" s="2"/>
    </row>
    <row r="2052" spans="1:21" x14ac:dyDescent="0.3">
      <c r="A2052">
        <v>2051</v>
      </c>
      <c r="B2052" t="s">
        <v>2942</v>
      </c>
      <c r="C2052" t="str">
        <f t="shared" si="288"/>
        <v>EMP_2051</v>
      </c>
      <c r="D2052" t="s">
        <v>11</v>
      </c>
      <c r="E2052" t="str">
        <f t="shared" si="289"/>
        <v>EMP_2051HR</v>
      </c>
      <c r="F2052" t="s">
        <v>12</v>
      </c>
      <c r="G2052" t="s">
        <v>22</v>
      </c>
      <c r="H2052">
        <v>75833</v>
      </c>
      <c r="I2052">
        <v>6276</v>
      </c>
      <c r="J2052">
        <v>0</v>
      </c>
      <c r="K2052">
        <v>0</v>
      </c>
      <c r="L2052" s="4" t="s">
        <v>290</v>
      </c>
      <c r="M2052" s="4" t="str">
        <f t="shared" si="290"/>
        <v>10/13/2018</v>
      </c>
      <c r="N2052" s="1">
        <f t="shared" ca="1" si="291"/>
        <v>46064</v>
      </c>
      <c r="O2052" s="6" t="e">
        <f t="shared" ca="1" si="292"/>
        <v>#VALUE!</v>
      </c>
      <c r="P2052">
        <v>5</v>
      </c>
      <c r="Q2052">
        <f t="shared" si="293"/>
        <v>82109</v>
      </c>
      <c r="R2052" s="2">
        <f t="shared" si="294"/>
        <v>41054.5</v>
      </c>
      <c r="S2052" s="2" t="str">
        <f t="shared" si="295"/>
        <v xml:space="preserve"> Not Achieved</v>
      </c>
      <c r="T2052" s="2" t="str">
        <f t="shared" si="296"/>
        <v xml:space="preserve"> Excellent</v>
      </c>
      <c r="U2052" s="2"/>
    </row>
    <row r="2053" spans="1:21" x14ac:dyDescent="0.3">
      <c r="A2053">
        <v>2052</v>
      </c>
      <c r="B2053" t="s">
        <v>2943</v>
      </c>
      <c r="C2053" t="str">
        <f t="shared" si="288"/>
        <v>EMP_2052</v>
      </c>
      <c r="D2053" t="s">
        <v>15</v>
      </c>
      <c r="E2053" t="str">
        <f t="shared" si="289"/>
        <v>EMP_2052Sales</v>
      </c>
      <c r="F2053" t="s">
        <v>7</v>
      </c>
      <c r="G2053" t="s">
        <v>13</v>
      </c>
      <c r="H2053">
        <v>25483</v>
      </c>
      <c r="I2053">
        <v>11065</v>
      </c>
      <c r="J2053">
        <v>255073</v>
      </c>
      <c r="K2053">
        <v>231989</v>
      </c>
      <c r="L2053" s="4" t="s">
        <v>2944</v>
      </c>
      <c r="M2053" s="4" t="str">
        <f t="shared" si="290"/>
        <v>10/23/2019</v>
      </c>
      <c r="N2053" s="1">
        <f t="shared" ca="1" si="291"/>
        <v>46064</v>
      </c>
      <c r="O2053" s="6" t="e">
        <f t="shared" ca="1" si="292"/>
        <v>#VALUE!</v>
      </c>
      <c r="P2053">
        <v>2</v>
      </c>
      <c r="Q2053">
        <f t="shared" si="293"/>
        <v>36548</v>
      </c>
      <c r="R2053" s="2">
        <f t="shared" si="294"/>
        <v>18274</v>
      </c>
      <c r="S2053" s="2" t="str">
        <f t="shared" si="295"/>
        <v>Achieved</v>
      </c>
      <c r="T2053" s="2" t="str">
        <f t="shared" si="296"/>
        <v>poor</v>
      </c>
      <c r="U2053" s="2"/>
    </row>
    <row r="2054" spans="1:21" x14ac:dyDescent="0.3">
      <c r="A2054">
        <v>2053</v>
      </c>
      <c r="B2054" t="s">
        <v>2945</v>
      </c>
      <c r="C2054" t="str">
        <f t="shared" si="288"/>
        <v>EMP_2053</v>
      </c>
      <c r="D2054" t="s">
        <v>15</v>
      </c>
      <c r="E2054" t="str">
        <f t="shared" si="289"/>
        <v>EMP_2053IT</v>
      </c>
      <c r="F2054" t="s">
        <v>21</v>
      </c>
      <c r="G2054" t="s">
        <v>25</v>
      </c>
      <c r="H2054">
        <v>68929</v>
      </c>
      <c r="I2054">
        <v>3742</v>
      </c>
      <c r="J2054">
        <v>0</v>
      </c>
      <c r="K2054">
        <v>0</v>
      </c>
      <c r="L2054" s="4">
        <v>44835</v>
      </c>
      <c r="M2054" s="4" t="str">
        <f t="shared" si="290"/>
        <v>2022</v>
      </c>
      <c r="N2054" s="1">
        <f t="shared" ca="1" si="291"/>
        <v>46064</v>
      </c>
      <c r="O2054" s="6">
        <f t="shared" ca="1" si="292"/>
        <v>3</v>
      </c>
      <c r="P2054">
        <v>5</v>
      </c>
      <c r="Q2054">
        <f t="shared" si="293"/>
        <v>72671</v>
      </c>
      <c r="R2054" s="2">
        <f t="shared" si="294"/>
        <v>36335.5</v>
      </c>
      <c r="S2054" s="2" t="str">
        <f t="shared" si="295"/>
        <v xml:space="preserve"> Not Achieved</v>
      </c>
      <c r="T2054" s="2" t="str">
        <f t="shared" si="296"/>
        <v xml:space="preserve"> Excellent</v>
      </c>
      <c r="U2054" s="2"/>
    </row>
    <row r="2055" spans="1:21" x14ac:dyDescent="0.3">
      <c r="A2055">
        <v>2054</v>
      </c>
      <c r="B2055" t="s">
        <v>2946</v>
      </c>
      <c r="C2055" t="str">
        <f t="shared" si="288"/>
        <v>EMP_2054</v>
      </c>
      <c r="D2055" t="s">
        <v>15</v>
      </c>
      <c r="E2055" t="str">
        <f t="shared" si="289"/>
        <v>EMP_2054Marketing</v>
      </c>
      <c r="F2055" t="s">
        <v>24</v>
      </c>
      <c r="G2055" t="s">
        <v>25</v>
      </c>
      <c r="H2055">
        <v>71252</v>
      </c>
      <c r="I2055">
        <v>6684</v>
      </c>
      <c r="J2055">
        <v>0</v>
      </c>
      <c r="K2055">
        <v>0</v>
      </c>
      <c r="L2055" s="4">
        <v>43108</v>
      </c>
      <c r="M2055" s="4" t="str">
        <f t="shared" si="290"/>
        <v>2018</v>
      </c>
      <c r="N2055" s="1">
        <f t="shared" ca="1" si="291"/>
        <v>46064</v>
      </c>
      <c r="O2055" s="6">
        <f t="shared" ca="1" si="292"/>
        <v>8</v>
      </c>
      <c r="P2055">
        <v>1</v>
      </c>
      <c r="Q2055">
        <f t="shared" si="293"/>
        <v>77936</v>
      </c>
      <c r="R2055" s="2">
        <f t="shared" si="294"/>
        <v>38968</v>
      </c>
      <c r="S2055" s="2" t="str">
        <f t="shared" si="295"/>
        <v xml:space="preserve"> Not Achieved</v>
      </c>
      <c r="T2055" s="2" t="str">
        <f t="shared" si="296"/>
        <v xml:space="preserve"> Excellent</v>
      </c>
      <c r="U2055" s="2"/>
    </row>
    <row r="2056" spans="1:21" x14ac:dyDescent="0.3">
      <c r="A2056">
        <v>2055</v>
      </c>
      <c r="B2056" t="s">
        <v>2947</v>
      </c>
      <c r="C2056" t="str">
        <f t="shared" si="288"/>
        <v>EMP_2055</v>
      </c>
      <c r="D2056" t="s">
        <v>11</v>
      </c>
      <c r="E2056" t="str">
        <f t="shared" si="289"/>
        <v>EMP_2055HR</v>
      </c>
      <c r="F2056" t="s">
        <v>12</v>
      </c>
      <c r="G2056" t="s">
        <v>13</v>
      </c>
      <c r="H2056">
        <v>67739</v>
      </c>
      <c r="I2056">
        <v>7428</v>
      </c>
      <c r="J2056">
        <v>0</v>
      </c>
      <c r="K2056">
        <v>0</v>
      </c>
      <c r="L2056" s="4" t="s">
        <v>1830</v>
      </c>
      <c r="M2056" s="4" t="str">
        <f t="shared" si="290"/>
        <v>6/26/2023</v>
      </c>
      <c r="N2056" s="1">
        <f t="shared" ca="1" si="291"/>
        <v>46064</v>
      </c>
      <c r="O2056" s="6" t="e">
        <f t="shared" ca="1" si="292"/>
        <v>#VALUE!</v>
      </c>
      <c r="P2056">
        <v>4</v>
      </c>
      <c r="Q2056">
        <f t="shared" si="293"/>
        <v>75167</v>
      </c>
      <c r="R2056" s="2">
        <f t="shared" si="294"/>
        <v>37583.5</v>
      </c>
      <c r="S2056" s="2" t="str">
        <f t="shared" si="295"/>
        <v xml:space="preserve"> Not Achieved</v>
      </c>
      <c r="T2056" s="2" t="str">
        <f t="shared" si="296"/>
        <v xml:space="preserve"> Excellent</v>
      </c>
      <c r="U2056" s="2"/>
    </row>
    <row r="2057" spans="1:21" x14ac:dyDescent="0.3">
      <c r="A2057">
        <v>2056</v>
      </c>
      <c r="B2057" t="s">
        <v>2948</v>
      </c>
      <c r="C2057" t="str">
        <f t="shared" si="288"/>
        <v>EMP_2056</v>
      </c>
      <c r="D2057" t="s">
        <v>15</v>
      </c>
      <c r="E2057" t="str">
        <f t="shared" si="289"/>
        <v>EMP_2056Finance</v>
      </c>
      <c r="F2057" t="s">
        <v>18</v>
      </c>
      <c r="G2057" t="s">
        <v>22</v>
      </c>
      <c r="H2057">
        <v>54195</v>
      </c>
      <c r="I2057">
        <v>10726</v>
      </c>
      <c r="J2057">
        <v>0</v>
      </c>
      <c r="K2057">
        <v>0</v>
      </c>
      <c r="L2057" s="4" t="s">
        <v>2949</v>
      </c>
      <c r="M2057" s="4" t="str">
        <f t="shared" si="290"/>
        <v>12/31/2023</v>
      </c>
      <c r="N2057" s="1">
        <f t="shared" ca="1" si="291"/>
        <v>46064</v>
      </c>
      <c r="O2057" s="6" t="e">
        <f t="shared" ca="1" si="292"/>
        <v>#VALUE!</v>
      </c>
      <c r="P2057">
        <v>4</v>
      </c>
      <c r="Q2057">
        <f t="shared" si="293"/>
        <v>64921</v>
      </c>
      <c r="R2057" s="2">
        <f t="shared" si="294"/>
        <v>32460.5</v>
      </c>
      <c r="S2057" s="2" t="str">
        <f t="shared" si="295"/>
        <v xml:space="preserve"> Not Achieved</v>
      </c>
      <c r="T2057" s="2" t="str">
        <f t="shared" si="296"/>
        <v xml:space="preserve"> Excellent</v>
      </c>
      <c r="U2057" s="2"/>
    </row>
    <row r="2058" spans="1:21" x14ac:dyDescent="0.3">
      <c r="A2058">
        <v>2057</v>
      </c>
      <c r="B2058" t="s">
        <v>2950</v>
      </c>
      <c r="C2058" t="str">
        <f t="shared" si="288"/>
        <v>EMP_2057</v>
      </c>
      <c r="D2058" t="s">
        <v>15</v>
      </c>
      <c r="E2058" t="str">
        <f t="shared" si="289"/>
        <v>EMP_2057Finance</v>
      </c>
      <c r="F2058" t="s">
        <v>18</v>
      </c>
      <c r="G2058" t="s">
        <v>25</v>
      </c>
      <c r="H2058">
        <v>43026</v>
      </c>
      <c r="I2058">
        <v>8630</v>
      </c>
      <c r="J2058">
        <v>0</v>
      </c>
      <c r="K2058">
        <v>0</v>
      </c>
      <c r="L2058" s="4" t="s">
        <v>2951</v>
      </c>
      <c r="M2058" s="4" t="str">
        <f t="shared" si="290"/>
        <v>4/17/2022</v>
      </c>
      <c r="N2058" s="1">
        <f t="shared" ca="1" si="291"/>
        <v>46064</v>
      </c>
      <c r="O2058" s="6" t="e">
        <f t="shared" ca="1" si="292"/>
        <v>#VALUE!</v>
      </c>
      <c r="P2058">
        <v>5</v>
      </c>
      <c r="Q2058">
        <f t="shared" si="293"/>
        <v>51656</v>
      </c>
      <c r="R2058" s="2">
        <f t="shared" si="294"/>
        <v>25828</v>
      </c>
      <c r="S2058" s="2" t="str">
        <f t="shared" si="295"/>
        <v xml:space="preserve"> Not Achieved</v>
      </c>
      <c r="T2058" s="2" t="str">
        <f t="shared" si="296"/>
        <v>Good</v>
      </c>
      <c r="U2058" s="2"/>
    </row>
    <row r="2059" spans="1:21" x14ac:dyDescent="0.3">
      <c r="A2059">
        <v>2058</v>
      </c>
      <c r="B2059" t="s">
        <v>2952</v>
      </c>
      <c r="C2059" t="str">
        <f t="shared" si="288"/>
        <v>EMP_2058</v>
      </c>
      <c r="D2059" t="s">
        <v>11</v>
      </c>
      <c r="E2059" t="str">
        <f t="shared" si="289"/>
        <v>EMP_2058Finance</v>
      </c>
      <c r="F2059" t="s">
        <v>18</v>
      </c>
      <c r="G2059" t="s">
        <v>22</v>
      </c>
      <c r="H2059">
        <v>25988</v>
      </c>
      <c r="I2059">
        <v>10639</v>
      </c>
      <c r="J2059">
        <v>0</v>
      </c>
      <c r="K2059">
        <v>0</v>
      </c>
      <c r="L2059" s="4" t="s">
        <v>2953</v>
      </c>
      <c r="M2059" s="4" t="str">
        <f t="shared" si="290"/>
        <v>3/13/2024</v>
      </c>
      <c r="N2059" s="1">
        <f t="shared" ca="1" si="291"/>
        <v>46064</v>
      </c>
      <c r="O2059" s="6" t="e">
        <f t="shared" ca="1" si="292"/>
        <v>#VALUE!</v>
      </c>
      <c r="P2059">
        <v>2</v>
      </c>
      <c r="Q2059">
        <f t="shared" si="293"/>
        <v>36627</v>
      </c>
      <c r="R2059" s="2">
        <f t="shared" si="294"/>
        <v>18313.5</v>
      </c>
      <c r="S2059" s="2" t="str">
        <f t="shared" si="295"/>
        <v xml:space="preserve"> Not Achieved</v>
      </c>
      <c r="T2059" s="2" t="str">
        <f t="shared" si="296"/>
        <v>poor</v>
      </c>
      <c r="U2059" s="2"/>
    </row>
    <row r="2060" spans="1:21" x14ac:dyDescent="0.3">
      <c r="A2060">
        <v>2059</v>
      </c>
      <c r="B2060" t="s">
        <v>2954</v>
      </c>
      <c r="C2060" t="str">
        <f t="shared" si="288"/>
        <v>EMP_2059</v>
      </c>
      <c r="D2060" t="s">
        <v>15</v>
      </c>
      <c r="E2060" t="str">
        <f t="shared" si="289"/>
        <v>EMP_2059IT</v>
      </c>
      <c r="F2060" t="s">
        <v>21</v>
      </c>
      <c r="G2060" t="s">
        <v>16</v>
      </c>
      <c r="H2060">
        <v>42177</v>
      </c>
      <c r="I2060">
        <v>9518</v>
      </c>
      <c r="J2060">
        <v>0</v>
      </c>
      <c r="K2060">
        <v>0</v>
      </c>
      <c r="L2060" s="4" t="s">
        <v>2955</v>
      </c>
      <c r="M2060" s="4" t="str">
        <f t="shared" si="290"/>
        <v>12/18/2024</v>
      </c>
      <c r="N2060" s="1">
        <f t="shared" ca="1" si="291"/>
        <v>46064</v>
      </c>
      <c r="O2060" s="6" t="e">
        <f t="shared" ca="1" si="292"/>
        <v>#VALUE!</v>
      </c>
      <c r="P2060">
        <v>4</v>
      </c>
      <c r="Q2060">
        <f t="shared" si="293"/>
        <v>51695</v>
      </c>
      <c r="R2060" s="2">
        <f t="shared" si="294"/>
        <v>25847.5</v>
      </c>
      <c r="S2060" s="2" t="str">
        <f t="shared" si="295"/>
        <v xml:space="preserve"> Not Achieved</v>
      </c>
      <c r="T2060" s="2" t="str">
        <f t="shared" si="296"/>
        <v>Good</v>
      </c>
      <c r="U2060" s="2"/>
    </row>
    <row r="2061" spans="1:21" x14ac:dyDescent="0.3">
      <c r="A2061">
        <v>2060</v>
      </c>
      <c r="B2061" t="s">
        <v>2956</v>
      </c>
      <c r="C2061" t="str">
        <f t="shared" si="288"/>
        <v>EMP_2060</v>
      </c>
      <c r="D2061" t="s">
        <v>15</v>
      </c>
      <c r="E2061" t="str">
        <f t="shared" si="289"/>
        <v>EMP_2060Marketing</v>
      </c>
      <c r="F2061" t="s">
        <v>24</v>
      </c>
      <c r="G2061" t="s">
        <v>13</v>
      </c>
      <c r="H2061">
        <v>28111</v>
      </c>
      <c r="I2061">
        <v>2990</v>
      </c>
      <c r="J2061">
        <v>0</v>
      </c>
      <c r="K2061">
        <v>0</v>
      </c>
      <c r="L2061" s="4" t="s">
        <v>957</v>
      </c>
      <c r="M2061" s="4" t="str">
        <f t="shared" si="290"/>
        <v>12/15/2024</v>
      </c>
      <c r="N2061" s="1">
        <f t="shared" ca="1" si="291"/>
        <v>46064</v>
      </c>
      <c r="O2061" s="6" t="e">
        <f t="shared" ca="1" si="292"/>
        <v>#VALUE!</v>
      </c>
      <c r="P2061">
        <v>3</v>
      </c>
      <c r="Q2061">
        <f t="shared" si="293"/>
        <v>31101</v>
      </c>
      <c r="R2061" s="2">
        <f t="shared" si="294"/>
        <v>15550.5</v>
      </c>
      <c r="S2061" s="2" t="str">
        <f t="shared" si="295"/>
        <v xml:space="preserve"> Not Achieved</v>
      </c>
      <c r="T2061" s="2" t="str">
        <f t="shared" si="296"/>
        <v>poor</v>
      </c>
      <c r="U2061" s="2"/>
    </row>
    <row r="2062" spans="1:21" x14ac:dyDescent="0.3">
      <c r="A2062">
        <v>2061</v>
      </c>
      <c r="B2062" t="s">
        <v>2957</v>
      </c>
      <c r="C2062" t="str">
        <f t="shared" si="288"/>
        <v>EMP_2061</v>
      </c>
      <c r="D2062" t="s">
        <v>11</v>
      </c>
      <c r="E2062" t="str">
        <f t="shared" si="289"/>
        <v>EMP_2061IT</v>
      </c>
      <c r="F2062" t="s">
        <v>21</v>
      </c>
      <c r="G2062" t="s">
        <v>13</v>
      </c>
      <c r="H2062">
        <v>32229</v>
      </c>
      <c r="I2062">
        <v>5276</v>
      </c>
      <c r="J2062">
        <v>0</v>
      </c>
      <c r="K2062">
        <v>0</v>
      </c>
      <c r="L2062" s="4" t="s">
        <v>1848</v>
      </c>
      <c r="M2062" s="4" t="str">
        <f t="shared" si="290"/>
        <v>5/20/2021</v>
      </c>
      <c r="N2062" s="1">
        <f t="shared" ca="1" si="291"/>
        <v>46064</v>
      </c>
      <c r="O2062" s="6" t="e">
        <f t="shared" ca="1" si="292"/>
        <v>#VALUE!</v>
      </c>
      <c r="P2062">
        <v>5</v>
      </c>
      <c r="Q2062">
        <f t="shared" si="293"/>
        <v>37505</v>
      </c>
      <c r="R2062" s="2">
        <f t="shared" si="294"/>
        <v>18752.5</v>
      </c>
      <c r="S2062" s="2" t="str">
        <f t="shared" si="295"/>
        <v xml:space="preserve"> Not Achieved</v>
      </c>
      <c r="T2062" s="2" t="str">
        <f t="shared" si="296"/>
        <v>Average</v>
      </c>
      <c r="U2062" s="2"/>
    </row>
    <row r="2063" spans="1:21" x14ac:dyDescent="0.3">
      <c r="A2063">
        <v>2062</v>
      </c>
      <c r="B2063" t="s">
        <v>2958</v>
      </c>
      <c r="C2063" t="str">
        <f t="shared" si="288"/>
        <v>EMP_2062</v>
      </c>
      <c r="D2063" t="s">
        <v>15</v>
      </c>
      <c r="E2063" t="str">
        <f t="shared" si="289"/>
        <v>EMP_2062HR</v>
      </c>
      <c r="F2063" t="s">
        <v>12</v>
      </c>
      <c r="G2063" t="s">
        <v>13</v>
      </c>
      <c r="H2063">
        <v>64459</v>
      </c>
      <c r="I2063">
        <v>12183</v>
      </c>
      <c r="J2063">
        <v>0</v>
      </c>
      <c r="K2063">
        <v>0</v>
      </c>
      <c r="L2063" s="4" t="s">
        <v>740</v>
      </c>
      <c r="M2063" s="4" t="str">
        <f t="shared" si="290"/>
        <v>9/23/2024</v>
      </c>
      <c r="N2063" s="1">
        <f t="shared" ca="1" si="291"/>
        <v>46064</v>
      </c>
      <c r="O2063" s="6" t="e">
        <f t="shared" ca="1" si="292"/>
        <v>#VALUE!</v>
      </c>
      <c r="P2063">
        <v>4</v>
      </c>
      <c r="Q2063">
        <f t="shared" si="293"/>
        <v>76642</v>
      </c>
      <c r="R2063" s="2">
        <f t="shared" si="294"/>
        <v>38321</v>
      </c>
      <c r="S2063" s="2" t="str">
        <f t="shared" si="295"/>
        <v xml:space="preserve"> Not Achieved</v>
      </c>
      <c r="T2063" s="2" t="str">
        <f t="shared" si="296"/>
        <v xml:space="preserve"> Excellent</v>
      </c>
      <c r="U2063" s="2"/>
    </row>
    <row r="2064" spans="1:21" x14ac:dyDescent="0.3">
      <c r="A2064">
        <v>2063</v>
      </c>
      <c r="B2064" t="s">
        <v>2959</v>
      </c>
      <c r="C2064" t="str">
        <f t="shared" si="288"/>
        <v>EMP_2063</v>
      </c>
      <c r="D2064" t="s">
        <v>15</v>
      </c>
      <c r="E2064" t="str">
        <f t="shared" si="289"/>
        <v>EMP_2063Finance</v>
      </c>
      <c r="F2064" t="s">
        <v>18</v>
      </c>
      <c r="G2064" t="s">
        <v>22</v>
      </c>
      <c r="H2064">
        <v>31624</v>
      </c>
      <c r="I2064">
        <v>7436</v>
      </c>
      <c r="J2064">
        <v>0</v>
      </c>
      <c r="K2064">
        <v>0</v>
      </c>
      <c r="L2064" s="4" t="s">
        <v>1025</v>
      </c>
      <c r="M2064" s="4" t="str">
        <f t="shared" si="290"/>
        <v>6/25/2018</v>
      </c>
      <c r="N2064" s="1">
        <f t="shared" ca="1" si="291"/>
        <v>46064</v>
      </c>
      <c r="O2064" s="6" t="e">
        <f t="shared" ca="1" si="292"/>
        <v>#VALUE!</v>
      </c>
      <c r="P2064">
        <v>3</v>
      </c>
      <c r="Q2064">
        <f t="shared" si="293"/>
        <v>39060</v>
      </c>
      <c r="R2064" s="2">
        <f t="shared" si="294"/>
        <v>19530</v>
      </c>
      <c r="S2064" s="2" t="str">
        <f t="shared" si="295"/>
        <v xml:space="preserve"> Not Achieved</v>
      </c>
      <c r="T2064" s="2" t="str">
        <f t="shared" si="296"/>
        <v>Average</v>
      </c>
      <c r="U2064" s="2"/>
    </row>
    <row r="2065" spans="1:21" x14ac:dyDescent="0.3">
      <c r="A2065">
        <v>2064</v>
      </c>
      <c r="B2065" t="s">
        <v>2960</v>
      </c>
      <c r="C2065" t="str">
        <f t="shared" si="288"/>
        <v>EMP_2064</v>
      </c>
      <c r="D2065" t="s">
        <v>11</v>
      </c>
      <c r="E2065" t="str">
        <f t="shared" si="289"/>
        <v>EMP_2064Marketing</v>
      </c>
      <c r="F2065" t="s">
        <v>24</v>
      </c>
      <c r="G2065" t="s">
        <v>25</v>
      </c>
      <c r="H2065">
        <v>41823</v>
      </c>
      <c r="I2065">
        <v>9764</v>
      </c>
      <c r="J2065">
        <v>0</v>
      </c>
      <c r="K2065">
        <v>0</v>
      </c>
      <c r="L2065" s="4" t="s">
        <v>2961</v>
      </c>
      <c r="M2065" s="4" t="str">
        <f t="shared" si="290"/>
        <v>8/25/2022</v>
      </c>
      <c r="N2065" s="1">
        <f t="shared" ca="1" si="291"/>
        <v>46064</v>
      </c>
      <c r="O2065" s="6" t="e">
        <f t="shared" ca="1" si="292"/>
        <v>#VALUE!</v>
      </c>
      <c r="P2065">
        <v>2</v>
      </c>
      <c r="Q2065">
        <f t="shared" si="293"/>
        <v>51587</v>
      </c>
      <c r="R2065" s="2">
        <f t="shared" si="294"/>
        <v>25793.5</v>
      </c>
      <c r="S2065" s="2" t="str">
        <f t="shared" si="295"/>
        <v xml:space="preserve"> Not Achieved</v>
      </c>
      <c r="T2065" s="2" t="str">
        <f t="shared" si="296"/>
        <v>Good</v>
      </c>
      <c r="U2065" s="2"/>
    </row>
    <row r="2066" spans="1:21" x14ac:dyDescent="0.3">
      <c r="A2066">
        <v>2065</v>
      </c>
      <c r="B2066" t="s">
        <v>2962</v>
      </c>
      <c r="C2066" t="str">
        <f t="shared" si="288"/>
        <v>EMP_2065</v>
      </c>
      <c r="D2066" t="s">
        <v>11</v>
      </c>
      <c r="E2066" t="str">
        <f t="shared" si="289"/>
        <v>EMP_2065Finance</v>
      </c>
      <c r="F2066" t="s">
        <v>18</v>
      </c>
      <c r="G2066" t="s">
        <v>25</v>
      </c>
      <c r="H2066">
        <v>43732</v>
      </c>
      <c r="I2066">
        <v>13556</v>
      </c>
      <c r="J2066">
        <v>0</v>
      </c>
      <c r="K2066">
        <v>0</v>
      </c>
      <c r="L2066" s="4" t="s">
        <v>1929</v>
      </c>
      <c r="M2066" s="4" t="str">
        <f t="shared" si="290"/>
        <v>8/16/2023</v>
      </c>
      <c r="N2066" s="1">
        <f t="shared" ca="1" si="291"/>
        <v>46064</v>
      </c>
      <c r="O2066" s="6" t="e">
        <f t="shared" ca="1" si="292"/>
        <v>#VALUE!</v>
      </c>
      <c r="P2066">
        <v>3</v>
      </c>
      <c r="Q2066">
        <f t="shared" si="293"/>
        <v>57288</v>
      </c>
      <c r="R2066" s="2">
        <f t="shared" si="294"/>
        <v>28644</v>
      </c>
      <c r="S2066" s="2" t="str">
        <f t="shared" si="295"/>
        <v xml:space="preserve"> Not Achieved</v>
      </c>
      <c r="T2066" s="2" t="str">
        <f t="shared" si="296"/>
        <v>Good</v>
      </c>
      <c r="U2066" s="2"/>
    </row>
    <row r="2067" spans="1:21" x14ac:dyDescent="0.3">
      <c r="A2067">
        <v>2066</v>
      </c>
      <c r="B2067" t="s">
        <v>2963</v>
      </c>
      <c r="C2067" t="str">
        <f t="shared" si="288"/>
        <v>EMP_2066</v>
      </c>
      <c r="D2067" t="s">
        <v>11</v>
      </c>
      <c r="E2067" t="str">
        <f t="shared" si="289"/>
        <v>EMP_2066Sales</v>
      </c>
      <c r="F2067" t="s">
        <v>7</v>
      </c>
      <c r="G2067" t="s">
        <v>13</v>
      </c>
      <c r="H2067">
        <v>39569</v>
      </c>
      <c r="I2067">
        <v>14737</v>
      </c>
      <c r="J2067">
        <v>245530</v>
      </c>
      <c r="K2067">
        <v>170620</v>
      </c>
      <c r="L2067" s="4">
        <v>44411</v>
      </c>
      <c r="M2067" s="4" t="str">
        <f t="shared" si="290"/>
        <v>2021</v>
      </c>
      <c r="N2067" s="1">
        <f t="shared" ca="1" si="291"/>
        <v>46064</v>
      </c>
      <c r="O2067" s="6">
        <f t="shared" ca="1" si="292"/>
        <v>4</v>
      </c>
      <c r="P2067">
        <v>2</v>
      </c>
      <c r="Q2067">
        <f t="shared" si="293"/>
        <v>54306</v>
      </c>
      <c r="R2067" s="2">
        <f t="shared" si="294"/>
        <v>27153</v>
      </c>
      <c r="S2067" s="2" t="str">
        <f t="shared" si="295"/>
        <v>Achieved</v>
      </c>
      <c r="T2067" s="2" t="str">
        <f t="shared" si="296"/>
        <v>Average</v>
      </c>
      <c r="U2067" s="2"/>
    </row>
    <row r="2068" spans="1:21" x14ac:dyDescent="0.3">
      <c r="A2068">
        <v>2067</v>
      </c>
      <c r="B2068" t="s">
        <v>2964</v>
      </c>
      <c r="C2068" t="str">
        <f t="shared" si="288"/>
        <v>EMP_2067</v>
      </c>
      <c r="D2068" t="s">
        <v>11</v>
      </c>
      <c r="E2068" t="str">
        <f t="shared" si="289"/>
        <v>EMP_2067IT</v>
      </c>
      <c r="F2068" t="s">
        <v>21</v>
      </c>
      <c r="G2068" t="s">
        <v>22</v>
      </c>
      <c r="H2068">
        <v>59399</v>
      </c>
      <c r="I2068">
        <v>4508</v>
      </c>
      <c r="J2068">
        <v>0</v>
      </c>
      <c r="K2068">
        <v>0</v>
      </c>
      <c r="L2068" s="4" t="s">
        <v>2965</v>
      </c>
      <c r="M2068" s="4" t="str">
        <f t="shared" si="290"/>
        <v>6/28/2022</v>
      </c>
      <c r="N2068" s="1">
        <f t="shared" ca="1" si="291"/>
        <v>46064</v>
      </c>
      <c r="O2068" s="6" t="e">
        <f t="shared" ca="1" si="292"/>
        <v>#VALUE!</v>
      </c>
      <c r="P2068">
        <v>3</v>
      </c>
      <c r="Q2068">
        <f t="shared" si="293"/>
        <v>63907</v>
      </c>
      <c r="R2068" s="2">
        <f t="shared" si="294"/>
        <v>31953.5</v>
      </c>
      <c r="S2068" s="2" t="str">
        <f t="shared" si="295"/>
        <v xml:space="preserve"> Not Achieved</v>
      </c>
      <c r="T2068" s="2" t="str">
        <f t="shared" si="296"/>
        <v xml:space="preserve"> Excellent</v>
      </c>
      <c r="U2068" s="2"/>
    </row>
    <row r="2069" spans="1:21" x14ac:dyDescent="0.3">
      <c r="A2069">
        <v>2068</v>
      </c>
      <c r="B2069" t="s">
        <v>2966</v>
      </c>
      <c r="C2069" t="str">
        <f t="shared" si="288"/>
        <v>EMP_2068</v>
      </c>
      <c r="D2069" t="s">
        <v>11</v>
      </c>
      <c r="E2069" t="str">
        <f t="shared" si="289"/>
        <v>EMP_2068Marketing</v>
      </c>
      <c r="F2069" t="s">
        <v>24</v>
      </c>
      <c r="G2069" t="s">
        <v>25</v>
      </c>
      <c r="H2069">
        <v>30216</v>
      </c>
      <c r="I2069">
        <v>10211</v>
      </c>
      <c r="J2069">
        <v>0</v>
      </c>
      <c r="K2069">
        <v>0</v>
      </c>
      <c r="L2069" s="4" t="s">
        <v>2789</v>
      </c>
      <c r="M2069" s="4" t="str">
        <f t="shared" si="290"/>
        <v>1/31/2020</v>
      </c>
      <c r="N2069" s="1">
        <f t="shared" ca="1" si="291"/>
        <v>46064</v>
      </c>
      <c r="O2069" s="6" t="e">
        <f t="shared" ca="1" si="292"/>
        <v>#VALUE!</v>
      </c>
      <c r="P2069">
        <v>3</v>
      </c>
      <c r="Q2069">
        <f t="shared" si="293"/>
        <v>40427</v>
      </c>
      <c r="R2069" s="2">
        <f t="shared" si="294"/>
        <v>20213.5</v>
      </c>
      <c r="S2069" s="2" t="str">
        <f t="shared" si="295"/>
        <v xml:space="preserve"> Not Achieved</v>
      </c>
      <c r="T2069" s="2" t="str">
        <f t="shared" si="296"/>
        <v>Average</v>
      </c>
      <c r="U2069" s="2"/>
    </row>
    <row r="2070" spans="1:21" x14ac:dyDescent="0.3">
      <c r="A2070">
        <v>2069</v>
      </c>
      <c r="B2070" t="s">
        <v>2967</v>
      </c>
      <c r="C2070" t="str">
        <f t="shared" si="288"/>
        <v>EMP_2069</v>
      </c>
      <c r="D2070" t="s">
        <v>15</v>
      </c>
      <c r="E2070" t="str">
        <f t="shared" si="289"/>
        <v>EMP_2069IT</v>
      </c>
      <c r="F2070" t="s">
        <v>21</v>
      </c>
      <c r="G2070" t="s">
        <v>22</v>
      </c>
      <c r="H2070">
        <v>78742</v>
      </c>
      <c r="I2070">
        <v>6937</v>
      </c>
      <c r="J2070">
        <v>0</v>
      </c>
      <c r="K2070">
        <v>0</v>
      </c>
      <c r="L2070" s="4">
        <v>44014</v>
      </c>
      <c r="M2070" s="4" t="str">
        <f t="shared" si="290"/>
        <v>2020</v>
      </c>
      <c r="N2070" s="1">
        <f t="shared" ca="1" si="291"/>
        <v>46064</v>
      </c>
      <c r="O2070" s="6">
        <f t="shared" ca="1" si="292"/>
        <v>5</v>
      </c>
      <c r="P2070">
        <v>4</v>
      </c>
      <c r="Q2070">
        <f t="shared" si="293"/>
        <v>85679</v>
      </c>
      <c r="R2070" s="2">
        <f t="shared" si="294"/>
        <v>42839.5</v>
      </c>
      <c r="S2070" s="2" t="str">
        <f t="shared" si="295"/>
        <v xml:space="preserve"> Not Achieved</v>
      </c>
      <c r="T2070" s="2" t="str">
        <f t="shared" si="296"/>
        <v xml:space="preserve"> Excellent</v>
      </c>
      <c r="U2070" s="2"/>
    </row>
    <row r="2071" spans="1:21" x14ac:dyDescent="0.3">
      <c r="A2071">
        <v>2070</v>
      </c>
      <c r="B2071" t="s">
        <v>2968</v>
      </c>
      <c r="C2071" t="str">
        <f t="shared" si="288"/>
        <v>EMP_2070</v>
      </c>
      <c r="D2071" t="s">
        <v>15</v>
      </c>
      <c r="E2071" t="str">
        <f t="shared" si="289"/>
        <v>EMP_2070Marketing</v>
      </c>
      <c r="F2071" t="s">
        <v>24</v>
      </c>
      <c r="G2071" t="s">
        <v>22</v>
      </c>
      <c r="H2071">
        <v>63082</v>
      </c>
      <c r="I2071">
        <v>2804</v>
      </c>
      <c r="J2071">
        <v>0</v>
      </c>
      <c r="K2071">
        <v>0</v>
      </c>
      <c r="L2071" s="4" t="s">
        <v>2969</v>
      </c>
      <c r="M2071" s="4" t="str">
        <f t="shared" si="290"/>
        <v>1/22/2024</v>
      </c>
      <c r="N2071" s="1">
        <f t="shared" ca="1" si="291"/>
        <v>46064</v>
      </c>
      <c r="O2071" s="6" t="e">
        <f t="shared" ca="1" si="292"/>
        <v>#VALUE!</v>
      </c>
      <c r="P2071">
        <v>3</v>
      </c>
      <c r="Q2071">
        <f t="shared" si="293"/>
        <v>65886</v>
      </c>
      <c r="R2071" s="2">
        <f t="shared" si="294"/>
        <v>32943</v>
      </c>
      <c r="S2071" s="2" t="str">
        <f t="shared" si="295"/>
        <v xml:space="preserve"> Not Achieved</v>
      </c>
      <c r="T2071" s="2" t="str">
        <f t="shared" si="296"/>
        <v xml:space="preserve"> Excellent</v>
      </c>
      <c r="U2071" s="2"/>
    </row>
    <row r="2072" spans="1:21" x14ac:dyDescent="0.3">
      <c r="A2072">
        <v>2071</v>
      </c>
      <c r="B2072" t="s">
        <v>2970</v>
      </c>
      <c r="C2072" t="str">
        <f t="shared" si="288"/>
        <v>EMP_2071</v>
      </c>
      <c r="D2072" t="s">
        <v>15</v>
      </c>
      <c r="E2072" t="str">
        <f t="shared" si="289"/>
        <v>EMP_2071Marketing</v>
      </c>
      <c r="F2072" t="s">
        <v>24</v>
      </c>
      <c r="G2072" t="s">
        <v>16</v>
      </c>
      <c r="H2072">
        <v>30581</v>
      </c>
      <c r="I2072">
        <v>11088</v>
      </c>
      <c r="J2072">
        <v>0</v>
      </c>
      <c r="K2072">
        <v>0</v>
      </c>
      <c r="L2072" s="4" t="s">
        <v>2971</v>
      </c>
      <c r="M2072" s="4" t="str">
        <f t="shared" si="290"/>
        <v>9/13/2022</v>
      </c>
      <c r="N2072" s="1">
        <f t="shared" ca="1" si="291"/>
        <v>46064</v>
      </c>
      <c r="O2072" s="6" t="e">
        <f t="shared" ca="1" si="292"/>
        <v>#VALUE!</v>
      </c>
      <c r="P2072">
        <v>4</v>
      </c>
      <c r="Q2072">
        <f t="shared" si="293"/>
        <v>41669</v>
      </c>
      <c r="R2072" s="2">
        <f t="shared" si="294"/>
        <v>20834.5</v>
      </c>
      <c r="S2072" s="2" t="str">
        <f t="shared" si="295"/>
        <v xml:space="preserve"> Not Achieved</v>
      </c>
      <c r="T2072" s="2" t="str">
        <f t="shared" si="296"/>
        <v>Average</v>
      </c>
      <c r="U2072" s="2"/>
    </row>
    <row r="2073" spans="1:21" x14ac:dyDescent="0.3">
      <c r="A2073">
        <v>2072</v>
      </c>
      <c r="B2073" t="s">
        <v>2972</v>
      </c>
      <c r="C2073" t="str">
        <f t="shared" si="288"/>
        <v>EMP_2072</v>
      </c>
      <c r="D2073" t="s">
        <v>11</v>
      </c>
      <c r="E2073" t="str">
        <f t="shared" si="289"/>
        <v>EMP_2072Finance</v>
      </c>
      <c r="F2073" t="s">
        <v>18</v>
      </c>
      <c r="G2073" t="s">
        <v>25</v>
      </c>
      <c r="H2073">
        <v>61118</v>
      </c>
      <c r="I2073">
        <v>3425</v>
      </c>
      <c r="J2073">
        <v>0</v>
      </c>
      <c r="K2073">
        <v>0</v>
      </c>
      <c r="L2073" s="4" t="s">
        <v>163</v>
      </c>
      <c r="M2073" s="4" t="str">
        <f t="shared" si="290"/>
        <v>12/18/2023</v>
      </c>
      <c r="N2073" s="1">
        <f t="shared" ca="1" si="291"/>
        <v>46064</v>
      </c>
      <c r="O2073" s="6" t="e">
        <f t="shared" ca="1" si="292"/>
        <v>#VALUE!</v>
      </c>
      <c r="P2073">
        <v>3</v>
      </c>
      <c r="Q2073">
        <f t="shared" si="293"/>
        <v>64543</v>
      </c>
      <c r="R2073" s="2">
        <f t="shared" si="294"/>
        <v>32271.5</v>
      </c>
      <c r="S2073" s="2" t="str">
        <f t="shared" si="295"/>
        <v xml:space="preserve"> Not Achieved</v>
      </c>
      <c r="T2073" s="2" t="str">
        <f t="shared" si="296"/>
        <v xml:space="preserve"> Excellent</v>
      </c>
      <c r="U2073" s="2"/>
    </row>
    <row r="2074" spans="1:21" x14ac:dyDescent="0.3">
      <c r="A2074">
        <v>2073</v>
      </c>
      <c r="B2074" t="s">
        <v>2973</v>
      </c>
      <c r="C2074" t="str">
        <f t="shared" si="288"/>
        <v>EMP_2073</v>
      </c>
      <c r="D2074" t="s">
        <v>11</v>
      </c>
      <c r="E2074" t="str">
        <f t="shared" si="289"/>
        <v>EMP_2073IT</v>
      </c>
      <c r="F2074" t="s">
        <v>21</v>
      </c>
      <c r="G2074" t="s">
        <v>19</v>
      </c>
      <c r="H2074">
        <v>55147</v>
      </c>
      <c r="I2074">
        <v>5734</v>
      </c>
      <c r="J2074">
        <v>0</v>
      </c>
      <c r="K2074">
        <v>0</v>
      </c>
      <c r="L2074" s="4" t="s">
        <v>938</v>
      </c>
      <c r="M2074" s="4" t="str">
        <f t="shared" si="290"/>
        <v>2/27/2024</v>
      </c>
      <c r="N2074" s="1">
        <f t="shared" ca="1" si="291"/>
        <v>46064</v>
      </c>
      <c r="O2074" s="6" t="e">
        <f t="shared" ca="1" si="292"/>
        <v>#VALUE!</v>
      </c>
      <c r="P2074">
        <v>3</v>
      </c>
      <c r="Q2074">
        <f t="shared" si="293"/>
        <v>60881</v>
      </c>
      <c r="R2074" s="2">
        <f t="shared" si="294"/>
        <v>30440.5</v>
      </c>
      <c r="S2074" s="2" t="str">
        <f t="shared" si="295"/>
        <v xml:space="preserve"> Not Achieved</v>
      </c>
      <c r="T2074" s="2" t="str">
        <f t="shared" si="296"/>
        <v xml:space="preserve"> Excellent</v>
      </c>
      <c r="U2074" s="2"/>
    </row>
    <row r="2075" spans="1:21" x14ac:dyDescent="0.3">
      <c r="A2075">
        <v>2074</v>
      </c>
      <c r="B2075" t="s">
        <v>2974</v>
      </c>
      <c r="C2075" t="str">
        <f t="shared" si="288"/>
        <v>EMP_2074</v>
      </c>
      <c r="D2075" t="s">
        <v>15</v>
      </c>
      <c r="E2075" t="str">
        <f t="shared" si="289"/>
        <v>EMP_2074Finance</v>
      </c>
      <c r="F2075" t="s">
        <v>18</v>
      </c>
      <c r="G2075" t="s">
        <v>25</v>
      </c>
      <c r="H2075">
        <v>33930</v>
      </c>
      <c r="I2075">
        <v>12044</v>
      </c>
      <c r="J2075">
        <v>0</v>
      </c>
      <c r="K2075">
        <v>0</v>
      </c>
      <c r="L2075" s="4">
        <v>44167</v>
      </c>
      <c r="M2075" s="4" t="str">
        <f t="shared" si="290"/>
        <v>2020</v>
      </c>
      <c r="N2075" s="1">
        <f t="shared" ca="1" si="291"/>
        <v>46064</v>
      </c>
      <c r="O2075" s="6">
        <f t="shared" ca="1" si="292"/>
        <v>5</v>
      </c>
      <c r="P2075">
        <v>4</v>
      </c>
      <c r="Q2075">
        <f t="shared" si="293"/>
        <v>45974</v>
      </c>
      <c r="R2075" s="2">
        <f t="shared" si="294"/>
        <v>22987</v>
      </c>
      <c r="S2075" s="2" t="str">
        <f t="shared" si="295"/>
        <v xml:space="preserve"> Not Achieved</v>
      </c>
      <c r="T2075" s="2" t="str">
        <f t="shared" si="296"/>
        <v>Average</v>
      </c>
      <c r="U2075" s="2"/>
    </row>
    <row r="2076" spans="1:21" x14ac:dyDescent="0.3">
      <c r="A2076">
        <v>2075</v>
      </c>
      <c r="B2076" t="s">
        <v>2975</v>
      </c>
      <c r="C2076" t="str">
        <f t="shared" si="288"/>
        <v>EMP_2075</v>
      </c>
      <c r="D2076" t="s">
        <v>15</v>
      </c>
      <c r="E2076" t="str">
        <f t="shared" si="289"/>
        <v>EMP_2075Sales</v>
      </c>
      <c r="F2076" t="s">
        <v>7</v>
      </c>
      <c r="G2076" t="s">
        <v>25</v>
      </c>
      <c r="H2076">
        <v>78534</v>
      </c>
      <c r="I2076">
        <v>13160</v>
      </c>
      <c r="J2076">
        <v>54105</v>
      </c>
      <c r="K2076">
        <v>150832</v>
      </c>
      <c r="L2076" s="4" t="s">
        <v>2976</v>
      </c>
      <c r="M2076" s="4" t="str">
        <f t="shared" si="290"/>
        <v>11/21/2018</v>
      </c>
      <c r="N2076" s="1">
        <f t="shared" ca="1" si="291"/>
        <v>46064</v>
      </c>
      <c r="O2076" s="6" t="e">
        <f t="shared" ca="1" si="292"/>
        <v>#VALUE!</v>
      </c>
      <c r="P2076">
        <v>3</v>
      </c>
      <c r="Q2076">
        <f t="shared" si="293"/>
        <v>91694</v>
      </c>
      <c r="R2076" s="2">
        <f t="shared" si="294"/>
        <v>45847</v>
      </c>
      <c r="S2076" s="2" t="str">
        <f t="shared" si="295"/>
        <v xml:space="preserve"> Not Achieved</v>
      </c>
      <c r="T2076" s="2" t="str">
        <f t="shared" si="296"/>
        <v xml:space="preserve"> Excellent</v>
      </c>
      <c r="U2076" s="2"/>
    </row>
    <row r="2077" spans="1:21" x14ac:dyDescent="0.3">
      <c r="A2077">
        <v>2076</v>
      </c>
      <c r="B2077" t="s">
        <v>2977</v>
      </c>
      <c r="C2077" t="str">
        <f t="shared" si="288"/>
        <v>EMP_2076</v>
      </c>
      <c r="D2077" t="s">
        <v>15</v>
      </c>
      <c r="E2077" t="str">
        <f t="shared" si="289"/>
        <v>EMP_2076Finance</v>
      </c>
      <c r="F2077" t="s">
        <v>18</v>
      </c>
      <c r="G2077" t="s">
        <v>16</v>
      </c>
      <c r="H2077">
        <v>70253</v>
      </c>
      <c r="I2077">
        <v>13184</v>
      </c>
      <c r="J2077">
        <v>0</v>
      </c>
      <c r="K2077">
        <v>0</v>
      </c>
      <c r="L2077" s="4" t="s">
        <v>1188</v>
      </c>
      <c r="M2077" s="4" t="str">
        <f t="shared" si="290"/>
        <v>11/14/2024</v>
      </c>
      <c r="N2077" s="1">
        <f t="shared" ca="1" si="291"/>
        <v>46064</v>
      </c>
      <c r="O2077" s="6" t="e">
        <f t="shared" ca="1" si="292"/>
        <v>#VALUE!</v>
      </c>
      <c r="P2077">
        <v>1</v>
      </c>
      <c r="Q2077">
        <f t="shared" si="293"/>
        <v>83437</v>
      </c>
      <c r="R2077" s="2">
        <f t="shared" si="294"/>
        <v>41718.5</v>
      </c>
      <c r="S2077" s="2" t="str">
        <f t="shared" si="295"/>
        <v xml:space="preserve"> Not Achieved</v>
      </c>
      <c r="T2077" s="2" t="str">
        <f t="shared" si="296"/>
        <v xml:space="preserve"> Excellent</v>
      </c>
      <c r="U2077" s="2"/>
    </row>
    <row r="2078" spans="1:21" x14ac:dyDescent="0.3">
      <c r="A2078">
        <v>2077</v>
      </c>
      <c r="B2078" t="s">
        <v>2978</v>
      </c>
      <c r="C2078" t="str">
        <f t="shared" si="288"/>
        <v>EMP_2077</v>
      </c>
      <c r="D2078" t="s">
        <v>11</v>
      </c>
      <c r="E2078" t="str">
        <f t="shared" si="289"/>
        <v>EMP_2077Marketing</v>
      </c>
      <c r="F2078" t="s">
        <v>24</v>
      </c>
      <c r="G2078" t="s">
        <v>13</v>
      </c>
      <c r="H2078">
        <v>29338</v>
      </c>
      <c r="I2078">
        <v>12944</v>
      </c>
      <c r="J2078">
        <v>0</v>
      </c>
      <c r="K2078">
        <v>0</v>
      </c>
      <c r="L2078" s="4" t="s">
        <v>1052</v>
      </c>
      <c r="M2078" s="4" t="str">
        <f t="shared" si="290"/>
        <v>7/25/2023</v>
      </c>
      <c r="N2078" s="1">
        <f t="shared" ca="1" si="291"/>
        <v>46064</v>
      </c>
      <c r="O2078" s="6" t="e">
        <f t="shared" ca="1" si="292"/>
        <v>#VALUE!</v>
      </c>
      <c r="P2078">
        <v>5</v>
      </c>
      <c r="Q2078">
        <f t="shared" si="293"/>
        <v>42282</v>
      </c>
      <c r="R2078" s="2">
        <f t="shared" si="294"/>
        <v>21141</v>
      </c>
      <c r="S2078" s="2" t="str">
        <f t="shared" si="295"/>
        <v xml:space="preserve"> Not Achieved</v>
      </c>
      <c r="T2078" s="2" t="str">
        <f t="shared" si="296"/>
        <v>poor</v>
      </c>
      <c r="U2078" s="2"/>
    </row>
    <row r="2079" spans="1:21" x14ac:dyDescent="0.3">
      <c r="A2079">
        <v>2078</v>
      </c>
      <c r="B2079" t="s">
        <v>2979</v>
      </c>
      <c r="C2079" t="str">
        <f t="shared" si="288"/>
        <v>EMP_2078</v>
      </c>
      <c r="D2079" t="s">
        <v>11</v>
      </c>
      <c r="E2079" t="str">
        <f t="shared" si="289"/>
        <v>EMP_2078Sales</v>
      </c>
      <c r="F2079" t="s">
        <v>7</v>
      </c>
      <c r="G2079" t="s">
        <v>25</v>
      </c>
      <c r="H2079">
        <v>35275</v>
      </c>
      <c r="I2079">
        <v>8982</v>
      </c>
      <c r="J2079">
        <v>271721</v>
      </c>
      <c r="K2079">
        <v>178367</v>
      </c>
      <c r="L2079" s="4" t="s">
        <v>2680</v>
      </c>
      <c r="M2079" s="4" t="str">
        <f t="shared" si="290"/>
        <v>4/19/2018</v>
      </c>
      <c r="N2079" s="1">
        <f t="shared" ca="1" si="291"/>
        <v>46064</v>
      </c>
      <c r="O2079" s="6" t="e">
        <f t="shared" ca="1" si="292"/>
        <v>#VALUE!</v>
      </c>
      <c r="P2079">
        <v>1</v>
      </c>
      <c r="Q2079">
        <f t="shared" si="293"/>
        <v>44257</v>
      </c>
      <c r="R2079" s="2">
        <f t="shared" si="294"/>
        <v>22128.5</v>
      </c>
      <c r="S2079" s="2" t="str">
        <f t="shared" si="295"/>
        <v>Achieved</v>
      </c>
      <c r="T2079" s="2" t="str">
        <f t="shared" si="296"/>
        <v>Average</v>
      </c>
      <c r="U2079" s="2"/>
    </row>
    <row r="2080" spans="1:21" x14ac:dyDescent="0.3">
      <c r="A2080">
        <v>2079</v>
      </c>
      <c r="B2080" t="s">
        <v>2980</v>
      </c>
      <c r="C2080" t="str">
        <f t="shared" si="288"/>
        <v>EMP_2079</v>
      </c>
      <c r="D2080" t="s">
        <v>11</v>
      </c>
      <c r="E2080" t="str">
        <f t="shared" si="289"/>
        <v>EMP_2079Sales</v>
      </c>
      <c r="F2080" t="s">
        <v>7</v>
      </c>
      <c r="G2080" t="s">
        <v>25</v>
      </c>
      <c r="H2080">
        <v>60058</v>
      </c>
      <c r="I2080">
        <v>6458</v>
      </c>
      <c r="J2080">
        <v>169312</v>
      </c>
      <c r="K2080">
        <v>185713</v>
      </c>
      <c r="L2080" s="4" t="s">
        <v>2981</v>
      </c>
      <c r="M2080" s="4" t="str">
        <f t="shared" si="290"/>
        <v>5/19/2019</v>
      </c>
      <c r="N2080" s="1">
        <f t="shared" ca="1" si="291"/>
        <v>46064</v>
      </c>
      <c r="O2080" s="6" t="e">
        <f t="shared" ca="1" si="292"/>
        <v>#VALUE!</v>
      </c>
      <c r="P2080">
        <v>1</v>
      </c>
      <c r="Q2080">
        <f t="shared" si="293"/>
        <v>66516</v>
      </c>
      <c r="R2080" s="2">
        <f t="shared" si="294"/>
        <v>33258</v>
      </c>
      <c r="S2080" s="2" t="str">
        <f t="shared" si="295"/>
        <v xml:space="preserve"> Not Achieved</v>
      </c>
      <c r="T2080" s="2" t="str">
        <f t="shared" si="296"/>
        <v xml:space="preserve"> Excellent</v>
      </c>
      <c r="U2080" s="2"/>
    </row>
    <row r="2081" spans="1:21" x14ac:dyDescent="0.3">
      <c r="A2081">
        <v>2080</v>
      </c>
      <c r="B2081" t="s">
        <v>2982</v>
      </c>
      <c r="C2081" t="str">
        <f t="shared" si="288"/>
        <v>EMP_2080</v>
      </c>
      <c r="D2081" t="s">
        <v>11</v>
      </c>
      <c r="E2081" t="str">
        <f t="shared" si="289"/>
        <v>EMP_2080Marketing</v>
      </c>
      <c r="F2081" t="s">
        <v>24</v>
      </c>
      <c r="G2081" t="s">
        <v>16</v>
      </c>
      <c r="H2081">
        <v>71111</v>
      </c>
      <c r="I2081">
        <v>3126</v>
      </c>
      <c r="J2081">
        <v>0</v>
      </c>
      <c r="K2081">
        <v>0</v>
      </c>
      <c r="L2081" s="4">
        <v>45242</v>
      </c>
      <c r="M2081" s="4" t="str">
        <f t="shared" si="290"/>
        <v>2023</v>
      </c>
      <c r="N2081" s="1">
        <f t="shared" ca="1" si="291"/>
        <v>46064</v>
      </c>
      <c r="O2081" s="6">
        <f t="shared" ca="1" si="292"/>
        <v>2</v>
      </c>
      <c r="P2081">
        <v>4</v>
      </c>
      <c r="Q2081">
        <f t="shared" si="293"/>
        <v>74237</v>
      </c>
      <c r="R2081" s="2">
        <f t="shared" si="294"/>
        <v>37118.5</v>
      </c>
      <c r="S2081" s="2" t="str">
        <f t="shared" si="295"/>
        <v xml:space="preserve"> Not Achieved</v>
      </c>
      <c r="T2081" s="2" t="str">
        <f t="shared" si="296"/>
        <v xml:space="preserve"> Excellent</v>
      </c>
      <c r="U2081" s="2"/>
    </row>
    <row r="2082" spans="1:21" x14ac:dyDescent="0.3">
      <c r="A2082">
        <v>2081</v>
      </c>
      <c r="B2082" t="s">
        <v>2983</v>
      </c>
      <c r="C2082" t="str">
        <f t="shared" si="288"/>
        <v>EMP_2081</v>
      </c>
      <c r="D2082" t="s">
        <v>15</v>
      </c>
      <c r="E2082" t="str">
        <f t="shared" si="289"/>
        <v>EMP_2081HR</v>
      </c>
      <c r="F2082" t="s">
        <v>12</v>
      </c>
      <c r="G2082" t="s">
        <v>13</v>
      </c>
      <c r="H2082">
        <v>28796</v>
      </c>
      <c r="I2082">
        <v>11146</v>
      </c>
      <c r="J2082">
        <v>0</v>
      </c>
      <c r="K2082">
        <v>0</v>
      </c>
      <c r="L2082" s="4">
        <v>43441</v>
      </c>
      <c r="M2082" s="4" t="str">
        <f t="shared" si="290"/>
        <v>2018</v>
      </c>
      <c r="N2082" s="1">
        <f t="shared" ca="1" si="291"/>
        <v>46064</v>
      </c>
      <c r="O2082" s="6">
        <f t="shared" ca="1" si="292"/>
        <v>7</v>
      </c>
      <c r="P2082">
        <v>4</v>
      </c>
      <c r="Q2082">
        <f t="shared" si="293"/>
        <v>39942</v>
      </c>
      <c r="R2082" s="2">
        <f t="shared" si="294"/>
        <v>19971</v>
      </c>
      <c r="S2082" s="2" t="str">
        <f t="shared" si="295"/>
        <v xml:space="preserve"> Not Achieved</v>
      </c>
      <c r="T2082" s="2" t="str">
        <f t="shared" si="296"/>
        <v>poor</v>
      </c>
      <c r="U2082" s="2"/>
    </row>
    <row r="2083" spans="1:21" x14ac:dyDescent="0.3">
      <c r="A2083">
        <v>2082</v>
      </c>
      <c r="B2083" t="s">
        <v>2984</v>
      </c>
      <c r="C2083" t="str">
        <f t="shared" si="288"/>
        <v>EMP_2082</v>
      </c>
      <c r="D2083" t="s">
        <v>11</v>
      </c>
      <c r="E2083" t="str">
        <f t="shared" si="289"/>
        <v>EMP_2082IT</v>
      </c>
      <c r="F2083" t="s">
        <v>21</v>
      </c>
      <c r="G2083" t="s">
        <v>25</v>
      </c>
      <c r="H2083">
        <v>20658</v>
      </c>
      <c r="I2083">
        <v>12138</v>
      </c>
      <c r="J2083">
        <v>0</v>
      </c>
      <c r="K2083">
        <v>0</v>
      </c>
      <c r="L2083" s="4" t="s">
        <v>2618</v>
      </c>
      <c r="M2083" s="4" t="str">
        <f t="shared" si="290"/>
        <v>11/23/2018</v>
      </c>
      <c r="N2083" s="1">
        <f t="shared" ca="1" si="291"/>
        <v>46064</v>
      </c>
      <c r="O2083" s="6" t="e">
        <f t="shared" ca="1" si="292"/>
        <v>#VALUE!</v>
      </c>
      <c r="P2083">
        <v>2</v>
      </c>
      <c r="Q2083">
        <f t="shared" si="293"/>
        <v>32796</v>
      </c>
      <c r="R2083" s="2">
        <f t="shared" si="294"/>
        <v>16398</v>
      </c>
      <c r="S2083" s="2" t="str">
        <f t="shared" si="295"/>
        <v xml:space="preserve"> Not Achieved</v>
      </c>
      <c r="T2083" s="2" t="str">
        <f t="shared" si="296"/>
        <v>poor</v>
      </c>
      <c r="U2083" s="2"/>
    </row>
    <row r="2084" spans="1:21" x14ac:dyDescent="0.3">
      <c r="A2084">
        <v>2083</v>
      </c>
      <c r="B2084" t="s">
        <v>2985</v>
      </c>
      <c r="C2084" t="str">
        <f t="shared" si="288"/>
        <v>EMP_2083</v>
      </c>
      <c r="D2084" t="s">
        <v>15</v>
      </c>
      <c r="E2084" t="str">
        <f t="shared" si="289"/>
        <v>EMP_2083Finance</v>
      </c>
      <c r="F2084" t="s">
        <v>18</v>
      </c>
      <c r="G2084" t="s">
        <v>22</v>
      </c>
      <c r="H2084">
        <v>44764</v>
      </c>
      <c r="I2084">
        <v>6338</v>
      </c>
      <c r="J2084">
        <v>0</v>
      </c>
      <c r="K2084">
        <v>0</v>
      </c>
      <c r="L2084" s="4" t="s">
        <v>2111</v>
      </c>
      <c r="M2084" s="4" t="str">
        <f t="shared" si="290"/>
        <v>4/19/2024</v>
      </c>
      <c r="N2084" s="1">
        <f t="shared" ca="1" si="291"/>
        <v>46064</v>
      </c>
      <c r="O2084" s="6" t="e">
        <f t="shared" ca="1" si="292"/>
        <v>#VALUE!</v>
      </c>
      <c r="P2084">
        <v>3</v>
      </c>
      <c r="Q2084">
        <f t="shared" si="293"/>
        <v>51102</v>
      </c>
      <c r="R2084" s="2">
        <f t="shared" si="294"/>
        <v>25551</v>
      </c>
      <c r="S2084" s="2" t="str">
        <f t="shared" si="295"/>
        <v xml:space="preserve"> Not Achieved</v>
      </c>
      <c r="T2084" s="2" t="str">
        <f t="shared" si="296"/>
        <v>Good</v>
      </c>
      <c r="U2084" s="2"/>
    </row>
    <row r="2085" spans="1:21" x14ac:dyDescent="0.3">
      <c r="A2085">
        <v>2084</v>
      </c>
      <c r="B2085" t="s">
        <v>2986</v>
      </c>
      <c r="C2085" t="str">
        <f t="shared" si="288"/>
        <v>EMP_2084</v>
      </c>
      <c r="D2085" t="s">
        <v>11</v>
      </c>
      <c r="E2085" t="str">
        <f t="shared" si="289"/>
        <v>EMP_2084Sales</v>
      </c>
      <c r="F2085" t="s">
        <v>7</v>
      </c>
      <c r="G2085" t="s">
        <v>19</v>
      </c>
      <c r="H2085">
        <v>54552</v>
      </c>
      <c r="I2085">
        <v>10790</v>
      </c>
      <c r="J2085">
        <v>162430</v>
      </c>
      <c r="K2085">
        <v>168368</v>
      </c>
      <c r="L2085" s="4">
        <v>44203</v>
      </c>
      <c r="M2085" s="4" t="str">
        <f t="shared" si="290"/>
        <v>2021</v>
      </c>
      <c r="N2085" s="1">
        <f t="shared" ca="1" si="291"/>
        <v>46064</v>
      </c>
      <c r="O2085" s="6">
        <f t="shared" ca="1" si="292"/>
        <v>5</v>
      </c>
      <c r="P2085">
        <v>2</v>
      </c>
      <c r="Q2085">
        <f t="shared" si="293"/>
        <v>65342</v>
      </c>
      <c r="R2085" s="2">
        <f t="shared" si="294"/>
        <v>32671</v>
      </c>
      <c r="S2085" s="2" t="str">
        <f t="shared" si="295"/>
        <v xml:space="preserve"> Not Achieved</v>
      </c>
      <c r="T2085" s="2" t="str">
        <f t="shared" si="296"/>
        <v xml:space="preserve"> Excellent</v>
      </c>
      <c r="U2085" s="2"/>
    </row>
    <row r="2086" spans="1:21" x14ac:dyDescent="0.3">
      <c r="A2086">
        <v>2085</v>
      </c>
      <c r="B2086" t="s">
        <v>2987</v>
      </c>
      <c r="C2086" t="str">
        <f t="shared" si="288"/>
        <v>EMP_2085</v>
      </c>
      <c r="D2086" t="s">
        <v>15</v>
      </c>
      <c r="E2086" t="str">
        <f t="shared" si="289"/>
        <v>EMP_2085Marketing</v>
      </c>
      <c r="F2086" t="s">
        <v>24</v>
      </c>
      <c r="G2086" t="s">
        <v>22</v>
      </c>
      <c r="H2086">
        <v>59842</v>
      </c>
      <c r="I2086">
        <v>6509</v>
      </c>
      <c r="J2086">
        <v>0</v>
      </c>
      <c r="K2086">
        <v>0</v>
      </c>
      <c r="L2086" s="4" t="s">
        <v>2988</v>
      </c>
      <c r="M2086" s="4" t="str">
        <f t="shared" si="290"/>
        <v>8/23/2024</v>
      </c>
      <c r="N2086" s="1">
        <f t="shared" ca="1" si="291"/>
        <v>46064</v>
      </c>
      <c r="O2086" s="6" t="e">
        <f t="shared" ca="1" si="292"/>
        <v>#VALUE!</v>
      </c>
      <c r="P2086">
        <v>3</v>
      </c>
      <c r="Q2086">
        <f t="shared" si="293"/>
        <v>66351</v>
      </c>
      <c r="R2086" s="2">
        <f t="shared" si="294"/>
        <v>33175.5</v>
      </c>
      <c r="S2086" s="2" t="str">
        <f t="shared" si="295"/>
        <v xml:space="preserve"> Not Achieved</v>
      </c>
      <c r="T2086" s="2" t="str">
        <f t="shared" si="296"/>
        <v xml:space="preserve"> Excellent</v>
      </c>
      <c r="U2086" s="2"/>
    </row>
    <row r="2087" spans="1:21" x14ac:dyDescent="0.3">
      <c r="A2087">
        <v>2086</v>
      </c>
      <c r="B2087" t="s">
        <v>2989</v>
      </c>
      <c r="C2087" t="str">
        <f t="shared" si="288"/>
        <v>EMP_2086</v>
      </c>
      <c r="D2087" t="s">
        <v>11</v>
      </c>
      <c r="E2087" t="str">
        <f t="shared" si="289"/>
        <v>EMP_2086HR</v>
      </c>
      <c r="F2087" t="s">
        <v>12</v>
      </c>
      <c r="G2087" t="s">
        <v>19</v>
      </c>
      <c r="H2087">
        <v>32343</v>
      </c>
      <c r="I2087">
        <v>3395</v>
      </c>
      <c r="J2087">
        <v>0</v>
      </c>
      <c r="K2087">
        <v>0</v>
      </c>
      <c r="L2087" s="4">
        <v>45298</v>
      </c>
      <c r="M2087" s="4" t="str">
        <f t="shared" si="290"/>
        <v>2024</v>
      </c>
      <c r="N2087" s="1">
        <f t="shared" ca="1" si="291"/>
        <v>46064</v>
      </c>
      <c r="O2087" s="6">
        <f t="shared" ca="1" si="292"/>
        <v>2</v>
      </c>
      <c r="P2087">
        <v>2</v>
      </c>
      <c r="Q2087">
        <f t="shared" si="293"/>
        <v>35738</v>
      </c>
      <c r="R2087" s="2">
        <f t="shared" si="294"/>
        <v>17869</v>
      </c>
      <c r="S2087" s="2" t="str">
        <f t="shared" si="295"/>
        <v xml:space="preserve"> Not Achieved</v>
      </c>
      <c r="T2087" s="2" t="str">
        <f t="shared" si="296"/>
        <v>Average</v>
      </c>
      <c r="U2087" s="2"/>
    </row>
    <row r="2088" spans="1:21" x14ac:dyDescent="0.3">
      <c r="A2088">
        <v>2087</v>
      </c>
      <c r="B2088" t="s">
        <v>2990</v>
      </c>
      <c r="C2088" t="str">
        <f t="shared" si="288"/>
        <v>EMP_2087</v>
      </c>
      <c r="D2088" t="s">
        <v>11</v>
      </c>
      <c r="E2088" t="str">
        <f t="shared" si="289"/>
        <v>EMP_2087Marketing</v>
      </c>
      <c r="F2088" t="s">
        <v>24</v>
      </c>
      <c r="G2088" t="s">
        <v>22</v>
      </c>
      <c r="H2088">
        <v>46619</v>
      </c>
      <c r="I2088">
        <v>7929</v>
      </c>
      <c r="J2088">
        <v>0</v>
      </c>
      <c r="K2088">
        <v>0</v>
      </c>
      <c r="L2088" s="4">
        <v>43953</v>
      </c>
      <c r="M2088" s="4" t="str">
        <f t="shared" si="290"/>
        <v>2020</v>
      </c>
      <c r="N2088" s="1">
        <f t="shared" ca="1" si="291"/>
        <v>46064</v>
      </c>
      <c r="O2088" s="6">
        <f t="shared" ca="1" si="292"/>
        <v>5</v>
      </c>
      <c r="P2088">
        <v>5</v>
      </c>
      <c r="Q2088">
        <f t="shared" si="293"/>
        <v>54548</v>
      </c>
      <c r="R2088" s="2">
        <f t="shared" si="294"/>
        <v>27274</v>
      </c>
      <c r="S2088" s="2" t="str">
        <f t="shared" si="295"/>
        <v xml:space="preserve"> Not Achieved</v>
      </c>
      <c r="T2088" s="2" t="str">
        <f t="shared" si="296"/>
        <v>Good</v>
      </c>
      <c r="U2088" s="2"/>
    </row>
    <row r="2089" spans="1:21" x14ac:dyDescent="0.3">
      <c r="A2089">
        <v>2088</v>
      </c>
      <c r="B2089" t="s">
        <v>2991</v>
      </c>
      <c r="C2089" t="str">
        <f t="shared" si="288"/>
        <v>EMP_2088</v>
      </c>
      <c r="D2089" t="s">
        <v>11</v>
      </c>
      <c r="E2089" t="str">
        <f t="shared" si="289"/>
        <v>EMP_2088IT</v>
      </c>
      <c r="F2089" t="s">
        <v>21</v>
      </c>
      <c r="G2089" t="s">
        <v>25</v>
      </c>
      <c r="H2089">
        <v>44122</v>
      </c>
      <c r="I2089">
        <v>3541</v>
      </c>
      <c r="J2089">
        <v>0</v>
      </c>
      <c r="K2089">
        <v>0</v>
      </c>
      <c r="L2089" s="4">
        <v>45174</v>
      </c>
      <c r="M2089" s="4" t="str">
        <f t="shared" si="290"/>
        <v>2023</v>
      </c>
      <c r="N2089" s="1">
        <f t="shared" ca="1" si="291"/>
        <v>46064</v>
      </c>
      <c r="O2089" s="6">
        <f t="shared" ca="1" si="292"/>
        <v>2</v>
      </c>
      <c r="P2089">
        <v>4</v>
      </c>
      <c r="Q2089">
        <f t="shared" si="293"/>
        <v>47663</v>
      </c>
      <c r="R2089" s="2">
        <f t="shared" si="294"/>
        <v>23831.5</v>
      </c>
      <c r="S2089" s="2" t="str">
        <f t="shared" si="295"/>
        <v xml:space="preserve"> Not Achieved</v>
      </c>
      <c r="T2089" s="2" t="str">
        <f t="shared" si="296"/>
        <v>Good</v>
      </c>
      <c r="U2089" s="2"/>
    </row>
    <row r="2090" spans="1:21" x14ac:dyDescent="0.3">
      <c r="A2090">
        <v>2089</v>
      </c>
      <c r="B2090" t="s">
        <v>2992</v>
      </c>
      <c r="C2090" t="str">
        <f t="shared" si="288"/>
        <v>EMP_2089</v>
      </c>
      <c r="D2090" t="s">
        <v>11</v>
      </c>
      <c r="E2090" t="str">
        <f t="shared" si="289"/>
        <v>EMP_2089Finance</v>
      </c>
      <c r="F2090" t="s">
        <v>18</v>
      </c>
      <c r="G2090" t="s">
        <v>22</v>
      </c>
      <c r="H2090">
        <v>23312</v>
      </c>
      <c r="I2090">
        <v>4047</v>
      </c>
      <c r="J2090">
        <v>0</v>
      </c>
      <c r="K2090">
        <v>0</v>
      </c>
      <c r="L2090" s="4" t="s">
        <v>2993</v>
      </c>
      <c r="M2090" s="4" t="str">
        <f t="shared" si="290"/>
        <v>1/18/2019</v>
      </c>
      <c r="N2090" s="1">
        <f t="shared" ca="1" si="291"/>
        <v>46064</v>
      </c>
      <c r="O2090" s="6" t="e">
        <f t="shared" ca="1" si="292"/>
        <v>#VALUE!</v>
      </c>
      <c r="P2090">
        <v>1</v>
      </c>
      <c r="Q2090">
        <f t="shared" si="293"/>
        <v>27359</v>
      </c>
      <c r="R2090" s="2">
        <f t="shared" si="294"/>
        <v>13679.5</v>
      </c>
      <c r="S2090" s="2" t="str">
        <f t="shared" si="295"/>
        <v xml:space="preserve"> Not Achieved</v>
      </c>
      <c r="T2090" s="2" t="str">
        <f t="shared" si="296"/>
        <v>poor</v>
      </c>
      <c r="U2090" s="2"/>
    </row>
    <row r="2091" spans="1:21" x14ac:dyDescent="0.3">
      <c r="A2091">
        <v>2090</v>
      </c>
      <c r="B2091" t="s">
        <v>2994</v>
      </c>
      <c r="C2091" t="str">
        <f t="shared" si="288"/>
        <v>EMP_2090</v>
      </c>
      <c r="D2091" t="s">
        <v>11</v>
      </c>
      <c r="E2091" t="str">
        <f t="shared" si="289"/>
        <v>EMP_2090Finance</v>
      </c>
      <c r="F2091" t="s">
        <v>18</v>
      </c>
      <c r="G2091" t="s">
        <v>25</v>
      </c>
      <c r="H2091">
        <v>32501</v>
      </c>
      <c r="I2091">
        <v>3270</v>
      </c>
      <c r="J2091">
        <v>0</v>
      </c>
      <c r="K2091">
        <v>0</v>
      </c>
      <c r="L2091" s="4" t="s">
        <v>395</v>
      </c>
      <c r="M2091" s="4" t="str">
        <f t="shared" si="290"/>
        <v>12/25/2018</v>
      </c>
      <c r="N2091" s="1">
        <f t="shared" ca="1" si="291"/>
        <v>46064</v>
      </c>
      <c r="O2091" s="6" t="e">
        <f t="shared" ca="1" si="292"/>
        <v>#VALUE!</v>
      </c>
      <c r="P2091">
        <v>4</v>
      </c>
      <c r="Q2091">
        <f t="shared" si="293"/>
        <v>35771</v>
      </c>
      <c r="R2091" s="2">
        <f t="shared" si="294"/>
        <v>17885.5</v>
      </c>
      <c r="S2091" s="2" t="str">
        <f t="shared" si="295"/>
        <v xml:space="preserve"> Not Achieved</v>
      </c>
      <c r="T2091" s="2" t="str">
        <f t="shared" si="296"/>
        <v>Average</v>
      </c>
      <c r="U2091" s="2"/>
    </row>
    <row r="2092" spans="1:21" x14ac:dyDescent="0.3">
      <c r="A2092">
        <v>2091</v>
      </c>
      <c r="B2092" t="s">
        <v>2995</v>
      </c>
      <c r="C2092" t="str">
        <f t="shared" si="288"/>
        <v>EMP_2091</v>
      </c>
      <c r="D2092" t="s">
        <v>11</v>
      </c>
      <c r="E2092" t="str">
        <f t="shared" si="289"/>
        <v>EMP_2091IT</v>
      </c>
      <c r="F2092" t="s">
        <v>21</v>
      </c>
      <c r="G2092" t="s">
        <v>16</v>
      </c>
      <c r="H2092">
        <v>37451</v>
      </c>
      <c r="I2092">
        <v>4816</v>
      </c>
      <c r="J2092">
        <v>0</v>
      </c>
      <c r="K2092">
        <v>0</v>
      </c>
      <c r="L2092" s="4">
        <v>45566</v>
      </c>
      <c r="M2092" s="4" t="str">
        <f t="shared" si="290"/>
        <v>2024</v>
      </c>
      <c r="N2092" s="1">
        <f t="shared" ca="1" si="291"/>
        <v>46064</v>
      </c>
      <c r="O2092" s="6">
        <f t="shared" ca="1" si="292"/>
        <v>1</v>
      </c>
      <c r="P2092">
        <v>4</v>
      </c>
      <c r="Q2092">
        <f t="shared" si="293"/>
        <v>42267</v>
      </c>
      <c r="R2092" s="2">
        <f t="shared" si="294"/>
        <v>21133.5</v>
      </c>
      <c r="S2092" s="2" t="str">
        <f t="shared" si="295"/>
        <v xml:space="preserve"> Not Achieved</v>
      </c>
      <c r="T2092" s="2" t="str">
        <f t="shared" si="296"/>
        <v>Average</v>
      </c>
      <c r="U2092" s="2"/>
    </row>
    <row r="2093" spans="1:21" x14ac:dyDescent="0.3">
      <c r="A2093">
        <v>2092</v>
      </c>
      <c r="B2093" t="s">
        <v>2996</v>
      </c>
      <c r="C2093" t="str">
        <f t="shared" si="288"/>
        <v>EMP_2092</v>
      </c>
      <c r="D2093" t="s">
        <v>11</v>
      </c>
      <c r="E2093" t="str">
        <f t="shared" si="289"/>
        <v>EMP_2092HR</v>
      </c>
      <c r="F2093" t="s">
        <v>12</v>
      </c>
      <c r="G2093" t="s">
        <v>16</v>
      </c>
      <c r="H2093">
        <v>54650</v>
      </c>
      <c r="I2093">
        <v>11137</v>
      </c>
      <c r="J2093">
        <v>0</v>
      </c>
      <c r="K2093">
        <v>0</v>
      </c>
      <c r="L2093" s="4" t="s">
        <v>2997</v>
      </c>
      <c r="M2093" s="4" t="str">
        <f t="shared" si="290"/>
        <v>1/17/2018</v>
      </c>
      <c r="N2093" s="1">
        <f t="shared" ca="1" si="291"/>
        <v>46064</v>
      </c>
      <c r="O2093" s="6" t="e">
        <f t="shared" ca="1" si="292"/>
        <v>#VALUE!</v>
      </c>
      <c r="P2093">
        <v>2</v>
      </c>
      <c r="Q2093">
        <f t="shared" si="293"/>
        <v>65787</v>
      </c>
      <c r="R2093" s="2">
        <f t="shared" si="294"/>
        <v>32893.5</v>
      </c>
      <c r="S2093" s="2" t="str">
        <f t="shared" si="295"/>
        <v xml:space="preserve"> Not Achieved</v>
      </c>
      <c r="T2093" s="2" t="str">
        <f t="shared" si="296"/>
        <v xml:space="preserve"> Excellent</v>
      </c>
      <c r="U2093" s="2"/>
    </row>
    <row r="2094" spans="1:21" x14ac:dyDescent="0.3">
      <c r="A2094">
        <v>2093</v>
      </c>
      <c r="B2094" t="s">
        <v>2998</v>
      </c>
      <c r="C2094" t="str">
        <f t="shared" si="288"/>
        <v>EMP_2093</v>
      </c>
      <c r="D2094" t="s">
        <v>15</v>
      </c>
      <c r="E2094" t="str">
        <f t="shared" si="289"/>
        <v>EMP_2093HR</v>
      </c>
      <c r="F2094" t="s">
        <v>12</v>
      </c>
      <c r="G2094" t="s">
        <v>19</v>
      </c>
      <c r="H2094">
        <v>31765</v>
      </c>
      <c r="I2094">
        <v>10622</v>
      </c>
      <c r="J2094">
        <v>0</v>
      </c>
      <c r="K2094">
        <v>0</v>
      </c>
      <c r="L2094" s="4" t="s">
        <v>1902</v>
      </c>
      <c r="M2094" s="4" t="str">
        <f t="shared" si="290"/>
        <v>2/25/2020</v>
      </c>
      <c r="N2094" s="1">
        <f t="shared" ca="1" si="291"/>
        <v>46064</v>
      </c>
      <c r="O2094" s="6" t="e">
        <f t="shared" ca="1" si="292"/>
        <v>#VALUE!</v>
      </c>
      <c r="P2094">
        <v>4</v>
      </c>
      <c r="Q2094">
        <f t="shared" si="293"/>
        <v>42387</v>
      </c>
      <c r="R2094" s="2">
        <f t="shared" si="294"/>
        <v>21193.5</v>
      </c>
      <c r="S2094" s="2" t="str">
        <f t="shared" si="295"/>
        <v xml:space="preserve"> Not Achieved</v>
      </c>
      <c r="T2094" s="2" t="str">
        <f t="shared" si="296"/>
        <v>Average</v>
      </c>
      <c r="U2094" s="2"/>
    </row>
    <row r="2095" spans="1:21" x14ac:dyDescent="0.3">
      <c r="A2095">
        <v>2094</v>
      </c>
      <c r="B2095" t="s">
        <v>2999</v>
      </c>
      <c r="C2095" t="str">
        <f t="shared" si="288"/>
        <v>EMP_2094</v>
      </c>
      <c r="D2095" t="s">
        <v>11</v>
      </c>
      <c r="E2095" t="str">
        <f t="shared" si="289"/>
        <v>EMP_2094IT</v>
      </c>
      <c r="F2095" t="s">
        <v>21</v>
      </c>
      <c r="G2095" t="s">
        <v>25</v>
      </c>
      <c r="H2095">
        <v>34274</v>
      </c>
      <c r="I2095">
        <v>3007</v>
      </c>
      <c r="J2095">
        <v>0</v>
      </c>
      <c r="K2095">
        <v>0</v>
      </c>
      <c r="L2095" s="4">
        <v>44079</v>
      </c>
      <c r="M2095" s="4" t="str">
        <f t="shared" si="290"/>
        <v>2020</v>
      </c>
      <c r="N2095" s="1">
        <f t="shared" ca="1" si="291"/>
        <v>46064</v>
      </c>
      <c r="O2095" s="6">
        <f t="shared" ca="1" si="292"/>
        <v>5</v>
      </c>
      <c r="P2095">
        <v>1</v>
      </c>
      <c r="Q2095">
        <f t="shared" si="293"/>
        <v>37281</v>
      </c>
      <c r="R2095" s="2">
        <f t="shared" si="294"/>
        <v>18640.5</v>
      </c>
      <c r="S2095" s="2" t="str">
        <f t="shared" si="295"/>
        <v xml:space="preserve"> Not Achieved</v>
      </c>
      <c r="T2095" s="2" t="str">
        <f t="shared" si="296"/>
        <v>Average</v>
      </c>
      <c r="U2095" s="2"/>
    </row>
    <row r="2096" spans="1:21" x14ac:dyDescent="0.3">
      <c r="A2096">
        <v>2095</v>
      </c>
      <c r="B2096" t="s">
        <v>3000</v>
      </c>
      <c r="C2096" t="str">
        <f t="shared" si="288"/>
        <v>EMP_2095</v>
      </c>
      <c r="D2096" t="s">
        <v>15</v>
      </c>
      <c r="E2096" t="str">
        <f t="shared" si="289"/>
        <v>EMP_2095IT</v>
      </c>
      <c r="F2096" t="s">
        <v>21</v>
      </c>
      <c r="G2096" t="s">
        <v>22</v>
      </c>
      <c r="H2096">
        <v>55533</v>
      </c>
      <c r="I2096">
        <v>7412</v>
      </c>
      <c r="J2096">
        <v>0</v>
      </c>
      <c r="K2096">
        <v>0</v>
      </c>
      <c r="L2096" s="4" t="s">
        <v>3001</v>
      </c>
      <c r="M2096" s="4" t="str">
        <f t="shared" si="290"/>
        <v>11/17/2022</v>
      </c>
      <c r="N2096" s="1">
        <f t="shared" ca="1" si="291"/>
        <v>46064</v>
      </c>
      <c r="O2096" s="6" t="e">
        <f t="shared" ca="1" si="292"/>
        <v>#VALUE!</v>
      </c>
      <c r="P2096">
        <v>4</v>
      </c>
      <c r="Q2096">
        <f t="shared" si="293"/>
        <v>62945</v>
      </c>
      <c r="R2096" s="2">
        <f t="shared" si="294"/>
        <v>31472.5</v>
      </c>
      <c r="S2096" s="2" t="str">
        <f t="shared" si="295"/>
        <v xml:space="preserve"> Not Achieved</v>
      </c>
      <c r="T2096" s="2" t="str">
        <f t="shared" si="296"/>
        <v xml:space="preserve"> Excellent</v>
      </c>
      <c r="U2096" s="2"/>
    </row>
    <row r="2097" spans="1:21" x14ac:dyDescent="0.3">
      <c r="A2097">
        <v>2096</v>
      </c>
      <c r="B2097" t="s">
        <v>3002</v>
      </c>
      <c r="C2097" t="str">
        <f t="shared" si="288"/>
        <v>EMP_2096</v>
      </c>
      <c r="D2097" t="s">
        <v>11</v>
      </c>
      <c r="E2097" t="str">
        <f t="shared" si="289"/>
        <v>EMP_2096IT</v>
      </c>
      <c r="F2097" t="s">
        <v>21</v>
      </c>
      <c r="G2097" t="s">
        <v>13</v>
      </c>
      <c r="H2097">
        <v>64251</v>
      </c>
      <c r="I2097">
        <v>12808</v>
      </c>
      <c r="J2097">
        <v>0</v>
      </c>
      <c r="K2097">
        <v>0</v>
      </c>
      <c r="L2097" s="4">
        <v>43169</v>
      </c>
      <c r="M2097" s="4" t="str">
        <f t="shared" si="290"/>
        <v>2018</v>
      </c>
      <c r="N2097" s="1">
        <f t="shared" ca="1" si="291"/>
        <v>46064</v>
      </c>
      <c r="O2097" s="6">
        <f t="shared" ca="1" si="292"/>
        <v>7</v>
      </c>
      <c r="P2097">
        <v>3</v>
      </c>
      <c r="Q2097">
        <f t="shared" si="293"/>
        <v>77059</v>
      </c>
      <c r="R2097" s="2">
        <f t="shared" si="294"/>
        <v>38529.5</v>
      </c>
      <c r="S2097" s="2" t="str">
        <f t="shared" si="295"/>
        <v xml:space="preserve"> Not Achieved</v>
      </c>
      <c r="T2097" s="2" t="str">
        <f t="shared" si="296"/>
        <v xml:space="preserve"> Excellent</v>
      </c>
      <c r="U2097" s="2"/>
    </row>
    <row r="2098" spans="1:21" x14ac:dyDescent="0.3">
      <c r="A2098">
        <v>2097</v>
      </c>
      <c r="B2098" t="s">
        <v>3003</v>
      </c>
      <c r="C2098" t="str">
        <f t="shared" si="288"/>
        <v>EMP_2097</v>
      </c>
      <c r="D2098" t="s">
        <v>15</v>
      </c>
      <c r="E2098" t="str">
        <f t="shared" si="289"/>
        <v>EMP_2097Marketing</v>
      </c>
      <c r="F2098" t="s">
        <v>24</v>
      </c>
      <c r="G2098" t="s">
        <v>19</v>
      </c>
      <c r="H2098">
        <v>25372</v>
      </c>
      <c r="I2098">
        <v>11264</v>
      </c>
      <c r="J2098">
        <v>0</v>
      </c>
      <c r="K2098">
        <v>0</v>
      </c>
      <c r="L2098" s="4" t="s">
        <v>1148</v>
      </c>
      <c r="M2098" s="4" t="str">
        <f t="shared" si="290"/>
        <v>2/22/2018</v>
      </c>
      <c r="N2098" s="1">
        <f t="shared" ca="1" si="291"/>
        <v>46064</v>
      </c>
      <c r="O2098" s="6" t="e">
        <f t="shared" ca="1" si="292"/>
        <v>#VALUE!</v>
      </c>
      <c r="P2098">
        <v>3</v>
      </c>
      <c r="Q2098">
        <f t="shared" si="293"/>
        <v>36636</v>
      </c>
      <c r="R2098" s="2">
        <f t="shared" si="294"/>
        <v>18318</v>
      </c>
      <c r="S2098" s="2" t="str">
        <f t="shared" si="295"/>
        <v xml:space="preserve"> Not Achieved</v>
      </c>
      <c r="T2098" s="2" t="str">
        <f t="shared" si="296"/>
        <v>poor</v>
      </c>
      <c r="U2098" s="2"/>
    </row>
    <row r="2099" spans="1:21" x14ac:dyDescent="0.3">
      <c r="A2099">
        <v>2098</v>
      </c>
      <c r="B2099" t="s">
        <v>3004</v>
      </c>
      <c r="C2099" t="str">
        <f t="shared" si="288"/>
        <v>EMP_2098</v>
      </c>
      <c r="D2099" t="s">
        <v>15</v>
      </c>
      <c r="E2099" t="str">
        <f t="shared" si="289"/>
        <v>EMP_2098Marketing</v>
      </c>
      <c r="F2099" t="s">
        <v>24</v>
      </c>
      <c r="G2099" t="s">
        <v>16</v>
      </c>
      <c r="H2099">
        <v>67046</v>
      </c>
      <c r="I2099">
        <v>5374</v>
      </c>
      <c r="J2099">
        <v>0</v>
      </c>
      <c r="K2099">
        <v>0</v>
      </c>
      <c r="L2099" s="4">
        <v>43498</v>
      </c>
      <c r="M2099" s="4" t="str">
        <f t="shared" si="290"/>
        <v>2019</v>
      </c>
      <c r="N2099" s="1">
        <f t="shared" ca="1" si="291"/>
        <v>46064</v>
      </c>
      <c r="O2099" s="6">
        <f t="shared" ca="1" si="292"/>
        <v>7</v>
      </c>
      <c r="P2099">
        <v>5</v>
      </c>
      <c r="Q2099">
        <f t="shared" si="293"/>
        <v>72420</v>
      </c>
      <c r="R2099" s="2">
        <f t="shared" si="294"/>
        <v>36210</v>
      </c>
      <c r="S2099" s="2" t="str">
        <f t="shared" si="295"/>
        <v xml:space="preserve"> Not Achieved</v>
      </c>
      <c r="T2099" s="2" t="str">
        <f t="shared" si="296"/>
        <v xml:space="preserve"> Excellent</v>
      </c>
      <c r="U2099" s="2"/>
    </row>
    <row r="2100" spans="1:21" x14ac:dyDescent="0.3">
      <c r="A2100">
        <v>2099</v>
      </c>
      <c r="B2100" t="s">
        <v>3005</v>
      </c>
      <c r="C2100" t="str">
        <f t="shared" si="288"/>
        <v>EMP_2099</v>
      </c>
      <c r="D2100" t="s">
        <v>15</v>
      </c>
      <c r="E2100" t="str">
        <f t="shared" si="289"/>
        <v>EMP_2099Finance</v>
      </c>
      <c r="F2100" t="s">
        <v>18</v>
      </c>
      <c r="G2100" t="s">
        <v>13</v>
      </c>
      <c r="H2100">
        <v>41967</v>
      </c>
      <c r="I2100">
        <v>14037</v>
      </c>
      <c r="J2100">
        <v>0</v>
      </c>
      <c r="K2100">
        <v>0</v>
      </c>
      <c r="L2100" s="4" t="s">
        <v>3006</v>
      </c>
      <c r="M2100" s="4" t="str">
        <f t="shared" si="290"/>
        <v>12/29/2020</v>
      </c>
      <c r="N2100" s="1">
        <f t="shared" ca="1" si="291"/>
        <v>46064</v>
      </c>
      <c r="O2100" s="6" t="e">
        <f t="shared" ca="1" si="292"/>
        <v>#VALUE!</v>
      </c>
      <c r="P2100">
        <v>2</v>
      </c>
      <c r="Q2100">
        <f t="shared" si="293"/>
        <v>56004</v>
      </c>
      <c r="R2100" s="2">
        <f t="shared" si="294"/>
        <v>28002</v>
      </c>
      <c r="S2100" s="2" t="str">
        <f t="shared" si="295"/>
        <v xml:space="preserve"> Not Achieved</v>
      </c>
      <c r="T2100" s="2" t="str">
        <f t="shared" si="296"/>
        <v>Good</v>
      </c>
      <c r="U2100" s="2"/>
    </row>
    <row r="2101" spans="1:21" x14ac:dyDescent="0.3">
      <c r="A2101">
        <v>2100</v>
      </c>
      <c r="B2101" t="s">
        <v>3007</v>
      </c>
      <c r="C2101" t="str">
        <f t="shared" si="288"/>
        <v>EMP_2100</v>
      </c>
      <c r="D2101" t="s">
        <v>15</v>
      </c>
      <c r="E2101" t="str">
        <f t="shared" si="289"/>
        <v>EMP_2100IT</v>
      </c>
      <c r="F2101" t="s">
        <v>21</v>
      </c>
      <c r="G2101" t="s">
        <v>16</v>
      </c>
      <c r="H2101">
        <v>64736</v>
      </c>
      <c r="I2101">
        <v>13176</v>
      </c>
      <c r="J2101">
        <v>0</v>
      </c>
      <c r="K2101">
        <v>0</v>
      </c>
      <c r="L2101" s="4" t="s">
        <v>1910</v>
      </c>
      <c r="M2101" s="4" t="str">
        <f t="shared" si="290"/>
        <v>3/25/2021</v>
      </c>
      <c r="N2101" s="1">
        <f t="shared" ca="1" si="291"/>
        <v>46064</v>
      </c>
      <c r="O2101" s="6" t="e">
        <f t="shared" ca="1" si="292"/>
        <v>#VALUE!</v>
      </c>
      <c r="P2101">
        <v>3</v>
      </c>
      <c r="Q2101">
        <f t="shared" si="293"/>
        <v>77912</v>
      </c>
      <c r="R2101" s="2">
        <f t="shared" si="294"/>
        <v>38956</v>
      </c>
      <c r="S2101" s="2" t="str">
        <f t="shared" si="295"/>
        <v xml:space="preserve"> Not Achieved</v>
      </c>
      <c r="T2101" s="2" t="str">
        <f t="shared" si="296"/>
        <v xml:space="preserve"> Excellent</v>
      </c>
      <c r="U2101" s="2"/>
    </row>
    <row r="2102" spans="1:21" x14ac:dyDescent="0.3">
      <c r="A2102">
        <v>2101</v>
      </c>
      <c r="B2102" t="s">
        <v>3008</v>
      </c>
      <c r="C2102" t="str">
        <f t="shared" si="288"/>
        <v>EMP_2101</v>
      </c>
      <c r="D2102" t="s">
        <v>11</v>
      </c>
      <c r="E2102" t="str">
        <f t="shared" si="289"/>
        <v>EMP_2101HR</v>
      </c>
      <c r="F2102" t="s">
        <v>12</v>
      </c>
      <c r="G2102" t="s">
        <v>19</v>
      </c>
      <c r="H2102">
        <v>38398</v>
      </c>
      <c r="I2102">
        <v>9874</v>
      </c>
      <c r="J2102">
        <v>0</v>
      </c>
      <c r="K2102">
        <v>0</v>
      </c>
      <c r="L2102" s="4" t="s">
        <v>3009</v>
      </c>
      <c r="M2102" s="4" t="str">
        <f t="shared" si="290"/>
        <v>11/19/2024</v>
      </c>
      <c r="N2102" s="1">
        <f t="shared" ca="1" si="291"/>
        <v>46064</v>
      </c>
      <c r="O2102" s="6" t="e">
        <f t="shared" ca="1" si="292"/>
        <v>#VALUE!</v>
      </c>
      <c r="P2102">
        <v>5</v>
      </c>
      <c r="Q2102">
        <f t="shared" si="293"/>
        <v>48272</v>
      </c>
      <c r="R2102" s="2">
        <f t="shared" si="294"/>
        <v>24136</v>
      </c>
      <c r="S2102" s="2" t="str">
        <f t="shared" si="295"/>
        <v xml:space="preserve"> Not Achieved</v>
      </c>
      <c r="T2102" s="2" t="str">
        <f t="shared" si="296"/>
        <v>Average</v>
      </c>
      <c r="U2102" s="2"/>
    </row>
    <row r="2103" spans="1:21" x14ac:dyDescent="0.3">
      <c r="A2103">
        <v>2102</v>
      </c>
      <c r="B2103" t="s">
        <v>3010</v>
      </c>
      <c r="C2103" t="str">
        <f t="shared" si="288"/>
        <v>EMP_2102</v>
      </c>
      <c r="D2103" t="s">
        <v>15</v>
      </c>
      <c r="E2103" t="str">
        <f t="shared" si="289"/>
        <v>EMP_2102IT</v>
      </c>
      <c r="F2103" t="s">
        <v>21</v>
      </c>
      <c r="G2103" t="s">
        <v>22</v>
      </c>
      <c r="H2103">
        <v>23771</v>
      </c>
      <c r="I2103">
        <v>2446</v>
      </c>
      <c r="J2103">
        <v>0</v>
      </c>
      <c r="K2103">
        <v>0</v>
      </c>
      <c r="L2103" s="4" t="s">
        <v>2285</v>
      </c>
      <c r="M2103" s="4" t="str">
        <f t="shared" si="290"/>
        <v>5/26/2018</v>
      </c>
      <c r="N2103" s="1">
        <f t="shared" ca="1" si="291"/>
        <v>46064</v>
      </c>
      <c r="O2103" s="6" t="e">
        <f t="shared" ca="1" si="292"/>
        <v>#VALUE!</v>
      </c>
      <c r="P2103">
        <v>5</v>
      </c>
      <c r="Q2103">
        <f t="shared" si="293"/>
        <v>26217</v>
      </c>
      <c r="R2103" s="2">
        <f t="shared" si="294"/>
        <v>13108.5</v>
      </c>
      <c r="S2103" s="2" t="str">
        <f t="shared" si="295"/>
        <v xml:space="preserve"> Not Achieved</v>
      </c>
      <c r="T2103" s="2" t="str">
        <f t="shared" si="296"/>
        <v>poor</v>
      </c>
      <c r="U2103" s="2"/>
    </row>
    <row r="2104" spans="1:21" x14ac:dyDescent="0.3">
      <c r="A2104">
        <v>2103</v>
      </c>
      <c r="B2104" t="s">
        <v>3011</v>
      </c>
      <c r="C2104" t="str">
        <f t="shared" si="288"/>
        <v>EMP_2103</v>
      </c>
      <c r="D2104" t="s">
        <v>11</v>
      </c>
      <c r="E2104" t="str">
        <f t="shared" si="289"/>
        <v>EMP_2103Sales</v>
      </c>
      <c r="F2104" t="s">
        <v>7</v>
      </c>
      <c r="G2104" t="s">
        <v>19</v>
      </c>
      <c r="H2104">
        <v>66344</v>
      </c>
      <c r="I2104">
        <v>2677</v>
      </c>
      <c r="J2104">
        <v>224558</v>
      </c>
      <c r="K2104">
        <v>126219</v>
      </c>
      <c r="L2104" s="4" t="s">
        <v>1788</v>
      </c>
      <c r="M2104" s="4" t="str">
        <f t="shared" si="290"/>
        <v>5/14/2023</v>
      </c>
      <c r="N2104" s="1">
        <f t="shared" ca="1" si="291"/>
        <v>46064</v>
      </c>
      <c r="O2104" s="6" t="e">
        <f t="shared" ca="1" si="292"/>
        <v>#VALUE!</v>
      </c>
      <c r="P2104">
        <v>2</v>
      </c>
      <c r="Q2104">
        <f t="shared" si="293"/>
        <v>69021</v>
      </c>
      <c r="R2104" s="2">
        <f t="shared" si="294"/>
        <v>34510.5</v>
      </c>
      <c r="S2104" s="2" t="str">
        <f t="shared" si="295"/>
        <v>Achieved</v>
      </c>
      <c r="T2104" s="2" t="str">
        <f t="shared" si="296"/>
        <v xml:space="preserve"> Excellent</v>
      </c>
      <c r="U2104" s="2"/>
    </row>
    <row r="2105" spans="1:21" x14ac:dyDescent="0.3">
      <c r="A2105">
        <v>2104</v>
      </c>
      <c r="B2105" t="s">
        <v>3012</v>
      </c>
      <c r="C2105" t="str">
        <f t="shared" si="288"/>
        <v>EMP_2104</v>
      </c>
      <c r="D2105" t="s">
        <v>15</v>
      </c>
      <c r="E2105" t="str">
        <f t="shared" si="289"/>
        <v>EMP_2104Finance</v>
      </c>
      <c r="F2105" t="s">
        <v>18</v>
      </c>
      <c r="G2105" t="s">
        <v>16</v>
      </c>
      <c r="H2105">
        <v>71003</v>
      </c>
      <c r="I2105">
        <v>4729</v>
      </c>
      <c r="J2105">
        <v>0</v>
      </c>
      <c r="K2105">
        <v>0</v>
      </c>
      <c r="L2105" s="4" t="s">
        <v>3013</v>
      </c>
      <c r="M2105" s="4" t="str">
        <f t="shared" si="290"/>
        <v>4/25/2018</v>
      </c>
      <c r="N2105" s="1">
        <f t="shared" ca="1" si="291"/>
        <v>46064</v>
      </c>
      <c r="O2105" s="6" t="e">
        <f t="shared" ca="1" si="292"/>
        <v>#VALUE!</v>
      </c>
      <c r="P2105">
        <v>3</v>
      </c>
      <c r="Q2105">
        <f t="shared" si="293"/>
        <v>75732</v>
      </c>
      <c r="R2105" s="2">
        <f t="shared" si="294"/>
        <v>37866</v>
      </c>
      <c r="S2105" s="2" t="str">
        <f t="shared" si="295"/>
        <v xml:space="preserve"> Not Achieved</v>
      </c>
      <c r="T2105" s="2" t="str">
        <f t="shared" si="296"/>
        <v xml:space="preserve"> Excellent</v>
      </c>
      <c r="U2105" s="2"/>
    </row>
    <row r="2106" spans="1:21" x14ac:dyDescent="0.3">
      <c r="A2106">
        <v>2105</v>
      </c>
      <c r="B2106" t="s">
        <v>3014</v>
      </c>
      <c r="C2106" t="str">
        <f t="shared" si="288"/>
        <v>EMP_2105</v>
      </c>
      <c r="D2106" t="s">
        <v>15</v>
      </c>
      <c r="E2106" t="str">
        <f t="shared" si="289"/>
        <v>EMP_2105Sales</v>
      </c>
      <c r="F2106" t="s">
        <v>7</v>
      </c>
      <c r="G2106" t="s">
        <v>25</v>
      </c>
      <c r="H2106">
        <v>72729</v>
      </c>
      <c r="I2106">
        <v>4874</v>
      </c>
      <c r="J2106">
        <v>270702</v>
      </c>
      <c r="K2106">
        <v>180589</v>
      </c>
      <c r="L2106" s="4">
        <v>45510</v>
      </c>
      <c r="M2106" s="4" t="str">
        <f t="shared" si="290"/>
        <v>2024</v>
      </c>
      <c r="N2106" s="1">
        <f t="shared" ca="1" si="291"/>
        <v>46064</v>
      </c>
      <c r="O2106" s="6">
        <f t="shared" ca="1" si="292"/>
        <v>1</v>
      </c>
      <c r="P2106">
        <v>4</v>
      </c>
      <c r="Q2106">
        <f t="shared" si="293"/>
        <v>77603</v>
      </c>
      <c r="R2106" s="2">
        <f t="shared" si="294"/>
        <v>38801.5</v>
      </c>
      <c r="S2106" s="2" t="str">
        <f t="shared" si="295"/>
        <v>Achieved</v>
      </c>
      <c r="T2106" s="2" t="str">
        <f t="shared" si="296"/>
        <v xml:space="preserve"> Excellent</v>
      </c>
      <c r="U2106" s="2"/>
    </row>
    <row r="2107" spans="1:21" x14ac:dyDescent="0.3">
      <c r="A2107">
        <v>2106</v>
      </c>
      <c r="B2107" t="s">
        <v>3015</v>
      </c>
      <c r="C2107" t="str">
        <f t="shared" si="288"/>
        <v>EMP_2106</v>
      </c>
      <c r="D2107" t="s">
        <v>11</v>
      </c>
      <c r="E2107" t="str">
        <f t="shared" si="289"/>
        <v>EMP_2106Sales</v>
      </c>
      <c r="F2107" t="s">
        <v>7</v>
      </c>
      <c r="G2107" t="s">
        <v>22</v>
      </c>
      <c r="H2107">
        <v>63530</v>
      </c>
      <c r="I2107">
        <v>7092</v>
      </c>
      <c r="J2107">
        <v>148509</v>
      </c>
      <c r="K2107">
        <v>195466</v>
      </c>
      <c r="L2107" s="4">
        <v>43894</v>
      </c>
      <c r="M2107" s="4" t="str">
        <f t="shared" si="290"/>
        <v>2020</v>
      </c>
      <c r="N2107" s="1">
        <f t="shared" ca="1" si="291"/>
        <v>46064</v>
      </c>
      <c r="O2107" s="6">
        <f t="shared" ca="1" si="292"/>
        <v>5</v>
      </c>
      <c r="P2107">
        <v>5</v>
      </c>
      <c r="Q2107">
        <f t="shared" si="293"/>
        <v>70622</v>
      </c>
      <c r="R2107" s="2">
        <f t="shared" si="294"/>
        <v>35311</v>
      </c>
      <c r="S2107" s="2" t="str">
        <f t="shared" si="295"/>
        <v xml:space="preserve"> Not Achieved</v>
      </c>
      <c r="T2107" s="2" t="str">
        <f t="shared" si="296"/>
        <v xml:space="preserve"> Excellent</v>
      </c>
      <c r="U2107" s="2"/>
    </row>
    <row r="2108" spans="1:21" x14ac:dyDescent="0.3">
      <c r="A2108">
        <v>2107</v>
      </c>
      <c r="B2108" t="s">
        <v>3016</v>
      </c>
      <c r="C2108" t="str">
        <f t="shared" si="288"/>
        <v>EMP_2107</v>
      </c>
      <c r="D2108" t="s">
        <v>15</v>
      </c>
      <c r="E2108" t="str">
        <f t="shared" si="289"/>
        <v>EMP_2107Marketing</v>
      </c>
      <c r="F2108" t="s">
        <v>24</v>
      </c>
      <c r="G2108" t="s">
        <v>19</v>
      </c>
      <c r="H2108">
        <v>72319</v>
      </c>
      <c r="I2108">
        <v>11441</v>
      </c>
      <c r="J2108">
        <v>0</v>
      </c>
      <c r="K2108">
        <v>0</v>
      </c>
      <c r="L2108" s="4">
        <v>43927</v>
      </c>
      <c r="M2108" s="4" t="str">
        <f t="shared" si="290"/>
        <v>2020</v>
      </c>
      <c r="N2108" s="1">
        <f t="shared" ca="1" si="291"/>
        <v>46064</v>
      </c>
      <c r="O2108" s="6">
        <f t="shared" ca="1" si="292"/>
        <v>5</v>
      </c>
      <c r="P2108">
        <v>3</v>
      </c>
      <c r="Q2108">
        <f t="shared" si="293"/>
        <v>83760</v>
      </c>
      <c r="R2108" s="2">
        <f t="shared" si="294"/>
        <v>41880</v>
      </c>
      <c r="S2108" s="2" t="str">
        <f t="shared" si="295"/>
        <v xml:space="preserve"> Not Achieved</v>
      </c>
      <c r="T2108" s="2" t="str">
        <f t="shared" si="296"/>
        <v xml:space="preserve"> Excellent</v>
      </c>
      <c r="U2108" s="2"/>
    </row>
    <row r="2109" spans="1:21" x14ac:dyDescent="0.3">
      <c r="A2109">
        <v>2108</v>
      </c>
      <c r="B2109" t="s">
        <v>3017</v>
      </c>
      <c r="C2109" t="str">
        <f t="shared" si="288"/>
        <v>EMP_2108</v>
      </c>
      <c r="D2109" t="s">
        <v>11</v>
      </c>
      <c r="E2109" t="str">
        <f t="shared" si="289"/>
        <v>EMP_2108Sales</v>
      </c>
      <c r="F2109" t="s">
        <v>7</v>
      </c>
      <c r="G2109" t="s">
        <v>25</v>
      </c>
      <c r="H2109">
        <v>31220</v>
      </c>
      <c r="I2109">
        <v>11464</v>
      </c>
      <c r="J2109">
        <v>177070</v>
      </c>
      <c r="K2109">
        <v>169298</v>
      </c>
      <c r="L2109" s="4" t="s">
        <v>3018</v>
      </c>
      <c r="M2109" s="4" t="str">
        <f t="shared" si="290"/>
        <v>6/16/2020</v>
      </c>
      <c r="N2109" s="1">
        <f t="shared" ca="1" si="291"/>
        <v>46064</v>
      </c>
      <c r="O2109" s="6" t="e">
        <f t="shared" ca="1" si="292"/>
        <v>#VALUE!</v>
      </c>
      <c r="P2109">
        <v>2</v>
      </c>
      <c r="Q2109">
        <f t="shared" si="293"/>
        <v>42684</v>
      </c>
      <c r="R2109" s="2">
        <f t="shared" si="294"/>
        <v>21342</v>
      </c>
      <c r="S2109" s="2" t="str">
        <f t="shared" si="295"/>
        <v>Achieved</v>
      </c>
      <c r="T2109" s="2" t="str">
        <f t="shared" si="296"/>
        <v>Average</v>
      </c>
      <c r="U2109" s="2"/>
    </row>
    <row r="2110" spans="1:21" x14ac:dyDescent="0.3">
      <c r="A2110">
        <v>2109</v>
      </c>
      <c r="B2110" t="s">
        <v>3019</v>
      </c>
      <c r="C2110" t="str">
        <f t="shared" si="288"/>
        <v>EMP_2109</v>
      </c>
      <c r="D2110" t="s">
        <v>11</v>
      </c>
      <c r="E2110" t="str">
        <f t="shared" si="289"/>
        <v>EMP_2109Sales</v>
      </c>
      <c r="F2110" t="s">
        <v>7</v>
      </c>
      <c r="G2110" t="s">
        <v>19</v>
      </c>
      <c r="H2110">
        <v>47203</v>
      </c>
      <c r="I2110">
        <v>14863</v>
      </c>
      <c r="J2110">
        <v>195790</v>
      </c>
      <c r="K2110">
        <v>109403</v>
      </c>
      <c r="L2110" s="4">
        <v>43800</v>
      </c>
      <c r="M2110" s="4" t="str">
        <f t="shared" si="290"/>
        <v>2019</v>
      </c>
      <c r="N2110" s="1">
        <f t="shared" ca="1" si="291"/>
        <v>46064</v>
      </c>
      <c r="O2110" s="6">
        <f t="shared" ca="1" si="292"/>
        <v>6</v>
      </c>
      <c r="P2110">
        <v>3</v>
      </c>
      <c r="Q2110">
        <f t="shared" si="293"/>
        <v>62066</v>
      </c>
      <c r="R2110" s="2">
        <f t="shared" si="294"/>
        <v>31033</v>
      </c>
      <c r="S2110" s="2" t="str">
        <f t="shared" si="295"/>
        <v>Achieved</v>
      </c>
      <c r="T2110" s="2" t="str">
        <f t="shared" si="296"/>
        <v>Good</v>
      </c>
      <c r="U2110" s="2"/>
    </row>
    <row r="2111" spans="1:21" x14ac:dyDescent="0.3">
      <c r="A2111">
        <v>2110</v>
      </c>
      <c r="B2111" t="s">
        <v>3020</v>
      </c>
      <c r="C2111" t="str">
        <f t="shared" si="288"/>
        <v>EMP_2110</v>
      </c>
      <c r="D2111" t="s">
        <v>15</v>
      </c>
      <c r="E2111" t="str">
        <f t="shared" si="289"/>
        <v>EMP_2110IT</v>
      </c>
      <c r="F2111" t="s">
        <v>21</v>
      </c>
      <c r="G2111" t="s">
        <v>25</v>
      </c>
      <c r="H2111">
        <v>56434</v>
      </c>
      <c r="I2111">
        <v>9948</v>
      </c>
      <c r="J2111">
        <v>0</v>
      </c>
      <c r="K2111">
        <v>0</v>
      </c>
      <c r="L2111" s="4" t="s">
        <v>849</v>
      </c>
      <c r="M2111" s="4" t="str">
        <f t="shared" si="290"/>
        <v>12/17/2020</v>
      </c>
      <c r="N2111" s="1">
        <f t="shared" ca="1" si="291"/>
        <v>46064</v>
      </c>
      <c r="O2111" s="6" t="e">
        <f t="shared" ca="1" si="292"/>
        <v>#VALUE!</v>
      </c>
      <c r="P2111">
        <v>4</v>
      </c>
      <c r="Q2111">
        <f t="shared" si="293"/>
        <v>66382</v>
      </c>
      <c r="R2111" s="2">
        <f t="shared" si="294"/>
        <v>33191</v>
      </c>
      <c r="S2111" s="2" t="str">
        <f t="shared" si="295"/>
        <v xml:space="preserve"> Not Achieved</v>
      </c>
      <c r="T2111" s="2" t="str">
        <f t="shared" si="296"/>
        <v xml:space="preserve"> Excellent</v>
      </c>
      <c r="U2111" s="2"/>
    </row>
    <row r="2112" spans="1:21" x14ac:dyDescent="0.3">
      <c r="A2112">
        <v>2111</v>
      </c>
      <c r="B2112" t="s">
        <v>3021</v>
      </c>
      <c r="C2112" t="str">
        <f t="shared" si="288"/>
        <v>EMP_2111</v>
      </c>
      <c r="D2112" t="s">
        <v>15</v>
      </c>
      <c r="E2112" t="str">
        <f t="shared" si="289"/>
        <v>EMP_2111HR</v>
      </c>
      <c r="F2112" t="s">
        <v>12</v>
      </c>
      <c r="G2112" t="s">
        <v>13</v>
      </c>
      <c r="H2112">
        <v>74017</v>
      </c>
      <c r="I2112">
        <v>11820</v>
      </c>
      <c r="J2112">
        <v>0</v>
      </c>
      <c r="K2112">
        <v>0</v>
      </c>
      <c r="L2112" s="4" t="s">
        <v>3022</v>
      </c>
      <c r="M2112" s="4" t="str">
        <f t="shared" si="290"/>
        <v>11/19/2018</v>
      </c>
      <c r="N2112" s="1">
        <f t="shared" ca="1" si="291"/>
        <v>46064</v>
      </c>
      <c r="O2112" s="6" t="e">
        <f t="shared" ca="1" si="292"/>
        <v>#VALUE!</v>
      </c>
      <c r="P2112">
        <v>3</v>
      </c>
      <c r="Q2112">
        <f t="shared" si="293"/>
        <v>85837</v>
      </c>
      <c r="R2112" s="2">
        <f t="shared" si="294"/>
        <v>42918.5</v>
      </c>
      <c r="S2112" s="2" t="str">
        <f t="shared" si="295"/>
        <v xml:space="preserve"> Not Achieved</v>
      </c>
      <c r="T2112" s="2" t="str">
        <f t="shared" si="296"/>
        <v xml:space="preserve"> Excellent</v>
      </c>
      <c r="U2112" s="2"/>
    </row>
    <row r="2113" spans="1:21" x14ac:dyDescent="0.3">
      <c r="A2113">
        <v>2112</v>
      </c>
      <c r="B2113" t="s">
        <v>3023</v>
      </c>
      <c r="C2113" t="str">
        <f t="shared" si="288"/>
        <v>EMP_2112</v>
      </c>
      <c r="D2113" t="s">
        <v>11</v>
      </c>
      <c r="E2113" t="str">
        <f t="shared" si="289"/>
        <v>EMP_2112Marketing</v>
      </c>
      <c r="F2113" t="s">
        <v>24</v>
      </c>
      <c r="G2113" t="s">
        <v>16</v>
      </c>
      <c r="H2113">
        <v>22741</v>
      </c>
      <c r="I2113">
        <v>14882</v>
      </c>
      <c r="J2113">
        <v>0</v>
      </c>
      <c r="K2113">
        <v>0</v>
      </c>
      <c r="L2113" s="4">
        <v>45505</v>
      </c>
      <c r="M2113" s="4" t="str">
        <f t="shared" si="290"/>
        <v>2024</v>
      </c>
      <c r="N2113" s="1">
        <f t="shared" ca="1" si="291"/>
        <v>46064</v>
      </c>
      <c r="O2113" s="6">
        <f t="shared" ca="1" si="292"/>
        <v>1</v>
      </c>
      <c r="P2113">
        <v>2</v>
      </c>
      <c r="Q2113">
        <f t="shared" si="293"/>
        <v>37623</v>
      </c>
      <c r="R2113" s="2">
        <f t="shared" si="294"/>
        <v>18811.5</v>
      </c>
      <c r="S2113" s="2" t="str">
        <f t="shared" si="295"/>
        <v xml:space="preserve"> Not Achieved</v>
      </c>
      <c r="T2113" s="2" t="str">
        <f t="shared" si="296"/>
        <v>poor</v>
      </c>
      <c r="U2113" s="2"/>
    </row>
    <row r="2114" spans="1:21" x14ac:dyDescent="0.3">
      <c r="A2114">
        <v>2113</v>
      </c>
      <c r="B2114" t="s">
        <v>3024</v>
      </c>
      <c r="C2114" t="str">
        <f t="shared" si="288"/>
        <v>EMP_2113</v>
      </c>
      <c r="D2114" t="s">
        <v>15</v>
      </c>
      <c r="E2114" t="str">
        <f t="shared" si="289"/>
        <v>EMP_2113Marketing</v>
      </c>
      <c r="F2114" t="s">
        <v>24</v>
      </c>
      <c r="G2114" t="s">
        <v>16</v>
      </c>
      <c r="H2114">
        <v>67397</v>
      </c>
      <c r="I2114">
        <v>7358</v>
      </c>
      <c r="J2114">
        <v>0</v>
      </c>
      <c r="K2114">
        <v>0</v>
      </c>
      <c r="L2114" s="4" t="s">
        <v>640</v>
      </c>
      <c r="M2114" s="4" t="str">
        <f t="shared" si="290"/>
        <v>6/15/2022</v>
      </c>
      <c r="N2114" s="1">
        <f t="shared" ca="1" si="291"/>
        <v>46064</v>
      </c>
      <c r="O2114" s="6" t="e">
        <f t="shared" ca="1" si="292"/>
        <v>#VALUE!</v>
      </c>
      <c r="P2114">
        <v>5</v>
      </c>
      <c r="Q2114">
        <f t="shared" si="293"/>
        <v>74755</v>
      </c>
      <c r="R2114" s="2">
        <f t="shared" si="294"/>
        <v>37377.5</v>
      </c>
      <c r="S2114" s="2" t="str">
        <f t="shared" si="295"/>
        <v xml:space="preserve"> Not Achieved</v>
      </c>
      <c r="T2114" s="2" t="str">
        <f t="shared" si="296"/>
        <v xml:space="preserve"> Excellent</v>
      </c>
      <c r="U2114" s="2"/>
    </row>
    <row r="2115" spans="1:21" x14ac:dyDescent="0.3">
      <c r="A2115">
        <v>2114</v>
      </c>
      <c r="B2115" t="s">
        <v>3025</v>
      </c>
      <c r="C2115" t="str">
        <f t="shared" ref="C2115:C2178" si="297">UPPER(B2115)</f>
        <v>EMP_2114</v>
      </c>
      <c r="D2115" t="s">
        <v>11</v>
      </c>
      <c r="E2115" t="str">
        <f t="shared" ref="E2115:E2178" si="298">_xlfn.CONCAT(C2115,F2115)</f>
        <v>EMP_2114Marketing</v>
      </c>
      <c r="F2115" t="s">
        <v>24</v>
      </c>
      <c r="G2115" t="s">
        <v>19</v>
      </c>
      <c r="H2115">
        <v>52574</v>
      </c>
      <c r="I2115">
        <v>10000</v>
      </c>
      <c r="J2115">
        <v>0</v>
      </c>
      <c r="K2115">
        <v>0</v>
      </c>
      <c r="L2115" s="4">
        <v>43656</v>
      </c>
      <c r="M2115" s="4" t="str">
        <f t="shared" ref="M2115:M2178" si="299">TEXT(L2115,"yyyy")</f>
        <v>2019</v>
      </c>
      <c r="N2115" s="1">
        <f t="shared" ref="N2115:N2178" ca="1" si="300">TODAY()</f>
        <v>46064</v>
      </c>
      <c r="O2115" s="6">
        <f t="shared" ref="O2115:O2178" ca="1" si="301">DATEDIF(L2115, TODAY(), "y")</f>
        <v>6</v>
      </c>
      <c r="P2115">
        <v>2</v>
      </c>
      <c r="Q2115">
        <f t="shared" ref="Q2115:Q2178" si="302">SUM(H2115,I2115)</f>
        <v>62574</v>
      </c>
      <c r="R2115" s="2">
        <f t="shared" ref="R2115:R2178" si="303">AVERAGE(H2115,I2115)</f>
        <v>31287</v>
      </c>
      <c r="S2115" s="2" t="str">
        <f t="shared" ref="S2115:S2178" si="304">IF(J2115&gt;K2115,"Achieved"," Not Achieved")</f>
        <v xml:space="preserve"> Not Achieved</v>
      </c>
      <c r="T2115" s="2" t="str">
        <f t="shared" ref="T2115:T2178" si="305">_xlfn.IFS(H2115&gt;=50000," Excellent",H2115&gt;=40000,"Good",H2115&gt;=30000,"Average",H2115&lt;30000,"poor")</f>
        <v xml:space="preserve"> Excellent</v>
      </c>
      <c r="U2115" s="2"/>
    </row>
    <row r="2116" spans="1:21" x14ac:dyDescent="0.3">
      <c r="A2116">
        <v>2115</v>
      </c>
      <c r="B2116" t="s">
        <v>3026</v>
      </c>
      <c r="C2116" t="str">
        <f t="shared" si="297"/>
        <v>EMP_2115</v>
      </c>
      <c r="D2116" t="s">
        <v>11</v>
      </c>
      <c r="E2116" t="str">
        <f t="shared" si="298"/>
        <v>EMP_2115Finance</v>
      </c>
      <c r="F2116" t="s">
        <v>18</v>
      </c>
      <c r="G2116" t="s">
        <v>25</v>
      </c>
      <c r="H2116">
        <v>78299</v>
      </c>
      <c r="I2116">
        <v>6184</v>
      </c>
      <c r="J2116">
        <v>0</v>
      </c>
      <c r="K2116">
        <v>0</v>
      </c>
      <c r="L2116" s="4" t="s">
        <v>3027</v>
      </c>
      <c r="M2116" s="4" t="str">
        <f t="shared" si="299"/>
        <v>6/29/2020</v>
      </c>
      <c r="N2116" s="1">
        <f t="shared" ca="1" si="300"/>
        <v>46064</v>
      </c>
      <c r="O2116" s="6" t="e">
        <f t="shared" ca="1" si="301"/>
        <v>#VALUE!</v>
      </c>
      <c r="P2116">
        <v>4</v>
      </c>
      <c r="Q2116">
        <f t="shared" si="302"/>
        <v>84483</v>
      </c>
      <c r="R2116" s="2">
        <f t="shared" si="303"/>
        <v>42241.5</v>
      </c>
      <c r="S2116" s="2" t="str">
        <f t="shared" si="304"/>
        <v xml:space="preserve"> Not Achieved</v>
      </c>
      <c r="T2116" s="2" t="str">
        <f t="shared" si="305"/>
        <v xml:space="preserve"> Excellent</v>
      </c>
      <c r="U2116" s="2"/>
    </row>
    <row r="2117" spans="1:21" x14ac:dyDescent="0.3">
      <c r="A2117">
        <v>2116</v>
      </c>
      <c r="B2117" t="s">
        <v>3028</v>
      </c>
      <c r="C2117" t="str">
        <f t="shared" si="297"/>
        <v>EMP_2116</v>
      </c>
      <c r="D2117" t="s">
        <v>11</v>
      </c>
      <c r="E2117" t="str">
        <f t="shared" si="298"/>
        <v>EMP_2116Sales</v>
      </c>
      <c r="F2117" t="s">
        <v>7</v>
      </c>
      <c r="G2117" t="s">
        <v>13</v>
      </c>
      <c r="H2117">
        <v>24100</v>
      </c>
      <c r="I2117">
        <v>2414</v>
      </c>
      <c r="J2117">
        <v>295786</v>
      </c>
      <c r="K2117">
        <v>104391</v>
      </c>
      <c r="L2117" s="4">
        <v>44504</v>
      </c>
      <c r="M2117" s="4" t="str">
        <f t="shared" si="299"/>
        <v>2021</v>
      </c>
      <c r="N2117" s="1">
        <f t="shared" ca="1" si="300"/>
        <v>46064</v>
      </c>
      <c r="O2117" s="6">
        <f t="shared" ca="1" si="301"/>
        <v>4</v>
      </c>
      <c r="P2117">
        <v>4</v>
      </c>
      <c r="Q2117">
        <f t="shared" si="302"/>
        <v>26514</v>
      </c>
      <c r="R2117" s="2">
        <f t="shared" si="303"/>
        <v>13257</v>
      </c>
      <c r="S2117" s="2" t="str">
        <f t="shared" si="304"/>
        <v>Achieved</v>
      </c>
      <c r="T2117" s="2" t="str">
        <f t="shared" si="305"/>
        <v>poor</v>
      </c>
      <c r="U2117" s="2"/>
    </row>
    <row r="2118" spans="1:21" x14ac:dyDescent="0.3">
      <c r="A2118">
        <v>2117</v>
      </c>
      <c r="B2118" t="s">
        <v>3029</v>
      </c>
      <c r="C2118" t="str">
        <f t="shared" si="297"/>
        <v>EMP_2117</v>
      </c>
      <c r="D2118" t="s">
        <v>15</v>
      </c>
      <c r="E2118" t="str">
        <f t="shared" si="298"/>
        <v>EMP_2117Finance</v>
      </c>
      <c r="F2118" t="s">
        <v>18</v>
      </c>
      <c r="G2118" t="s">
        <v>16</v>
      </c>
      <c r="H2118">
        <v>76685</v>
      </c>
      <c r="I2118">
        <v>4117</v>
      </c>
      <c r="J2118">
        <v>0</v>
      </c>
      <c r="K2118">
        <v>0</v>
      </c>
      <c r="L2118" s="4">
        <v>45058</v>
      </c>
      <c r="M2118" s="4" t="str">
        <f t="shared" si="299"/>
        <v>2023</v>
      </c>
      <c r="N2118" s="1">
        <f t="shared" ca="1" si="300"/>
        <v>46064</v>
      </c>
      <c r="O2118" s="6">
        <f t="shared" ca="1" si="301"/>
        <v>2</v>
      </c>
      <c r="P2118">
        <v>1</v>
      </c>
      <c r="Q2118">
        <f t="shared" si="302"/>
        <v>80802</v>
      </c>
      <c r="R2118" s="2">
        <f t="shared" si="303"/>
        <v>40401</v>
      </c>
      <c r="S2118" s="2" t="str">
        <f t="shared" si="304"/>
        <v xml:space="preserve"> Not Achieved</v>
      </c>
      <c r="T2118" s="2" t="str">
        <f t="shared" si="305"/>
        <v xml:space="preserve"> Excellent</v>
      </c>
      <c r="U2118" s="2"/>
    </row>
    <row r="2119" spans="1:21" x14ac:dyDescent="0.3">
      <c r="A2119">
        <v>2118</v>
      </c>
      <c r="B2119" t="s">
        <v>3030</v>
      </c>
      <c r="C2119" t="str">
        <f t="shared" si="297"/>
        <v>EMP_2118</v>
      </c>
      <c r="D2119" t="s">
        <v>15</v>
      </c>
      <c r="E2119" t="str">
        <f t="shared" si="298"/>
        <v>EMP_2118HR</v>
      </c>
      <c r="F2119" t="s">
        <v>12</v>
      </c>
      <c r="G2119" t="s">
        <v>16</v>
      </c>
      <c r="H2119">
        <v>27542</v>
      </c>
      <c r="I2119">
        <v>12297</v>
      </c>
      <c r="J2119">
        <v>0</v>
      </c>
      <c r="K2119">
        <v>0</v>
      </c>
      <c r="L2119" s="4" t="s">
        <v>3031</v>
      </c>
      <c r="M2119" s="4" t="str">
        <f t="shared" si="299"/>
        <v>8/23/2018</v>
      </c>
      <c r="N2119" s="1">
        <f t="shared" ca="1" si="300"/>
        <v>46064</v>
      </c>
      <c r="O2119" s="6" t="e">
        <f t="shared" ca="1" si="301"/>
        <v>#VALUE!</v>
      </c>
      <c r="P2119">
        <v>2</v>
      </c>
      <c r="Q2119">
        <f t="shared" si="302"/>
        <v>39839</v>
      </c>
      <c r="R2119" s="2">
        <f t="shared" si="303"/>
        <v>19919.5</v>
      </c>
      <c r="S2119" s="2" t="str">
        <f t="shared" si="304"/>
        <v xml:space="preserve"> Not Achieved</v>
      </c>
      <c r="T2119" s="2" t="str">
        <f t="shared" si="305"/>
        <v>poor</v>
      </c>
      <c r="U2119" s="2"/>
    </row>
    <row r="2120" spans="1:21" x14ac:dyDescent="0.3">
      <c r="A2120">
        <v>2119</v>
      </c>
      <c r="B2120" t="s">
        <v>3032</v>
      </c>
      <c r="C2120" t="str">
        <f t="shared" si="297"/>
        <v>EMP_2119</v>
      </c>
      <c r="D2120" t="s">
        <v>15</v>
      </c>
      <c r="E2120" t="str">
        <f t="shared" si="298"/>
        <v>EMP_2119Marketing</v>
      </c>
      <c r="F2120" t="s">
        <v>24</v>
      </c>
      <c r="G2120" t="s">
        <v>13</v>
      </c>
      <c r="H2120">
        <v>20248</v>
      </c>
      <c r="I2120">
        <v>13586</v>
      </c>
      <c r="J2120">
        <v>0</v>
      </c>
      <c r="K2120">
        <v>0</v>
      </c>
      <c r="L2120" s="4" t="s">
        <v>3033</v>
      </c>
      <c r="M2120" s="4" t="str">
        <f t="shared" si="299"/>
        <v>1/30/2020</v>
      </c>
      <c r="N2120" s="1">
        <f t="shared" ca="1" si="300"/>
        <v>46064</v>
      </c>
      <c r="O2120" s="6" t="e">
        <f t="shared" ca="1" si="301"/>
        <v>#VALUE!</v>
      </c>
      <c r="P2120">
        <v>2</v>
      </c>
      <c r="Q2120">
        <f t="shared" si="302"/>
        <v>33834</v>
      </c>
      <c r="R2120" s="2">
        <f t="shared" si="303"/>
        <v>16917</v>
      </c>
      <c r="S2120" s="2" t="str">
        <f t="shared" si="304"/>
        <v xml:space="preserve"> Not Achieved</v>
      </c>
      <c r="T2120" s="2" t="str">
        <f t="shared" si="305"/>
        <v>poor</v>
      </c>
      <c r="U2120" s="2"/>
    </row>
    <row r="2121" spans="1:21" x14ac:dyDescent="0.3">
      <c r="A2121">
        <v>2120</v>
      </c>
      <c r="B2121" t="s">
        <v>3034</v>
      </c>
      <c r="C2121" t="str">
        <f t="shared" si="297"/>
        <v>EMP_2120</v>
      </c>
      <c r="D2121" t="s">
        <v>11</v>
      </c>
      <c r="E2121" t="str">
        <f t="shared" si="298"/>
        <v>EMP_2120HR</v>
      </c>
      <c r="F2121" t="s">
        <v>12</v>
      </c>
      <c r="G2121" t="s">
        <v>25</v>
      </c>
      <c r="H2121">
        <v>72425</v>
      </c>
      <c r="I2121">
        <v>8284</v>
      </c>
      <c r="J2121">
        <v>0</v>
      </c>
      <c r="K2121">
        <v>0</v>
      </c>
      <c r="L2121" s="4" t="s">
        <v>3035</v>
      </c>
      <c r="M2121" s="4" t="str">
        <f t="shared" si="299"/>
        <v>4/18/2022</v>
      </c>
      <c r="N2121" s="1">
        <f t="shared" ca="1" si="300"/>
        <v>46064</v>
      </c>
      <c r="O2121" s="6" t="e">
        <f t="shared" ca="1" si="301"/>
        <v>#VALUE!</v>
      </c>
      <c r="P2121">
        <v>1</v>
      </c>
      <c r="Q2121">
        <f t="shared" si="302"/>
        <v>80709</v>
      </c>
      <c r="R2121" s="2">
        <f t="shared" si="303"/>
        <v>40354.5</v>
      </c>
      <c r="S2121" s="2" t="str">
        <f t="shared" si="304"/>
        <v xml:space="preserve"> Not Achieved</v>
      </c>
      <c r="T2121" s="2" t="str">
        <f t="shared" si="305"/>
        <v xml:space="preserve"> Excellent</v>
      </c>
      <c r="U2121" s="2"/>
    </row>
    <row r="2122" spans="1:21" x14ac:dyDescent="0.3">
      <c r="A2122">
        <v>2121</v>
      </c>
      <c r="B2122" t="s">
        <v>3036</v>
      </c>
      <c r="C2122" t="str">
        <f t="shared" si="297"/>
        <v>EMP_2121</v>
      </c>
      <c r="D2122" t="s">
        <v>15</v>
      </c>
      <c r="E2122" t="str">
        <f t="shared" si="298"/>
        <v>EMP_2121IT</v>
      </c>
      <c r="F2122" t="s">
        <v>21</v>
      </c>
      <c r="G2122" t="s">
        <v>13</v>
      </c>
      <c r="H2122">
        <v>62408</v>
      </c>
      <c r="I2122">
        <v>13605</v>
      </c>
      <c r="J2122">
        <v>0</v>
      </c>
      <c r="K2122">
        <v>0</v>
      </c>
      <c r="L2122" s="4">
        <v>43593</v>
      </c>
      <c r="M2122" s="4" t="str">
        <f t="shared" si="299"/>
        <v>2019</v>
      </c>
      <c r="N2122" s="1">
        <f t="shared" ca="1" si="300"/>
        <v>46064</v>
      </c>
      <c r="O2122" s="6">
        <f t="shared" ca="1" si="301"/>
        <v>6</v>
      </c>
      <c r="P2122">
        <v>2</v>
      </c>
      <c r="Q2122">
        <f t="shared" si="302"/>
        <v>76013</v>
      </c>
      <c r="R2122" s="2">
        <f t="shared" si="303"/>
        <v>38006.5</v>
      </c>
      <c r="S2122" s="2" t="str">
        <f t="shared" si="304"/>
        <v xml:space="preserve"> Not Achieved</v>
      </c>
      <c r="T2122" s="2" t="str">
        <f t="shared" si="305"/>
        <v xml:space="preserve"> Excellent</v>
      </c>
      <c r="U2122" s="2"/>
    </row>
    <row r="2123" spans="1:21" x14ac:dyDescent="0.3">
      <c r="A2123">
        <v>2122</v>
      </c>
      <c r="B2123" t="s">
        <v>3037</v>
      </c>
      <c r="C2123" t="str">
        <f t="shared" si="297"/>
        <v>EMP_2122</v>
      </c>
      <c r="D2123" t="s">
        <v>15</v>
      </c>
      <c r="E2123" t="str">
        <f t="shared" si="298"/>
        <v>EMP_2122IT</v>
      </c>
      <c r="F2123" t="s">
        <v>21</v>
      </c>
      <c r="G2123" t="s">
        <v>19</v>
      </c>
      <c r="H2123">
        <v>35482</v>
      </c>
      <c r="I2123">
        <v>8966</v>
      </c>
      <c r="J2123">
        <v>0</v>
      </c>
      <c r="K2123">
        <v>0</v>
      </c>
      <c r="L2123" s="4">
        <v>44349</v>
      </c>
      <c r="M2123" s="4" t="str">
        <f t="shared" si="299"/>
        <v>2021</v>
      </c>
      <c r="N2123" s="1">
        <f t="shared" ca="1" si="300"/>
        <v>46064</v>
      </c>
      <c r="O2123" s="6">
        <f t="shared" ca="1" si="301"/>
        <v>4</v>
      </c>
      <c r="P2123">
        <v>1</v>
      </c>
      <c r="Q2123">
        <f t="shared" si="302"/>
        <v>44448</v>
      </c>
      <c r="R2123" s="2">
        <f t="shared" si="303"/>
        <v>22224</v>
      </c>
      <c r="S2123" s="2" t="str">
        <f t="shared" si="304"/>
        <v xml:space="preserve"> Not Achieved</v>
      </c>
      <c r="T2123" s="2" t="str">
        <f t="shared" si="305"/>
        <v>Average</v>
      </c>
      <c r="U2123" s="2"/>
    </row>
    <row r="2124" spans="1:21" x14ac:dyDescent="0.3">
      <c r="A2124">
        <v>2123</v>
      </c>
      <c r="B2124" t="s">
        <v>3038</v>
      </c>
      <c r="C2124" t="str">
        <f t="shared" si="297"/>
        <v>EMP_2123</v>
      </c>
      <c r="D2124" t="s">
        <v>11</v>
      </c>
      <c r="E2124" t="str">
        <f t="shared" si="298"/>
        <v>EMP_2123IT</v>
      </c>
      <c r="F2124" t="s">
        <v>21</v>
      </c>
      <c r="G2124" t="s">
        <v>25</v>
      </c>
      <c r="H2124">
        <v>71159</v>
      </c>
      <c r="I2124">
        <v>10009</v>
      </c>
      <c r="J2124">
        <v>0</v>
      </c>
      <c r="K2124">
        <v>0</v>
      </c>
      <c r="L2124" s="4" t="s">
        <v>3039</v>
      </c>
      <c r="M2124" s="4" t="str">
        <f t="shared" si="299"/>
        <v>5/14/2020</v>
      </c>
      <c r="N2124" s="1">
        <f t="shared" ca="1" si="300"/>
        <v>46064</v>
      </c>
      <c r="O2124" s="6" t="e">
        <f t="shared" ca="1" si="301"/>
        <v>#VALUE!</v>
      </c>
      <c r="P2124">
        <v>1</v>
      </c>
      <c r="Q2124">
        <f t="shared" si="302"/>
        <v>81168</v>
      </c>
      <c r="R2124" s="2">
        <f t="shared" si="303"/>
        <v>40584</v>
      </c>
      <c r="S2124" s="2" t="str">
        <f t="shared" si="304"/>
        <v xml:space="preserve"> Not Achieved</v>
      </c>
      <c r="T2124" s="2" t="str">
        <f t="shared" si="305"/>
        <v xml:space="preserve"> Excellent</v>
      </c>
      <c r="U2124" s="2"/>
    </row>
    <row r="2125" spans="1:21" x14ac:dyDescent="0.3">
      <c r="A2125">
        <v>2124</v>
      </c>
      <c r="B2125" t="s">
        <v>3040</v>
      </c>
      <c r="C2125" t="str">
        <f t="shared" si="297"/>
        <v>EMP_2124</v>
      </c>
      <c r="D2125" t="s">
        <v>11</v>
      </c>
      <c r="E2125" t="str">
        <f t="shared" si="298"/>
        <v>EMP_2124Marketing</v>
      </c>
      <c r="F2125" t="s">
        <v>24</v>
      </c>
      <c r="G2125" t="s">
        <v>16</v>
      </c>
      <c r="H2125">
        <v>60316</v>
      </c>
      <c r="I2125">
        <v>6335</v>
      </c>
      <c r="J2125">
        <v>0</v>
      </c>
      <c r="K2125">
        <v>0</v>
      </c>
      <c r="L2125" s="4">
        <v>43536</v>
      </c>
      <c r="M2125" s="4" t="str">
        <f t="shared" si="299"/>
        <v>2019</v>
      </c>
      <c r="N2125" s="1">
        <f t="shared" ca="1" si="300"/>
        <v>46064</v>
      </c>
      <c r="O2125" s="6">
        <f t="shared" ca="1" si="301"/>
        <v>6</v>
      </c>
      <c r="P2125">
        <v>3</v>
      </c>
      <c r="Q2125">
        <f t="shared" si="302"/>
        <v>66651</v>
      </c>
      <c r="R2125" s="2">
        <f t="shared" si="303"/>
        <v>33325.5</v>
      </c>
      <c r="S2125" s="2" t="str">
        <f t="shared" si="304"/>
        <v xml:space="preserve"> Not Achieved</v>
      </c>
      <c r="T2125" s="2" t="str">
        <f t="shared" si="305"/>
        <v xml:space="preserve"> Excellent</v>
      </c>
      <c r="U2125" s="2"/>
    </row>
    <row r="2126" spans="1:21" x14ac:dyDescent="0.3">
      <c r="A2126">
        <v>2125</v>
      </c>
      <c r="B2126" t="s">
        <v>3041</v>
      </c>
      <c r="C2126" t="str">
        <f t="shared" si="297"/>
        <v>EMP_2125</v>
      </c>
      <c r="D2126" t="s">
        <v>15</v>
      </c>
      <c r="E2126" t="str">
        <f t="shared" si="298"/>
        <v>EMP_2125Finance</v>
      </c>
      <c r="F2126" t="s">
        <v>18</v>
      </c>
      <c r="G2126" t="s">
        <v>19</v>
      </c>
      <c r="H2126">
        <v>70723</v>
      </c>
      <c r="I2126">
        <v>12331</v>
      </c>
      <c r="J2126">
        <v>0</v>
      </c>
      <c r="K2126">
        <v>0</v>
      </c>
      <c r="L2126" s="4">
        <v>44838</v>
      </c>
      <c r="M2126" s="4" t="str">
        <f t="shared" si="299"/>
        <v>2022</v>
      </c>
      <c r="N2126" s="1">
        <f t="shared" ca="1" si="300"/>
        <v>46064</v>
      </c>
      <c r="O2126" s="6">
        <f t="shared" ca="1" si="301"/>
        <v>3</v>
      </c>
      <c r="P2126">
        <v>4</v>
      </c>
      <c r="Q2126">
        <f t="shared" si="302"/>
        <v>83054</v>
      </c>
      <c r="R2126" s="2">
        <f t="shared" si="303"/>
        <v>41527</v>
      </c>
      <c r="S2126" s="2" t="str">
        <f t="shared" si="304"/>
        <v xml:space="preserve"> Not Achieved</v>
      </c>
      <c r="T2126" s="2" t="str">
        <f t="shared" si="305"/>
        <v xml:space="preserve"> Excellent</v>
      </c>
      <c r="U2126" s="2"/>
    </row>
    <row r="2127" spans="1:21" x14ac:dyDescent="0.3">
      <c r="A2127">
        <v>2126</v>
      </c>
      <c r="B2127" t="s">
        <v>3042</v>
      </c>
      <c r="C2127" t="str">
        <f t="shared" si="297"/>
        <v>EMP_2126</v>
      </c>
      <c r="D2127" t="s">
        <v>11</v>
      </c>
      <c r="E2127" t="str">
        <f t="shared" si="298"/>
        <v>EMP_2126IT</v>
      </c>
      <c r="F2127" t="s">
        <v>21</v>
      </c>
      <c r="G2127" t="s">
        <v>16</v>
      </c>
      <c r="H2127">
        <v>49320</v>
      </c>
      <c r="I2127">
        <v>9089</v>
      </c>
      <c r="J2127">
        <v>0</v>
      </c>
      <c r="K2127">
        <v>0</v>
      </c>
      <c r="L2127" s="4">
        <v>43984</v>
      </c>
      <c r="M2127" s="4" t="str">
        <f t="shared" si="299"/>
        <v>2020</v>
      </c>
      <c r="N2127" s="1">
        <f t="shared" ca="1" si="300"/>
        <v>46064</v>
      </c>
      <c r="O2127" s="6">
        <f t="shared" ca="1" si="301"/>
        <v>5</v>
      </c>
      <c r="P2127">
        <v>2</v>
      </c>
      <c r="Q2127">
        <f t="shared" si="302"/>
        <v>58409</v>
      </c>
      <c r="R2127" s="2">
        <f t="shared" si="303"/>
        <v>29204.5</v>
      </c>
      <c r="S2127" s="2" t="str">
        <f t="shared" si="304"/>
        <v xml:space="preserve"> Not Achieved</v>
      </c>
      <c r="T2127" s="2" t="str">
        <f t="shared" si="305"/>
        <v>Good</v>
      </c>
      <c r="U2127" s="2"/>
    </row>
    <row r="2128" spans="1:21" x14ac:dyDescent="0.3">
      <c r="A2128">
        <v>2127</v>
      </c>
      <c r="B2128" t="s">
        <v>3043</v>
      </c>
      <c r="C2128" t="str">
        <f t="shared" si="297"/>
        <v>EMP_2127</v>
      </c>
      <c r="D2128" t="s">
        <v>11</v>
      </c>
      <c r="E2128" t="str">
        <f t="shared" si="298"/>
        <v>EMP_2127Sales</v>
      </c>
      <c r="F2128" t="s">
        <v>7</v>
      </c>
      <c r="G2128" t="s">
        <v>19</v>
      </c>
      <c r="H2128">
        <v>64238</v>
      </c>
      <c r="I2128">
        <v>14695</v>
      </c>
      <c r="J2128">
        <v>51776</v>
      </c>
      <c r="K2128">
        <v>206695</v>
      </c>
      <c r="L2128" s="4" t="s">
        <v>2993</v>
      </c>
      <c r="M2128" s="4" t="str">
        <f t="shared" si="299"/>
        <v>1/18/2019</v>
      </c>
      <c r="N2128" s="1">
        <f t="shared" ca="1" si="300"/>
        <v>46064</v>
      </c>
      <c r="O2128" s="6" t="e">
        <f t="shared" ca="1" si="301"/>
        <v>#VALUE!</v>
      </c>
      <c r="P2128">
        <v>5</v>
      </c>
      <c r="Q2128">
        <f t="shared" si="302"/>
        <v>78933</v>
      </c>
      <c r="R2128" s="2">
        <f t="shared" si="303"/>
        <v>39466.5</v>
      </c>
      <c r="S2128" s="2" t="str">
        <f t="shared" si="304"/>
        <v xml:space="preserve"> Not Achieved</v>
      </c>
      <c r="T2128" s="2" t="str">
        <f t="shared" si="305"/>
        <v xml:space="preserve"> Excellent</v>
      </c>
      <c r="U2128" s="2"/>
    </row>
    <row r="2129" spans="1:21" x14ac:dyDescent="0.3">
      <c r="A2129">
        <v>2128</v>
      </c>
      <c r="B2129" t="s">
        <v>3044</v>
      </c>
      <c r="C2129" t="str">
        <f t="shared" si="297"/>
        <v>EMP_2128</v>
      </c>
      <c r="D2129" t="s">
        <v>11</v>
      </c>
      <c r="E2129" t="str">
        <f t="shared" si="298"/>
        <v>EMP_2128HR</v>
      </c>
      <c r="F2129" t="s">
        <v>12</v>
      </c>
      <c r="G2129" t="s">
        <v>13</v>
      </c>
      <c r="H2129">
        <v>75874</v>
      </c>
      <c r="I2129">
        <v>6183</v>
      </c>
      <c r="J2129">
        <v>0</v>
      </c>
      <c r="K2129">
        <v>0</v>
      </c>
      <c r="L2129" s="4">
        <v>43254</v>
      </c>
      <c r="M2129" s="4" t="str">
        <f t="shared" si="299"/>
        <v>2018</v>
      </c>
      <c r="N2129" s="1">
        <f t="shared" ca="1" si="300"/>
        <v>46064</v>
      </c>
      <c r="O2129" s="6">
        <f t="shared" ca="1" si="301"/>
        <v>7</v>
      </c>
      <c r="P2129">
        <v>1</v>
      </c>
      <c r="Q2129">
        <f t="shared" si="302"/>
        <v>82057</v>
      </c>
      <c r="R2129" s="2">
        <f t="shared" si="303"/>
        <v>41028.5</v>
      </c>
      <c r="S2129" s="2" t="str">
        <f t="shared" si="304"/>
        <v xml:space="preserve"> Not Achieved</v>
      </c>
      <c r="T2129" s="2" t="str">
        <f t="shared" si="305"/>
        <v xml:space="preserve"> Excellent</v>
      </c>
      <c r="U2129" s="2"/>
    </row>
    <row r="2130" spans="1:21" x14ac:dyDescent="0.3">
      <c r="A2130">
        <v>2129</v>
      </c>
      <c r="B2130" t="s">
        <v>3045</v>
      </c>
      <c r="C2130" t="str">
        <f t="shared" si="297"/>
        <v>EMP_2129</v>
      </c>
      <c r="D2130" t="s">
        <v>15</v>
      </c>
      <c r="E2130" t="str">
        <f t="shared" si="298"/>
        <v>EMP_2129Finance</v>
      </c>
      <c r="F2130" t="s">
        <v>18</v>
      </c>
      <c r="G2130" t="s">
        <v>19</v>
      </c>
      <c r="H2130">
        <v>77208</v>
      </c>
      <c r="I2130">
        <v>5542</v>
      </c>
      <c r="J2130">
        <v>0</v>
      </c>
      <c r="K2130">
        <v>0</v>
      </c>
      <c r="L2130" s="4" t="s">
        <v>3046</v>
      </c>
      <c r="M2130" s="4" t="str">
        <f t="shared" si="299"/>
        <v>6/18/2018</v>
      </c>
      <c r="N2130" s="1">
        <f t="shared" ca="1" si="300"/>
        <v>46064</v>
      </c>
      <c r="O2130" s="6" t="e">
        <f t="shared" ca="1" si="301"/>
        <v>#VALUE!</v>
      </c>
      <c r="P2130">
        <v>3</v>
      </c>
      <c r="Q2130">
        <f t="shared" si="302"/>
        <v>82750</v>
      </c>
      <c r="R2130" s="2">
        <f t="shared" si="303"/>
        <v>41375</v>
      </c>
      <c r="S2130" s="2" t="str">
        <f t="shared" si="304"/>
        <v xml:space="preserve"> Not Achieved</v>
      </c>
      <c r="T2130" s="2" t="str">
        <f t="shared" si="305"/>
        <v xml:space="preserve"> Excellent</v>
      </c>
      <c r="U2130" s="2"/>
    </row>
    <row r="2131" spans="1:21" x14ac:dyDescent="0.3">
      <c r="A2131">
        <v>2130</v>
      </c>
      <c r="B2131" t="s">
        <v>3047</v>
      </c>
      <c r="C2131" t="str">
        <f t="shared" si="297"/>
        <v>EMP_2130</v>
      </c>
      <c r="D2131" t="s">
        <v>11</v>
      </c>
      <c r="E2131" t="str">
        <f t="shared" si="298"/>
        <v>EMP_2130Marketing</v>
      </c>
      <c r="F2131" t="s">
        <v>24</v>
      </c>
      <c r="G2131" t="s">
        <v>25</v>
      </c>
      <c r="H2131">
        <v>76322</v>
      </c>
      <c r="I2131">
        <v>3892</v>
      </c>
      <c r="J2131">
        <v>0</v>
      </c>
      <c r="K2131">
        <v>0</v>
      </c>
      <c r="L2131" s="4">
        <v>44782</v>
      </c>
      <c r="M2131" s="4" t="str">
        <f t="shared" si="299"/>
        <v>2022</v>
      </c>
      <c r="N2131" s="1">
        <f t="shared" ca="1" si="300"/>
        <v>46064</v>
      </c>
      <c r="O2131" s="6">
        <f t="shared" ca="1" si="301"/>
        <v>3</v>
      </c>
      <c r="P2131">
        <v>2</v>
      </c>
      <c r="Q2131">
        <f t="shared" si="302"/>
        <v>80214</v>
      </c>
      <c r="R2131" s="2">
        <f t="shared" si="303"/>
        <v>40107</v>
      </c>
      <c r="S2131" s="2" t="str">
        <f t="shared" si="304"/>
        <v xml:space="preserve"> Not Achieved</v>
      </c>
      <c r="T2131" s="2" t="str">
        <f t="shared" si="305"/>
        <v xml:space="preserve"> Excellent</v>
      </c>
      <c r="U2131" s="2"/>
    </row>
    <row r="2132" spans="1:21" x14ac:dyDescent="0.3">
      <c r="A2132">
        <v>2131</v>
      </c>
      <c r="B2132" t="s">
        <v>3048</v>
      </c>
      <c r="C2132" t="str">
        <f t="shared" si="297"/>
        <v>EMP_2131</v>
      </c>
      <c r="D2132" t="s">
        <v>11</v>
      </c>
      <c r="E2132" t="str">
        <f t="shared" si="298"/>
        <v>EMP_2131Sales</v>
      </c>
      <c r="F2132" t="s">
        <v>7</v>
      </c>
      <c r="G2132" t="s">
        <v>16</v>
      </c>
      <c r="H2132">
        <v>74483</v>
      </c>
      <c r="I2132">
        <v>14284</v>
      </c>
      <c r="J2132">
        <v>214844</v>
      </c>
      <c r="K2132">
        <v>88604</v>
      </c>
      <c r="L2132" s="4" t="s">
        <v>2901</v>
      </c>
      <c r="M2132" s="4" t="str">
        <f t="shared" si="299"/>
        <v>2/19/2022</v>
      </c>
      <c r="N2132" s="1">
        <f t="shared" ca="1" si="300"/>
        <v>46064</v>
      </c>
      <c r="O2132" s="6" t="e">
        <f t="shared" ca="1" si="301"/>
        <v>#VALUE!</v>
      </c>
      <c r="P2132">
        <v>4</v>
      </c>
      <c r="Q2132">
        <f t="shared" si="302"/>
        <v>88767</v>
      </c>
      <c r="R2132" s="2">
        <f t="shared" si="303"/>
        <v>44383.5</v>
      </c>
      <c r="S2132" s="2" t="str">
        <f t="shared" si="304"/>
        <v>Achieved</v>
      </c>
      <c r="T2132" s="2" t="str">
        <f t="shared" si="305"/>
        <v xml:space="preserve"> Excellent</v>
      </c>
      <c r="U2132" s="2"/>
    </row>
    <row r="2133" spans="1:21" x14ac:dyDescent="0.3">
      <c r="A2133">
        <v>2132</v>
      </c>
      <c r="B2133" t="s">
        <v>3049</v>
      </c>
      <c r="C2133" t="str">
        <f t="shared" si="297"/>
        <v>EMP_2132</v>
      </c>
      <c r="D2133" t="s">
        <v>15</v>
      </c>
      <c r="E2133" t="str">
        <f t="shared" si="298"/>
        <v>EMP_2132Sales</v>
      </c>
      <c r="F2133" t="s">
        <v>7</v>
      </c>
      <c r="G2133" t="s">
        <v>25</v>
      </c>
      <c r="H2133">
        <v>51995</v>
      </c>
      <c r="I2133">
        <v>9147</v>
      </c>
      <c r="J2133">
        <v>199317</v>
      </c>
      <c r="K2133">
        <v>103994</v>
      </c>
      <c r="L2133" s="4" t="s">
        <v>2491</v>
      </c>
      <c r="M2133" s="4" t="str">
        <f t="shared" si="299"/>
        <v>6/27/2018</v>
      </c>
      <c r="N2133" s="1">
        <f t="shared" ca="1" si="300"/>
        <v>46064</v>
      </c>
      <c r="O2133" s="6" t="e">
        <f t="shared" ca="1" si="301"/>
        <v>#VALUE!</v>
      </c>
      <c r="P2133">
        <v>2</v>
      </c>
      <c r="Q2133">
        <f t="shared" si="302"/>
        <v>61142</v>
      </c>
      <c r="R2133" s="2">
        <f t="shared" si="303"/>
        <v>30571</v>
      </c>
      <c r="S2133" s="2" t="str">
        <f t="shared" si="304"/>
        <v>Achieved</v>
      </c>
      <c r="T2133" s="2" t="str">
        <f t="shared" si="305"/>
        <v xml:space="preserve"> Excellent</v>
      </c>
      <c r="U2133" s="2"/>
    </row>
    <row r="2134" spans="1:21" x14ac:dyDescent="0.3">
      <c r="A2134">
        <v>2133</v>
      </c>
      <c r="B2134" t="s">
        <v>3050</v>
      </c>
      <c r="C2134" t="str">
        <f t="shared" si="297"/>
        <v>EMP_2133</v>
      </c>
      <c r="D2134" t="s">
        <v>11</v>
      </c>
      <c r="E2134" t="str">
        <f t="shared" si="298"/>
        <v>EMP_2133Finance</v>
      </c>
      <c r="F2134" t="s">
        <v>18</v>
      </c>
      <c r="G2134" t="s">
        <v>13</v>
      </c>
      <c r="H2134">
        <v>22303</v>
      </c>
      <c r="I2134">
        <v>7859</v>
      </c>
      <c r="J2134">
        <v>0</v>
      </c>
      <c r="K2134">
        <v>0</v>
      </c>
      <c r="L2134" s="4" t="s">
        <v>3051</v>
      </c>
      <c r="M2134" s="4" t="str">
        <f t="shared" si="299"/>
        <v>2/24/2020</v>
      </c>
      <c r="N2134" s="1">
        <f t="shared" ca="1" si="300"/>
        <v>46064</v>
      </c>
      <c r="O2134" s="6" t="e">
        <f t="shared" ca="1" si="301"/>
        <v>#VALUE!</v>
      </c>
      <c r="P2134">
        <v>3</v>
      </c>
      <c r="Q2134">
        <f t="shared" si="302"/>
        <v>30162</v>
      </c>
      <c r="R2134" s="2">
        <f t="shared" si="303"/>
        <v>15081</v>
      </c>
      <c r="S2134" s="2" t="str">
        <f t="shared" si="304"/>
        <v xml:space="preserve"> Not Achieved</v>
      </c>
      <c r="T2134" s="2" t="str">
        <f t="shared" si="305"/>
        <v>poor</v>
      </c>
      <c r="U2134" s="2"/>
    </row>
    <row r="2135" spans="1:21" x14ac:dyDescent="0.3">
      <c r="A2135">
        <v>2134</v>
      </c>
      <c r="B2135" t="s">
        <v>3052</v>
      </c>
      <c r="C2135" t="str">
        <f t="shared" si="297"/>
        <v>EMP_2134</v>
      </c>
      <c r="D2135" t="s">
        <v>15</v>
      </c>
      <c r="E2135" t="str">
        <f t="shared" si="298"/>
        <v>EMP_2134Finance</v>
      </c>
      <c r="F2135" t="s">
        <v>18</v>
      </c>
      <c r="G2135" t="s">
        <v>19</v>
      </c>
      <c r="H2135">
        <v>20997</v>
      </c>
      <c r="I2135">
        <v>11208</v>
      </c>
      <c r="J2135">
        <v>0</v>
      </c>
      <c r="K2135">
        <v>0</v>
      </c>
      <c r="L2135" s="4" t="s">
        <v>3053</v>
      </c>
      <c r="M2135" s="4" t="str">
        <f t="shared" si="299"/>
        <v>9/27/2022</v>
      </c>
      <c r="N2135" s="1">
        <f t="shared" ca="1" si="300"/>
        <v>46064</v>
      </c>
      <c r="O2135" s="6" t="e">
        <f t="shared" ca="1" si="301"/>
        <v>#VALUE!</v>
      </c>
      <c r="P2135">
        <v>3</v>
      </c>
      <c r="Q2135">
        <f t="shared" si="302"/>
        <v>32205</v>
      </c>
      <c r="R2135" s="2">
        <f t="shared" si="303"/>
        <v>16102.5</v>
      </c>
      <c r="S2135" s="2" t="str">
        <f t="shared" si="304"/>
        <v xml:space="preserve"> Not Achieved</v>
      </c>
      <c r="T2135" s="2" t="str">
        <f t="shared" si="305"/>
        <v>poor</v>
      </c>
      <c r="U2135" s="2"/>
    </row>
    <row r="2136" spans="1:21" x14ac:dyDescent="0.3">
      <c r="A2136">
        <v>2135</v>
      </c>
      <c r="B2136" t="s">
        <v>3054</v>
      </c>
      <c r="C2136" t="str">
        <f t="shared" si="297"/>
        <v>EMP_2135</v>
      </c>
      <c r="D2136" t="s">
        <v>15</v>
      </c>
      <c r="E2136" t="str">
        <f t="shared" si="298"/>
        <v>EMP_2135IT</v>
      </c>
      <c r="F2136" t="s">
        <v>21</v>
      </c>
      <c r="G2136" t="s">
        <v>22</v>
      </c>
      <c r="H2136">
        <v>49503</v>
      </c>
      <c r="I2136">
        <v>11938</v>
      </c>
      <c r="J2136">
        <v>0</v>
      </c>
      <c r="K2136">
        <v>0</v>
      </c>
      <c r="L2136" s="4">
        <v>44960</v>
      </c>
      <c r="M2136" s="4" t="str">
        <f t="shared" si="299"/>
        <v>2023</v>
      </c>
      <c r="N2136" s="1">
        <f t="shared" ca="1" si="300"/>
        <v>46064</v>
      </c>
      <c r="O2136" s="6">
        <f t="shared" ca="1" si="301"/>
        <v>3</v>
      </c>
      <c r="P2136">
        <v>2</v>
      </c>
      <c r="Q2136">
        <f t="shared" si="302"/>
        <v>61441</v>
      </c>
      <c r="R2136" s="2">
        <f t="shared" si="303"/>
        <v>30720.5</v>
      </c>
      <c r="S2136" s="2" t="str">
        <f t="shared" si="304"/>
        <v xml:space="preserve"> Not Achieved</v>
      </c>
      <c r="T2136" s="2" t="str">
        <f t="shared" si="305"/>
        <v>Good</v>
      </c>
      <c r="U2136" s="2"/>
    </row>
    <row r="2137" spans="1:21" x14ac:dyDescent="0.3">
      <c r="A2137">
        <v>2136</v>
      </c>
      <c r="B2137" t="s">
        <v>3055</v>
      </c>
      <c r="C2137" t="str">
        <f t="shared" si="297"/>
        <v>EMP_2136</v>
      </c>
      <c r="D2137" t="s">
        <v>11</v>
      </c>
      <c r="E2137" t="str">
        <f t="shared" si="298"/>
        <v>EMP_2136Sales</v>
      </c>
      <c r="F2137" t="s">
        <v>7</v>
      </c>
      <c r="G2137" t="s">
        <v>19</v>
      </c>
      <c r="H2137">
        <v>73803</v>
      </c>
      <c r="I2137">
        <v>4722</v>
      </c>
      <c r="J2137">
        <v>210539</v>
      </c>
      <c r="K2137">
        <v>172867</v>
      </c>
      <c r="L2137" s="4">
        <v>43894</v>
      </c>
      <c r="M2137" s="4" t="str">
        <f t="shared" si="299"/>
        <v>2020</v>
      </c>
      <c r="N2137" s="1">
        <f t="shared" ca="1" si="300"/>
        <v>46064</v>
      </c>
      <c r="O2137" s="6">
        <f t="shared" ca="1" si="301"/>
        <v>5</v>
      </c>
      <c r="P2137">
        <v>5</v>
      </c>
      <c r="Q2137">
        <f t="shared" si="302"/>
        <v>78525</v>
      </c>
      <c r="R2137" s="2">
        <f t="shared" si="303"/>
        <v>39262.5</v>
      </c>
      <c r="S2137" s="2" t="str">
        <f t="shared" si="304"/>
        <v>Achieved</v>
      </c>
      <c r="T2137" s="2" t="str">
        <f t="shared" si="305"/>
        <v xml:space="preserve"> Excellent</v>
      </c>
      <c r="U2137" s="2"/>
    </row>
    <row r="2138" spans="1:21" x14ac:dyDescent="0.3">
      <c r="A2138">
        <v>2137</v>
      </c>
      <c r="B2138" t="s">
        <v>3056</v>
      </c>
      <c r="C2138" t="str">
        <f t="shared" si="297"/>
        <v>EMP_2137</v>
      </c>
      <c r="D2138" t="s">
        <v>11</v>
      </c>
      <c r="E2138" t="str">
        <f t="shared" si="298"/>
        <v>EMP_2137HR</v>
      </c>
      <c r="F2138" t="s">
        <v>12</v>
      </c>
      <c r="G2138" t="s">
        <v>25</v>
      </c>
      <c r="H2138">
        <v>77093</v>
      </c>
      <c r="I2138">
        <v>5803</v>
      </c>
      <c r="J2138">
        <v>0</v>
      </c>
      <c r="K2138">
        <v>0</v>
      </c>
      <c r="L2138" s="4">
        <v>44814</v>
      </c>
      <c r="M2138" s="4" t="str">
        <f t="shared" si="299"/>
        <v>2022</v>
      </c>
      <c r="N2138" s="1">
        <f t="shared" ca="1" si="300"/>
        <v>46064</v>
      </c>
      <c r="O2138" s="6">
        <f t="shared" ca="1" si="301"/>
        <v>3</v>
      </c>
      <c r="P2138">
        <v>5</v>
      </c>
      <c r="Q2138">
        <f t="shared" si="302"/>
        <v>82896</v>
      </c>
      <c r="R2138" s="2">
        <f t="shared" si="303"/>
        <v>41448</v>
      </c>
      <c r="S2138" s="2" t="str">
        <f t="shared" si="304"/>
        <v xml:space="preserve"> Not Achieved</v>
      </c>
      <c r="T2138" s="2" t="str">
        <f t="shared" si="305"/>
        <v xml:space="preserve"> Excellent</v>
      </c>
      <c r="U2138" s="2"/>
    </row>
    <row r="2139" spans="1:21" x14ac:dyDescent="0.3">
      <c r="A2139">
        <v>2138</v>
      </c>
      <c r="B2139" t="s">
        <v>3057</v>
      </c>
      <c r="C2139" t="str">
        <f t="shared" si="297"/>
        <v>EMP_2138</v>
      </c>
      <c r="D2139" t="s">
        <v>15</v>
      </c>
      <c r="E2139" t="str">
        <f t="shared" si="298"/>
        <v>EMP_2138IT</v>
      </c>
      <c r="F2139" t="s">
        <v>21</v>
      </c>
      <c r="G2139" t="s">
        <v>22</v>
      </c>
      <c r="H2139">
        <v>40523</v>
      </c>
      <c r="I2139">
        <v>8592</v>
      </c>
      <c r="J2139">
        <v>0</v>
      </c>
      <c r="K2139">
        <v>0</v>
      </c>
      <c r="L2139" s="4">
        <v>43102</v>
      </c>
      <c r="M2139" s="4" t="str">
        <f t="shared" si="299"/>
        <v>2018</v>
      </c>
      <c r="N2139" s="1">
        <f t="shared" ca="1" si="300"/>
        <v>46064</v>
      </c>
      <c r="O2139" s="6">
        <f t="shared" ca="1" si="301"/>
        <v>8</v>
      </c>
      <c r="P2139">
        <v>2</v>
      </c>
      <c r="Q2139">
        <f t="shared" si="302"/>
        <v>49115</v>
      </c>
      <c r="R2139" s="2">
        <f t="shared" si="303"/>
        <v>24557.5</v>
      </c>
      <c r="S2139" s="2" t="str">
        <f t="shared" si="304"/>
        <v xml:space="preserve"> Not Achieved</v>
      </c>
      <c r="T2139" s="2" t="str">
        <f t="shared" si="305"/>
        <v>Good</v>
      </c>
      <c r="U2139" s="2"/>
    </row>
    <row r="2140" spans="1:21" x14ac:dyDescent="0.3">
      <c r="A2140">
        <v>2139</v>
      </c>
      <c r="B2140" t="s">
        <v>3058</v>
      </c>
      <c r="C2140" t="str">
        <f t="shared" si="297"/>
        <v>EMP_2139</v>
      </c>
      <c r="D2140" t="s">
        <v>11</v>
      </c>
      <c r="E2140" t="str">
        <f t="shared" si="298"/>
        <v>EMP_2139Finance</v>
      </c>
      <c r="F2140" t="s">
        <v>18</v>
      </c>
      <c r="G2140" t="s">
        <v>13</v>
      </c>
      <c r="H2140">
        <v>56809</v>
      </c>
      <c r="I2140">
        <v>13107</v>
      </c>
      <c r="J2140">
        <v>0</v>
      </c>
      <c r="K2140">
        <v>0</v>
      </c>
      <c r="L2140" s="4" t="s">
        <v>3059</v>
      </c>
      <c r="M2140" s="4" t="str">
        <f t="shared" si="299"/>
        <v>9/26/2021</v>
      </c>
      <c r="N2140" s="1">
        <f t="shared" ca="1" si="300"/>
        <v>46064</v>
      </c>
      <c r="O2140" s="6" t="e">
        <f t="shared" ca="1" si="301"/>
        <v>#VALUE!</v>
      </c>
      <c r="P2140">
        <v>3</v>
      </c>
      <c r="Q2140">
        <f t="shared" si="302"/>
        <v>69916</v>
      </c>
      <c r="R2140" s="2">
        <f t="shared" si="303"/>
        <v>34958</v>
      </c>
      <c r="S2140" s="2" t="str">
        <f t="shared" si="304"/>
        <v xml:space="preserve"> Not Achieved</v>
      </c>
      <c r="T2140" s="2" t="str">
        <f t="shared" si="305"/>
        <v xml:space="preserve"> Excellent</v>
      </c>
      <c r="U2140" s="2"/>
    </row>
    <row r="2141" spans="1:21" x14ac:dyDescent="0.3">
      <c r="A2141">
        <v>2140</v>
      </c>
      <c r="B2141" t="s">
        <v>3060</v>
      </c>
      <c r="C2141" t="str">
        <f t="shared" si="297"/>
        <v>EMP_2140</v>
      </c>
      <c r="D2141" t="s">
        <v>15</v>
      </c>
      <c r="E2141" t="str">
        <f t="shared" si="298"/>
        <v>EMP_2140Marketing</v>
      </c>
      <c r="F2141" t="s">
        <v>24</v>
      </c>
      <c r="G2141" t="s">
        <v>19</v>
      </c>
      <c r="H2141">
        <v>78195</v>
      </c>
      <c r="I2141">
        <v>4897</v>
      </c>
      <c r="J2141">
        <v>0</v>
      </c>
      <c r="K2141">
        <v>0</v>
      </c>
      <c r="L2141" s="4" t="s">
        <v>410</v>
      </c>
      <c r="M2141" s="4" t="str">
        <f t="shared" si="299"/>
        <v>11/17/2021</v>
      </c>
      <c r="N2141" s="1">
        <f t="shared" ca="1" si="300"/>
        <v>46064</v>
      </c>
      <c r="O2141" s="6" t="e">
        <f t="shared" ca="1" si="301"/>
        <v>#VALUE!</v>
      </c>
      <c r="P2141">
        <v>1</v>
      </c>
      <c r="Q2141">
        <f t="shared" si="302"/>
        <v>83092</v>
      </c>
      <c r="R2141" s="2">
        <f t="shared" si="303"/>
        <v>41546</v>
      </c>
      <c r="S2141" s="2" t="str">
        <f t="shared" si="304"/>
        <v xml:space="preserve"> Not Achieved</v>
      </c>
      <c r="T2141" s="2" t="str">
        <f t="shared" si="305"/>
        <v xml:space="preserve"> Excellent</v>
      </c>
      <c r="U2141" s="2"/>
    </row>
    <row r="2142" spans="1:21" x14ac:dyDescent="0.3">
      <c r="A2142">
        <v>2141</v>
      </c>
      <c r="B2142" t="s">
        <v>3061</v>
      </c>
      <c r="C2142" t="str">
        <f t="shared" si="297"/>
        <v>EMP_2141</v>
      </c>
      <c r="D2142" t="s">
        <v>15</v>
      </c>
      <c r="E2142" t="str">
        <f t="shared" si="298"/>
        <v>EMP_2141Sales</v>
      </c>
      <c r="F2142" t="s">
        <v>7</v>
      </c>
      <c r="G2142" t="s">
        <v>19</v>
      </c>
      <c r="H2142">
        <v>61303</v>
      </c>
      <c r="I2142">
        <v>6163</v>
      </c>
      <c r="J2142">
        <v>191523</v>
      </c>
      <c r="K2142">
        <v>95127</v>
      </c>
      <c r="L2142" s="4" t="s">
        <v>1609</v>
      </c>
      <c r="M2142" s="4" t="str">
        <f t="shared" si="299"/>
        <v>12/25/2020</v>
      </c>
      <c r="N2142" s="1">
        <f t="shared" ca="1" si="300"/>
        <v>46064</v>
      </c>
      <c r="O2142" s="6" t="e">
        <f t="shared" ca="1" si="301"/>
        <v>#VALUE!</v>
      </c>
      <c r="P2142">
        <v>1</v>
      </c>
      <c r="Q2142">
        <f t="shared" si="302"/>
        <v>67466</v>
      </c>
      <c r="R2142" s="2">
        <f t="shared" si="303"/>
        <v>33733</v>
      </c>
      <c r="S2142" s="2" t="str">
        <f t="shared" si="304"/>
        <v>Achieved</v>
      </c>
      <c r="T2142" s="2" t="str">
        <f t="shared" si="305"/>
        <v xml:space="preserve"> Excellent</v>
      </c>
      <c r="U2142" s="2"/>
    </row>
    <row r="2143" spans="1:21" x14ac:dyDescent="0.3">
      <c r="A2143">
        <v>2142</v>
      </c>
      <c r="B2143" t="s">
        <v>3062</v>
      </c>
      <c r="C2143" t="str">
        <f t="shared" si="297"/>
        <v>EMP_2142</v>
      </c>
      <c r="D2143" t="s">
        <v>15</v>
      </c>
      <c r="E2143" t="str">
        <f t="shared" si="298"/>
        <v>EMP_2142Sales</v>
      </c>
      <c r="F2143" t="s">
        <v>7</v>
      </c>
      <c r="G2143" t="s">
        <v>22</v>
      </c>
      <c r="H2143">
        <v>30241</v>
      </c>
      <c r="I2143">
        <v>9845</v>
      </c>
      <c r="J2143">
        <v>228229</v>
      </c>
      <c r="K2143">
        <v>184253</v>
      </c>
      <c r="L2143" s="4" t="s">
        <v>1369</v>
      </c>
      <c r="M2143" s="4" t="str">
        <f t="shared" si="299"/>
        <v>4/22/2022</v>
      </c>
      <c r="N2143" s="1">
        <f t="shared" ca="1" si="300"/>
        <v>46064</v>
      </c>
      <c r="O2143" s="6" t="e">
        <f t="shared" ca="1" si="301"/>
        <v>#VALUE!</v>
      </c>
      <c r="P2143">
        <v>5</v>
      </c>
      <c r="Q2143">
        <f t="shared" si="302"/>
        <v>40086</v>
      </c>
      <c r="R2143" s="2">
        <f t="shared" si="303"/>
        <v>20043</v>
      </c>
      <c r="S2143" s="2" t="str">
        <f t="shared" si="304"/>
        <v>Achieved</v>
      </c>
      <c r="T2143" s="2" t="str">
        <f t="shared" si="305"/>
        <v>Average</v>
      </c>
      <c r="U2143" s="2"/>
    </row>
    <row r="2144" spans="1:21" x14ac:dyDescent="0.3">
      <c r="A2144">
        <v>2143</v>
      </c>
      <c r="B2144" t="s">
        <v>3063</v>
      </c>
      <c r="C2144" t="str">
        <f t="shared" si="297"/>
        <v>EMP_2143</v>
      </c>
      <c r="D2144" t="s">
        <v>11</v>
      </c>
      <c r="E2144" t="str">
        <f t="shared" si="298"/>
        <v>EMP_2143Sales</v>
      </c>
      <c r="F2144" t="s">
        <v>7</v>
      </c>
      <c r="G2144" t="s">
        <v>19</v>
      </c>
      <c r="H2144">
        <v>60842</v>
      </c>
      <c r="I2144">
        <v>4791</v>
      </c>
      <c r="J2144">
        <v>104772</v>
      </c>
      <c r="K2144">
        <v>169325</v>
      </c>
      <c r="L2144" s="4" t="s">
        <v>3064</v>
      </c>
      <c r="M2144" s="4" t="str">
        <f t="shared" si="299"/>
        <v>5/25/2024</v>
      </c>
      <c r="N2144" s="1">
        <f t="shared" ca="1" si="300"/>
        <v>46064</v>
      </c>
      <c r="O2144" s="6" t="e">
        <f t="shared" ca="1" si="301"/>
        <v>#VALUE!</v>
      </c>
      <c r="P2144">
        <v>4</v>
      </c>
      <c r="Q2144">
        <f t="shared" si="302"/>
        <v>65633</v>
      </c>
      <c r="R2144" s="2">
        <f t="shared" si="303"/>
        <v>32816.5</v>
      </c>
      <c r="S2144" s="2" t="str">
        <f t="shared" si="304"/>
        <v xml:space="preserve"> Not Achieved</v>
      </c>
      <c r="T2144" s="2" t="str">
        <f t="shared" si="305"/>
        <v xml:space="preserve"> Excellent</v>
      </c>
      <c r="U2144" s="2"/>
    </row>
    <row r="2145" spans="1:21" x14ac:dyDescent="0.3">
      <c r="A2145">
        <v>2144</v>
      </c>
      <c r="B2145" t="s">
        <v>3065</v>
      </c>
      <c r="C2145" t="str">
        <f t="shared" si="297"/>
        <v>EMP_2144</v>
      </c>
      <c r="D2145" t="s">
        <v>11</v>
      </c>
      <c r="E2145" t="str">
        <f t="shared" si="298"/>
        <v>EMP_2144IT</v>
      </c>
      <c r="F2145" t="s">
        <v>21</v>
      </c>
      <c r="G2145" t="s">
        <v>13</v>
      </c>
      <c r="H2145">
        <v>27862</v>
      </c>
      <c r="I2145">
        <v>14478</v>
      </c>
      <c r="J2145">
        <v>0</v>
      </c>
      <c r="K2145">
        <v>0</v>
      </c>
      <c r="L2145" s="4" t="s">
        <v>1748</v>
      </c>
      <c r="M2145" s="4" t="str">
        <f t="shared" si="299"/>
        <v>3/19/2024</v>
      </c>
      <c r="N2145" s="1">
        <f t="shared" ca="1" si="300"/>
        <v>46064</v>
      </c>
      <c r="O2145" s="6" t="e">
        <f t="shared" ca="1" si="301"/>
        <v>#VALUE!</v>
      </c>
      <c r="P2145">
        <v>4</v>
      </c>
      <c r="Q2145">
        <f t="shared" si="302"/>
        <v>42340</v>
      </c>
      <c r="R2145" s="2">
        <f t="shared" si="303"/>
        <v>21170</v>
      </c>
      <c r="S2145" s="2" t="str">
        <f t="shared" si="304"/>
        <v xml:space="preserve"> Not Achieved</v>
      </c>
      <c r="T2145" s="2" t="str">
        <f t="shared" si="305"/>
        <v>poor</v>
      </c>
      <c r="U2145" s="2"/>
    </row>
    <row r="2146" spans="1:21" x14ac:dyDescent="0.3">
      <c r="A2146">
        <v>2145</v>
      </c>
      <c r="B2146" t="s">
        <v>3066</v>
      </c>
      <c r="C2146" t="str">
        <f t="shared" si="297"/>
        <v>EMP_2145</v>
      </c>
      <c r="D2146" t="s">
        <v>15</v>
      </c>
      <c r="E2146" t="str">
        <f t="shared" si="298"/>
        <v>EMP_2145IT</v>
      </c>
      <c r="F2146" t="s">
        <v>21</v>
      </c>
      <c r="G2146" t="s">
        <v>19</v>
      </c>
      <c r="H2146">
        <v>21337</v>
      </c>
      <c r="I2146">
        <v>9745</v>
      </c>
      <c r="J2146">
        <v>0</v>
      </c>
      <c r="K2146">
        <v>0</v>
      </c>
      <c r="L2146" s="4" t="s">
        <v>2047</v>
      </c>
      <c r="M2146" s="4" t="str">
        <f t="shared" si="299"/>
        <v>8/19/2019</v>
      </c>
      <c r="N2146" s="1">
        <f t="shared" ca="1" si="300"/>
        <v>46064</v>
      </c>
      <c r="O2146" s="6" t="e">
        <f t="shared" ca="1" si="301"/>
        <v>#VALUE!</v>
      </c>
      <c r="P2146">
        <v>3</v>
      </c>
      <c r="Q2146">
        <f t="shared" si="302"/>
        <v>31082</v>
      </c>
      <c r="R2146" s="2">
        <f t="shared" si="303"/>
        <v>15541</v>
      </c>
      <c r="S2146" s="2" t="str">
        <f t="shared" si="304"/>
        <v xml:space="preserve"> Not Achieved</v>
      </c>
      <c r="T2146" s="2" t="str">
        <f t="shared" si="305"/>
        <v>poor</v>
      </c>
      <c r="U2146" s="2"/>
    </row>
    <row r="2147" spans="1:21" x14ac:dyDescent="0.3">
      <c r="A2147">
        <v>2146</v>
      </c>
      <c r="B2147" t="s">
        <v>3067</v>
      </c>
      <c r="C2147" t="str">
        <f t="shared" si="297"/>
        <v>EMP_2146</v>
      </c>
      <c r="D2147" t="s">
        <v>15</v>
      </c>
      <c r="E2147" t="str">
        <f t="shared" si="298"/>
        <v>EMP_2146IT</v>
      </c>
      <c r="F2147" t="s">
        <v>21</v>
      </c>
      <c r="G2147" t="s">
        <v>25</v>
      </c>
      <c r="H2147">
        <v>61327</v>
      </c>
      <c r="I2147">
        <v>3099</v>
      </c>
      <c r="J2147">
        <v>0</v>
      </c>
      <c r="K2147">
        <v>0</v>
      </c>
      <c r="L2147" s="4">
        <v>44568</v>
      </c>
      <c r="M2147" s="4" t="str">
        <f t="shared" si="299"/>
        <v>2022</v>
      </c>
      <c r="N2147" s="1">
        <f t="shared" ca="1" si="300"/>
        <v>46064</v>
      </c>
      <c r="O2147" s="6">
        <f t="shared" ca="1" si="301"/>
        <v>4</v>
      </c>
      <c r="P2147">
        <v>1</v>
      </c>
      <c r="Q2147">
        <f t="shared" si="302"/>
        <v>64426</v>
      </c>
      <c r="R2147" s="2">
        <f t="shared" si="303"/>
        <v>32213</v>
      </c>
      <c r="S2147" s="2" t="str">
        <f t="shared" si="304"/>
        <v xml:space="preserve"> Not Achieved</v>
      </c>
      <c r="T2147" s="2" t="str">
        <f t="shared" si="305"/>
        <v xml:space="preserve"> Excellent</v>
      </c>
      <c r="U2147" s="2"/>
    </row>
    <row r="2148" spans="1:21" x14ac:dyDescent="0.3">
      <c r="A2148">
        <v>2147</v>
      </c>
      <c r="B2148" t="s">
        <v>3068</v>
      </c>
      <c r="C2148" t="str">
        <f t="shared" si="297"/>
        <v>EMP_2147</v>
      </c>
      <c r="D2148" t="s">
        <v>11</v>
      </c>
      <c r="E2148" t="str">
        <f t="shared" si="298"/>
        <v>EMP_2147HR</v>
      </c>
      <c r="F2148" t="s">
        <v>12</v>
      </c>
      <c r="G2148" t="s">
        <v>16</v>
      </c>
      <c r="H2148">
        <v>49570</v>
      </c>
      <c r="I2148">
        <v>4752</v>
      </c>
      <c r="J2148">
        <v>0</v>
      </c>
      <c r="K2148">
        <v>0</v>
      </c>
      <c r="L2148" s="4" t="s">
        <v>68</v>
      </c>
      <c r="M2148" s="4" t="str">
        <f t="shared" si="299"/>
        <v>2/15/2019</v>
      </c>
      <c r="N2148" s="1">
        <f t="shared" ca="1" si="300"/>
        <v>46064</v>
      </c>
      <c r="O2148" s="6" t="e">
        <f t="shared" ca="1" si="301"/>
        <v>#VALUE!</v>
      </c>
      <c r="P2148">
        <v>5</v>
      </c>
      <c r="Q2148">
        <f t="shared" si="302"/>
        <v>54322</v>
      </c>
      <c r="R2148" s="2">
        <f t="shared" si="303"/>
        <v>27161</v>
      </c>
      <c r="S2148" s="2" t="str">
        <f t="shared" si="304"/>
        <v xml:space="preserve"> Not Achieved</v>
      </c>
      <c r="T2148" s="2" t="str">
        <f t="shared" si="305"/>
        <v>Good</v>
      </c>
      <c r="U2148" s="2"/>
    </row>
    <row r="2149" spans="1:21" x14ac:dyDescent="0.3">
      <c r="A2149">
        <v>2148</v>
      </c>
      <c r="B2149" t="s">
        <v>3069</v>
      </c>
      <c r="C2149" t="str">
        <f t="shared" si="297"/>
        <v>EMP_2148</v>
      </c>
      <c r="D2149" t="s">
        <v>11</v>
      </c>
      <c r="E2149" t="str">
        <f t="shared" si="298"/>
        <v>EMP_2148Marketing</v>
      </c>
      <c r="F2149" t="s">
        <v>24</v>
      </c>
      <c r="G2149" t="s">
        <v>13</v>
      </c>
      <c r="H2149">
        <v>74308</v>
      </c>
      <c r="I2149">
        <v>11239</v>
      </c>
      <c r="J2149">
        <v>0</v>
      </c>
      <c r="K2149">
        <v>0</v>
      </c>
      <c r="L2149" s="4" t="s">
        <v>3070</v>
      </c>
      <c r="M2149" s="4" t="str">
        <f t="shared" si="299"/>
        <v>8/29/2022</v>
      </c>
      <c r="N2149" s="1">
        <f t="shared" ca="1" si="300"/>
        <v>46064</v>
      </c>
      <c r="O2149" s="6" t="e">
        <f t="shared" ca="1" si="301"/>
        <v>#VALUE!</v>
      </c>
      <c r="P2149">
        <v>4</v>
      </c>
      <c r="Q2149">
        <f t="shared" si="302"/>
        <v>85547</v>
      </c>
      <c r="R2149" s="2">
        <f t="shared" si="303"/>
        <v>42773.5</v>
      </c>
      <c r="S2149" s="2" t="str">
        <f t="shared" si="304"/>
        <v xml:space="preserve"> Not Achieved</v>
      </c>
      <c r="T2149" s="2" t="str">
        <f t="shared" si="305"/>
        <v xml:space="preserve"> Excellent</v>
      </c>
      <c r="U2149" s="2"/>
    </row>
    <row r="2150" spans="1:21" x14ac:dyDescent="0.3">
      <c r="A2150">
        <v>2149</v>
      </c>
      <c r="B2150" t="s">
        <v>3071</v>
      </c>
      <c r="C2150" t="str">
        <f t="shared" si="297"/>
        <v>EMP_2149</v>
      </c>
      <c r="D2150" t="s">
        <v>15</v>
      </c>
      <c r="E2150" t="str">
        <f t="shared" si="298"/>
        <v>EMP_2149Finance</v>
      </c>
      <c r="F2150" t="s">
        <v>18</v>
      </c>
      <c r="G2150" t="s">
        <v>22</v>
      </c>
      <c r="H2150">
        <v>46985</v>
      </c>
      <c r="I2150">
        <v>6619</v>
      </c>
      <c r="J2150">
        <v>0</v>
      </c>
      <c r="K2150">
        <v>0</v>
      </c>
      <c r="L2150" s="4">
        <v>44238</v>
      </c>
      <c r="M2150" s="4" t="str">
        <f t="shared" si="299"/>
        <v>2021</v>
      </c>
      <c r="N2150" s="1">
        <f t="shared" ca="1" si="300"/>
        <v>46064</v>
      </c>
      <c r="O2150" s="6">
        <f t="shared" ca="1" si="301"/>
        <v>5</v>
      </c>
      <c r="P2150">
        <v>5</v>
      </c>
      <c r="Q2150">
        <f t="shared" si="302"/>
        <v>53604</v>
      </c>
      <c r="R2150" s="2">
        <f t="shared" si="303"/>
        <v>26802</v>
      </c>
      <c r="S2150" s="2" t="str">
        <f t="shared" si="304"/>
        <v xml:space="preserve"> Not Achieved</v>
      </c>
      <c r="T2150" s="2" t="str">
        <f t="shared" si="305"/>
        <v>Good</v>
      </c>
      <c r="U2150" s="2"/>
    </row>
    <row r="2151" spans="1:21" x14ac:dyDescent="0.3">
      <c r="A2151">
        <v>2150</v>
      </c>
      <c r="B2151" t="s">
        <v>3072</v>
      </c>
      <c r="C2151" t="str">
        <f t="shared" si="297"/>
        <v>EMP_2150</v>
      </c>
      <c r="D2151" t="s">
        <v>15</v>
      </c>
      <c r="E2151" t="str">
        <f t="shared" si="298"/>
        <v>EMP_2150Marketing</v>
      </c>
      <c r="F2151" t="s">
        <v>24</v>
      </c>
      <c r="G2151" t="s">
        <v>19</v>
      </c>
      <c r="H2151">
        <v>73302</v>
      </c>
      <c r="I2151">
        <v>6105</v>
      </c>
      <c r="J2151">
        <v>0</v>
      </c>
      <c r="K2151">
        <v>0</v>
      </c>
      <c r="L2151" s="4">
        <v>43718</v>
      </c>
      <c r="M2151" s="4" t="str">
        <f t="shared" si="299"/>
        <v>2019</v>
      </c>
      <c r="N2151" s="1">
        <f t="shared" ca="1" si="300"/>
        <v>46064</v>
      </c>
      <c r="O2151" s="6">
        <f t="shared" ca="1" si="301"/>
        <v>6</v>
      </c>
      <c r="P2151">
        <v>5</v>
      </c>
      <c r="Q2151">
        <f t="shared" si="302"/>
        <v>79407</v>
      </c>
      <c r="R2151" s="2">
        <f t="shared" si="303"/>
        <v>39703.5</v>
      </c>
      <c r="S2151" s="2" t="str">
        <f t="shared" si="304"/>
        <v xml:space="preserve"> Not Achieved</v>
      </c>
      <c r="T2151" s="2" t="str">
        <f t="shared" si="305"/>
        <v xml:space="preserve"> Excellent</v>
      </c>
      <c r="U2151" s="2"/>
    </row>
    <row r="2152" spans="1:21" x14ac:dyDescent="0.3">
      <c r="A2152">
        <v>2151</v>
      </c>
      <c r="B2152" t="s">
        <v>3073</v>
      </c>
      <c r="C2152" t="str">
        <f t="shared" si="297"/>
        <v>EMP_2151</v>
      </c>
      <c r="D2152" t="s">
        <v>15</v>
      </c>
      <c r="E2152" t="str">
        <f t="shared" si="298"/>
        <v>EMP_2151Finance</v>
      </c>
      <c r="F2152" t="s">
        <v>18</v>
      </c>
      <c r="G2152" t="s">
        <v>13</v>
      </c>
      <c r="H2152">
        <v>75378</v>
      </c>
      <c r="I2152">
        <v>11716</v>
      </c>
      <c r="J2152">
        <v>0</v>
      </c>
      <c r="K2152">
        <v>0</v>
      </c>
      <c r="L2152" s="4">
        <v>44994</v>
      </c>
      <c r="M2152" s="4" t="str">
        <f t="shared" si="299"/>
        <v>2023</v>
      </c>
      <c r="N2152" s="1">
        <f t="shared" ca="1" si="300"/>
        <v>46064</v>
      </c>
      <c r="O2152" s="6">
        <f t="shared" ca="1" si="301"/>
        <v>2</v>
      </c>
      <c r="P2152">
        <v>5</v>
      </c>
      <c r="Q2152">
        <f t="shared" si="302"/>
        <v>87094</v>
      </c>
      <c r="R2152" s="2">
        <f t="shared" si="303"/>
        <v>43547</v>
      </c>
      <c r="S2152" s="2" t="str">
        <f t="shared" si="304"/>
        <v xml:space="preserve"> Not Achieved</v>
      </c>
      <c r="T2152" s="2" t="str">
        <f t="shared" si="305"/>
        <v xml:space="preserve"> Excellent</v>
      </c>
      <c r="U2152" s="2"/>
    </row>
    <row r="2153" spans="1:21" x14ac:dyDescent="0.3">
      <c r="A2153">
        <v>2152</v>
      </c>
      <c r="B2153" t="s">
        <v>3074</v>
      </c>
      <c r="C2153" t="str">
        <f t="shared" si="297"/>
        <v>EMP_2152</v>
      </c>
      <c r="D2153" t="s">
        <v>11</v>
      </c>
      <c r="E2153" t="str">
        <f t="shared" si="298"/>
        <v>EMP_2152Finance</v>
      </c>
      <c r="F2153" t="s">
        <v>18</v>
      </c>
      <c r="G2153" t="s">
        <v>19</v>
      </c>
      <c r="H2153">
        <v>27830</v>
      </c>
      <c r="I2153">
        <v>7679</v>
      </c>
      <c r="J2153">
        <v>0</v>
      </c>
      <c r="K2153">
        <v>0</v>
      </c>
      <c r="L2153" s="4">
        <v>45263</v>
      </c>
      <c r="M2153" s="4" t="str">
        <f t="shared" si="299"/>
        <v>2023</v>
      </c>
      <c r="N2153" s="1">
        <f t="shared" ca="1" si="300"/>
        <v>46064</v>
      </c>
      <c r="O2153" s="6">
        <f t="shared" ca="1" si="301"/>
        <v>2</v>
      </c>
      <c r="P2153">
        <v>5</v>
      </c>
      <c r="Q2153">
        <f t="shared" si="302"/>
        <v>35509</v>
      </c>
      <c r="R2153" s="2">
        <f t="shared" si="303"/>
        <v>17754.5</v>
      </c>
      <c r="S2153" s="2" t="str">
        <f t="shared" si="304"/>
        <v xml:space="preserve"> Not Achieved</v>
      </c>
      <c r="T2153" s="2" t="str">
        <f t="shared" si="305"/>
        <v>poor</v>
      </c>
      <c r="U2153" s="2"/>
    </row>
    <row r="2154" spans="1:21" x14ac:dyDescent="0.3">
      <c r="A2154">
        <v>2153</v>
      </c>
      <c r="B2154" t="s">
        <v>3075</v>
      </c>
      <c r="C2154" t="str">
        <f t="shared" si="297"/>
        <v>EMP_2153</v>
      </c>
      <c r="D2154" t="s">
        <v>11</v>
      </c>
      <c r="E2154" t="str">
        <f t="shared" si="298"/>
        <v>EMP_2153IT</v>
      </c>
      <c r="F2154" t="s">
        <v>21</v>
      </c>
      <c r="G2154" t="s">
        <v>13</v>
      </c>
      <c r="H2154">
        <v>33296</v>
      </c>
      <c r="I2154">
        <v>12007</v>
      </c>
      <c r="J2154">
        <v>0</v>
      </c>
      <c r="K2154">
        <v>0</v>
      </c>
      <c r="L2154" s="4">
        <v>43652</v>
      </c>
      <c r="M2154" s="4" t="str">
        <f t="shared" si="299"/>
        <v>2019</v>
      </c>
      <c r="N2154" s="1">
        <f t="shared" ca="1" si="300"/>
        <v>46064</v>
      </c>
      <c r="O2154" s="6">
        <f t="shared" ca="1" si="301"/>
        <v>6</v>
      </c>
      <c r="P2154">
        <v>3</v>
      </c>
      <c r="Q2154">
        <f t="shared" si="302"/>
        <v>45303</v>
      </c>
      <c r="R2154" s="2">
        <f t="shared" si="303"/>
        <v>22651.5</v>
      </c>
      <c r="S2154" s="2" t="str">
        <f t="shared" si="304"/>
        <v xml:space="preserve"> Not Achieved</v>
      </c>
      <c r="T2154" s="2" t="str">
        <f t="shared" si="305"/>
        <v>Average</v>
      </c>
      <c r="U2154" s="2"/>
    </row>
    <row r="2155" spans="1:21" x14ac:dyDescent="0.3">
      <c r="A2155">
        <v>2154</v>
      </c>
      <c r="B2155" t="s">
        <v>3076</v>
      </c>
      <c r="C2155" t="str">
        <f t="shared" si="297"/>
        <v>EMP_2154</v>
      </c>
      <c r="D2155" t="s">
        <v>15</v>
      </c>
      <c r="E2155" t="str">
        <f t="shared" si="298"/>
        <v>EMP_2154HR</v>
      </c>
      <c r="F2155" t="s">
        <v>12</v>
      </c>
      <c r="G2155" t="s">
        <v>22</v>
      </c>
      <c r="H2155">
        <v>32619</v>
      </c>
      <c r="I2155">
        <v>4221</v>
      </c>
      <c r="J2155">
        <v>0</v>
      </c>
      <c r="K2155">
        <v>0</v>
      </c>
      <c r="L2155" s="4">
        <v>44812</v>
      </c>
      <c r="M2155" s="4" t="str">
        <f t="shared" si="299"/>
        <v>2022</v>
      </c>
      <c r="N2155" s="1">
        <f t="shared" ca="1" si="300"/>
        <v>46064</v>
      </c>
      <c r="O2155" s="6">
        <f t="shared" ca="1" si="301"/>
        <v>3</v>
      </c>
      <c r="P2155">
        <v>1</v>
      </c>
      <c r="Q2155">
        <f t="shared" si="302"/>
        <v>36840</v>
      </c>
      <c r="R2155" s="2">
        <f t="shared" si="303"/>
        <v>18420</v>
      </c>
      <c r="S2155" s="2" t="str">
        <f t="shared" si="304"/>
        <v xml:space="preserve"> Not Achieved</v>
      </c>
      <c r="T2155" s="2" t="str">
        <f t="shared" si="305"/>
        <v>Average</v>
      </c>
      <c r="U2155" s="2"/>
    </row>
    <row r="2156" spans="1:21" x14ac:dyDescent="0.3">
      <c r="A2156">
        <v>2155</v>
      </c>
      <c r="B2156" t="s">
        <v>3077</v>
      </c>
      <c r="C2156" t="str">
        <f t="shared" si="297"/>
        <v>EMP_2155</v>
      </c>
      <c r="D2156" t="s">
        <v>11</v>
      </c>
      <c r="E2156" t="str">
        <f t="shared" si="298"/>
        <v>EMP_2155Sales</v>
      </c>
      <c r="F2156" t="s">
        <v>7</v>
      </c>
      <c r="G2156" t="s">
        <v>22</v>
      </c>
      <c r="H2156">
        <v>74858</v>
      </c>
      <c r="I2156">
        <v>8466</v>
      </c>
      <c r="J2156">
        <v>227290</v>
      </c>
      <c r="K2156">
        <v>149434</v>
      </c>
      <c r="L2156" s="4" t="s">
        <v>435</v>
      </c>
      <c r="M2156" s="4" t="str">
        <f t="shared" si="299"/>
        <v>3/28/2021</v>
      </c>
      <c r="N2156" s="1">
        <f t="shared" ca="1" si="300"/>
        <v>46064</v>
      </c>
      <c r="O2156" s="6" t="e">
        <f t="shared" ca="1" si="301"/>
        <v>#VALUE!</v>
      </c>
      <c r="P2156">
        <v>4</v>
      </c>
      <c r="Q2156">
        <f t="shared" si="302"/>
        <v>83324</v>
      </c>
      <c r="R2156" s="2">
        <f t="shared" si="303"/>
        <v>41662</v>
      </c>
      <c r="S2156" s="2" t="str">
        <f t="shared" si="304"/>
        <v>Achieved</v>
      </c>
      <c r="T2156" s="2" t="str">
        <f t="shared" si="305"/>
        <v xml:space="preserve"> Excellent</v>
      </c>
      <c r="U2156" s="2"/>
    </row>
    <row r="2157" spans="1:21" x14ac:dyDescent="0.3">
      <c r="A2157">
        <v>2156</v>
      </c>
      <c r="B2157" t="s">
        <v>3078</v>
      </c>
      <c r="C2157" t="str">
        <f t="shared" si="297"/>
        <v>EMP_2156</v>
      </c>
      <c r="D2157" t="s">
        <v>15</v>
      </c>
      <c r="E2157" t="str">
        <f t="shared" si="298"/>
        <v>EMP_2156HR</v>
      </c>
      <c r="F2157" t="s">
        <v>12</v>
      </c>
      <c r="G2157" t="s">
        <v>13</v>
      </c>
      <c r="H2157">
        <v>65578</v>
      </c>
      <c r="I2157">
        <v>7932</v>
      </c>
      <c r="J2157">
        <v>0</v>
      </c>
      <c r="K2157">
        <v>0</v>
      </c>
      <c r="L2157" s="4">
        <v>44206</v>
      </c>
      <c r="M2157" s="4" t="str">
        <f t="shared" si="299"/>
        <v>2021</v>
      </c>
      <c r="N2157" s="1">
        <f t="shared" ca="1" si="300"/>
        <v>46064</v>
      </c>
      <c r="O2157" s="6">
        <f t="shared" ca="1" si="301"/>
        <v>5</v>
      </c>
      <c r="P2157">
        <v>1</v>
      </c>
      <c r="Q2157">
        <f t="shared" si="302"/>
        <v>73510</v>
      </c>
      <c r="R2157" s="2">
        <f t="shared" si="303"/>
        <v>36755</v>
      </c>
      <c r="S2157" s="2" t="str">
        <f t="shared" si="304"/>
        <v xml:space="preserve"> Not Achieved</v>
      </c>
      <c r="T2157" s="2" t="str">
        <f t="shared" si="305"/>
        <v xml:space="preserve"> Excellent</v>
      </c>
      <c r="U2157" s="2"/>
    </row>
    <row r="2158" spans="1:21" x14ac:dyDescent="0.3">
      <c r="A2158">
        <v>2157</v>
      </c>
      <c r="B2158" t="s">
        <v>3079</v>
      </c>
      <c r="C2158" t="str">
        <f t="shared" si="297"/>
        <v>EMP_2157</v>
      </c>
      <c r="D2158" t="s">
        <v>15</v>
      </c>
      <c r="E2158" t="str">
        <f t="shared" si="298"/>
        <v>EMP_2157Marketing</v>
      </c>
      <c r="F2158" t="s">
        <v>24</v>
      </c>
      <c r="G2158" t="s">
        <v>25</v>
      </c>
      <c r="H2158">
        <v>70804</v>
      </c>
      <c r="I2158">
        <v>4988</v>
      </c>
      <c r="J2158">
        <v>0</v>
      </c>
      <c r="K2158">
        <v>0</v>
      </c>
      <c r="L2158" s="4" t="s">
        <v>3080</v>
      </c>
      <c r="M2158" s="4" t="str">
        <f t="shared" si="299"/>
        <v>11/22/2023</v>
      </c>
      <c r="N2158" s="1">
        <f t="shared" ca="1" si="300"/>
        <v>46064</v>
      </c>
      <c r="O2158" s="6" t="e">
        <f t="shared" ca="1" si="301"/>
        <v>#VALUE!</v>
      </c>
      <c r="P2158">
        <v>1</v>
      </c>
      <c r="Q2158">
        <f t="shared" si="302"/>
        <v>75792</v>
      </c>
      <c r="R2158" s="2">
        <f t="shared" si="303"/>
        <v>37896</v>
      </c>
      <c r="S2158" s="2" t="str">
        <f t="shared" si="304"/>
        <v xml:space="preserve"> Not Achieved</v>
      </c>
      <c r="T2158" s="2" t="str">
        <f t="shared" si="305"/>
        <v xml:space="preserve"> Excellent</v>
      </c>
      <c r="U2158" s="2"/>
    </row>
    <row r="2159" spans="1:21" x14ac:dyDescent="0.3">
      <c r="A2159">
        <v>2158</v>
      </c>
      <c r="B2159" t="s">
        <v>3081</v>
      </c>
      <c r="C2159" t="str">
        <f t="shared" si="297"/>
        <v>EMP_2158</v>
      </c>
      <c r="D2159" t="s">
        <v>11</v>
      </c>
      <c r="E2159" t="str">
        <f t="shared" si="298"/>
        <v>EMP_2158IT</v>
      </c>
      <c r="F2159" t="s">
        <v>21</v>
      </c>
      <c r="G2159" t="s">
        <v>13</v>
      </c>
      <c r="H2159">
        <v>43362</v>
      </c>
      <c r="I2159">
        <v>10837</v>
      </c>
      <c r="J2159">
        <v>0</v>
      </c>
      <c r="K2159">
        <v>0</v>
      </c>
      <c r="L2159" s="4">
        <v>44754</v>
      </c>
      <c r="M2159" s="4" t="str">
        <f t="shared" si="299"/>
        <v>2022</v>
      </c>
      <c r="N2159" s="1">
        <f t="shared" ca="1" si="300"/>
        <v>46064</v>
      </c>
      <c r="O2159" s="6">
        <f t="shared" ca="1" si="301"/>
        <v>3</v>
      </c>
      <c r="P2159">
        <v>2</v>
      </c>
      <c r="Q2159">
        <f t="shared" si="302"/>
        <v>54199</v>
      </c>
      <c r="R2159" s="2">
        <f t="shared" si="303"/>
        <v>27099.5</v>
      </c>
      <c r="S2159" s="2" t="str">
        <f t="shared" si="304"/>
        <v xml:space="preserve"> Not Achieved</v>
      </c>
      <c r="T2159" s="2" t="str">
        <f t="shared" si="305"/>
        <v>Good</v>
      </c>
      <c r="U2159" s="2"/>
    </row>
    <row r="2160" spans="1:21" x14ac:dyDescent="0.3">
      <c r="A2160">
        <v>2159</v>
      </c>
      <c r="B2160" t="s">
        <v>3082</v>
      </c>
      <c r="C2160" t="str">
        <f t="shared" si="297"/>
        <v>EMP_2159</v>
      </c>
      <c r="D2160" t="s">
        <v>15</v>
      </c>
      <c r="E2160" t="str">
        <f t="shared" si="298"/>
        <v>EMP_2159Finance</v>
      </c>
      <c r="F2160" t="s">
        <v>18</v>
      </c>
      <c r="G2160" t="s">
        <v>13</v>
      </c>
      <c r="H2160">
        <v>36447</v>
      </c>
      <c r="I2160">
        <v>3845</v>
      </c>
      <c r="J2160">
        <v>0</v>
      </c>
      <c r="K2160">
        <v>0</v>
      </c>
      <c r="L2160" s="4" t="s">
        <v>3083</v>
      </c>
      <c r="M2160" s="4" t="str">
        <f t="shared" si="299"/>
        <v>9/18/2023</v>
      </c>
      <c r="N2160" s="1">
        <f t="shared" ca="1" si="300"/>
        <v>46064</v>
      </c>
      <c r="O2160" s="6" t="e">
        <f t="shared" ca="1" si="301"/>
        <v>#VALUE!</v>
      </c>
      <c r="P2160">
        <v>1</v>
      </c>
      <c r="Q2160">
        <f t="shared" si="302"/>
        <v>40292</v>
      </c>
      <c r="R2160" s="2">
        <f t="shared" si="303"/>
        <v>20146</v>
      </c>
      <c r="S2160" s="2" t="str">
        <f t="shared" si="304"/>
        <v xml:space="preserve"> Not Achieved</v>
      </c>
      <c r="T2160" s="2" t="str">
        <f t="shared" si="305"/>
        <v>Average</v>
      </c>
      <c r="U2160" s="2"/>
    </row>
    <row r="2161" spans="1:21" x14ac:dyDescent="0.3">
      <c r="A2161">
        <v>2160</v>
      </c>
      <c r="B2161" t="s">
        <v>3084</v>
      </c>
      <c r="C2161" t="str">
        <f t="shared" si="297"/>
        <v>EMP_2160</v>
      </c>
      <c r="D2161" t="s">
        <v>11</v>
      </c>
      <c r="E2161" t="str">
        <f t="shared" si="298"/>
        <v>EMP_2160Sales</v>
      </c>
      <c r="F2161" t="s">
        <v>7</v>
      </c>
      <c r="G2161" t="s">
        <v>22</v>
      </c>
      <c r="H2161">
        <v>33843</v>
      </c>
      <c r="I2161">
        <v>14638</v>
      </c>
      <c r="J2161">
        <v>172842</v>
      </c>
      <c r="K2161">
        <v>146468</v>
      </c>
      <c r="L2161" s="4" t="s">
        <v>957</v>
      </c>
      <c r="M2161" s="4" t="str">
        <f t="shared" si="299"/>
        <v>12/15/2024</v>
      </c>
      <c r="N2161" s="1">
        <f t="shared" ca="1" si="300"/>
        <v>46064</v>
      </c>
      <c r="O2161" s="6" t="e">
        <f t="shared" ca="1" si="301"/>
        <v>#VALUE!</v>
      </c>
      <c r="P2161">
        <v>5</v>
      </c>
      <c r="Q2161">
        <f t="shared" si="302"/>
        <v>48481</v>
      </c>
      <c r="R2161" s="2">
        <f t="shared" si="303"/>
        <v>24240.5</v>
      </c>
      <c r="S2161" s="2" t="str">
        <f t="shared" si="304"/>
        <v>Achieved</v>
      </c>
      <c r="T2161" s="2" t="str">
        <f t="shared" si="305"/>
        <v>Average</v>
      </c>
      <c r="U2161" s="2"/>
    </row>
    <row r="2162" spans="1:21" x14ac:dyDescent="0.3">
      <c r="A2162">
        <v>2161</v>
      </c>
      <c r="B2162" t="s">
        <v>3085</v>
      </c>
      <c r="C2162" t="str">
        <f t="shared" si="297"/>
        <v>EMP_2161</v>
      </c>
      <c r="D2162" t="s">
        <v>11</v>
      </c>
      <c r="E2162" t="str">
        <f t="shared" si="298"/>
        <v>EMP_2161Sales</v>
      </c>
      <c r="F2162" t="s">
        <v>7</v>
      </c>
      <c r="G2162" t="s">
        <v>25</v>
      </c>
      <c r="H2162">
        <v>52838</v>
      </c>
      <c r="I2162">
        <v>12230</v>
      </c>
      <c r="J2162">
        <v>190625</v>
      </c>
      <c r="K2162">
        <v>125933</v>
      </c>
      <c r="L2162" s="4" t="s">
        <v>2028</v>
      </c>
      <c r="M2162" s="4" t="str">
        <f t="shared" si="299"/>
        <v>3/23/2019</v>
      </c>
      <c r="N2162" s="1">
        <f t="shared" ca="1" si="300"/>
        <v>46064</v>
      </c>
      <c r="O2162" s="6" t="e">
        <f t="shared" ca="1" si="301"/>
        <v>#VALUE!</v>
      </c>
      <c r="P2162">
        <v>2</v>
      </c>
      <c r="Q2162">
        <f t="shared" si="302"/>
        <v>65068</v>
      </c>
      <c r="R2162" s="2">
        <f t="shared" si="303"/>
        <v>32534</v>
      </c>
      <c r="S2162" s="2" t="str">
        <f t="shared" si="304"/>
        <v>Achieved</v>
      </c>
      <c r="T2162" s="2" t="str">
        <f t="shared" si="305"/>
        <v xml:space="preserve"> Excellent</v>
      </c>
      <c r="U2162" s="2"/>
    </row>
    <row r="2163" spans="1:21" x14ac:dyDescent="0.3">
      <c r="A2163">
        <v>2162</v>
      </c>
      <c r="B2163" t="s">
        <v>3086</v>
      </c>
      <c r="C2163" t="str">
        <f t="shared" si="297"/>
        <v>EMP_2162</v>
      </c>
      <c r="D2163" t="s">
        <v>15</v>
      </c>
      <c r="E2163" t="str">
        <f t="shared" si="298"/>
        <v>EMP_2162IT</v>
      </c>
      <c r="F2163" t="s">
        <v>21</v>
      </c>
      <c r="G2163" t="s">
        <v>16</v>
      </c>
      <c r="H2163">
        <v>37460</v>
      </c>
      <c r="I2163">
        <v>5245</v>
      </c>
      <c r="J2163">
        <v>0</v>
      </c>
      <c r="K2163">
        <v>0</v>
      </c>
      <c r="L2163" s="4" t="s">
        <v>3087</v>
      </c>
      <c r="M2163" s="4" t="str">
        <f t="shared" si="299"/>
        <v>3/24/2018</v>
      </c>
      <c r="N2163" s="1">
        <f t="shared" ca="1" si="300"/>
        <v>46064</v>
      </c>
      <c r="O2163" s="6" t="e">
        <f t="shared" ca="1" si="301"/>
        <v>#VALUE!</v>
      </c>
      <c r="P2163">
        <v>5</v>
      </c>
      <c r="Q2163">
        <f t="shared" si="302"/>
        <v>42705</v>
      </c>
      <c r="R2163" s="2">
        <f t="shared" si="303"/>
        <v>21352.5</v>
      </c>
      <c r="S2163" s="2" t="str">
        <f t="shared" si="304"/>
        <v xml:space="preserve"> Not Achieved</v>
      </c>
      <c r="T2163" s="2" t="str">
        <f t="shared" si="305"/>
        <v>Average</v>
      </c>
      <c r="U2163" s="2"/>
    </row>
    <row r="2164" spans="1:21" x14ac:dyDescent="0.3">
      <c r="A2164">
        <v>2163</v>
      </c>
      <c r="B2164" t="s">
        <v>3088</v>
      </c>
      <c r="C2164" t="str">
        <f t="shared" si="297"/>
        <v>EMP_2163</v>
      </c>
      <c r="D2164" t="s">
        <v>11</v>
      </c>
      <c r="E2164" t="str">
        <f t="shared" si="298"/>
        <v>EMP_2163Sales</v>
      </c>
      <c r="F2164" t="s">
        <v>7</v>
      </c>
      <c r="G2164" t="s">
        <v>19</v>
      </c>
      <c r="H2164">
        <v>23318</v>
      </c>
      <c r="I2164">
        <v>4476</v>
      </c>
      <c r="J2164">
        <v>102999</v>
      </c>
      <c r="K2164">
        <v>83268</v>
      </c>
      <c r="L2164" s="4" t="s">
        <v>3089</v>
      </c>
      <c r="M2164" s="4" t="str">
        <f t="shared" si="299"/>
        <v>7/25/2019</v>
      </c>
      <c r="N2164" s="1">
        <f t="shared" ca="1" si="300"/>
        <v>46064</v>
      </c>
      <c r="O2164" s="6" t="e">
        <f t="shared" ca="1" si="301"/>
        <v>#VALUE!</v>
      </c>
      <c r="P2164">
        <v>2</v>
      </c>
      <c r="Q2164">
        <f t="shared" si="302"/>
        <v>27794</v>
      </c>
      <c r="R2164" s="2">
        <f t="shared" si="303"/>
        <v>13897</v>
      </c>
      <c r="S2164" s="2" t="str">
        <f t="shared" si="304"/>
        <v>Achieved</v>
      </c>
      <c r="T2164" s="2" t="str">
        <f t="shared" si="305"/>
        <v>poor</v>
      </c>
      <c r="U2164" s="2"/>
    </row>
    <row r="2165" spans="1:21" x14ac:dyDescent="0.3">
      <c r="A2165">
        <v>2164</v>
      </c>
      <c r="B2165" t="s">
        <v>3090</v>
      </c>
      <c r="C2165" t="str">
        <f t="shared" si="297"/>
        <v>EMP_2164</v>
      </c>
      <c r="D2165" t="s">
        <v>15</v>
      </c>
      <c r="E2165" t="str">
        <f t="shared" si="298"/>
        <v>EMP_2164Finance</v>
      </c>
      <c r="F2165" t="s">
        <v>18</v>
      </c>
      <c r="G2165" t="s">
        <v>22</v>
      </c>
      <c r="H2165">
        <v>67309</v>
      </c>
      <c r="I2165">
        <v>12562</v>
      </c>
      <c r="J2165">
        <v>0</v>
      </c>
      <c r="K2165">
        <v>0</v>
      </c>
      <c r="L2165" s="4" t="s">
        <v>3033</v>
      </c>
      <c r="M2165" s="4" t="str">
        <f t="shared" si="299"/>
        <v>1/30/2020</v>
      </c>
      <c r="N2165" s="1">
        <f t="shared" ca="1" si="300"/>
        <v>46064</v>
      </c>
      <c r="O2165" s="6" t="e">
        <f t="shared" ca="1" si="301"/>
        <v>#VALUE!</v>
      </c>
      <c r="P2165">
        <v>2</v>
      </c>
      <c r="Q2165">
        <f t="shared" si="302"/>
        <v>79871</v>
      </c>
      <c r="R2165" s="2">
        <f t="shared" si="303"/>
        <v>39935.5</v>
      </c>
      <c r="S2165" s="2" t="str">
        <f t="shared" si="304"/>
        <v xml:space="preserve"> Not Achieved</v>
      </c>
      <c r="T2165" s="2" t="str">
        <f t="shared" si="305"/>
        <v xml:space="preserve"> Excellent</v>
      </c>
      <c r="U2165" s="2"/>
    </row>
    <row r="2166" spans="1:21" x14ac:dyDescent="0.3">
      <c r="A2166">
        <v>2165</v>
      </c>
      <c r="B2166" t="s">
        <v>3091</v>
      </c>
      <c r="C2166" t="str">
        <f t="shared" si="297"/>
        <v>EMP_2165</v>
      </c>
      <c r="D2166" t="s">
        <v>11</v>
      </c>
      <c r="E2166" t="str">
        <f t="shared" si="298"/>
        <v>EMP_2165HR</v>
      </c>
      <c r="F2166" t="s">
        <v>12</v>
      </c>
      <c r="G2166" t="s">
        <v>13</v>
      </c>
      <c r="H2166">
        <v>31555</v>
      </c>
      <c r="I2166">
        <v>7897</v>
      </c>
      <c r="J2166">
        <v>0</v>
      </c>
      <c r="K2166">
        <v>0</v>
      </c>
      <c r="L2166" s="4" t="s">
        <v>952</v>
      </c>
      <c r="M2166" s="4" t="str">
        <f t="shared" si="299"/>
        <v>10/30/2024</v>
      </c>
      <c r="N2166" s="1">
        <f t="shared" ca="1" si="300"/>
        <v>46064</v>
      </c>
      <c r="O2166" s="6" t="e">
        <f t="shared" ca="1" si="301"/>
        <v>#VALUE!</v>
      </c>
      <c r="P2166">
        <v>5</v>
      </c>
      <c r="Q2166">
        <f t="shared" si="302"/>
        <v>39452</v>
      </c>
      <c r="R2166" s="2">
        <f t="shared" si="303"/>
        <v>19726</v>
      </c>
      <c r="S2166" s="2" t="str">
        <f t="shared" si="304"/>
        <v xml:space="preserve"> Not Achieved</v>
      </c>
      <c r="T2166" s="2" t="str">
        <f t="shared" si="305"/>
        <v>Average</v>
      </c>
      <c r="U2166" s="2"/>
    </row>
    <row r="2167" spans="1:21" x14ac:dyDescent="0.3">
      <c r="A2167">
        <v>2166</v>
      </c>
      <c r="B2167" t="s">
        <v>3092</v>
      </c>
      <c r="C2167" t="str">
        <f t="shared" si="297"/>
        <v>EMP_2166</v>
      </c>
      <c r="D2167" t="s">
        <v>15</v>
      </c>
      <c r="E2167" t="str">
        <f t="shared" si="298"/>
        <v>EMP_2166IT</v>
      </c>
      <c r="F2167" t="s">
        <v>21</v>
      </c>
      <c r="G2167" t="s">
        <v>22</v>
      </c>
      <c r="H2167">
        <v>31896</v>
      </c>
      <c r="I2167">
        <v>14578</v>
      </c>
      <c r="J2167">
        <v>0</v>
      </c>
      <c r="K2167">
        <v>0</v>
      </c>
      <c r="L2167" s="4">
        <v>44814</v>
      </c>
      <c r="M2167" s="4" t="str">
        <f t="shared" si="299"/>
        <v>2022</v>
      </c>
      <c r="N2167" s="1">
        <f t="shared" ca="1" si="300"/>
        <v>46064</v>
      </c>
      <c r="O2167" s="6">
        <f t="shared" ca="1" si="301"/>
        <v>3</v>
      </c>
      <c r="P2167">
        <v>3</v>
      </c>
      <c r="Q2167">
        <f t="shared" si="302"/>
        <v>46474</v>
      </c>
      <c r="R2167" s="2">
        <f t="shared" si="303"/>
        <v>23237</v>
      </c>
      <c r="S2167" s="2" t="str">
        <f t="shared" si="304"/>
        <v xml:space="preserve"> Not Achieved</v>
      </c>
      <c r="T2167" s="2" t="str">
        <f t="shared" si="305"/>
        <v>Average</v>
      </c>
      <c r="U2167" s="2"/>
    </row>
    <row r="2168" spans="1:21" x14ac:dyDescent="0.3">
      <c r="A2168">
        <v>2167</v>
      </c>
      <c r="B2168" t="s">
        <v>3093</v>
      </c>
      <c r="C2168" t="str">
        <f t="shared" si="297"/>
        <v>EMP_2167</v>
      </c>
      <c r="D2168" t="s">
        <v>15</v>
      </c>
      <c r="E2168" t="str">
        <f t="shared" si="298"/>
        <v>EMP_2167Finance</v>
      </c>
      <c r="F2168" t="s">
        <v>18</v>
      </c>
      <c r="G2168" t="s">
        <v>22</v>
      </c>
      <c r="H2168">
        <v>41035</v>
      </c>
      <c r="I2168">
        <v>4014</v>
      </c>
      <c r="J2168">
        <v>0</v>
      </c>
      <c r="K2168">
        <v>0</v>
      </c>
      <c r="L2168" s="4" t="s">
        <v>3094</v>
      </c>
      <c r="M2168" s="4" t="str">
        <f t="shared" si="299"/>
        <v>11/28/2024</v>
      </c>
      <c r="N2168" s="1">
        <f t="shared" ca="1" si="300"/>
        <v>46064</v>
      </c>
      <c r="O2168" s="6" t="e">
        <f t="shared" ca="1" si="301"/>
        <v>#VALUE!</v>
      </c>
      <c r="P2168">
        <v>4</v>
      </c>
      <c r="Q2168">
        <f t="shared" si="302"/>
        <v>45049</v>
      </c>
      <c r="R2168" s="2">
        <f t="shared" si="303"/>
        <v>22524.5</v>
      </c>
      <c r="S2168" s="2" t="str">
        <f t="shared" si="304"/>
        <v xml:space="preserve"> Not Achieved</v>
      </c>
      <c r="T2168" s="2" t="str">
        <f t="shared" si="305"/>
        <v>Good</v>
      </c>
      <c r="U2168" s="2"/>
    </row>
    <row r="2169" spans="1:21" x14ac:dyDescent="0.3">
      <c r="A2169">
        <v>2168</v>
      </c>
      <c r="B2169" t="s">
        <v>3095</v>
      </c>
      <c r="C2169" t="str">
        <f t="shared" si="297"/>
        <v>EMP_2168</v>
      </c>
      <c r="D2169" t="s">
        <v>15</v>
      </c>
      <c r="E2169" t="str">
        <f t="shared" si="298"/>
        <v>EMP_2168Finance</v>
      </c>
      <c r="F2169" t="s">
        <v>18</v>
      </c>
      <c r="G2169" t="s">
        <v>13</v>
      </c>
      <c r="H2169">
        <v>43547</v>
      </c>
      <c r="I2169">
        <v>4249</v>
      </c>
      <c r="J2169">
        <v>0</v>
      </c>
      <c r="K2169">
        <v>0</v>
      </c>
      <c r="L2169" s="4">
        <v>45633</v>
      </c>
      <c r="M2169" s="4" t="str">
        <f t="shared" si="299"/>
        <v>2024</v>
      </c>
      <c r="N2169" s="1">
        <f t="shared" ca="1" si="300"/>
        <v>46064</v>
      </c>
      <c r="O2169" s="6">
        <f t="shared" ca="1" si="301"/>
        <v>1</v>
      </c>
      <c r="P2169">
        <v>2</v>
      </c>
      <c r="Q2169">
        <f t="shared" si="302"/>
        <v>47796</v>
      </c>
      <c r="R2169" s="2">
        <f t="shared" si="303"/>
        <v>23898</v>
      </c>
      <c r="S2169" s="2" t="str">
        <f t="shared" si="304"/>
        <v xml:space="preserve"> Not Achieved</v>
      </c>
      <c r="T2169" s="2" t="str">
        <f t="shared" si="305"/>
        <v>Good</v>
      </c>
      <c r="U2169" s="2"/>
    </row>
    <row r="2170" spans="1:21" x14ac:dyDescent="0.3">
      <c r="A2170">
        <v>2169</v>
      </c>
      <c r="B2170" t="s">
        <v>3096</v>
      </c>
      <c r="C2170" t="str">
        <f t="shared" si="297"/>
        <v>EMP_2169</v>
      </c>
      <c r="D2170" t="s">
        <v>11</v>
      </c>
      <c r="E2170" t="str">
        <f t="shared" si="298"/>
        <v>EMP_2169Sales</v>
      </c>
      <c r="F2170" t="s">
        <v>7</v>
      </c>
      <c r="G2170" t="s">
        <v>19</v>
      </c>
      <c r="H2170">
        <v>34191</v>
      </c>
      <c r="I2170">
        <v>9897</v>
      </c>
      <c r="J2170">
        <v>148815</v>
      </c>
      <c r="K2170">
        <v>173164</v>
      </c>
      <c r="L2170" s="4">
        <v>43899</v>
      </c>
      <c r="M2170" s="4" t="str">
        <f t="shared" si="299"/>
        <v>2020</v>
      </c>
      <c r="N2170" s="1">
        <f t="shared" ca="1" si="300"/>
        <v>46064</v>
      </c>
      <c r="O2170" s="6">
        <f t="shared" ca="1" si="301"/>
        <v>5</v>
      </c>
      <c r="P2170">
        <v>4</v>
      </c>
      <c r="Q2170">
        <f t="shared" si="302"/>
        <v>44088</v>
      </c>
      <c r="R2170" s="2">
        <f t="shared" si="303"/>
        <v>22044</v>
      </c>
      <c r="S2170" s="2" t="str">
        <f t="shared" si="304"/>
        <v xml:space="preserve"> Not Achieved</v>
      </c>
      <c r="T2170" s="2" t="str">
        <f t="shared" si="305"/>
        <v>Average</v>
      </c>
      <c r="U2170" s="2"/>
    </row>
    <row r="2171" spans="1:21" x14ac:dyDescent="0.3">
      <c r="A2171">
        <v>2170</v>
      </c>
      <c r="B2171" t="s">
        <v>3097</v>
      </c>
      <c r="C2171" t="str">
        <f t="shared" si="297"/>
        <v>EMP_2170</v>
      </c>
      <c r="D2171" t="s">
        <v>15</v>
      </c>
      <c r="E2171" t="str">
        <f t="shared" si="298"/>
        <v>EMP_2170HR</v>
      </c>
      <c r="F2171" t="s">
        <v>12</v>
      </c>
      <c r="G2171" t="s">
        <v>25</v>
      </c>
      <c r="H2171">
        <v>28503</v>
      </c>
      <c r="I2171">
        <v>11484</v>
      </c>
      <c r="J2171">
        <v>0</v>
      </c>
      <c r="K2171">
        <v>0</v>
      </c>
      <c r="L2171" s="4" t="s">
        <v>3098</v>
      </c>
      <c r="M2171" s="4" t="str">
        <f t="shared" si="299"/>
        <v>11/24/2019</v>
      </c>
      <c r="N2171" s="1">
        <f t="shared" ca="1" si="300"/>
        <v>46064</v>
      </c>
      <c r="O2171" s="6" t="e">
        <f t="shared" ca="1" si="301"/>
        <v>#VALUE!</v>
      </c>
      <c r="P2171">
        <v>5</v>
      </c>
      <c r="Q2171">
        <f t="shared" si="302"/>
        <v>39987</v>
      </c>
      <c r="R2171" s="2">
        <f t="shared" si="303"/>
        <v>19993.5</v>
      </c>
      <c r="S2171" s="2" t="str">
        <f t="shared" si="304"/>
        <v xml:space="preserve"> Not Achieved</v>
      </c>
      <c r="T2171" s="2" t="str">
        <f t="shared" si="305"/>
        <v>poor</v>
      </c>
      <c r="U2171" s="2"/>
    </row>
    <row r="2172" spans="1:21" x14ac:dyDescent="0.3">
      <c r="A2172">
        <v>2171</v>
      </c>
      <c r="B2172" t="s">
        <v>3099</v>
      </c>
      <c r="C2172" t="str">
        <f t="shared" si="297"/>
        <v>EMP_2171</v>
      </c>
      <c r="D2172" t="s">
        <v>11</v>
      </c>
      <c r="E2172" t="str">
        <f t="shared" si="298"/>
        <v>EMP_2171Marketing</v>
      </c>
      <c r="F2172" t="s">
        <v>24</v>
      </c>
      <c r="G2172" t="s">
        <v>25</v>
      </c>
      <c r="H2172">
        <v>74628</v>
      </c>
      <c r="I2172">
        <v>6629</v>
      </c>
      <c r="J2172">
        <v>0</v>
      </c>
      <c r="K2172">
        <v>0</v>
      </c>
      <c r="L2172" s="4">
        <v>44753</v>
      </c>
      <c r="M2172" s="4" t="str">
        <f t="shared" si="299"/>
        <v>2022</v>
      </c>
      <c r="N2172" s="1">
        <f t="shared" ca="1" si="300"/>
        <v>46064</v>
      </c>
      <c r="O2172" s="6">
        <f t="shared" ca="1" si="301"/>
        <v>3</v>
      </c>
      <c r="P2172">
        <v>2</v>
      </c>
      <c r="Q2172">
        <f t="shared" si="302"/>
        <v>81257</v>
      </c>
      <c r="R2172" s="2">
        <f t="shared" si="303"/>
        <v>40628.5</v>
      </c>
      <c r="S2172" s="2" t="str">
        <f t="shared" si="304"/>
        <v xml:space="preserve"> Not Achieved</v>
      </c>
      <c r="T2172" s="2" t="str">
        <f t="shared" si="305"/>
        <v xml:space="preserve"> Excellent</v>
      </c>
      <c r="U2172" s="2"/>
    </row>
    <row r="2173" spans="1:21" x14ac:dyDescent="0.3">
      <c r="A2173">
        <v>2172</v>
      </c>
      <c r="B2173" t="s">
        <v>3100</v>
      </c>
      <c r="C2173" t="str">
        <f t="shared" si="297"/>
        <v>EMP_2172</v>
      </c>
      <c r="D2173" t="s">
        <v>11</v>
      </c>
      <c r="E2173" t="str">
        <f t="shared" si="298"/>
        <v>EMP_2172Finance</v>
      </c>
      <c r="F2173" t="s">
        <v>18</v>
      </c>
      <c r="G2173" t="s">
        <v>13</v>
      </c>
      <c r="H2173">
        <v>34234</v>
      </c>
      <c r="I2173">
        <v>8688</v>
      </c>
      <c r="J2173">
        <v>0</v>
      </c>
      <c r="K2173">
        <v>0</v>
      </c>
      <c r="L2173" s="4" t="s">
        <v>3101</v>
      </c>
      <c r="M2173" s="4" t="str">
        <f t="shared" si="299"/>
        <v>9/25/2021</v>
      </c>
      <c r="N2173" s="1">
        <f t="shared" ca="1" si="300"/>
        <v>46064</v>
      </c>
      <c r="O2173" s="6" t="e">
        <f t="shared" ca="1" si="301"/>
        <v>#VALUE!</v>
      </c>
      <c r="P2173">
        <v>2</v>
      </c>
      <c r="Q2173">
        <f t="shared" si="302"/>
        <v>42922</v>
      </c>
      <c r="R2173" s="2">
        <f t="shared" si="303"/>
        <v>21461</v>
      </c>
      <c r="S2173" s="2" t="str">
        <f t="shared" si="304"/>
        <v xml:space="preserve"> Not Achieved</v>
      </c>
      <c r="T2173" s="2" t="str">
        <f t="shared" si="305"/>
        <v>Average</v>
      </c>
      <c r="U2173" s="2"/>
    </row>
    <row r="2174" spans="1:21" x14ac:dyDescent="0.3">
      <c r="A2174">
        <v>2173</v>
      </c>
      <c r="B2174" t="s">
        <v>3102</v>
      </c>
      <c r="C2174" t="str">
        <f t="shared" si="297"/>
        <v>EMP_2173</v>
      </c>
      <c r="D2174" t="s">
        <v>11</v>
      </c>
      <c r="E2174" t="str">
        <f t="shared" si="298"/>
        <v>EMP_2173IT</v>
      </c>
      <c r="F2174" t="s">
        <v>21</v>
      </c>
      <c r="G2174" t="s">
        <v>16</v>
      </c>
      <c r="H2174">
        <v>59342</v>
      </c>
      <c r="I2174">
        <v>14215</v>
      </c>
      <c r="J2174">
        <v>0</v>
      </c>
      <c r="K2174">
        <v>0</v>
      </c>
      <c r="L2174" s="4">
        <v>44962</v>
      </c>
      <c r="M2174" s="4" t="str">
        <f t="shared" si="299"/>
        <v>2023</v>
      </c>
      <c r="N2174" s="1">
        <f t="shared" ca="1" si="300"/>
        <v>46064</v>
      </c>
      <c r="O2174" s="6">
        <f t="shared" ca="1" si="301"/>
        <v>3</v>
      </c>
      <c r="P2174">
        <v>2</v>
      </c>
      <c r="Q2174">
        <f t="shared" si="302"/>
        <v>73557</v>
      </c>
      <c r="R2174" s="2">
        <f t="shared" si="303"/>
        <v>36778.5</v>
      </c>
      <c r="S2174" s="2" t="str">
        <f t="shared" si="304"/>
        <v xml:space="preserve"> Not Achieved</v>
      </c>
      <c r="T2174" s="2" t="str">
        <f t="shared" si="305"/>
        <v xml:space="preserve"> Excellent</v>
      </c>
      <c r="U2174" s="2"/>
    </row>
    <row r="2175" spans="1:21" x14ac:dyDescent="0.3">
      <c r="A2175">
        <v>2174</v>
      </c>
      <c r="B2175" t="s">
        <v>3103</v>
      </c>
      <c r="C2175" t="str">
        <f t="shared" si="297"/>
        <v>EMP_2174</v>
      </c>
      <c r="D2175" t="s">
        <v>15</v>
      </c>
      <c r="E2175" t="str">
        <f t="shared" si="298"/>
        <v>EMP_2174HR</v>
      </c>
      <c r="F2175" t="s">
        <v>12</v>
      </c>
      <c r="G2175" t="s">
        <v>16</v>
      </c>
      <c r="H2175">
        <v>75324</v>
      </c>
      <c r="I2175">
        <v>3076</v>
      </c>
      <c r="J2175">
        <v>0</v>
      </c>
      <c r="K2175">
        <v>0</v>
      </c>
      <c r="L2175" s="4" t="s">
        <v>2391</v>
      </c>
      <c r="M2175" s="4" t="str">
        <f t="shared" si="299"/>
        <v>6/23/2022</v>
      </c>
      <c r="N2175" s="1">
        <f t="shared" ca="1" si="300"/>
        <v>46064</v>
      </c>
      <c r="O2175" s="6" t="e">
        <f t="shared" ca="1" si="301"/>
        <v>#VALUE!</v>
      </c>
      <c r="P2175">
        <v>1</v>
      </c>
      <c r="Q2175">
        <f t="shared" si="302"/>
        <v>78400</v>
      </c>
      <c r="R2175" s="2">
        <f t="shared" si="303"/>
        <v>39200</v>
      </c>
      <c r="S2175" s="2" t="str">
        <f t="shared" si="304"/>
        <v xml:space="preserve"> Not Achieved</v>
      </c>
      <c r="T2175" s="2" t="str">
        <f t="shared" si="305"/>
        <v xml:space="preserve"> Excellent</v>
      </c>
      <c r="U2175" s="2"/>
    </row>
    <row r="2176" spans="1:21" x14ac:dyDescent="0.3">
      <c r="A2176">
        <v>2175</v>
      </c>
      <c r="B2176" t="s">
        <v>3104</v>
      </c>
      <c r="C2176" t="str">
        <f t="shared" si="297"/>
        <v>EMP_2175</v>
      </c>
      <c r="D2176" t="s">
        <v>15</v>
      </c>
      <c r="E2176" t="str">
        <f t="shared" si="298"/>
        <v>EMP_2175HR</v>
      </c>
      <c r="F2176" t="s">
        <v>12</v>
      </c>
      <c r="G2176" t="s">
        <v>25</v>
      </c>
      <c r="H2176">
        <v>74247</v>
      </c>
      <c r="I2176">
        <v>4556</v>
      </c>
      <c r="J2176">
        <v>0</v>
      </c>
      <c r="K2176">
        <v>0</v>
      </c>
      <c r="L2176" s="4">
        <v>45357</v>
      </c>
      <c r="M2176" s="4" t="str">
        <f t="shared" si="299"/>
        <v>2024</v>
      </c>
      <c r="N2176" s="1">
        <f t="shared" ca="1" si="300"/>
        <v>46064</v>
      </c>
      <c r="O2176" s="6">
        <f t="shared" ca="1" si="301"/>
        <v>1</v>
      </c>
      <c r="P2176">
        <v>2</v>
      </c>
      <c r="Q2176">
        <f t="shared" si="302"/>
        <v>78803</v>
      </c>
      <c r="R2176" s="2">
        <f t="shared" si="303"/>
        <v>39401.5</v>
      </c>
      <c r="S2176" s="2" t="str">
        <f t="shared" si="304"/>
        <v xml:space="preserve"> Not Achieved</v>
      </c>
      <c r="T2176" s="2" t="str">
        <f t="shared" si="305"/>
        <v xml:space="preserve"> Excellent</v>
      </c>
      <c r="U2176" s="2"/>
    </row>
    <row r="2177" spans="1:21" x14ac:dyDescent="0.3">
      <c r="A2177">
        <v>2176</v>
      </c>
      <c r="B2177" t="s">
        <v>3105</v>
      </c>
      <c r="C2177" t="str">
        <f t="shared" si="297"/>
        <v>EMP_2176</v>
      </c>
      <c r="D2177" t="s">
        <v>15</v>
      </c>
      <c r="E2177" t="str">
        <f t="shared" si="298"/>
        <v>EMP_2176IT</v>
      </c>
      <c r="F2177" t="s">
        <v>21</v>
      </c>
      <c r="G2177" t="s">
        <v>22</v>
      </c>
      <c r="H2177">
        <v>53382</v>
      </c>
      <c r="I2177">
        <v>5003</v>
      </c>
      <c r="J2177">
        <v>0</v>
      </c>
      <c r="K2177">
        <v>0</v>
      </c>
      <c r="L2177" s="4" t="s">
        <v>3106</v>
      </c>
      <c r="M2177" s="4" t="str">
        <f t="shared" si="299"/>
        <v>6/21/2018</v>
      </c>
      <c r="N2177" s="1">
        <f t="shared" ca="1" si="300"/>
        <v>46064</v>
      </c>
      <c r="O2177" s="6" t="e">
        <f t="shared" ca="1" si="301"/>
        <v>#VALUE!</v>
      </c>
      <c r="P2177">
        <v>5</v>
      </c>
      <c r="Q2177">
        <f t="shared" si="302"/>
        <v>58385</v>
      </c>
      <c r="R2177" s="2">
        <f t="shared" si="303"/>
        <v>29192.5</v>
      </c>
      <c r="S2177" s="2" t="str">
        <f t="shared" si="304"/>
        <v xml:space="preserve"> Not Achieved</v>
      </c>
      <c r="T2177" s="2" t="str">
        <f t="shared" si="305"/>
        <v xml:space="preserve"> Excellent</v>
      </c>
      <c r="U2177" s="2"/>
    </row>
    <row r="2178" spans="1:21" x14ac:dyDescent="0.3">
      <c r="A2178">
        <v>2177</v>
      </c>
      <c r="B2178" t="s">
        <v>3107</v>
      </c>
      <c r="C2178" t="str">
        <f t="shared" si="297"/>
        <v>EMP_2177</v>
      </c>
      <c r="D2178" t="s">
        <v>11</v>
      </c>
      <c r="E2178" t="str">
        <f t="shared" si="298"/>
        <v>EMP_2177Finance</v>
      </c>
      <c r="F2178" t="s">
        <v>18</v>
      </c>
      <c r="G2178" t="s">
        <v>25</v>
      </c>
      <c r="H2178">
        <v>73466</v>
      </c>
      <c r="I2178">
        <v>4152</v>
      </c>
      <c r="J2178">
        <v>0</v>
      </c>
      <c r="K2178">
        <v>0</v>
      </c>
      <c r="L2178" s="4" t="s">
        <v>1428</v>
      </c>
      <c r="M2178" s="4" t="str">
        <f t="shared" si="299"/>
        <v>1/19/2022</v>
      </c>
      <c r="N2178" s="1">
        <f t="shared" ca="1" si="300"/>
        <v>46064</v>
      </c>
      <c r="O2178" s="6" t="e">
        <f t="shared" ca="1" si="301"/>
        <v>#VALUE!</v>
      </c>
      <c r="P2178">
        <v>1</v>
      </c>
      <c r="Q2178">
        <f t="shared" si="302"/>
        <v>77618</v>
      </c>
      <c r="R2178" s="2">
        <f t="shared" si="303"/>
        <v>38809</v>
      </c>
      <c r="S2178" s="2" t="str">
        <f t="shared" si="304"/>
        <v xml:space="preserve"> Not Achieved</v>
      </c>
      <c r="T2178" s="2" t="str">
        <f t="shared" si="305"/>
        <v xml:space="preserve"> Excellent</v>
      </c>
      <c r="U2178" s="2"/>
    </row>
    <row r="2179" spans="1:21" x14ac:dyDescent="0.3">
      <c r="A2179">
        <v>2178</v>
      </c>
      <c r="B2179" t="s">
        <v>3108</v>
      </c>
      <c r="C2179" t="str">
        <f t="shared" ref="C2179:C2242" si="306">UPPER(B2179)</f>
        <v>EMP_2178</v>
      </c>
      <c r="D2179" t="s">
        <v>15</v>
      </c>
      <c r="E2179" t="str">
        <f t="shared" ref="E2179:E2242" si="307">_xlfn.CONCAT(C2179,F2179)</f>
        <v>EMP_2178IT</v>
      </c>
      <c r="F2179" t="s">
        <v>21</v>
      </c>
      <c r="G2179" t="s">
        <v>13</v>
      </c>
      <c r="H2179">
        <v>27899</v>
      </c>
      <c r="I2179">
        <v>5464</v>
      </c>
      <c r="J2179">
        <v>0</v>
      </c>
      <c r="K2179">
        <v>0</v>
      </c>
      <c r="L2179" s="4">
        <v>44075</v>
      </c>
      <c r="M2179" s="4" t="str">
        <f t="shared" ref="M2179:M2242" si="308">TEXT(L2179,"yyyy")</f>
        <v>2020</v>
      </c>
      <c r="N2179" s="1">
        <f t="shared" ref="N2179:N2242" ca="1" si="309">TODAY()</f>
        <v>46064</v>
      </c>
      <c r="O2179" s="6">
        <f t="shared" ref="O2179:O2242" ca="1" si="310">DATEDIF(L2179, TODAY(), "y")</f>
        <v>5</v>
      </c>
      <c r="P2179">
        <v>3</v>
      </c>
      <c r="Q2179">
        <f t="shared" ref="Q2179:Q2242" si="311">SUM(H2179,I2179)</f>
        <v>33363</v>
      </c>
      <c r="R2179" s="2">
        <f t="shared" ref="R2179:R2242" si="312">AVERAGE(H2179,I2179)</f>
        <v>16681.5</v>
      </c>
      <c r="S2179" s="2" t="str">
        <f t="shared" ref="S2179:S2242" si="313">IF(J2179&gt;K2179,"Achieved"," Not Achieved")</f>
        <v xml:space="preserve"> Not Achieved</v>
      </c>
      <c r="T2179" s="2" t="str">
        <f t="shared" ref="T2179:T2242" si="314">_xlfn.IFS(H2179&gt;=50000," Excellent",H2179&gt;=40000,"Good",H2179&gt;=30000,"Average",H2179&lt;30000,"poor")</f>
        <v>poor</v>
      </c>
      <c r="U2179" s="2"/>
    </row>
    <row r="2180" spans="1:21" x14ac:dyDescent="0.3">
      <c r="A2180">
        <v>2179</v>
      </c>
      <c r="B2180" t="s">
        <v>3109</v>
      </c>
      <c r="C2180" t="str">
        <f t="shared" si="306"/>
        <v>EMP_2179</v>
      </c>
      <c r="D2180" t="s">
        <v>11</v>
      </c>
      <c r="E2180" t="str">
        <f t="shared" si="307"/>
        <v>EMP_2179IT</v>
      </c>
      <c r="F2180" t="s">
        <v>21</v>
      </c>
      <c r="G2180" t="s">
        <v>22</v>
      </c>
      <c r="H2180">
        <v>60488</v>
      </c>
      <c r="I2180">
        <v>13977</v>
      </c>
      <c r="J2180">
        <v>0</v>
      </c>
      <c r="K2180">
        <v>0</v>
      </c>
      <c r="L2180" s="4" t="s">
        <v>3110</v>
      </c>
      <c r="M2180" s="4" t="str">
        <f t="shared" si="308"/>
        <v>4/14/2024</v>
      </c>
      <c r="N2180" s="1">
        <f t="shared" ca="1" si="309"/>
        <v>46064</v>
      </c>
      <c r="O2180" s="6" t="e">
        <f t="shared" ca="1" si="310"/>
        <v>#VALUE!</v>
      </c>
      <c r="P2180">
        <v>4</v>
      </c>
      <c r="Q2180">
        <f t="shared" si="311"/>
        <v>74465</v>
      </c>
      <c r="R2180" s="2">
        <f t="shared" si="312"/>
        <v>37232.5</v>
      </c>
      <c r="S2180" s="2" t="str">
        <f t="shared" si="313"/>
        <v xml:space="preserve"> Not Achieved</v>
      </c>
      <c r="T2180" s="2" t="str">
        <f t="shared" si="314"/>
        <v xml:space="preserve"> Excellent</v>
      </c>
      <c r="U2180" s="2"/>
    </row>
    <row r="2181" spans="1:21" x14ac:dyDescent="0.3">
      <c r="A2181">
        <v>2180</v>
      </c>
      <c r="B2181" t="s">
        <v>3111</v>
      </c>
      <c r="C2181" t="str">
        <f t="shared" si="306"/>
        <v>EMP_2180</v>
      </c>
      <c r="D2181" t="s">
        <v>11</v>
      </c>
      <c r="E2181" t="str">
        <f t="shared" si="307"/>
        <v>EMP_2180HR</v>
      </c>
      <c r="F2181" t="s">
        <v>12</v>
      </c>
      <c r="G2181" t="s">
        <v>22</v>
      </c>
      <c r="H2181">
        <v>59807</v>
      </c>
      <c r="I2181">
        <v>8396</v>
      </c>
      <c r="J2181">
        <v>0</v>
      </c>
      <c r="K2181">
        <v>0</v>
      </c>
      <c r="L2181" s="4" t="s">
        <v>3112</v>
      </c>
      <c r="M2181" s="4" t="str">
        <f t="shared" si="308"/>
        <v>3/29/2018</v>
      </c>
      <c r="N2181" s="1">
        <f t="shared" ca="1" si="309"/>
        <v>46064</v>
      </c>
      <c r="O2181" s="6" t="e">
        <f t="shared" ca="1" si="310"/>
        <v>#VALUE!</v>
      </c>
      <c r="P2181">
        <v>4</v>
      </c>
      <c r="Q2181">
        <f t="shared" si="311"/>
        <v>68203</v>
      </c>
      <c r="R2181" s="2">
        <f t="shared" si="312"/>
        <v>34101.5</v>
      </c>
      <c r="S2181" s="2" t="str">
        <f t="shared" si="313"/>
        <v xml:space="preserve"> Not Achieved</v>
      </c>
      <c r="T2181" s="2" t="str">
        <f t="shared" si="314"/>
        <v xml:space="preserve"> Excellent</v>
      </c>
      <c r="U2181" s="2"/>
    </row>
    <row r="2182" spans="1:21" x14ac:dyDescent="0.3">
      <c r="A2182">
        <v>2181</v>
      </c>
      <c r="B2182" t="s">
        <v>3113</v>
      </c>
      <c r="C2182" t="str">
        <f t="shared" si="306"/>
        <v>EMP_2181</v>
      </c>
      <c r="D2182" t="s">
        <v>11</v>
      </c>
      <c r="E2182" t="str">
        <f t="shared" si="307"/>
        <v>EMP_2181Marketing</v>
      </c>
      <c r="F2182" t="s">
        <v>24</v>
      </c>
      <c r="G2182" t="s">
        <v>16</v>
      </c>
      <c r="H2182">
        <v>21317</v>
      </c>
      <c r="I2182">
        <v>7832</v>
      </c>
      <c r="J2182">
        <v>0</v>
      </c>
      <c r="K2182">
        <v>0</v>
      </c>
      <c r="L2182" s="4" t="s">
        <v>1949</v>
      </c>
      <c r="M2182" s="4" t="str">
        <f t="shared" si="308"/>
        <v>6/16/2018</v>
      </c>
      <c r="N2182" s="1">
        <f t="shared" ca="1" si="309"/>
        <v>46064</v>
      </c>
      <c r="O2182" s="6" t="e">
        <f t="shared" ca="1" si="310"/>
        <v>#VALUE!</v>
      </c>
      <c r="P2182">
        <v>5</v>
      </c>
      <c r="Q2182">
        <f t="shared" si="311"/>
        <v>29149</v>
      </c>
      <c r="R2182" s="2">
        <f t="shared" si="312"/>
        <v>14574.5</v>
      </c>
      <c r="S2182" s="2" t="str">
        <f t="shared" si="313"/>
        <v xml:space="preserve"> Not Achieved</v>
      </c>
      <c r="T2182" s="2" t="str">
        <f t="shared" si="314"/>
        <v>poor</v>
      </c>
      <c r="U2182" s="2"/>
    </row>
    <row r="2183" spans="1:21" x14ac:dyDescent="0.3">
      <c r="A2183">
        <v>2182</v>
      </c>
      <c r="B2183" t="s">
        <v>3114</v>
      </c>
      <c r="C2183" t="str">
        <f t="shared" si="306"/>
        <v>EMP_2182</v>
      </c>
      <c r="D2183" t="s">
        <v>11</v>
      </c>
      <c r="E2183" t="str">
        <f t="shared" si="307"/>
        <v>EMP_2182Sales</v>
      </c>
      <c r="F2183" t="s">
        <v>7</v>
      </c>
      <c r="G2183" t="s">
        <v>19</v>
      </c>
      <c r="H2183">
        <v>22754</v>
      </c>
      <c r="I2183">
        <v>10284</v>
      </c>
      <c r="J2183">
        <v>292619</v>
      </c>
      <c r="K2183">
        <v>129497</v>
      </c>
      <c r="L2183" s="4" t="s">
        <v>3115</v>
      </c>
      <c r="M2183" s="4" t="str">
        <f t="shared" si="308"/>
        <v>5/30/2018</v>
      </c>
      <c r="N2183" s="1">
        <f t="shared" ca="1" si="309"/>
        <v>46064</v>
      </c>
      <c r="O2183" s="6" t="e">
        <f t="shared" ca="1" si="310"/>
        <v>#VALUE!</v>
      </c>
      <c r="P2183">
        <v>3</v>
      </c>
      <c r="Q2183">
        <f t="shared" si="311"/>
        <v>33038</v>
      </c>
      <c r="R2183" s="2">
        <f t="shared" si="312"/>
        <v>16519</v>
      </c>
      <c r="S2183" s="2" t="str">
        <f t="shared" si="313"/>
        <v>Achieved</v>
      </c>
      <c r="T2183" s="2" t="str">
        <f t="shared" si="314"/>
        <v>poor</v>
      </c>
      <c r="U2183" s="2"/>
    </row>
    <row r="2184" spans="1:21" x14ac:dyDescent="0.3">
      <c r="A2184">
        <v>2183</v>
      </c>
      <c r="B2184" t="s">
        <v>3116</v>
      </c>
      <c r="C2184" t="str">
        <f t="shared" si="306"/>
        <v>EMP_2183</v>
      </c>
      <c r="D2184" t="s">
        <v>11</v>
      </c>
      <c r="E2184" t="str">
        <f t="shared" si="307"/>
        <v>EMP_2183Marketing</v>
      </c>
      <c r="F2184" t="s">
        <v>24</v>
      </c>
      <c r="G2184" t="s">
        <v>25</v>
      </c>
      <c r="H2184">
        <v>53565</v>
      </c>
      <c r="I2184">
        <v>9245</v>
      </c>
      <c r="J2184">
        <v>0</v>
      </c>
      <c r="K2184">
        <v>0</v>
      </c>
      <c r="L2184" s="4">
        <v>43534</v>
      </c>
      <c r="M2184" s="4" t="str">
        <f t="shared" si="308"/>
        <v>2019</v>
      </c>
      <c r="N2184" s="1">
        <f t="shared" ca="1" si="309"/>
        <v>46064</v>
      </c>
      <c r="O2184" s="6">
        <f t="shared" ca="1" si="310"/>
        <v>6</v>
      </c>
      <c r="P2184">
        <v>2</v>
      </c>
      <c r="Q2184">
        <f t="shared" si="311"/>
        <v>62810</v>
      </c>
      <c r="R2184" s="2">
        <f t="shared" si="312"/>
        <v>31405</v>
      </c>
      <c r="S2184" s="2" t="str">
        <f t="shared" si="313"/>
        <v xml:space="preserve"> Not Achieved</v>
      </c>
      <c r="T2184" s="2" t="str">
        <f t="shared" si="314"/>
        <v xml:space="preserve"> Excellent</v>
      </c>
      <c r="U2184" s="2"/>
    </row>
    <row r="2185" spans="1:21" x14ac:dyDescent="0.3">
      <c r="A2185">
        <v>2184</v>
      </c>
      <c r="B2185" t="s">
        <v>3117</v>
      </c>
      <c r="C2185" t="str">
        <f t="shared" si="306"/>
        <v>EMP_2184</v>
      </c>
      <c r="D2185" t="s">
        <v>15</v>
      </c>
      <c r="E2185" t="str">
        <f t="shared" si="307"/>
        <v>EMP_2184Marketing</v>
      </c>
      <c r="F2185" t="s">
        <v>24</v>
      </c>
      <c r="G2185" t="s">
        <v>25</v>
      </c>
      <c r="H2185">
        <v>79653</v>
      </c>
      <c r="I2185">
        <v>3047</v>
      </c>
      <c r="J2185">
        <v>0</v>
      </c>
      <c r="K2185">
        <v>0</v>
      </c>
      <c r="L2185" s="4" t="s">
        <v>1525</v>
      </c>
      <c r="M2185" s="4" t="str">
        <f t="shared" si="308"/>
        <v>7/31/2022</v>
      </c>
      <c r="N2185" s="1">
        <f t="shared" ca="1" si="309"/>
        <v>46064</v>
      </c>
      <c r="O2185" s="6" t="e">
        <f t="shared" ca="1" si="310"/>
        <v>#VALUE!</v>
      </c>
      <c r="P2185">
        <v>2</v>
      </c>
      <c r="Q2185">
        <f t="shared" si="311"/>
        <v>82700</v>
      </c>
      <c r="R2185" s="2">
        <f t="shared" si="312"/>
        <v>41350</v>
      </c>
      <c r="S2185" s="2" t="str">
        <f t="shared" si="313"/>
        <v xml:space="preserve"> Not Achieved</v>
      </c>
      <c r="T2185" s="2" t="str">
        <f t="shared" si="314"/>
        <v xml:space="preserve"> Excellent</v>
      </c>
      <c r="U2185" s="2"/>
    </row>
    <row r="2186" spans="1:21" x14ac:dyDescent="0.3">
      <c r="A2186">
        <v>2185</v>
      </c>
      <c r="B2186" t="s">
        <v>3118</v>
      </c>
      <c r="C2186" t="str">
        <f t="shared" si="306"/>
        <v>EMP_2185</v>
      </c>
      <c r="D2186" t="s">
        <v>15</v>
      </c>
      <c r="E2186" t="str">
        <f t="shared" si="307"/>
        <v>EMP_2185Sales</v>
      </c>
      <c r="F2186" t="s">
        <v>7</v>
      </c>
      <c r="G2186" t="s">
        <v>25</v>
      </c>
      <c r="H2186">
        <v>69418</v>
      </c>
      <c r="I2186">
        <v>13921</v>
      </c>
      <c r="J2186">
        <v>111906</v>
      </c>
      <c r="K2186">
        <v>167817</v>
      </c>
      <c r="L2186" s="4" t="s">
        <v>3119</v>
      </c>
      <c r="M2186" s="4" t="str">
        <f t="shared" si="308"/>
        <v>9/28/2023</v>
      </c>
      <c r="N2186" s="1">
        <f t="shared" ca="1" si="309"/>
        <v>46064</v>
      </c>
      <c r="O2186" s="6" t="e">
        <f t="shared" ca="1" si="310"/>
        <v>#VALUE!</v>
      </c>
      <c r="P2186">
        <v>2</v>
      </c>
      <c r="Q2186">
        <f t="shared" si="311"/>
        <v>83339</v>
      </c>
      <c r="R2186" s="2">
        <f t="shared" si="312"/>
        <v>41669.5</v>
      </c>
      <c r="S2186" s="2" t="str">
        <f t="shared" si="313"/>
        <v xml:space="preserve"> Not Achieved</v>
      </c>
      <c r="T2186" s="2" t="str">
        <f t="shared" si="314"/>
        <v xml:space="preserve"> Excellent</v>
      </c>
      <c r="U2186" s="2"/>
    </row>
    <row r="2187" spans="1:21" x14ac:dyDescent="0.3">
      <c r="A2187">
        <v>2186</v>
      </c>
      <c r="B2187" t="s">
        <v>3120</v>
      </c>
      <c r="C2187" t="str">
        <f t="shared" si="306"/>
        <v>EMP_2186</v>
      </c>
      <c r="D2187" t="s">
        <v>15</v>
      </c>
      <c r="E2187" t="str">
        <f t="shared" si="307"/>
        <v>EMP_2186Marketing</v>
      </c>
      <c r="F2187" t="s">
        <v>24</v>
      </c>
      <c r="G2187" t="s">
        <v>19</v>
      </c>
      <c r="H2187">
        <v>63462</v>
      </c>
      <c r="I2187">
        <v>5523</v>
      </c>
      <c r="J2187">
        <v>0</v>
      </c>
      <c r="K2187">
        <v>0</v>
      </c>
      <c r="L2187" s="4" t="s">
        <v>1468</v>
      </c>
      <c r="M2187" s="4" t="str">
        <f t="shared" si="308"/>
        <v>8/22/2020</v>
      </c>
      <c r="N2187" s="1">
        <f t="shared" ca="1" si="309"/>
        <v>46064</v>
      </c>
      <c r="O2187" s="6" t="e">
        <f t="shared" ca="1" si="310"/>
        <v>#VALUE!</v>
      </c>
      <c r="P2187">
        <v>3</v>
      </c>
      <c r="Q2187">
        <f t="shared" si="311"/>
        <v>68985</v>
      </c>
      <c r="R2187" s="2">
        <f t="shared" si="312"/>
        <v>34492.5</v>
      </c>
      <c r="S2187" s="2" t="str">
        <f t="shared" si="313"/>
        <v xml:space="preserve"> Not Achieved</v>
      </c>
      <c r="T2187" s="2" t="str">
        <f t="shared" si="314"/>
        <v xml:space="preserve"> Excellent</v>
      </c>
      <c r="U2187" s="2"/>
    </row>
    <row r="2188" spans="1:21" x14ac:dyDescent="0.3">
      <c r="A2188">
        <v>2187</v>
      </c>
      <c r="B2188" t="s">
        <v>3121</v>
      </c>
      <c r="C2188" t="str">
        <f t="shared" si="306"/>
        <v>EMP_2187</v>
      </c>
      <c r="D2188" t="s">
        <v>15</v>
      </c>
      <c r="E2188" t="str">
        <f t="shared" si="307"/>
        <v>EMP_2187IT</v>
      </c>
      <c r="F2188" t="s">
        <v>21</v>
      </c>
      <c r="G2188" t="s">
        <v>22</v>
      </c>
      <c r="H2188">
        <v>56329</v>
      </c>
      <c r="I2188">
        <v>4777</v>
      </c>
      <c r="J2188">
        <v>0</v>
      </c>
      <c r="K2188">
        <v>0</v>
      </c>
      <c r="L2188" s="4">
        <v>43594</v>
      </c>
      <c r="M2188" s="4" t="str">
        <f t="shared" si="308"/>
        <v>2019</v>
      </c>
      <c r="N2188" s="1">
        <f t="shared" ca="1" si="309"/>
        <v>46064</v>
      </c>
      <c r="O2188" s="6">
        <f t="shared" ca="1" si="310"/>
        <v>6</v>
      </c>
      <c r="P2188">
        <v>3</v>
      </c>
      <c r="Q2188">
        <f t="shared" si="311"/>
        <v>61106</v>
      </c>
      <c r="R2188" s="2">
        <f t="shared" si="312"/>
        <v>30553</v>
      </c>
      <c r="S2188" s="2" t="str">
        <f t="shared" si="313"/>
        <v xml:space="preserve"> Not Achieved</v>
      </c>
      <c r="T2188" s="2" t="str">
        <f t="shared" si="314"/>
        <v xml:space="preserve"> Excellent</v>
      </c>
      <c r="U2188" s="2"/>
    </row>
    <row r="2189" spans="1:21" x14ac:dyDescent="0.3">
      <c r="A2189">
        <v>2188</v>
      </c>
      <c r="B2189" t="s">
        <v>3122</v>
      </c>
      <c r="C2189" t="str">
        <f t="shared" si="306"/>
        <v>EMP_2188</v>
      </c>
      <c r="D2189" t="s">
        <v>15</v>
      </c>
      <c r="E2189" t="str">
        <f t="shared" si="307"/>
        <v>EMP_2188IT</v>
      </c>
      <c r="F2189" t="s">
        <v>21</v>
      </c>
      <c r="G2189" t="s">
        <v>13</v>
      </c>
      <c r="H2189">
        <v>64558</v>
      </c>
      <c r="I2189">
        <v>12073</v>
      </c>
      <c r="J2189">
        <v>0</v>
      </c>
      <c r="K2189">
        <v>0</v>
      </c>
      <c r="L2189" s="4">
        <v>44563</v>
      </c>
      <c r="M2189" s="4" t="str">
        <f t="shared" si="308"/>
        <v>2022</v>
      </c>
      <c r="N2189" s="1">
        <f t="shared" ca="1" si="309"/>
        <v>46064</v>
      </c>
      <c r="O2189" s="6">
        <f t="shared" ca="1" si="310"/>
        <v>4</v>
      </c>
      <c r="P2189">
        <v>4</v>
      </c>
      <c r="Q2189">
        <f t="shared" si="311"/>
        <v>76631</v>
      </c>
      <c r="R2189" s="2">
        <f t="shared" si="312"/>
        <v>38315.5</v>
      </c>
      <c r="S2189" s="2" t="str">
        <f t="shared" si="313"/>
        <v xml:space="preserve"> Not Achieved</v>
      </c>
      <c r="T2189" s="2" t="str">
        <f t="shared" si="314"/>
        <v xml:space="preserve"> Excellent</v>
      </c>
      <c r="U2189" s="2"/>
    </row>
    <row r="2190" spans="1:21" x14ac:dyDescent="0.3">
      <c r="A2190">
        <v>2189</v>
      </c>
      <c r="B2190" t="s">
        <v>3123</v>
      </c>
      <c r="C2190" t="str">
        <f t="shared" si="306"/>
        <v>EMP_2189</v>
      </c>
      <c r="D2190" t="s">
        <v>15</v>
      </c>
      <c r="E2190" t="str">
        <f t="shared" si="307"/>
        <v>EMP_2189Sales</v>
      </c>
      <c r="F2190" t="s">
        <v>7</v>
      </c>
      <c r="G2190" t="s">
        <v>22</v>
      </c>
      <c r="H2190">
        <v>37526</v>
      </c>
      <c r="I2190">
        <v>3063</v>
      </c>
      <c r="J2190">
        <v>151492</v>
      </c>
      <c r="K2190">
        <v>161338</v>
      </c>
      <c r="L2190" s="4" t="s">
        <v>3124</v>
      </c>
      <c r="M2190" s="4" t="str">
        <f t="shared" si="308"/>
        <v>6/23/2024</v>
      </c>
      <c r="N2190" s="1">
        <f t="shared" ca="1" si="309"/>
        <v>46064</v>
      </c>
      <c r="O2190" s="6" t="e">
        <f t="shared" ca="1" si="310"/>
        <v>#VALUE!</v>
      </c>
      <c r="P2190">
        <v>1</v>
      </c>
      <c r="Q2190">
        <f t="shared" si="311"/>
        <v>40589</v>
      </c>
      <c r="R2190" s="2">
        <f t="shared" si="312"/>
        <v>20294.5</v>
      </c>
      <c r="S2190" s="2" t="str">
        <f t="shared" si="313"/>
        <v xml:space="preserve"> Not Achieved</v>
      </c>
      <c r="T2190" s="2" t="str">
        <f t="shared" si="314"/>
        <v>Average</v>
      </c>
      <c r="U2190" s="2"/>
    </row>
    <row r="2191" spans="1:21" x14ac:dyDescent="0.3">
      <c r="A2191">
        <v>2190</v>
      </c>
      <c r="B2191" t="s">
        <v>3125</v>
      </c>
      <c r="C2191" t="str">
        <f t="shared" si="306"/>
        <v>EMP_2190</v>
      </c>
      <c r="D2191" t="s">
        <v>15</v>
      </c>
      <c r="E2191" t="str">
        <f t="shared" si="307"/>
        <v>EMP_2190Finance</v>
      </c>
      <c r="F2191" t="s">
        <v>18</v>
      </c>
      <c r="G2191" t="s">
        <v>13</v>
      </c>
      <c r="H2191">
        <v>30797</v>
      </c>
      <c r="I2191">
        <v>3049</v>
      </c>
      <c r="J2191">
        <v>0</v>
      </c>
      <c r="K2191">
        <v>0</v>
      </c>
      <c r="L2191" s="4">
        <v>44052</v>
      </c>
      <c r="M2191" s="4" t="str">
        <f t="shared" si="308"/>
        <v>2020</v>
      </c>
      <c r="N2191" s="1">
        <f t="shared" ca="1" si="309"/>
        <v>46064</v>
      </c>
      <c r="O2191" s="6">
        <f t="shared" ca="1" si="310"/>
        <v>5</v>
      </c>
      <c r="P2191">
        <v>5</v>
      </c>
      <c r="Q2191">
        <f t="shared" si="311"/>
        <v>33846</v>
      </c>
      <c r="R2191" s="2">
        <f t="shared" si="312"/>
        <v>16923</v>
      </c>
      <c r="S2191" s="2" t="str">
        <f t="shared" si="313"/>
        <v xml:space="preserve"> Not Achieved</v>
      </c>
      <c r="T2191" s="2" t="str">
        <f t="shared" si="314"/>
        <v>Average</v>
      </c>
      <c r="U2191" s="2"/>
    </row>
    <row r="2192" spans="1:21" x14ac:dyDescent="0.3">
      <c r="A2192">
        <v>2191</v>
      </c>
      <c r="B2192" t="s">
        <v>3126</v>
      </c>
      <c r="C2192" t="str">
        <f t="shared" si="306"/>
        <v>EMP_2191</v>
      </c>
      <c r="D2192" t="s">
        <v>11</v>
      </c>
      <c r="E2192" t="str">
        <f t="shared" si="307"/>
        <v>EMP_2191Sales</v>
      </c>
      <c r="F2192" t="s">
        <v>7</v>
      </c>
      <c r="G2192" t="s">
        <v>25</v>
      </c>
      <c r="H2192">
        <v>28429</v>
      </c>
      <c r="I2192">
        <v>11942</v>
      </c>
      <c r="J2192">
        <v>256424</v>
      </c>
      <c r="K2192">
        <v>98608</v>
      </c>
      <c r="L2192" s="4">
        <v>43474</v>
      </c>
      <c r="M2192" s="4" t="str">
        <f t="shared" si="308"/>
        <v>2019</v>
      </c>
      <c r="N2192" s="1">
        <f t="shared" ca="1" si="309"/>
        <v>46064</v>
      </c>
      <c r="O2192" s="6">
        <f t="shared" ca="1" si="310"/>
        <v>7</v>
      </c>
      <c r="P2192">
        <v>3</v>
      </c>
      <c r="Q2192">
        <f t="shared" si="311"/>
        <v>40371</v>
      </c>
      <c r="R2192" s="2">
        <f t="shared" si="312"/>
        <v>20185.5</v>
      </c>
      <c r="S2192" s="2" t="str">
        <f t="shared" si="313"/>
        <v>Achieved</v>
      </c>
      <c r="T2192" s="2" t="str">
        <f t="shared" si="314"/>
        <v>poor</v>
      </c>
      <c r="U2192" s="2"/>
    </row>
    <row r="2193" spans="1:21" x14ac:dyDescent="0.3">
      <c r="A2193">
        <v>2192</v>
      </c>
      <c r="B2193" t="s">
        <v>3127</v>
      </c>
      <c r="C2193" t="str">
        <f t="shared" si="306"/>
        <v>EMP_2192</v>
      </c>
      <c r="D2193" t="s">
        <v>11</v>
      </c>
      <c r="E2193" t="str">
        <f t="shared" si="307"/>
        <v>EMP_2192IT</v>
      </c>
      <c r="F2193" t="s">
        <v>21</v>
      </c>
      <c r="G2193" t="s">
        <v>19</v>
      </c>
      <c r="H2193">
        <v>28561</v>
      </c>
      <c r="I2193">
        <v>11536</v>
      </c>
      <c r="J2193">
        <v>0</v>
      </c>
      <c r="K2193">
        <v>0</v>
      </c>
      <c r="L2193" s="4" t="s">
        <v>3128</v>
      </c>
      <c r="M2193" s="4" t="str">
        <f t="shared" si="308"/>
        <v>11/27/2019</v>
      </c>
      <c r="N2193" s="1">
        <f t="shared" ca="1" si="309"/>
        <v>46064</v>
      </c>
      <c r="O2193" s="6" t="e">
        <f t="shared" ca="1" si="310"/>
        <v>#VALUE!</v>
      </c>
      <c r="P2193">
        <v>1</v>
      </c>
      <c r="Q2193">
        <f t="shared" si="311"/>
        <v>40097</v>
      </c>
      <c r="R2193" s="2">
        <f t="shared" si="312"/>
        <v>20048.5</v>
      </c>
      <c r="S2193" s="2" t="str">
        <f t="shared" si="313"/>
        <v xml:space="preserve"> Not Achieved</v>
      </c>
      <c r="T2193" s="2" t="str">
        <f t="shared" si="314"/>
        <v>poor</v>
      </c>
      <c r="U2193" s="2"/>
    </row>
    <row r="2194" spans="1:21" x14ac:dyDescent="0.3">
      <c r="A2194">
        <v>2193</v>
      </c>
      <c r="B2194" t="s">
        <v>3129</v>
      </c>
      <c r="C2194" t="str">
        <f t="shared" si="306"/>
        <v>EMP_2193</v>
      </c>
      <c r="D2194" t="s">
        <v>11</v>
      </c>
      <c r="E2194" t="str">
        <f t="shared" si="307"/>
        <v>EMP_2193Finance</v>
      </c>
      <c r="F2194" t="s">
        <v>18</v>
      </c>
      <c r="G2194" t="s">
        <v>13</v>
      </c>
      <c r="H2194">
        <v>40562</v>
      </c>
      <c r="I2194">
        <v>3710</v>
      </c>
      <c r="J2194">
        <v>0</v>
      </c>
      <c r="K2194">
        <v>0</v>
      </c>
      <c r="L2194" s="4" t="s">
        <v>3130</v>
      </c>
      <c r="M2194" s="4" t="str">
        <f t="shared" si="308"/>
        <v>5/13/2019</v>
      </c>
      <c r="N2194" s="1">
        <f t="shared" ca="1" si="309"/>
        <v>46064</v>
      </c>
      <c r="O2194" s="6" t="e">
        <f t="shared" ca="1" si="310"/>
        <v>#VALUE!</v>
      </c>
      <c r="P2194">
        <v>3</v>
      </c>
      <c r="Q2194">
        <f t="shared" si="311"/>
        <v>44272</v>
      </c>
      <c r="R2194" s="2">
        <f t="shared" si="312"/>
        <v>22136</v>
      </c>
      <c r="S2194" s="2" t="str">
        <f t="shared" si="313"/>
        <v xml:space="preserve"> Not Achieved</v>
      </c>
      <c r="T2194" s="2" t="str">
        <f t="shared" si="314"/>
        <v>Good</v>
      </c>
      <c r="U2194" s="2"/>
    </row>
    <row r="2195" spans="1:21" x14ac:dyDescent="0.3">
      <c r="A2195">
        <v>2194</v>
      </c>
      <c r="B2195" t="s">
        <v>3131</v>
      </c>
      <c r="C2195" t="str">
        <f t="shared" si="306"/>
        <v>EMP_2194</v>
      </c>
      <c r="D2195" t="s">
        <v>11</v>
      </c>
      <c r="E2195" t="str">
        <f t="shared" si="307"/>
        <v>EMP_2194IT</v>
      </c>
      <c r="F2195" t="s">
        <v>21</v>
      </c>
      <c r="G2195" t="s">
        <v>22</v>
      </c>
      <c r="H2195">
        <v>54636</v>
      </c>
      <c r="I2195">
        <v>7136</v>
      </c>
      <c r="J2195">
        <v>0</v>
      </c>
      <c r="K2195">
        <v>0</v>
      </c>
      <c r="L2195" s="4" t="s">
        <v>399</v>
      </c>
      <c r="M2195" s="4" t="str">
        <f t="shared" si="308"/>
        <v>12/15/2020</v>
      </c>
      <c r="N2195" s="1">
        <f t="shared" ca="1" si="309"/>
        <v>46064</v>
      </c>
      <c r="O2195" s="6" t="e">
        <f t="shared" ca="1" si="310"/>
        <v>#VALUE!</v>
      </c>
      <c r="P2195">
        <v>3</v>
      </c>
      <c r="Q2195">
        <f t="shared" si="311"/>
        <v>61772</v>
      </c>
      <c r="R2195" s="2">
        <f t="shared" si="312"/>
        <v>30886</v>
      </c>
      <c r="S2195" s="2" t="str">
        <f t="shared" si="313"/>
        <v xml:space="preserve"> Not Achieved</v>
      </c>
      <c r="T2195" s="2" t="str">
        <f t="shared" si="314"/>
        <v xml:space="preserve"> Excellent</v>
      </c>
      <c r="U2195" s="2"/>
    </row>
    <row r="2196" spans="1:21" x14ac:dyDescent="0.3">
      <c r="A2196">
        <v>2195</v>
      </c>
      <c r="B2196" t="s">
        <v>3132</v>
      </c>
      <c r="C2196" t="str">
        <f t="shared" si="306"/>
        <v>EMP_2195</v>
      </c>
      <c r="D2196" t="s">
        <v>11</v>
      </c>
      <c r="E2196" t="str">
        <f t="shared" si="307"/>
        <v>EMP_2195HR</v>
      </c>
      <c r="F2196" t="s">
        <v>12</v>
      </c>
      <c r="G2196" t="s">
        <v>22</v>
      </c>
      <c r="H2196">
        <v>32383</v>
      </c>
      <c r="I2196">
        <v>14369</v>
      </c>
      <c r="J2196">
        <v>0</v>
      </c>
      <c r="K2196">
        <v>0</v>
      </c>
      <c r="L2196" s="4" t="s">
        <v>2728</v>
      </c>
      <c r="M2196" s="4" t="str">
        <f t="shared" si="308"/>
        <v>4/16/2019</v>
      </c>
      <c r="N2196" s="1">
        <f t="shared" ca="1" si="309"/>
        <v>46064</v>
      </c>
      <c r="O2196" s="6" t="e">
        <f t="shared" ca="1" si="310"/>
        <v>#VALUE!</v>
      </c>
      <c r="P2196">
        <v>2</v>
      </c>
      <c r="Q2196">
        <f t="shared" si="311"/>
        <v>46752</v>
      </c>
      <c r="R2196" s="2">
        <f t="shared" si="312"/>
        <v>23376</v>
      </c>
      <c r="S2196" s="2" t="str">
        <f t="shared" si="313"/>
        <v xml:space="preserve"> Not Achieved</v>
      </c>
      <c r="T2196" s="2" t="str">
        <f t="shared" si="314"/>
        <v>Average</v>
      </c>
      <c r="U2196" s="2"/>
    </row>
    <row r="2197" spans="1:21" x14ac:dyDescent="0.3">
      <c r="A2197">
        <v>2196</v>
      </c>
      <c r="B2197" t="s">
        <v>3133</v>
      </c>
      <c r="C2197" t="str">
        <f t="shared" si="306"/>
        <v>EMP_2196</v>
      </c>
      <c r="D2197" t="s">
        <v>15</v>
      </c>
      <c r="E2197" t="str">
        <f t="shared" si="307"/>
        <v>EMP_2196Marketing</v>
      </c>
      <c r="F2197" t="s">
        <v>24</v>
      </c>
      <c r="G2197" t="s">
        <v>13</v>
      </c>
      <c r="H2197">
        <v>70529</v>
      </c>
      <c r="I2197">
        <v>5514</v>
      </c>
      <c r="J2197">
        <v>0</v>
      </c>
      <c r="K2197">
        <v>0</v>
      </c>
      <c r="L2197" s="4" t="s">
        <v>611</v>
      </c>
      <c r="M2197" s="4" t="str">
        <f t="shared" si="308"/>
        <v>4/29/2019</v>
      </c>
      <c r="N2197" s="1">
        <f t="shared" ca="1" si="309"/>
        <v>46064</v>
      </c>
      <c r="O2197" s="6" t="e">
        <f t="shared" ca="1" si="310"/>
        <v>#VALUE!</v>
      </c>
      <c r="P2197">
        <v>3</v>
      </c>
      <c r="Q2197">
        <f t="shared" si="311"/>
        <v>76043</v>
      </c>
      <c r="R2197" s="2">
        <f t="shared" si="312"/>
        <v>38021.5</v>
      </c>
      <c r="S2197" s="2" t="str">
        <f t="shared" si="313"/>
        <v xml:space="preserve"> Not Achieved</v>
      </c>
      <c r="T2197" s="2" t="str">
        <f t="shared" si="314"/>
        <v xml:space="preserve"> Excellent</v>
      </c>
      <c r="U2197" s="2"/>
    </row>
    <row r="2198" spans="1:21" x14ac:dyDescent="0.3">
      <c r="A2198">
        <v>2197</v>
      </c>
      <c r="B2198" t="s">
        <v>3134</v>
      </c>
      <c r="C2198" t="str">
        <f t="shared" si="306"/>
        <v>EMP_2197</v>
      </c>
      <c r="D2198" t="s">
        <v>15</v>
      </c>
      <c r="E2198" t="str">
        <f t="shared" si="307"/>
        <v>EMP_2197IT</v>
      </c>
      <c r="F2198" t="s">
        <v>21</v>
      </c>
      <c r="G2198" t="s">
        <v>19</v>
      </c>
      <c r="H2198">
        <v>50586</v>
      </c>
      <c r="I2198">
        <v>11206</v>
      </c>
      <c r="J2198">
        <v>0</v>
      </c>
      <c r="K2198">
        <v>0</v>
      </c>
      <c r="L2198" s="4" t="s">
        <v>3135</v>
      </c>
      <c r="M2198" s="4" t="str">
        <f t="shared" si="308"/>
        <v>4/30/2019</v>
      </c>
      <c r="N2198" s="1">
        <f t="shared" ca="1" si="309"/>
        <v>46064</v>
      </c>
      <c r="O2198" s="6" t="e">
        <f t="shared" ca="1" si="310"/>
        <v>#VALUE!</v>
      </c>
      <c r="P2198">
        <v>1</v>
      </c>
      <c r="Q2198">
        <f t="shared" si="311"/>
        <v>61792</v>
      </c>
      <c r="R2198" s="2">
        <f t="shared" si="312"/>
        <v>30896</v>
      </c>
      <c r="S2198" s="2" t="str">
        <f t="shared" si="313"/>
        <v xml:space="preserve"> Not Achieved</v>
      </c>
      <c r="T2198" s="2" t="str">
        <f t="shared" si="314"/>
        <v xml:space="preserve"> Excellent</v>
      </c>
      <c r="U2198" s="2"/>
    </row>
    <row r="2199" spans="1:21" x14ac:dyDescent="0.3">
      <c r="A2199">
        <v>2198</v>
      </c>
      <c r="B2199" t="s">
        <v>3136</v>
      </c>
      <c r="C2199" t="str">
        <f t="shared" si="306"/>
        <v>EMP_2198</v>
      </c>
      <c r="D2199" t="s">
        <v>15</v>
      </c>
      <c r="E2199" t="str">
        <f t="shared" si="307"/>
        <v>EMP_2198IT</v>
      </c>
      <c r="F2199" t="s">
        <v>21</v>
      </c>
      <c r="G2199" t="s">
        <v>13</v>
      </c>
      <c r="H2199">
        <v>70953</v>
      </c>
      <c r="I2199">
        <v>4471</v>
      </c>
      <c r="J2199">
        <v>0</v>
      </c>
      <c r="K2199">
        <v>0</v>
      </c>
      <c r="L2199" s="4">
        <v>43992</v>
      </c>
      <c r="M2199" s="4" t="str">
        <f t="shared" si="308"/>
        <v>2020</v>
      </c>
      <c r="N2199" s="1">
        <f t="shared" ca="1" si="309"/>
        <v>46064</v>
      </c>
      <c r="O2199" s="6">
        <f t="shared" ca="1" si="310"/>
        <v>5</v>
      </c>
      <c r="P2199">
        <v>4</v>
      </c>
      <c r="Q2199">
        <f t="shared" si="311"/>
        <v>75424</v>
      </c>
      <c r="R2199" s="2">
        <f t="shared" si="312"/>
        <v>37712</v>
      </c>
      <c r="S2199" s="2" t="str">
        <f t="shared" si="313"/>
        <v xml:space="preserve"> Not Achieved</v>
      </c>
      <c r="T2199" s="2" t="str">
        <f t="shared" si="314"/>
        <v xml:space="preserve"> Excellent</v>
      </c>
      <c r="U2199" s="2"/>
    </row>
    <row r="2200" spans="1:21" x14ac:dyDescent="0.3">
      <c r="A2200">
        <v>2199</v>
      </c>
      <c r="B2200" t="s">
        <v>3137</v>
      </c>
      <c r="C2200" t="str">
        <f t="shared" si="306"/>
        <v>EMP_2199</v>
      </c>
      <c r="D2200" t="s">
        <v>11</v>
      </c>
      <c r="E2200" t="str">
        <f t="shared" si="307"/>
        <v>EMP_2199Finance</v>
      </c>
      <c r="F2200" t="s">
        <v>18</v>
      </c>
      <c r="G2200" t="s">
        <v>19</v>
      </c>
      <c r="H2200">
        <v>67954</v>
      </c>
      <c r="I2200">
        <v>3884</v>
      </c>
      <c r="J2200">
        <v>0</v>
      </c>
      <c r="K2200">
        <v>0</v>
      </c>
      <c r="L2200" s="4" t="s">
        <v>2560</v>
      </c>
      <c r="M2200" s="4" t="str">
        <f t="shared" si="308"/>
        <v>2/25/2022</v>
      </c>
      <c r="N2200" s="1">
        <f t="shared" ca="1" si="309"/>
        <v>46064</v>
      </c>
      <c r="O2200" s="6" t="e">
        <f t="shared" ca="1" si="310"/>
        <v>#VALUE!</v>
      </c>
      <c r="P2200">
        <v>2</v>
      </c>
      <c r="Q2200">
        <f t="shared" si="311"/>
        <v>71838</v>
      </c>
      <c r="R2200" s="2">
        <f t="shared" si="312"/>
        <v>35919</v>
      </c>
      <c r="S2200" s="2" t="str">
        <f t="shared" si="313"/>
        <v xml:space="preserve"> Not Achieved</v>
      </c>
      <c r="T2200" s="2" t="str">
        <f t="shared" si="314"/>
        <v xml:space="preserve"> Excellent</v>
      </c>
      <c r="U2200" s="2"/>
    </row>
    <row r="2201" spans="1:21" x14ac:dyDescent="0.3">
      <c r="A2201">
        <v>2200</v>
      </c>
      <c r="B2201" t="s">
        <v>3138</v>
      </c>
      <c r="C2201" t="str">
        <f t="shared" si="306"/>
        <v>EMP_2200</v>
      </c>
      <c r="D2201" t="s">
        <v>15</v>
      </c>
      <c r="E2201" t="str">
        <f t="shared" si="307"/>
        <v>EMP_2200Marketing</v>
      </c>
      <c r="F2201" t="s">
        <v>24</v>
      </c>
      <c r="G2201" t="s">
        <v>19</v>
      </c>
      <c r="H2201">
        <v>45899</v>
      </c>
      <c r="I2201">
        <v>7633</v>
      </c>
      <c r="J2201">
        <v>0</v>
      </c>
      <c r="K2201">
        <v>0</v>
      </c>
      <c r="L2201" s="4" t="s">
        <v>3139</v>
      </c>
      <c r="M2201" s="4" t="str">
        <f t="shared" si="308"/>
        <v>12/28/2019</v>
      </c>
      <c r="N2201" s="1">
        <f t="shared" ca="1" si="309"/>
        <v>46064</v>
      </c>
      <c r="O2201" s="6" t="e">
        <f t="shared" ca="1" si="310"/>
        <v>#VALUE!</v>
      </c>
      <c r="P2201">
        <v>1</v>
      </c>
      <c r="Q2201">
        <f t="shared" si="311"/>
        <v>53532</v>
      </c>
      <c r="R2201" s="2">
        <f t="shared" si="312"/>
        <v>26766</v>
      </c>
      <c r="S2201" s="2" t="str">
        <f t="shared" si="313"/>
        <v xml:space="preserve"> Not Achieved</v>
      </c>
      <c r="T2201" s="2" t="str">
        <f t="shared" si="314"/>
        <v>Good</v>
      </c>
      <c r="U2201" s="2"/>
    </row>
    <row r="2202" spans="1:21" x14ac:dyDescent="0.3">
      <c r="A2202">
        <v>2201</v>
      </c>
      <c r="B2202" t="s">
        <v>3140</v>
      </c>
      <c r="C2202" t="str">
        <f t="shared" si="306"/>
        <v>EMP_2201</v>
      </c>
      <c r="D2202" t="s">
        <v>11</v>
      </c>
      <c r="E2202" t="str">
        <f t="shared" si="307"/>
        <v>EMP_2201Sales</v>
      </c>
      <c r="F2202" t="s">
        <v>7</v>
      </c>
      <c r="G2202" t="s">
        <v>16</v>
      </c>
      <c r="H2202">
        <v>65435</v>
      </c>
      <c r="I2202">
        <v>9411</v>
      </c>
      <c r="J2202">
        <v>88498</v>
      </c>
      <c r="K2202">
        <v>239693</v>
      </c>
      <c r="L2202" s="4" t="s">
        <v>955</v>
      </c>
      <c r="M2202" s="4" t="str">
        <f t="shared" si="308"/>
        <v>4/27/2024</v>
      </c>
      <c r="N2202" s="1">
        <f t="shared" ca="1" si="309"/>
        <v>46064</v>
      </c>
      <c r="O2202" s="6" t="e">
        <f t="shared" ca="1" si="310"/>
        <v>#VALUE!</v>
      </c>
      <c r="P2202">
        <v>3</v>
      </c>
      <c r="Q2202">
        <f t="shared" si="311"/>
        <v>74846</v>
      </c>
      <c r="R2202" s="2">
        <f t="shared" si="312"/>
        <v>37423</v>
      </c>
      <c r="S2202" s="2" t="str">
        <f t="shared" si="313"/>
        <v xml:space="preserve"> Not Achieved</v>
      </c>
      <c r="T2202" s="2" t="str">
        <f t="shared" si="314"/>
        <v xml:space="preserve"> Excellent</v>
      </c>
      <c r="U2202" s="2"/>
    </row>
    <row r="2203" spans="1:21" x14ac:dyDescent="0.3">
      <c r="A2203">
        <v>2202</v>
      </c>
      <c r="B2203" t="s">
        <v>3141</v>
      </c>
      <c r="C2203" t="str">
        <f t="shared" si="306"/>
        <v>EMP_2202</v>
      </c>
      <c r="D2203" t="s">
        <v>15</v>
      </c>
      <c r="E2203" t="str">
        <f t="shared" si="307"/>
        <v>EMP_2202Sales</v>
      </c>
      <c r="F2203" t="s">
        <v>7</v>
      </c>
      <c r="G2203" t="s">
        <v>19</v>
      </c>
      <c r="H2203">
        <v>79494</v>
      </c>
      <c r="I2203">
        <v>2511</v>
      </c>
      <c r="J2203">
        <v>282320</v>
      </c>
      <c r="K2203">
        <v>163892</v>
      </c>
      <c r="L2203" s="4" t="s">
        <v>3142</v>
      </c>
      <c r="M2203" s="4" t="str">
        <f t="shared" si="308"/>
        <v>10/19/2020</v>
      </c>
      <c r="N2203" s="1">
        <f t="shared" ca="1" si="309"/>
        <v>46064</v>
      </c>
      <c r="O2203" s="6" t="e">
        <f t="shared" ca="1" si="310"/>
        <v>#VALUE!</v>
      </c>
      <c r="P2203">
        <v>5</v>
      </c>
      <c r="Q2203">
        <f t="shared" si="311"/>
        <v>82005</v>
      </c>
      <c r="R2203" s="2">
        <f t="shared" si="312"/>
        <v>41002.5</v>
      </c>
      <c r="S2203" s="2" t="str">
        <f t="shared" si="313"/>
        <v>Achieved</v>
      </c>
      <c r="T2203" s="2" t="str">
        <f t="shared" si="314"/>
        <v xml:space="preserve"> Excellent</v>
      </c>
      <c r="U2203" s="2"/>
    </row>
    <row r="2204" spans="1:21" x14ac:dyDescent="0.3">
      <c r="A2204">
        <v>2203</v>
      </c>
      <c r="B2204" t="s">
        <v>3143</v>
      </c>
      <c r="C2204" t="str">
        <f t="shared" si="306"/>
        <v>EMP_2203</v>
      </c>
      <c r="D2204" t="s">
        <v>11</v>
      </c>
      <c r="E2204" t="str">
        <f t="shared" si="307"/>
        <v>EMP_2203Marketing</v>
      </c>
      <c r="F2204" t="s">
        <v>24</v>
      </c>
      <c r="G2204" t="s">
        <v>22</v>
      </c>
      <c r="H2204">
        <v>57606</v>
      </c>
      <c r="I2204">
        <v>7318</v>
      </c>
      <c r="J2204">
        <v>0</v>
      </c>
      <c r="K2204">
        <v>0</v>
      </c>
      <c r="L2204" s="4" t="s">
        <v>3110</v>
      </c>
      <c r="M2204" s="4" t="str">
        <f t="shared" si="308"/>
        <v>4/14/2024</v>
      </c>
      <c r="N2204" s="1">
        <f t="shared" ca="1" si="309"/>
        <v>46064</v>
      </c>
      <c r="O2204" s="6" t="e">
        <f t="shared" ca="1" si="310"/>
        <v>#VALUE!</v>
      </c>
      <c r="P2204">
        <v>1</v>
      </c>
      <c r="Q2204">
        <f t="shared" si="311"/>
        <v>64924</v>
      </c>
      <c r="R2204" s="2">
        <f t="shared" si="312"/>
        <v>32462</v>
      </c>
      <c r="S2204" s="2" t="str">
        <f t="shared" si="313"/>
        <v xml:space="preserve"> Not Achieved</v>
      </c>
      <c r="T2204" s="2" t="str">
        <f t="shared" si="314"/>
        <v xml:space="preserve"> Excellent</v>
      </c>
      <c r="U2204" s="2"/>
    </row>
    <row r="2205" spans="1:21" x14ac:dyDescent="0.3">
      <c r="A2205">
        <v>2204</v>
      </c>
      <c r="B2205" t="s">
        <v>3144</v>
      </c>
      <c r="C2205" t="str">
        <f t="shared" si="306"/>
        <v>EMP_2204</v>
      </c>
      <c r="D2205" t="s">
        <v>15</v>
      </c>
      <c r="E2205" t="str">
        <f t="shared" si="307"/>
        <v>EMP_2204Finance</v>
      </c>
      <c r="F2205" t="s">
        <v>18</v>
      </c>
      <c r="G2205" t="s">
        <v>22</v>
      </c>
      <c r="H2205">
        <v>76639</v>
      </c>
      <c r="I2205">
        <v>6150</v>
      </c>
      <c r="J2205">
        <v>0</v>
      </c>
      <c r="K2205">
        <v>0</v>
      </c>
      <c r="L2205" s="4" t="s">
        <v>3145</v>
      </c>
      <c r="M2205" s="4" t="str">
        <f t="shared" si="308"/>
        <v>2/21/2020</v>
      </c>
      <c r="N2205" s="1">
        <f t="shared" ca="1" si="309"/>
        <v>46064</v>
      </c>
      <c r="O2205" s="6" t="e">
        <f t="shared" ca="1" si="310"/>
        <v>#VALUE!</v>
      </c>
      <c r="P2205">
        <v>2</v>
      </c>
      <c r="Q2205">
        <f t="shared" si="311"/>
        <v>82789</v>
      </c>
      <c r="R2205" s="2">
        <f t="shared" si="312"/>
        <v>41394.5</v>
      </c>
      <c r="S2205" s="2" t="str">
        <f t="shared" si="313"/>
        <v xml:space="preserve"> Not Achieved</v>
      </c>
      <c r="T2205" s="2" t="str">
        <f t="shared" si="314"/>
        <v xml:space="preserve"> Excellent</v>
      </c>
      <c r="U2205" s="2"/>
    </row>
    <row r="2206" spans="1:21" x14ac:dyDescent="0.3">
      <c r="A2206">
        <v>2205</v>
      </c>
      <c r="B2206" t="s">
        <v>3146</v>
      </c>
      <c r="C2206" t="str">
        <f t="shared" si="306"/>
        <v>EMP_2205</v>
      </c>
      <c r="D2206" t="s">
        <v>11</v>
      </c>
      <c r="E2206" t="str">
        <f t="shared" si="307"/>
        <v>EMP_2205Marketing</v>
      </c>
      <c r="F2206" t="s">
        <v>24</v>
      </c>
      <c r="G2206" t="s">
        <v>16</v>
      </c>
      <c r="H2206">
        <v>46828</v>
      </c>
      <c r="I2206">
        <v>2125</v>
      </c>
      <c r="J2206">
        <v>0</v>
      </c>
      <c r="K2206">
        <v>0</v>
      </c>
      <c r="L2206" s="4" t="s">
        <v>1139</v>
      </c>
      <c r="M2206" s="4" t="str">
        <f t="shared" si="308"/>
        <v>2/28/2019</v>
      </c>
      <c r="N2206" s="1">
        <f t="shared" ca="1" si="309"/>
        <v>46064</v>
      </c>
      <c r="O2206" s="6" t="e">
        <f t="shared" ca="1" si="310"/>
        <v>#VALUE!</v>
      </c>
      <c r="P2206">
        <v>3</v>
      </c>
      <c r="Q2206">
        <f t="shared" si="311"/>
        <v>48953</v>
      </c>
      <c r="R2206" s="2">
        <f t="shared" si="312"/>
        <v>24476.5</v>
      </c>
      <c r="S2206" s="2" t="str">
        <f t="shared" si="313"/>
        <v xml:space="preserve"> Not Achieved</v>
      </c>
      <c r="T2206" s="2" t="str">
        <f t="shared" si="314"/>
        <v>Good</v>
      </c>
      <c r="U2206" s="2"/>
    </row>
    <row r="2207" spans="1:21" x14ac:dyDescent="0.3">
      <c r="A2207">
        <v>2206</v>
      </c>
      <c r="B2207" t="s">
        <v>3147</v>
      </c>
      <c r="C2207" t="str">
        <f t="shared" si="306"/>
        <v>EMP_2206</v>
      </c>
      <c r="D2207" t="s">
        <v>15</v>
      </c>
      <c r="E2207" t="str">
        <f t="shared" si="307"/>
        <v>EMP_2206Marketing</v>
      </c>
      <c r="F2207" t="s">
        <v>24</v>
      </c>
      <c r="G2207" t="s">
        <v>22</v>
      </c>
      <c r="H2207">
        <v>49884</v>
      </c>
      <c r="I2207">
        <v>6856</v>
      </c>
      <c r="J2207">
        <v>0</v>
      </c>
      <c r="K2207">
        <v>0</v>
      </c>
      <c r="L2207" s="4" t="s">
        <v>849</v>
      </c>
      <c r="M2207" s="4" t="str">
        <f t="shared" si="308"/>
        <v>12/17/2020</v>
      </c>
      <c r="N2207" s="1">
        <f t="shared" ca="1" si="309"/>
        <v>46064</v>
      </c>
      <c r="O2207" s="6" t="e">
        <f t="shared" ca="1" si="310"/>
        <v>#VALUE!</v>
      </c>
      <c r="P2207">
        <v>4</v>
      </c>
      <c r="Q2207">
        <f t="shared" si="311"/>
        <v>56740</v>
      </c>
      <c r="R2207" s="2">
        <f t="shared" si="312"/>
        <v>28370</v>
      </c>
      <c r="S2207" s="2" t="str">
        <f t="shared" si="313"/>
        <v xml:space="preserve"> Not Achieved</v>
      </c>
      <c r="T2207" s="2" t="str">
        <f t="shared" si="314"/>
        <v>Good</v>
      </c>
      <c r="U2207" s="2"/>
    </row>
    <row r="2208" spans="1:21" x14ac:dyDescent="0.3">
      <c r="A2208">
        <v>2207</v>
      </c>
      <c r="B2208" t="s">
        <v>3148</v>
      </c>
      <c r="C2208" t="str">
        <f t="shared" si="306"/>
        <v>EMP_2207</v>
      </c>
      <c r="D2208" t="s">
        <v>15</v>
      </c>
      <c r="E2208" t="str">
        <f t="shared" si="307"/>
        <v>EMP_2207Sales</v>
      </c>
      <c r="F2208" t="s">
        <v>7</v>
      </c>
      <c r="G2208" t="s">
        <v>13</v>
      </c>
      <c r="H2208">
        <v>20495</v>
      </c>
      <c r="I2208">
        <v>9605</v>
      </c>
      <c r="J2208">
        <v>165329</v>
      </c>
      <c r="K2208">
        <v>197301</v>
      </c>
      <c r="L2208" s="4" t="s">
        <v>1307</v>
      </c>
      <c r="M2208" s="4" t="str">
        <f t="shared" si="308"/>
        <v>12/21/2020</v>
      </c>
      <c r="N2208" s="1">
        <f t="shared" ca="1" si="309"/>
        <v>46064</v>
      </c>
      <c r="O2208" s="6" t="e">
        <f t="shared" ca="1" si="310"/>
        <v>#VALUE!</v>
      </c>
      <c r="P2208">
        <v>5</v>
      </c>
      <c r="Q2208">
        <f t="shared" si="311"/>
        <v>30100</v>
      </c>
      <c r="R2208" s="2">
        <f t="shared" si="312"/>
        <v>15050</v>
      </c>
      <c r="S2208" s="2" t="str">
        <f t="shared" si="313"/>
        <v xml:space="preserve"> Not Achieved</v>
      </c>
      <c r="T2208" s="2" t="str">
        <f t="shared" si="314"/>
        <v>poor</v>
      </c>
      <c r="U2208" s="2"/>
    </row>
    <row r="2209" spans="1:21" x14ac:dyDescent="0.3">
      <c r="A2209">
        <v>2208</v>
      </c>
      <c r="B2209" t="s">
        <v>3149</v>
      </c>
      <c r="C2209" t="str">
        <f t="shared" si="306"/>
        <v>EMP_2208</v>
      </c>
      <c r="D2209" t="s">
        <v>15</v>
      </c>
      <c r="E2209" t="str">
        <f t="shared" si="307"/>
        <v>EMP_2208Marketing</v>
      </c>
      <c r="F2209" t="s">
        <v>24</v>
      </c>
      <c r="G2209" t="s">
        <v>22</v>
      </c>
      <c r="H2209">
        <v>59842</v>
      </c>
      <c r="I2209">
        <v>12006</v>
      </c>
      <c r="J2209">
        <v>0</v>
      </c>
      <c r="K2209">
        <v>0</v>
      </c>
      <c r="L2209" s="4">
        <v>45385</v>
      </c>
      <c r="M2209" s="4" t="str">
        <f t="shared" si="308"/>
        <v>2024</v>
      </c>
      <c r="N2209" s="1">
        <f t="shared" ca="1" si="309"/>
        <v>46064</v>
      </c>
      <c r="O2209" s="6">
        <f t="shared" ca="1" si="310"/>
        <v>1</v>
      </c>
      <c r="P2209">
        <v>1</v>
      </c>
      <c r="Q2209">
        <f t="shared" si="311"/>
        <v>71848</v>
      </c>
      <c r="R2209" s="2">
        <f t="shared" si="312"/>
        <v>35924</v>
      </c>
      <c r="S2209" s="2" t="str">
        <f t="shared" si="313"/>
        <v xml:space="preserve"> Not Achieved</v>
      </c>
      <c r="T2209" s="2" t="str">
        <f t="shared" si="314"/>
        <v xml:space="preserve"> Excellent</v>
      </c>
      <c r="U2209" s="2"/>
    </row>
    <row r="2210" spans="1:21" x14ac:dyDescent="0.3">
      <c r="A2210">
        <v>2209</v>
      </c>
      <c r="B2210" t="s">
        <v>3150</v>
      </c>
      <c r="C2210" t="str">
        <f t="shared" si="306"/>
        <v>EMP_2209</v>
      </c>
      <c r="D2210" t="s">
        <v>15</v>
      </c>
      <c r="E2210" t="str">
        <f t="shared" si="307"/>
        <v>EMP_2209Sales</v>
      </c>
      <c r="F2210" t="s">
        <v>7</v>
      </c>
      <c r="G2210" t="s">
        <v>16</v>
      </c>
      <c r="H2210">
        <v>31849</v>
      </c>
      <c r="I2210">
        <v>9034</v>
      </c>
      <c r="J2210">
        <v>281796</v>
      </c>
      <c r="K2210">
        <v>113331</v>
      </c>
      <c r="L2210" s="4" t="s">
        <v>1148</v>
      </c>
      <c r="M2210" s="4" t="str">
        <f t="shared" si="308"/>
        <v>2/22/2018</v>
      </c>
      <c r="N2210" s="1">
        <f t="shared" ca="1" si="309"/>
        <v>46064</v>
      </c>
      <c r="O2210" s="6" t="e">
        <f t="shared" ca="1" si="310"/>
        <v>#VALUE!</v>
      </c>
      <c r="P2210">
        <v>1</v>
      </c>
      <c r="Q2210">
        <f t="shared" si="311"/>
        <v>40883</v>
      </c>
      <c r="R2210" s="2">
        <f t="shared" si="312"/>
        <v>20441.5</v>
      </c>
      <c r="S2210" s="2" t="str">
        <f t="shared" si="313"/>
        <v>Achieved</v>
      </c>
      <c r="T2210" s="2" t="str">
        <f t="shared" si="314"/>
        <v>Average</v>
      </c>
      <c r="U2210" s="2"/>
    </row>
    <row r="2211" spans="1:21" x14ac:dyDescent="0.3">
      <c r="A2211">
        <v>2210</v>
      </c>
      <c r="B2211" t="s">
        <v>3151</v>
      </c>
      <c r="C2211" t="str">
        <f t="shared" si="306"/>
        <v>EMP_2210</v>
      </c>
      <c r="D2211" t="s">
        <v>15</v>
      </c>
      <c r="E2211" t="str">
        <f t="shared" si="307"/>
        <v>EMP_2210IT</v>
      </c>
      <c r="F2211" t="s">
        <v>21</v>
      </c>
      <c r="G2211" t="s">
        <v>22</v>
      </c>
      <c r="H2211">
        <v>56430</v>
      </c>
      <c r="I2211">
        <v>4305</v>
      </c>
      <c r="J2211">
        <v>0</v>
      </c>
      <c r="K2211">
        <v>0</v>
      </c>
      <c r="L2211" s="4" t="s">
        <v>1912</v>
      </c>
      <c r="M2211" s="4" t="str">
        <f t="shared" si="308"/>
        <v>1/31/2019</v>
      </c>
      <c r="N2211" s="1">
        <f t="shared" ca="1" si="309"/>
        <v>46064</v>
      </c>
      <c r="O2211" s="6" t="e">
        <f t="shared" ca="1" si="310"/>
        <v>#VALUE!</v>
      </c>
      <c r="P2211">
        <v>5</v>
      </c>
      <c r="Q2211">
        <f t="shared" si="311"/>
        <v>60735</v>
      </c>
      <c r="R2211" s="2">
        <f t="shared" si="312"/>
        <v>30367.5</v>
      </c>
      <c r="S2211" s="2" t="str">
        <f t="shared" si="313"/>
        <v xml:space="preserve"> Not Achieved</v>
      </c>
      <c r="T2211" s="2" t="str">
        <f t="shared" si="314"/>
        <v xml:space="preserve"> Excellent</v>
      </c>
      <c r="U2211" s="2"/>
    </row>
    <row r="2212" spans="1:21" x14ac:dyDescent="0.3">
      <c r="A2212">
        <v>2211</v>
      </c>
      <c r="B2212" t="s">
        <v>3152</v>
      </c>
      <c r="C2212" t="str">
        <f t="shared" si="306"/>
        <v>EMP_2211</v>
      </c>
      <c r="D2212" t="s">
        <v>15</v>
      </c>
      <c r="E2212" t="str">
        <f t="shared" si="307"/>
        <v>EMP_2211Marketing</v>
      </c>
      <c r="F2212" t="s">
        <v>24</v>
      </c>
      <c r="G2212" t="s">
        <v>25</v>
      </c>
      <c r="H2212">
        <v>33296</v>
      </c>
      <c r="I2212">
        <v>10698</v>
      </c>
      <c r="J2212">
        <v>0</v>
      </c>
      <c r="K2212">
        <v>0</v>
      </c>
      <c r="L2212" s="4" t="s">
        <v>3153</v>
      </c>
      <c r="M2212" s="4" t="str">
        <f t="shared" si="308"/>
        <v>3/17/2020</v>
      </c>
      <c r="N2212" s="1">
        <f t="shared" ca="1" si="309"/>
        <v>46064</v>
      </c>
      <c r="O2212" s="6" t="e">
        <f t="shared" ca="1" si="310"/>
        <v>#VALUE!</v>
      </c>
      <c r="P2212">
        <v>2</v>
      </c>
      <c r="Q2212">
        <f t="shared" si="311"/>
        <v>43994</v>
      </c>
      <c r="R2212" s="2">
        <f t="shared" si="312"/>
        <v>21997</v>
      </c>
      <c r="S2212" s="2" t="str">
        <f t="shared" si="313"/>
        <v xml:space="preserve"> Not Achieved</v>
      </c>
      <c r="T2212" s="2" t="str">
        <f t="shared" si="314"/>
        <v>Average</v>
      </c>
      <c r="U2212" s="2"/>
    </row>
    <row r="2213" spans="1:21" x14ac:dyDescent="0.3">
      <c r="A2213">
        <v>2212</v>
      </c>
      <c r="B2213" t="s">
        <v>3154</v>
      </c>
      <c r="C2213" t="str">
        <f t="shared" si="306"/>
        <v>EMP_2212</v>
      </c>
      <c r="D2213" t="s">
        <v>11</v>
      </c>
      <c r="E2213" t="str">
        <f t="shared" si="307"/>
        <v>EMP_2212HR</v>
      </c>
      <c r="F2213" t="s">
        <v>12</v>
      </c>
      <c r="G2213" t="s">
        <v>16</v>
      </c>
      <c r="H2213">
        <v>36794</v>
      </c>
      <c r="I2213">
        <v>12955</v>
      </c>
      <c r="J2213">
        <v>0</v>
      </c>
      <c r="K2213">
        <v>0</v>
      </c>
      <c r="L2213" s="4" t="s">
        <v>3155</v>
      </c>
      <c r="M2213" s="4" t="str">
        <f t="shared" si="308"/>
        <v>2/20/2020</v>
      </c>
      <c r="N2213" s="1">
        <f t="shared" ca="1" si="309"/>
        <v>46064</v>
      </c>
      <c r="O2213" s="6" t="e">
        <f t="shared" ca="1" si="310"/>
        <v>#VALUE!</v>
      </c>
      <c r="P2213">
        <v>2</v>
      </c>
      <c r="Q2213">
        <f t="shared" si="311"/>
        <v>49749</v>
      </c>
      <c r="R2213" s="2">
        <f t="shared" si="312"/>
        <v>24874.5</v>
      </c>
      <c r="S2213" s="2" t="str">
        <f t="shared" si="313"/>
        <v xml:space="preserve"> Not Achieved</v>
      </c>
      <c r="T2213" s="2" t="str">
        <f t="shared" si="314"/>
        <v>Average</v>
      </c>
      <c r="U2213" s="2"/>
    </row>
    <row r="2214" spans="1:21" x14ac:dyDescent="0.3">
      <c r="A2214">
        <v>2213</v>
      </c>
      <c r="B2214" t="s">
        <v>3156</v>
      </c>
      <c r="C2214" t="str">
        <f t="shared" si="306"/>
        <v>EMP_2213</v>
      </c>
      <c r="D2214" t="s">
        <v>11</v>
      </c>
      <c r="E2214" t="str">
        <f t="shared" si="307"/>
        <v>EMP_2213Finance</v>
      </c>
      <c r="F2214" t="s">
        <v>18</v>
      </c>
      <c r="G2214" t="s">
        <v>16</v>
      </c>
      <c r="H2214">
        <v>50656</v>
      </c>
      <c r="I2214">
        <v>4029</v>
      </c>
      <c r="J2214">
        <v>0</v>
      </c>
      <c r="K2214">
        <v>0</v>
      </c>
      <c r="L2214" s="4" t="s">
        <v>1007</v>
      </c>
      <c r="M2214" s="4" t="str">
        <f t="shared" si="308"/>
        <v>8/15/2023</v>
      </c>
      <c r="N2214" s="1">
        <f t="shared" ca="1" si="309"/>
        <v>46064</v>
      </c>
      <c r="O2214" s="6" t="e">
        <f t="shared" ca="1" si="310"/>
        <v>#VALUE!</v>
      </c>
      <c r="P2214">
        <v>2</v>
      </c>
      <c r="Q2214">
        <f t="shared" si="311"/>
        <v>54685</v>
      </c>
      <c r="R2214" s="2">
        <f t="shared" si="312"/>
        <v>27342.5</v>
      </c>
      <c r="S2214" s="2" t="str">
        <f t="shared" si="313"/>
        <v xml:space="preserve"> Not Achieved</v>
      </c>
      <c r="T2214" s="2" t="str">
        <f t="shared" si="314"/>
        <v xml:space="preserve"> Excellent</v>
      </c>
      <c r="U2214" s="2"/>
    </row>
    <row r="2215" spans="1:21" x14ac:dyDescent="0.3">
      <c r="A2215">
        <v>2214</v>
      </c>
      <c r="B2215" t="s">
        <v>3157</v>
      </c>
      <c r="C2215" t="str">
        <f t="shared" si="306"/>
        <v>EMP_2214</v>
      </c>
      <c r="D2215" t="s">
        <v>11</v>
      </c>
      <c r="E2215" t="str">
        <f t="shared" si="307"/>
        <v>EMP_2214IT</v>
      </c>
      <c r="F2215" t="s">
        <v>21</v>
      </c>
      <c r="G2215" t="s">
        <v>13</v>
      </c>
      <c r="H2215">
        <v>63483</v>
      </c>
      <c r="I2215">
        <v>6681</v>
      </c>
      <c r="J2215">
        <v>0</v>
      </c>
      <c r="K2215">
        <v>0</v>
      </c>
      <c r="L2215" s="4">
        <v>44045</v>
      </c>
      <c r="M2215" s="4" t="str">
        <f t="shared" si="308"/>
        <v>2020</v>
      </c>
      <c r="N2215" s="1">
        <f t="shared" ca="1" si="309"/>
        <v>46064</v>
      </c>
      <c r="O2215" s="6">
        <f t="shared" ca="1" si="310"/>
        <v>5</v>
      </c>
      <c r="P2215">
        <v>4</v>
      </c>
      <c r="Q2215">
        <f t="shared" si="311"/>
        <v>70164</v>
      </c>
      <c r="R2215" s="2">
        <f t="shared" si="312"/>
        <v>35082</v>
      </c>
      <c r="S2215" s="2" t="str">
        <f t="shared" si="313"/>
        <v xml:space="preserve"> Not Achieved</v>
      </c>
      <c r="T2215" s="2" t="str">
        <f t="shared" si="314"/>
        <v xml:space="preserve"> Excellent</v>
      </c>
      <c r="U2215" s="2"/>
    </row>
    <row r="2216" spans="1:21" x14ac:dyDescent="0.3">
      <c r="A2216">
        <v>2215</v>
      </c>
      <c r="B2216" t="s">
        <v>3158</v>
      </c>
      <c r="C2216" t="str">
        <f t="shared" si="306"/>
        <v>EMP_2215</v>
      </c>
      <c r="D2216" t="s">
        <v>11</v>
      </c>
      <c r="E2216" t="str">
        <f t="shared" si="307"/>
        <v>EMP_2215IT</v>
      </c>
      <c r="F2216" t="s">
        <v>21</v>
      </c>
      <c r="G2216" t="s">
        <v>22</v>
      </c>
      <c r="H2216">
        <v>28172</v>
      </c>
      <c r="I2216">
        <v>13272</v>
      </c>
      <c r="J2216">
        <v>0</v>
      </c>
      <c r="K2216">
        <v>0</v>
      </c>
      <c r="L2216" s="4" t="s">
        <v>3159</v>
      </c>
      <c r="M2216" s="4" t="str">
        <f t="shared" si="308"/>
        <v>2/21/2019</v>
      </c>
      <c r="N2216" s="1">
        <f t="shared" ca="1" si="309"/>
        <v>46064</v>
      </c>
      <c r="O2216" s="6" t="e">
        <f t="shared" ca="1" si="310"/>
        <v>#VALUE!</v>
      </c>
      <c r="P2216">
        <v>1</v>
      </c>
      <c r="Q2216">
        <f t="shared" si="311"/>
        <v>41444</v>
      </c>
      <c r="R2216" s="2">
        <f t="shared" si="312"/>
        <v>20722</v>
      </c>
      <c r="S2216" s="2" t="str">
        <f t="shared" si="313"/>
        <v xml:space="preserve"> Not Achieved</v>
      </c>
      <c r="T2216" s="2" t="str">
        <f t="shared" si="314"/>
        <v>poor</v>
      </c>
      <c r="U2216" s="2"/>
    </row>
    <row r="2217" spans="1:21" x14ac:dyDescent="0.3">
      <c r="A2217">
        <v>2216</v>
      </c>
      <c r="B2217" t="s">
        <v>3160</v>
      </c>
      <c r="C2217" t="str">
        <f t="shared" si="306"/>
        <v>EMP_2216</v>
      </c>
      <c r="D2217" t="s">
        <v>15</v>
      </c>
      <c r="E2217" t="str">
        <f t="shared" si="307"/>
        <v>EMP_2216Finance</v>
      </c>
      <c r="F2217" t="s">
        <v>18</v>
      </c>
      <c r="G2217" t="s">
        <v>25</v>
      </c>
      <c r="H2217">
        <v>46356</v>
      </c>
      <c r="I2217">
        <v>7388</v>
      </c>
      <c r="J2217">
        <v>0</v>
      </c>
      <c r="K2217">
        <v>0</v>
      </c>
      <c r="L2217" s="4" t="s">
        <v>2525</v>
      </c>
      <c r="M2217" s="4" t="str">
        <f t="shared" si="308"/>
        <v>11/22/2024</v>
      </c>
      <c r="N2217" s="1">
        <f t="shared" ca="1" si="309"/>
        <v>46064</v>
      </c>
      <c r="O2217" s="6" t="e">
        <f t="shared" ca="1" si="310"/>
        <v>#VALUE!</v>
      </c>
      <c r="P2217">
        <v>5</v>
      </c>
      <c r="Q2217">
        <f t="shared" si="311"/>
        <v>53744</v>
      </c>
      <c r="R2217" s="2">
        <f t="shared" si="312"/>
        <v>26872</v>
      </c>
      <c r="S2217" s="2" t="str">
        <f t="shared" si="313"/>
        <v xml:space="preserve"> Not Achieved</v>
      </c>
      <c r="T2217" s="2" t="str">
        <f t="shared" si="314"/>
        <v>Good</v>
      </c>
      <c r="U2217" s="2"/>
    </row>
    <row r="2218" spans="1:21" x14ac:dyDescent="0.3">
      <c r="A2218">
        <v>2217</v>
      </c>
      <c r="B2218" t="s">
        <v>3161</v>
      </c>
      <c r="C2218" t="str">
        <f t="shared" si="306"/>
        <v>EMP_2217</v>
      </c>
      <c r="D2218" t="s">
        <v>11</v>
      </c>
      <c r="E2218" t="str">
        <f t="shared" si="307"/>
        <v>EMP_2217HR</v>
      </c>
      <c r="F2218" t="s">
        <v>12</v>
      </c>
      <c r="G2218" t="s">
        <v>22</v>
      </c>
      <c r="H2218">
        <v>79270</v>
      </c>
      <c r="I2218">
        <v>4541</v>
      </c>
      <c r="J2218">
        <v>0</v>
      </c>
      <c r="K2218">
        <v>0</v>
      </c>
      <c r="L2218" s="4">
        <v>45384</v>
      </c>
      <c r="M2218" s="4" t="str">
        <f t="shared" si="308"/>
        <v>2024</v>
      </c>
      <c r="N2218" s="1">
        <f t="shared" ca="1" si="309"/>
        <v>46064</v>
      </c>
      <c r="O2218" s="6">
        <f t="shared" ca="1" si="310"/>
        <v>1</v>
      </c>
      <c r="P2218">
        <v>4</v>
      </c>
      <c r="Q2218">
        <f t="shared" si="311"/>
        <v>83811</v>
      </c>
      <c r="R2218" s="2">
        <f t="shared" si="312"/>
        <v>41905.5</v>
      </c>
      <c r="S2218" s="2" t="str">
        <f t="shared" si="313"/>
        <v xml:space="preserve"> Not Achieved</v>
      </c>
      <c r="T2218" s="2" t="str">
        <f t="shared" si="314"/>
        <v xml:space="preserve"> Excellent</v>
      </c>
      <c r="U2218" s="2"/>
    </row>
    <row r="2219" spans="1:21" x14ac:dyDescent="0.3">
      <c r="A2219">
        <v>2218</v>
      </c>
      <c r="B2219" t="s">
        <v>3162</v>
      </c>
      <c r="C2219" t="str">
        <f t="shared" si="306"/>
        <v>EMP_2218</v>
      </c>
      <c r="D2219" t="s">
        <v>15</v>
      </c>
      <c r="E2219" t="str">
        <f t="shared" si="307"/>
        <v>EMP_2218IT</v>
      </c>
      <c r="F2219" t="s">
        <v>21</v>
      </c>
      <c r="G2219" t="s">
        <v>25</v>
      </c>
      <c r="H2219">
        <v>50208</v>
      </c>
      <c r="I2219">
        <v>5050</v>
      </c>
      <c r="J2219">
        <v>0</v>
      </c>
      <c r="K2219">
        <v>0</v>
      </c>
      <c r="L2219" s="4" t="s">
        <v>1899</v>
      </c>
      <c r="M2219" s="4" t="str">
        <f t="shared" si="308"/>
        <v>5/25/2022</v>
      </c>
      <c r="N2219" s="1">
        <f t="shared" ca="1" si="309"/>
        <v>46064</v>
      </c>
      <c r="O2219" s="6" t="e">
        <f t="shared" ca="1" si="310"/>
        <v>#VALUE!</v>
      </c>
      <c r="P2219">
        <v>2</v>
      </c>
      <c r="Q2219">
        <f t="shared" si="311"/>
        <v>55258</v>
      </c>
      <c r="R2219" s="2">
        <f t="shared" si="312"/>
        <v>27629</v>
      </c>
      <c r="S2219" s="2" t="str">
        <f t="shared" si="313"/>
        <v xml:space="preserve"> Not Achieved</v>
      </c>
      <c r="T2219" s="2" t="str">
        <f t="shared" si="314"/>
        <v xml:space="preserve"> Excellent</v>
      </c>
      <c r="U2219" s="2"/>
    </row>
    <row r="2220" spans="1:21" x14ac:dyDescent="0.3">
      <c r="A2220">
        <v>2219</v>
      </c>
      <c r="B2220" t="s">
        <v>3163</v>
      </c>
      <c r="C2220" t="str">
        <f t="shared" si="306"/>
        <v>EMP_2219</v>
      </c>
      <c r="D2220" t="s">
        <v>11</v>
      </c>
      <c r="E2220" t="str">
        <f t="shared" si="307"/>
        <v>EMP_2219IT</v>
      </c>
      <c r="F2220" t="s">
        <v>21</v>
      </c>
      <c r="G2220" t="s">
        <v>16</v>
      </c>
      <c r="H2220">
        <v>75866</v>
      </c>
      <c r="I2220">
        <v>4893</v>
      </c>
      <c r="J2220">
        <v>0</v>
      </c>
      <c r="K2220">
        <v>0</v>
      </c>
      <c r="L2220" s="4">
        <v>45485</v>
      </c>
      <c r="M2220" s="4" t="str">
        <f t="shared" si="308"/>
        <v>2024</v>
      </c>
      <c r="N2220" s="1">
        <f t="shared" ca="1" si="309"/>
        <v>46064</v>
      </c>
      <c r="O2220" s="6">
        <f t="shared" ca="1" si="310"/>
        <v>1</v>
      </c>
      <c r="P2220">
        <v>3</v>
      </c>
      <c r="Q2220">
        <f t="shared" si="311"/>
        <v>80759</v>
      </c>
      <c r="R2220" s="2">
        <f t="shared" si="312"/>
        <v>40379.5</v>
      </c>
      <c r="S2220" s="2" t="str">
        <f t="shared" si="313"/>
        <v xml:space="preserve"> Not Achieved</v>
      </c>
      <c r="T2220" s="2" t="str">
        <f t="shared" si="314"/>
        <v xml:space="preserve"> Excellent</v>
      </c>
      <c r="U2220" s="2"/>
    </row>
    <row r="2221" spans="1:21" x14ac:dyDescent="0.3">
      <c r="A2221">
        <v>2220</v>
      </c>
      <c r="B2221" t="s">
        <v>3164</v>
      </c>
      <c r="C2221" t="str">
        <f t="shared" si="306"/>
        <v>EMP_2220</v>
      </c>
      <c r="D2221" t="s">
        <v>15</v>
      </c>
      <c r="E2221" t="str">
        <f t="shared" si="307"/>
        <v>EMP_2220HR</v>
      </c>
      <c r="F2221" t="s">
        <v>12</v>
      </c>
      <c r="G2221" t="s">
        <v>22</v>
      </c>
      <c r="H2221">
        <v>21435</v>
      </c>
      <c r="I2221">
        <v>4062</v>
      </c>
      <c r="J2221">
        <v>0</v>
      </c>
      <c r="K2221">
        <v>0</v>
      </c>
      <c r="L2221" s="4">
        <v>43647</v>
      </c>
      <c r="M2221" s="4" t="str">
        <f t="shared" si="308"/>
        <v>2019</v>
      </c>
      <c r="N2221" s="1">
        <f t="shared" ca="1" si="309"/>
        <v>46064</v>
      </c>
      <c r="O2221" s="6">
        <f t="shared" ca="1" si="310"/>
        <v>6</v>
      </c>
      <c r="P2221">
        <v>1</v>
      </c>
      <c r="Q2221">
        <f t="shared" si="311"/>
        <v>25497</v>
      </c>
      <c r="R2221" s="2">
        <f t="shared" si="312"/>
        <v>12748.5</v>
      </c>
      <c r="S2221" s="2" t="str">
        <f t="shared" si="313"/>
        <v xml:space="preserve"> Not Achieved</v>
      </c>
      <c r="T2221" s="2" t="str">
        <f t="shared" si="314"/>
        <v>poor</v>
      </c>
      <c r="U2221" s="2"/>
    </row>
    <row r="2222" spans="1:21" x14ac:dyDescent="0.3">
      <c r="A2222">
        <v>2221</v>
      </c>
      <c r="B2222" t="s">
        <v>3165</v>
      </c>
      <c r="C2222" t="str">
        <f t="shared" si="306"/>
        <v>EMP_2221</v>
      </c>
      <c r="D2222" t="s">
        <v>15</v>
      </c>
      <c r="E2222" t="str">
        <f t="shared" si="307"/>
        <v>EMP_2221Finance</v>
      </c>
      <c r="F2222" t="s">
        <v>18</v>
      </c>
      <c r="G2222" t="s">
        <v>19</v>
      </c>
      <c r="H2222">
        <v>40156</v>
      </c>
      <c r="I2222">
        <v>3617</v>
      </c>
      <c r="J2222">
        <v>0</v>
      </c>
      <c r="K2222">
        <v>0</v>
      </c>
      <c r="L2222" s="4" t="s">
        <v>2868</v>
      </c>
      <c r="M2222" s="4" t="str">
        <f t="shared" si="308"/>
        <v>5/19/2020</v>
      </c>
      <c r="N2222" s="1">
        <f t="shared" ca="1" si="309"/>
        <v>46064</v>
      </c>
      <c r="O2222" s="6" t="e">
        <f t="shared" ca="1" si="310"/>
        <v>#VALUE!</v>
      </c>
      <c r="P2222">
        <v>2</v>
      </c>
      <c r="Q2222">
        <f t="shared" si="311"/>
        <v>43773</v>
      </c>
      <c r="R2222" s="2">
        <f t="shared" si="312"/>
        <v>21886.5</v>
      </c>
      <c r="S2222" s="2" t="str">
        <f t="shared" si="313"/>
        <v xml:space="preserve"> Not Achieved</v>
      </c>
      <c r="T2222" s="2" t="str">
        <f t="shared" si="314"/>
        <v>Good</v>
      </c>
      <c r="U2222" s="2"/>
    </row>
    <row r="2223" spans="1:21" x14ac:dyDescent="0.3">
      <c r="A2223">
        <v>2222</v>
      </c>
      <c r="B2223" t="s">
        <v>3166</v>
      </c>
      <c r="C2223" t="str">
        <f t="shared" si="306"/>
        <v>EMP_2222</v>
      </c>
      <c r="D2223" t="s">
        <v>15</v>
      </c>
      <c r="E2223" t="str">
        <f t="shared" si="307"/>
        <v>EMP_2222Marketing</v>
      </c>
      <c r="F2223" t="s">
        <v>24</v>
      </c>
      <c r="G2223" t="s">
        <v>13</v>
      </c>
      <c r="H2223">
        <v>74029</v>
      </c>
      <c r="I2223">
        <v>3508</v>
      </c>
      <c r="J2223">
        <v>0</v>
      </c>
      <c r="K2223">
        <v>0</v>
      </c>
      <c r="L2223" s="4">
        <v>44808</v>
      </c>
      <c r="M2223" s="4" t="str">
        <f t="shared" si="308"/>
        <v>2022</v>
      </c>
      <c r="N2223" s="1">
        <f t="shared" ca="1" si="309"/>
        <v>46064</v>
      </c>
      <c r="O2223" s="6">
        <f t="shared" ca="1" si="310"/>
        <v>3</v>
      </c>
      <c r="P2223">
        <v>5</v>
      </c>
      <c r="Q2223">
        <f t="shared" si="311"/>
        <v>77537</v>
      </c>
      <c r="R2223" s="2">
        <f t="shared" si="312"/>
        <v>38768.5</v>
      </c>
      <c r="S2223" s="2" t="str">
        <f t="shared" si="313"/>
        <v xml:space="preserve"> Not Achieved</v>
      </c>
      <c r="T2223" s="2" t="str">
        <f t="shared" si="314"/>
        <v xml:space="preserve"> Excellent</v>
      </c>
      <c r="U2223" s="2"/>
    </row>
    <row r="2224" spans="1:21" x14ac:dyDescent="0.3">
      <c r="A2224">
        <v>2223</v>
      </c>
      <c r="B2224" t="s">
        <v>3167</v>
      </c>
      <c r="C2224" t="str">
        <f t="shared" si="306"/>
        <v>EMP_2223</v>
      </c>
      <c r="D2224" t="s">
        <v>15</v>
      </c>
      <c r="E2224" t="str">
        <f t="shared" si="307"/>
        <v>EMP_2223Sales</v>
      </c>
      <c r="F2224" t="s">
        <v>7</v>
      </c>
      <c r="G2224" t="s">
        <v>13</v>
      </c>
      <c r="H2224">
        <v>66650</v>
      </c>
      <c r="I2224">
        <v>14990</v>
      </c>
      <c r="J2224">
        <v>80729</v>
      </c>
      <c r="K2224">
        <v>168356</v>
      </c>
      <c r="L2224" s="4" t="s">
        <v>1654</v>
      </c>
      <c r="M2224" s="4" t="str">
        <f t="shared" si="308"/>
        <v>5/28/2021</v>
      </c>
      <c r="N2224" s="1">
        <f t="shared" ca="1" si="309"/>
        <v>46064</v>
      </c>
      <c r="O2224" s="6" t="e">
        <f t="shared" ca="1" si="310"/>
        <v>#VALUE!</v>
      </c>
      <c r="P2224">
        <v>3</v>
      </c>
      <c r="Q2224">
        <f t="shared" si="311"/>
        <v>81640</v>
      </c>
      <c r="R2224" s="2">
        <f t="shared" si="312"/>
        <v>40820</v>
      </c>
      <c r="S2224" s="2" t="str">
        <f t="shared" si="313"/>
        <v xml:space="preserve"> Not Achieved</v>
      </c>
      <c r="T2224" s="2" t="str">
        <f t="shared" si="314"/>
        <v xml:space="preserve"> Excellent</v>
      </c>
      <c r="U2224" s="2"/>
    </row>
    <row r="2225" spans="1:21" x14ac:dyDescent="0.3">
      <c r="A2225">
        <v>2224</v>
      </c>
      <c r="B2225" t="s">
        <v>3168</v>
      </c>
      <c r="C2225" t="str">
        <f t="shared" si="306"/>
        <v>EMP_2224</v>
      </c>
      <c r="D2225" t="s">
        <v>15</v>
      </c>
      <c r="E2225" t="str">
        <f t="shared" si="307"/>
        <v>EMP_2224Finance</v>
      </c>
      <c r="F2225" t="s">
        <v>18</v>
      </c>
      <c r="G2225" t="s">
        <v>25</v>
      </c>
      <c r="H2225">
        <v>54871</v>
      </c>
      <c r="I2225">
        <v>14535</v>
      </c>
      <c r="J2225">
        <v>0</v>
      </c>
      <c r="K2225">
        <v>0</v>
      </c>
      <c r="L2225" s="4" t="s">
        <v>736</v>
      </c>
      <c r="M2225" s="4" t="str">
        <f t="shared" si="308"/>
        <v>5/22/2021</v>
      </c>
      <c r="N2225" s="1">
        <f t="shared" ca="1" si="309"/>
        <v>46064</v>
      </c>
      <c r="O2225" s="6" t="e">
        <f t="shared" ca="1" si="310"/>
        <v>#VALUE!</v>
      </c>
      <c r="P2225">
        <v>2</v>
      </c>
      <c r="Q2225">
        <f t="shared" si="311"/>
        <v>69406</v>
      </c>
      <c r="R2225" s="2">
        <f t="shared" si="312"/>
        <v>34703</v>
      </c>
      <c r="S2225" s="2" t="str">
        <f t="shared" si="313"/>
        <v xml:space="preserve"> Not Achieved</v>
      </c>
      <c r="T2225" s="2" t="str">
        <f t="shared" si="314"/>
        <v xml:space="preserve"> Excellent</v>
      </c>
      <c r="U2225" s="2"/>
    </row>
    <row r="2226" spans="1:21" x14ac:dyDescent="0.3">
      <c r="A2226">
        <v>2225</v>
      </c>
      <c r="B2226" t="s">
        <v>3169</v>
      </c>
      <c r="C2226" t="str">
        <f t="shared" si="306"/>
        <v>EMP_2225</v>
      </c>
      <c r="D2226" t="s">
        <v>15</v>
      </c>
      <c r="E2226" t="str">
        <f t="shared" si="307"/>
        <v>EMP_2225Marketing</v>
      </c>
      <c r="F2226" t="s">
        <v>24</v>
      </c>
      <c r="G2226" t="s">
        <v>25</v>
      </c>
      <c r="H2226">
        <v>51215</v>
      </c>
      <c r="I2226">
        <v>11224</v>
      </c>
      <c r="J2226">
        <v>0</v>
      </c>
      <c r="K2226">
        <v>0</v>
      </c>
      <c r="L2226" s="4">
        <v>44564</v>
      </c>
      <c r="M2226" s="4" t="str">
        <f t="shared" si="308"/>
        <v>2022</v>
      </c>
      <c r="N2226" s="1">
        <f t="shared" ca="1" si="309"/>
        <v>46064</v>
      </c>
      <c r="O2226" s="6">
        <f t="shared" ca="1" si="310"/>
        <v>4</v>
      </c>
      <c r="P2226">
        <v>1</v>
      </c>
      <c r="Q2226">
        <f t="shared" si="311"/>
        <v>62439</v>
      </c>
      <c r="R2226" s="2">
        <f t="shared" si="312"/>
        <v>31219.5</v>
      </c>
      <c r="S2226" s="2" t="str">
        <f t="shared" si="313"/>
        <v xml:space="preserve"> Not Achieved</v>
      </c>
      <c r="T2226" s="2" t="str">
        <f t="shared" si="314"/>
        <v xml:space="preserve"> Excellent</v>
      </c>
      <c r="U2226" s="2"/>
    </row>
    <row r="2227" spans="1:21" x14ac:dyDescent="0.3">
      <c r="A2227">
        <v>2226</v>
      </c>
      <c r="B2227" t="s">
        <v>3170</v>
      </c>
      <c r="C2227" t="str">
        <f t="shared" si="306"/>
        <v>EMP_2226</v>
      </c>
      <c r="D2227" t="s">
        <v>11</v>
      </c>
      <c r="E2227" t="str">
        <f t="shared" si="307"/>
        <v>EMP_2226Marketing</v>
      </c>
      <c r="F2227" t="s">
        <v>24</v>
      </c>
      <c r="G2227" t="s">
        <v>16</v>
      </c>
      <c r="H2227">
        <v>29487</v>
      </c>
      <c r="I2227">
        <v>12847</v>
      </c>
      <c r="J2227">
        <v>0</v>
      </c>
      <c r="K2227">
        <v>0</v>
      </c>
      <c r="L2227" s="4" t="s">
        <v>232</v>
      </c>
      <c r="M2227" s="4" t="str">
        <f t="shared" si="308"/>
        <v>5/23/2022</v>
      </c>
      <c r="N2227" s="1">
        <f t="shared" ca="1" si="309"/>
        <v>46064</v>
      </c>
      <c r="O2227" s="6" t="e">
        <f t="shared" ca="1" si="310"/>
        <v>#VALUE!</v>
      </c>
      <c r="P2227">
        <v>1</v>
      </c>
      <c r="Q2227">
        <f t="shared" si="311"/>
        <v>42334</v>
      </c>
      <c r="R2227" s="2">
        <f t="shared" si="312"/>
        <v>21167</v>
      </c>
      <c r="S2227" s="2" t="str">
        <f t="shared" si="313"/>
        <v xml:space="preserve"> Not Achieved</v>
      </c>
      <c r="T2227" s="2" t="str">
        <f t="shared" si="314"/>
        <v>poor</v>
      </c>
      <c r="U2227" s="2"/>
    </row>
    <row r="2228" spans="1:21" x14ac:dyDescent="0.3">
      <c r="A2228">
        <v>2227</v>
      </c>
      <c r="B2228" t="s">
        <v>3171</v>
      </c>
      <c r="C2228" t="str">
        <f t="shared" si="306"/>
        <v>EMP_2227</v>
      </c>
      <c r="D2228" t="s">
        <v>11</v>
      </c>
      <c r="E2228" t="str">
        <f t="shared" si="307"/>
        <v>EMP_2227HR</v>
      </c>
      <c r="F2228" t="s">
        <v>12</v>
      </c>
      <c r="G2228" t="s">
        <v>13</v>
      </c>
      <c r="H2228">
        <v>61919</v>
      </c>
      <c r="I2228">
        <v>5086</v>
      </c>
      <c r="J2228">
        <v>0</v>
      </c>
      <c r="K2228">
        <v>0</v>
      </c>
      <c r="L2228" s="4" t="s">
        <v>938</v>
      </c>
      <c r="M2228" s="4" t="str">
        <f t="shared" si="308"/>
        <v>2/27/2024</v>
      </c>
      <c r="N2228" s="1">
        <f t="shared" ca="1" si="309"/>
        <v>46064</v>
      </c>
      <c r="O2228" s="6" t="e">
        <f t="shared" ca="1" si="310"/>
        <v>#VALUE!</v>
      </c>
      <c r="P2228">
        <v>4</v>
      </c>
      <c r="Q2228">
        <f t="shared" si="311"/>
        <v>67005</v>
      </c>
      <c r="R2228" s="2">
        <f t="shared" si="312"/>
        <v>33502.5</v>
      </c>
      <c r="S2228" s="2" t="str">
        <f t="shared" si="313"/>
        <v xml:space="preserve"> Not Achieved</v>
      </c>
      <c r="T2228" s="2" t="str">
        <f t="shared" si="314"/>
        <v xml:space="preserve"> Excellent</v>
      </c>
      <c r="U2228" s="2"/>
    </row>
    <row r="2229" spans="1:21" x14ac:dyDescent="0.3">
      <c r="A2229">
        <v>2228</v>
      </c>
      <c r="B2229" t="s">
        <v>3172</v>
      </c>
      <c r="C2229" t="str">
        <f t="shared" si="306"/>
        <v>EMP_2228</v>
      </c>
      <c r="D2229" t="s">
        <v>15</v>
      </c>
      <c r="E2229" t="str">
        <f t="shared" si="307"/>
        <v>EMP_2228Finance</v>
      </c>
      <c r="F2229" t="s">
        <v>18</v>
      </c>
      <c r="G2229" t="s">
        <v>19</v>
      </c>
      <c r="H2229">
        <v>44317</v>
      </c>
      <c r="I2229">
        <v>9097</v>
      </c>
      <c r="J2229">
        <v>0</v>
      </c>
      <c r="K2229">
        <v>0</v>
      </c>
      <c r="L2229" s="4" t="s">
        <v>501</v>
      </c>
      <c r="M2229" s="4" t="str">
        <f t="shared" si="308"/>
        <v>5/22/2018</v>
      </c>
      <c r="N2229" s="1">
        <f t="shared" ca="1" si="309"/>
        <v>46064</v>
      </c>
      <c r="O2229" s="6" t="e">
        <f t="shared" ca="1" si="310"/>
        <v>#VALUE!</v>
      </c>
      <c r="P2229">
        <v>3</v>
      </c>
      <c r="Q2229">
        <f t="shared" si="311"/>
        <v>53414</v>
      </c>
      <c r="R2229" s="2">
        <f t="shared" si="312"/>
        <v>26707</v>
      </c>
      <c r="S2229" s="2" t="str">
        <f t="shared" si="313"/>
        <v xml:space="preserve"> Not Achieved</v>
      </c>
      <c r="T2229" s="2" t="str">
        <f t="shared" si="314"/>
        <v>Good</v>
      </c>
      <c r="U2229" s="2"/>
    </row>
    <row r="2230" spans="1:21" x14ac:dyDescent="0.3">
      <c r="A2230">
        <v>2229</v>
      </c>
      <c r="B2230" t="s">
        <v>3173</v>
      </c>
      <c r="C2230" t="str">
        <f t="shared" si="306"/>
        <v>EMP_2229</v>
      </c>
      <c r="D2230" t="s">
        <v>11</v>
      </c>
      <c r="E2230" t="str">
        <f t="shared" si="307"/>
        <v>EMP_2229Finance</v>
      </c>
      <c r="F2230" t="s">
        <v>18</v>
      </c>
      <c r="G2230" t="s">
        <v>13</v>
      </c>
      <c r="H2230">
        <v>50476</v>
      </c>
      <c r="I2230">
        <v>12750</v>
      </c>
      <c r="J2230">
        <v>0</v>
      </c>
      <c r="K2230">
        <v>0</v>
      </c>
      <c r="L2230" s="4" t="s">
        <v>1638</v>
      </c>
      <c r="M2230" s="4" t="str">
        <f t="shared" si="308"/>
        <v>10/25/2018</v>
      </c>
      <c r="N2230" s="1">
        <f t="shared" ca="1" si="309"/>
        <v>46064</v>
      </c>
      <c r="O2230" s="6" t="e">
        <f t="shared" ca="1" si="310"/>
        <v>#VALUE!</v>
      </c>
      <c r="P2230">
        <v>2</v>
      </c>
      <c r="Q2230">
        <f t="shared" si="311"/>
        <v>63226</v>
      </c>
      <c r="R2230" s="2">
        <f t="shared" si="312"/>
        <v>31613</v>
      </c>
      <c r="S2230" s="2" t="str">
        <f t="shared" si="313"/>
        <v xml:space="preserve"> Not Achieved</v>
      </c>
      <c r="T2230" s="2" t="str">
        <f t="shared" si="314"/>
        <v xml:space="preserve"> Excellent</v>
      </c>
      <c r="U2230" s="2"/>
    </row>
    <row r="2231" spans="1:21" x14ac:dyDescent="0.3">
      <c r="A2231">
        <v>2230</v>
      </c>
      <c r="B2231" t="s">
        <v>3174</v>
      </c>
      <c r="C2231" t="str">
        <f t="shared" si="306"/>
        <v>EMP_2230</v>
      </c>
      <c r="D2231" t="s">
        <v>15</v>
      </c>
      <c r="E2231" t="str">
        <f t="shared" si="307"/>
        <v>EMP_2230HR</v>
      </c>
      <c r="F2231" t="s">
        <v>12</v>
      </c>
      <c r="G2231" t="s">
        <v>22</v>
      </c>
      <c r="H2231">
        <v>70711</v>
      </c>
      <c r="I2231">
        <v>5745</v>
      </c>
      <c r="J2231">
        <v>0</v>
      </c>
      <c r="K2231">
        <v>0</v>
      </c>
      <c r="L2231" s="4">
        <v>44630</v>
      </c>
      <c r="M2231" s="4" t="str">
        <f t="shared" si="308"/>
        <v>2022</v>
      </c>
      <c r="N2231" s="1">
        <f t="shared" ca="1" si="309"/>
        <v>46064</v>
      </c>
      <c r="O2231" s="6">
        <f t="shared" ca="1" si="310"/>
        <v>3</v>
      </c>
      <c r="P2231">
        <v>2</v>
      </c>
      <c r="Q2231">
        <f t="shared" si="311"/>
        <v>76456</v>
      </c>
      <c r="R2231" s="2">
        <f t="shared" si="312"/>
        <v>38228</v>
      </c>
      <c r="S2231" s="2" t="str">
        <f t="shared" si="313"/>
        <v xml:space="preserve"> Not Achieved</v>
      </c>
      <c r="T2231" s="2" t="str">
        <f t="shared" si="314"/>
        <v xml:space="preserve"> Excellent</v>
      </c>
      <c r="U2231" s="2"/>
    </row>
    <row r="2232" spans="1:21" x14ac:dyDescent="0.3">
      <c r="A2232">
        <v>2231</v>
      </c>
      <c r="B2232" t="s">
        <v>3175</v>
      </c>
      <c r="C2232" t="str">
        <f t="shared" si="306"/>
        <v>EMP_2231</v>
      </c>
      <c r="D2232" t="s">
        <v>11</v>
      </c>
      <c r="E2232" t="str">
        <f t="shared" si="307"/>
        <v>EMP_2231Marketing</v>
      </c>
      <c r="F2232" t="s">
        <v>24</v>
      </c>
      <c r="G2232" t="s">
        <v>22</v>
      </c>
      <c r="H2232">
        <v>77625</v>
      </c>
      <c r="I2232">
        <v>3660</v>
      </c>
      <c r="J2232">
        <v>0</v>
      </c>
      <c r="K2232">
        <v>0</v>
      </c>
      <c r="L2232" s="4" t="s">
        <v>1034</v>
      </c>
      <c r="M2232" s="4" t="str">
        <f t="shared" si="308"/>
        <v>8/18/2024</v>
      </c>
      <c r="N2232" s="1">
        <f t="shared" ca="1" si="309"/>
        <v>46064</v>
      </c>
      <c r="O2232" s="6" t="e">
        <f t="shared" ca="1" si="310"/>
        <v>#VALUE!</v>
      </c>
      <c r="P2232">
        <v>2</v>
      </c>
      <c r="Q2232">
        <f t="shared" si="311"/>
        <v>81285</v>
      </c>
      <c r="R2232" s="2">
        <f t="shared" si="312"/>
        <v>40642.5</v>
      </c>
      <c r="S2232" s="2" t="str">
        <f t="shared" si="313"/>
        <v xml:space="preserve"> Not Achieved</v>
      </c>
      <c r="T2232" s="2" t="str">
        <f t="shared" si="314"/>
        <v xml:space="preserve"> Excellent</v>
      </c>
      <c r="U2232" s="2"/>
    </row>
    <row r="2233" spans="1:21" x14ac:dyDescent="0.3">
      <c r="A2233">
        <v>2232</v>
      </c>
      <c r="B2233" t="s">
        <v>3176</v>
      </c>
      <c r="C2233" t="str">
        <f t="shared" si="306"/>
        <v>EMP_2232</v>
      </c>
      <c r="D2233" t="s">
        <v>11</v>
      </c>
      <c r="E2233" t="str">
        <f t="shared" si="307"/>
        <v>EMP_2232Sales</v>
      </c>
      <c r="F2233" t="s">
        <v>7</v>
      </c>
      <c r="G2233" t="s">
        <v>22</v>
      </c>
      <c r="H2233">
        <v>38979</v>
      </c>
      <c r="I2233">
        <v>9632</v>
      </c>
      <c r="J2233">
        <v>70892</v>
      </c>
      <c r="K2233">
        <v>147509</v>
      </c>
      <c r="L2233" s="4">
        <v>44656</v>
      </c>
      <c r="M2233" s="4" t="str">
        <f t="shared" si="308"/>
        <v>2022</v>
      </c>
      <c r="N2233" s="1">
        <f t="shared" ca="1" si="309"/>
        <v>46064</v>
      </c>
      <c r="O2233" s="6">
        <f t="shared" ca="1" si="310"/>
        <v>3</v>
      </c>
      <c r="P2233">
        <v>1</v>
      </c>
      <c r="Q2233">
        <f t="shared" si="311"/>
        <v>48611</v>
      </c>
      <c r="R2233" s="2">
        <f t="shared" si="312"/>
        <v>24305.5</v>
      </c>
      <c r="S2233" s="2" t="str">
        <f t="shared" si="313"/>
        <v xml:space="preserve"> Not Achieved</v>
      </c>
      <c r="T2233" s="2" t="str">
        <f t="shared" si="314"/>
        <v>Average</v>
      </c>
      <c r="U2233" s="2"/>
    </row>
    <row r="2234" spans="1:21" x14ac:dyDescent="0.3">
      <c r="A2234">
        <v>2233</v>
      </c>
      <c r="B2234" t="s">
        <v>3177</v>
      </c>
      <c r="C2234" t="str">
        <f t="shared" si="306"/>
        <v>EMP_2233</v>
      </c>
      <c r="D2234" t="s">
        <v>15</v>
      </c>
      <c r="E2234" t="str">
        <f t="shared" si="307"/>
        <v>EMP_2233IT</v>
      </c>
      <c r="F2234" t="s">
        <v>21</v>
      </c>
      <c r="G2234" t="s">
        <v>13</v>
      </c>
      <c r="H2234">
        <v>62373</v>
      </c>
      <c r="I2234">
        <v>2405</v>
      </c>
      <c r="J2234">
        <v>0</v>
      </c>
      <c r="K2234">
        <v>0</v>
      </c>
      <c r="L2234" s="4" t="s">
        <v>2860</v>
      </c>
      <c r="M2234" s="4" t="str">
        <f t="shared" si="308"/>
        <v>11/25/2019</v>
      </c>
      <c r="N2234" s="1">
        <f t="shared" ca="1" si="309"/>
        <v>46064</v>
      </c>
      <c r="O2234" s="6" t="e">
        <f t="shared" ca="1" si="310"/>
        <v>#VALUE!</v>
      </c>
      <c r="P2234">
        <v>4</v>
      </c>
      <c r="Q2234">
        <f t="shared" si="311"/>
        <v>64778</v>
      </c>
      <c r="R2234" s="2">
        <f t="shared" si="312"/>
        <v>32389</v>
      </c>
      <c r="S2234" s="2" t="str">
        <f t="shared" si="313"/>
        <v xml:space="preserve"> Not Achieved</v>
      </c>
      <c r="T2234" s="2" t="str">
        <f t="shared" si="314"/>
        <v xml:space="preserve"> Excellent</v>
      </c>
      <c r="U2234" s="2"/>
    </row>
    <row r="2235" spans="1:21" x14ac:dyDescent="0.3">
      <c r="A2235">
        <v>2234</v>
      </c>
      <c r="B2235" t="s">
        <v>3178</v>
      </c>
      <c r="C2235" t="str">
        <f t="shared" si="306"/>
        <v>EMP_2234</v>
      </c>
      <c r="D2235" t="s">
        <v>15</v>
      </c>
      <c r="E2235" t="str">
        <f t="shared" si="307"/>
        <v>EMP_2234Sales</v>
      </c>
      <c r="F2235" t="s">
        <v>7</v>
      </c>
      <c r="G2235" t="s">
        <v>16</v>
      </c>
      <c r="H2235">
        <v>47785</v>
      </c>
      <c r="I2235">
        <v>5966</v>
      </c>
      <c r="J2235">
        <v>241406</v>
      </c>
      <c r="K2235">
        <v>191961</v>
      </c>
      <c r="L2235" s="4" t="s">
        <v>3179</v>
      </c>
      <c r="M2235" s="4" t="str">
        <f t="shared" si="308"/>
        <v>11/28/2022</v>
      </c>
      <c r="N2235" s="1">
        <f t="shared" ca="1" si="309"/>
        <v>46064</v>
      </c>
      <c r="O2235" s="6" t="e">
        <f t="shared" ca="1" si="310"/>
        <v>#VALUE!</v>
      </c>
      <c r="P2235">
        <v>1</v>
      </c>
      <c r="Q2235">
        <f t="shared" si="311"/>
        <v>53751</v>
      </c>
      <c r="R2235" s="2">
        <f t="shared" si="312"/>
        <v>26875.5</v>
      </c>
      <c r="S2235" s="2" t="str">
        <f t="shared" si="313"/>
        <v>Achieved</v>
      </c>
      <c r="T2235" s="2" t="str">
        <f t="shared" si="314"/>
        <v>Good</v>
      </c>
      <c r="U2235" s="2"/>
    </row>
    <row r="2236" spans="1:21" x14ac:dyDescent="0.3">
      <c r="A2236">
        <v>2235</v>
      </c>
      <c r="B2236" t="s">
        <v>3180</v>
      </c>
      <c r="C2236" t="str">
        <f t="shared" si="306"/>
        <v>EMP_2235</v>
      </c>
      <c r="D2236" t="s">
        <v>15</v>
      </c>
      <c r="E2236" t="str">
        <f t="shared" si="307"/>
        <v>EMP_2235HR</v>
      </c>
      <c r="F2236" t="s">
        <v>12</v>
      </c>
      <c r="G2236" t="s">
        <v>25</v>
      </c>
      <c r="H2236">
        <v>55073</v>
      </c>
      <c r="I2236">
        <v>5480</v>
      </c>
      <c r="J2236">
        <v>0</v>
      </c>
      <c r="K2236">
        <v>0</v>
      </c>
      <c r="L2236" s="4" t="s">
        <v>946</v>
      </c>
      <c r="M2236" s="4" t="str">
        <f t="shared" si="308"/>
        <v>10/20/2019</v>
      </c>
      <c r="N2236" s="1">
        <f t="shared" ca="1" si="309"/>
        <v>46064</v>
      </c>
      <c r="O2236" s="6" t="e">
        <f t="shared" ca="1" si="310"/>
        <v>#VALUE!</v>
      </c>
      <c r="P2236">
        <v>5</v>
      </c>
      <c r="Q2236">
        <f t="shared" si="311"/>
        <v>60553</v>
      </c>
      <c r="R2236" s="2">
        <f t="shared" si="312"/>
        <v>30276.5</v>
      </c>
      <c r="S2236" s="2" t="str">
        <f t="shared" si="313"/>
        <v xml:space="preserve"> Not Achieved</v>
      </c>
      <c r="T2236" s="2" t="str">
        <f t="shared" si="314"/>
        <v xml:space="preserve"> Excellent</v>
      </c>
      <c r="U2236" s="2"/>
    </row>
    <row r="2237" spans="1:21" x14ac:dyDescent="0.3">
      <c r="A2237">
        <v>2236</v>
      </c>
      <c r="B2237" t="s">
        <v>3181</v>
      </c>
      <c r="C2237" t="str">
        <f t="shared" si="306"/>
        <v>EMP_2236</v>
      </c>
      <c r="D2237" t="s">
        <v>11</v>
      </c>
      <c r="E2237" t="str">
        <f t="shared" si="307"/>
        <v>EMP_2236HR</v>
      </c>
      <c r="F2237" t="s">
        <v>12</v>
      </c>
      <c r="G2237" t="s">
        <v>19</v>
      </c>
      <c r="H2237">
        <v>29050</v>
      </c>
      <c r="I2237">
        <v>14545</v>
      </c>
      <c r="J2237">
        <v>0</v>
      </c>
      <c r="K2237">
        <v>0</v>
      </c>
      <c r="L2237" s="4" t="s">
        <v>146</v>
      </c>
      <c r="M2237" s="4" t="str">
        <f t="shared" si="308"/>
        <v>11/20/2018</v>
      </c>
      <c r="N2237" s="1">
        <f t="shared" ca="1" si="309"/>
        <v>46064</v>
      </c>
      <c r="O2237" s="6" t="e">
        <f t="shared" ca="1" si="310"/>
        <v>#VALUE!</v>
      </c>
      <c r="P2237">
        <v>3</v>
      </c>
      <c r="Q2237">
        <f t="shared" si="311"/>
        <v>43595</v>
      </c>
      <c r="R2237" s="2">
        <f t="shared" si="312"/>
        <v>21797.5</v>
      </c>
      <c r="S2237" s="2" t="str">
        <f t="shared" si="313"/>
        <v xml:space="preserve"> Not Achieved</v>
      </c>
      <c r="T2237" s="2" t="str">
        <f t="shared" si="314"/>
        <v>poor</v>
      </c>
      <c r="U2237" s="2"/>
    </row>
    <row r="2238" spans="1:21" x14ac:dyDescent="0.3">
      <c r="A2238">
        <v>2237</v>
      </c>
      <c r="B2238" t="s">
        <v>3182</v>
      </c>
      <c r="C2238" t="str">
        <f t="shared" si="306"/>
        <v>EMP_2237</v>
      </c>
      <c r="D2238" t="s">
        <v>11</v>
      </c>
      <c r="E2238" t="str">
        <f t="shared" si="307"/>
        <v>EMP_2237Finance</v>
      </c>
      <c r="F2238" t="s">
        <v>18</v>
      </c>
      <c r="G2238" t="s">
        <v>19</v>
      </c>
      <c r="H2238">
        <v>27636</v>
      </c>
      <c r="I2238">
        <v>9597</v>
      </c>
      <c r="J2238">
        <v>0</v>
      </c>
      <c r="K2238">
        <v>0</v>
      </c>
      <c r="L2238" s="4">
        <v>43717</v>
      </c>
      <c r="M2238" s="4" t="str">
        <f t="shared" si="308"/>
        <v>2019</v>
      </c>
      <c r="N2238" s="1">
        <f t="shared" ca="1" si="309"/>
        <v>46064</v>
      </c>
      <c r="O2238" s="6">
        <f t="shared" ca="1" si="310"/>
        <v>6</v>
      </c>
      <c r="P2238">
        <v>5</v>
      </c>
      <c r="Q2238">
        <f t="shared" si="311"/>
        <v>37233</v>
      </c>
      <c r="R2238" s="2">
        <f t="shared" si="312"/>
        <v>18616.5</v>
      </c>
      <c r="S2238" s="2" t="str">
        <f t="shared" si="313"/>
        <v xml:space="preserve"> Not Achieved</v>
      </c>
      <c r="T2238" s="2" t="str">
        <f t="shared" si="314"/>
        <v>poor</v>
      </c>
      <c r="U2238" s="2"/>
    </row>
    <row r="2239" spans="1:21" x14ac:dyDescent="0.3">
      <c r="A2239">
        <v>2238</v>
      </c>
      <c r="B2239" t="s">
        <v>3183</v>
      </c>
      <c r="C2239" t="str">
        <f t="shared" si="306"/>
        <v>EMP_2238</v>
      </c>
      <c r="D2239" t="s">
        <v>11</v>
      </c>
      <c r="E2239" t="str">
        <f t="shared" si="307"/>
        <v>EMP_2238HR</v>
      </c>
      <c r="F2239" t="s">
        <v>12</v>
      </c>
      <c r="G2239" t="s">
        <v>25</v>
      </c>
      <c r="H2239">
        <v>75000</v>
      </c>
      <c r="I2239">
        <v>10918</v>
      </c>
      <c r="J2239">
        <v>0</v>
      </c>
      <c r="K2239">
        <v>0</v>
      </c>
      <c r="L2239" s="4" t="s">
        <v>3184</v>
      </c>
      <c r="M2239" s="4" t="str">
        <f t="shared" si="308"/>
        <v>5/28/2020</v>
      </c>
      <c r="N2239" s="1">
        <f t="shared" ca="1" si="309"/>
        <v>46064</v>
      </c>
      <c r="O2239" s="6" t="e">
        <f t="shared" ca="1" si="310"/>
        <v>#VALUE!</v>
      </c>
      <c r="P2239">
        <v>2</v>
      </c>
      <c r="Q2239">
        <f t="shared" si="311"/>
        <v>85918</v>
      </c>
      <c r="R2239" s="2">
        <f t="shared" si="312"/>
        <v>42959</v>
      </c>
      <c r="S2239" s="2" t="str">
        <f t="shared" si="313"/>
        <v xml:space="preserve"> Not Achieved</v>
      </c>
      <c r="T2239" s="2" t="str">
        <f t="shared" si="314"/>
        <v xml:space="preserve"> Excellent</v>
      </c>
      <c r="U2239" s="2"/>
    </row>
    <row r="2240" spans="1:21" x14ac:dyDescent="0.3">
      <c r="A2240">
        <v>2239</v>
      </c>
      <c r="B2240" t="s">
        <v>3185</v>
      </c>
      <c r="C2240" t="str">
        <f t="shared" si="306"/>
        <v>EMP_2239</v>
      </c>
      <c r="D2240" t="s">
        <v>11</v>
      </c>
      <c r="E2240" t="str">
        <f t="shared" si="307"/>
        <v>EMP_2239HR</v>
      </c>
      <c r="F2240" t="s">
        <v>12</v>
      </c>
      <c r="G2240" t="s">
        <v>19</v>
      </c>
      <c r="H2240">
        <v>41168</v>
      </c>
      <c r="I2240">
        <v>4508</v>
      </c>
      <c r="J2240">
        <v>0</v>
      </c>
      <c r="K2240">
        <v>0</v>
      </c>
      <c r="L2240" s="4" t="s">
        <v>3186</v>
      </c>
      <c r="M2240" s="4" t="str">
        <f t="shared" si="308"/>
        <v>1/23/2024</v>
      </c>
      <c r="N2240" s="1">
        <f t="shared" ca="1" si="309"/>
        <v>46064</v>
      </c>
      <c r="O2240" s="6" t="e">
        <f t="shared" ca="1" si="310"/>
        <v>#VALUE!</v>
      </c>
      <c r="P2240">
        <v>3</v>
      </c>
      <c r="Q2240">
        <f t="shared" si="311"/>
        <v>45676</v>
      </c>
      <c r="R2240" s="2">
        <f t="shared" si="312"/>
        <v>22838</v>
      </c>
      <c r="S2240" s="2" t="str">
        <f t="shared" si="313"/>
        <v xml:space="preserve"> Not Achieved</v>
      </c>
      <c r="T2240" s="2" t="str">
        <f t="shared" si="314"/>
        <v>Good</v>
      </c>
      <c r="U2240" s="2"/>
    </row>
    <row r="2241" spans="1:21" x14ac:dyDescent="0.3">
      <c r="A2241">
        <v>2240</v>
      </c>
      <c r="B2241" t="s">
        <v>3187</v>
      </c>
      <c r="C2241" t="str">
        <f t="shared" si="306"/>
        <v>EMP_2240</v>
      </c>
      <c r="D2241" t="s">
        <v>15</v>
      </c>
      <c r="E2241" t="str">
        <f t="shared" si="307"/>
        <v>EMP_2240Finance</v>
      </c>
      <c r="F2241" t="s">
        <v>18</v>
      </c>
      <c r="G2241" t="s">
        <v>13</v>
      </c>
      <c r="H2241">
        <v>64305</v>
      </c>
      <c r="I2241">
        <v>5724</v>
      </c>
      <c r="J2241">
        <v>0</v>
      </c>
      <c r="K2241">
        <v>0</v>
      </c>
      <c r="L2241" s="4" t="s">
        <v>3139</v>
      </c>
      <c r="M2241" s="4" t="str">
        <f t="shared" si="308"/>
        <v>12/28/2019</v>
      </c>
      <c r="N2241" s="1">
        <f t="shared" ca="1" si="309"/>
        <v>46064</v>
      </c>
      <c r="O2241" s="6" t="e">
        <f t="shared" ca="1" si="310"/>
        <v>#VALUE!</v>
      </c>
      <c r="P2241">
        <v>4</v>
      </c>
      <c r="Q2241">
        <f t="shared" si="311"/>
        <v>70029</v>
      </c>
      <c r="R2241" s="2">
        <f t="shared" si="312"/>
        <v>35014.5</v>
      </c>
      <c r="S2241" s="2" t="str">
        <f t="shared" si="313"/>
        <v xml:space="preserve"> Not Achieved</v>
      </c>
      <c r="T2241" s="2" t="str">
        <f t="shared" si="314"/>
        <v xml:space="preserve"> Excellent</v>
      </c>
      <c r="U2241" s="2"/>
    </row>
    <row r="2242" spans="1:21" x14ac:dyDescent="0.3">
      <c r="A2242">
        <v>2241</v>
      </c>
      <c r="B2242" t="s">
        <v>3188</v>
      </c>
      <c r="C2242" t="str">
        <f t="shared" si="306"/>
        <v>EMP_2241</v>
      </c>
      <c r="D2242" t="s">
        <v>11</v>
      </c>
      <c r="E2242" t="str">
        <f t="shared" si="307"/>
        <v>EMP_2241Sales</v>
      </c>
      <c r="F2242" t="s">
        <v>7</v>
      </c>
      <c r="G2242" t="s">
        <v>19</v>
      </c>
      <c r="H2242">
        <v>69184</v>
      </c>
      <c r="I2242">
        <v>12148</v>
      </c>
      <c r="J2242">
        <v>182437</v>
      </c>
      <c r="K2242">
        <v>111830</v>
      </c>
      <c r="L2242" s="4" t="s">
        <v>711</v>
      </c>
      <c r="M2242" s="4" t="str">
        <f t="shared" si="308"/>
        <v>10/21/2018</v>
      </c>
      <c r="N2242" s="1">
        <f t="shared" ca="1" si="309"/>
        <v>46064</v>
      </c>
      <c r="O2242" s="6" t="e">
        <f t="shared" ca="1" si="310"/>
        <v>#VALUE!</v>
      </c>
      <c r="P2242">
        <v>3</v>
      </c>
      <c r="Q2242">
        <f t="shared" si="311"/>
        <v>81332</v>
      </c>
      <c r="R2242" s="2">
        <f t="shared" si="312"/>
        <v>40666</v>
      </c>
      <c r="S2242" s="2" t="str">
        <f t="shared" si="313"/>
        <v>Achieved</v>
      </c>
      <c r="T2242" s="2" t="str">
        <f t="shared" si="314"/>
        <v xml:space="preserve"> Excellent</v>
      </c>
      <c r="U2242" s="2"/>
    </row>
    <row r="2243" spans="1:21" x14ac:dyDescent="0.3">
      <c r="A2243">
        <v>2242</v>
      </c>
      <c r="B2243" t="s">
        <v>3189</v>
      </c>
      <c r="C2243" t="str">
        <f t="shared" ref="C2243:C2306" si="315">UPPER(B2243)</f>
        <v>EMP_2242</v>
      </c>
      <c r="D2243" t="s">
        <v>15</v>
      </c>
      <c r="E2243" t="str">
        <f t="shared" ref="E2243:E2306" si="316">_xlfn.CONCAT(C2243,F2243)</f>
        <v>EMP_2242IT</v>
      </c>
      <c r="F2243" t="s">
        <v>21</v>
      </c>
      <c r="G2243" t="s">
        <v>25</v>
      </c>
      <c r="H2243">
        <v>50898</v>
      </c>
      <c r="I2243">
        <v>10342</v>
      </c>
      <c r="J2243">
        <v>0</v>
      </c>
      <c r="K2243">
        <v>0</v>
      </c>
      <c r="L2243" s="4" t="s">
        <v>3190</v>
      </c>
      <c r="M2243" s="4" t="str">
        <f t="shared" ref="M2243:M2306" si="317">TEXT(L2243,"yyyy")</f>
        <v>8/21/2021</v>
      </c>
      <c r="N2243" s="1">
        <f t="shared" ref="N2243:N2306" ca="1" si="318">TODAY()</f>
        <v>46064</v>
      </c>
      <c r="O2243" s="6" t="e">
        <f t="shared" ref="O2243:O2306" ca="1" si="319">DATEDIF(L2243, TODAY(), "y")</f>
        <v>#VALUE!</v>
      </c>
      <c r="P2243">
        <v>5</v>
      </c>
      <c r="Q2243">
        <f t="shared" ref="Q2243:Q2306" si="320">SUM(H2243,I2243)</f>
        <v>61240</v>
      </c>
      <c r="R2243" s="2">
        <f t="shared" ref="R2243:R2306" si="321">AVERAGE(H2243,I2243)</f>
        <v>30620</v>
      </c>
      <c r="S2243" s="2" t="str">
        <f t="shared" ref="S2243:S2306" si="322">IF(J2243&gt;K2243,"Achieved"," Not Achieved")</f>
        <v xml:space="preserve"> Not Achieved</v>
      </c>
      <c r="T2243" s="2" t="str">
        <f t="shared" ref="T2243:T2306" si="323">_xlfn.IFS(H2243&gt;=50000," Excellent",H2243&gt;=40000,"Good",H2243&gt;=30000,"Average",H2243&lt;30000,"poor")</f>
        <v xml:space="preserve"> Excellent</v>
      </c>
      <c r="U2243" s="2"/>
    </row>
    <row r="2244" spans="1:21" x14ac:dyDescent="0.3">
      <c r="A2244">
        <v>2243</v>
      </c>
      <c r="B2244" t="s">
        <v>3191</v>
      </c>
      <c r="C2244" t="str">
        <f t="shared" si="315"/>
        <v>EMP_2243</v>
      </c>
      <c r="D2244" t="s">
        <v>15</v>
      </c>
      <c r="E2244" t="str">
        <f t="shared" si="316"/>
        <v>EMP_2243HR</v>
      </c>
      <c r="F2244" t="s">
        <v>12</v>
      </c>
      <c r="G2244" t="s">
        <v>13</v>
      </c>
      <c r="H2244">
        <v>34082</v>
      </c>
      <c r="I2244">
        <v>3944</v>
      </c>
      <c r="J2244">
        <v>0</v>
      </c>
      <c r="K2244">
        <v>0</v>
      </c>
      <c r="L2244" s="4" t="s">
        <v>1674</v>
      </c>
      <c r="M2244" s="4" t="str">
        <f t="shared" si="317"/>
        <v>9/28/2019</v>
      </c>
      <c r="N2244" s="1">
        <f t="shared" ca="1" si="318"/>
        <v>46064</v>
      </c>
      <c r="O2244" s="6" t="e">
        <f t="shared" ca="1" si="319"/>
        <v>#VALUE!</v>
      </c>
      <c r="P2244">
        <v>3</v>
      </c>
      <c r="Q2244">
        <f t="shared" si="320"/>
        <v>38026</v>
      </c>
      <c r="R2244" s="2">
        <f t="shared" si="321"/>
        <v>19013</v>
      </c>
      <c r="S2244" s="2" t="str">
        <f t="shared" si="322"/>
        <v xml:space="preserve"> Not Achieved</v>
      </c>
      <c r="T2244" s="2" t="str">
        <f t="shared" si="323"/>
        <v>Average</v>
      </c>
      <c r="U2244" s="2"/>
    </row>
    <row r="2245" spans="1:21" x14ac:dyDescent="0.3">
      <c r="A2245">
        <v>2244</v>
      </c>
      <c r="B2245" t="s">
        <v>3192</v>
      </c>
      <c r="C2245" t="str">
        <f t="shared" si="315"/>
        <v>EMP_2244</v>
      </c>
      <c r="D2245" t="s">
        <v>15</v>
      </c>
      <c r="E2245" t="str">
        <f t="shared" si="316"/>
        <v>EMP_2244HR</v>
      </c>
      <c r="F2245" t="s">
        <v>12</v>
      </c>
      <c r="G2245" t="s">
        <v>16</v>
      </c>
      <c r="H2245">
        <v>76463</v>
      </c>
      <c r="I2245">
        <v>4013</v>
      </c>
      <c r="J2245">
        <v>0</v>
      </c>
      <c r="K2245">
        <v>0</v>
      </c>
      <c r="L2245" s="4" t="s">
        <v>207</v>
      </c>
      <c r="M2245" s="4" t="str">
        <f t="shared" si="317"/>
        <v>6/14/2018</v>
      </c>
      <c r="N2245" s="1">
        <f t="shared" ca="1" si="318"/>
        <v>46064</v>
      </c>
      <c r="O2245" s="6" t="e">
        <f t="shared" ca="1" si="319"/>
        <v>#VALUE!</v>
      </c>
      <c r="P2245">
        <v>3</v>
      </c>
      <c r="Q2245">
        <f t="shared" si="320"/>
        <v>80476</v>
      </c>
      <c r="R2245" s="2">
        <f t="shared" si="321"/>
        <v>40238</v>
      </c>
      <c r="S2245" s="2" t="str">
        <f t="shared" si="322"/>
        <v xml:space="preserve"> Not Achieved</v>
      </c>
      <c r="T2245" s="2" t="str">
        <f t="shared" si="323"/>
        <v xml:space="preserve"> Excellent</v>
      </c>
      <c r="U2245" s="2"/>
    </row>
    <row r="2246" spans="1:21" x14ac:dyDescent="0.3">
      <c r="A2246">
        <v>2245</v>
      </c>
      <c r="B2246" t="s">
        <v>3193</v>
      </c>
      <c r="C2246" t="str">
        <f t="shared" si="315"/>
        <v>EMP_2245</v>
      </c>
      <c r="D2246" t="s">
        <v>11</v>
      </c>
      <c r="E2246" t="str">
        <f t="shared" si="316"/>
        <v>EMP_2245HR</v>
      </c>
      <c r="F2246" t="s">
        <v>12</v>
      </c>
      <c r="G2246" t="s">
        <v>16</v>
      </c>
      <c r="H2246">
        <v>27425</v>
      </c>
      <c r="I2246">
        <v>9453</v>
      </c>
      <c r="J2246">
        <v>0</v>
      </c>
      <c r="K2246">
        <v>0</v>
      </c>
      <c r="L2246" s="4" t="s">
        <v>3194</v>
      </c>
      <c r="M2246" s="4" t="str">
        <f t="shared" si="317"/>
        <v>8/27/2018</v>
      </c>
      <c r="N2246" s="1">
        <f t="shared" ca="1" si="318"/>
        <v>46064</v>
      </c>
      <c r="O2246" s="6" t="e">
        <f t="shared" ca="1" si="319"/>
        <v>#VALUE!</v>
      </c>
      <c r="P2246">
        <v>4</v>
      </c>
      <c r="Q2246">
        <f t="shared" si="320"/>
        <v>36878</v>
      </c>
      <c r="R2246" s="2">
        <f t="shared" si="321"/>
        <v>18439</v>
      </c>
      <c r="S2246" s="2" t="str">
        <f t="shared" si="322"/>
        <v xml:space="preserve"> Not Achieved</v>
      </c>
      <c r="T2246" s="2" t="str">
        <f t="shared" si="323"/>
        <v>poor</v>
      </c>
      <c r="U2246" s="2"/>
    </row>
    <row r="2247" spans="1:21" x14ac:dyDescent="0.3">
      <c r="A2247">
        <v>2246</v>
      </c>
      <c r="B2247" t="s">
        <v>3195</v>
      </c>
      <c r="C2247" t="str">
        <f t="shared" si="315"/>
        <v>EMP_2246</v>
      </c>
      <c r="D2247" t="s">
        <v>15</v>
      </c>
      <c r="E2247" t="str">
        <f t="shared" si="316"/>
        <v>EMP_2246IT</v>
      </c>
      <c r="F2247" t="s">
        <v>21</v>
      </c>
      <c r="G2247" t="s">
        <v>19</v>
      </c>
      <c r="H2247">
        <v>44611</v>
      </c>
      <c r="I2247">
        <v>3366</v>
      </c>
      <c r="J2247">
        <v>0</v>
      </c>
      <c r="K2247">
        <v>0</v>
      </c>
      <c r="L2247" s="4" t="s">
        <v>3196</v>
      </c>
      <c r="M2247" s="4" t="str">
        <f t="shared" si="317"/>
        <v>4/22/2023</v>
      </c>
      <c r="N2247" s="1">
        <f t="shared" ca="1" si="318"/>
        <v>46064</v>
      </c>
      <c r="O2247" s="6" t="e">
        <f t="shared" ca="1" si="319"/>
        <v>#VALUE!</v>
      </c>
      <c r="P2247">
        <v>4</v>
      </c>
      <c r="Q2247">
        <f t="shared" si="320"/>
        <v>47977</v>
      </c>
      <c r="R2247" s="2">
        <f t="shared" si="321"/>
        <v>23988.5</v>
      </c>
      <c r="S2247" s="2" t="str">
        <f t="shared" si="322"/>
        <v xml:space="preserve"> Not Achieved</v>
      </c>
      <c r="T2247" s="2" t="str">
        <f t="shared" si="323"/>
        <v>Good</v>
      </c>
      <c r="U2247" s="2"/>
    </row>
    <row r="2248" spans="1:21" x14ac:dyDescent="0.3">
      <c r="A2248">
        <v>2247</v>
      </c>
      <c r="B2248" t="s">
        <v>3197</v>
      </c>
      <c r="C2248" t="str">
        <f t="shared" si="315"/>
        <v>EMP_2247</v>
      </c>
      <c r="D2248" t="s">
        <v>15</v>
      </c>
      <c r="E2248" t="str">
        <f t="shared" si="316"/>
        <v>EMP_2247Marketing</v>
      </c>
      <c r="F2248" t="s">
        <v>24</v>
      </c>
      <c r="G2248" t="s">
        <v>13</v>
      </c>
      <c r="H2248">
        <v>26915</v>
      </c>
      <c r="I2248">
        <v>8700</v>
      </c>
      <c r="J2248">
        <v>0</v>
      </c>
      <c r="K2248">
        <v>0</v>
      </c>
      <c r="L2248" s="4">
        <v>43894</v>
      </c>
      <c r="M2248" s="4" t="str">
        <f t="shared" si="317"/>
        <v>2020</v>
      </c>
      <c r="N2248" s="1">
        <f t="shared" ca="1" si="318"/>
        <v>46064</v>
      </c>
      <c r="O2248" s="6">
        <f t="shared" ca="1" si="319"/>
        <v>5</v>
      </c>
      <c r="P2248">
        <v>5</v>
      </c>
      <c r="Q2248">
        <f t="shared" si="320"/>
        <v>35615</v>
      </c>
      <c r="R2248" s="2">
        <f t="shared" si="321"/>
        <v>17807.5</v>
      </c>
      <c r="S2248" s="2" t="str">
        <f t="shared" si="322"/>
        <v xml:space="preserve"> Not Achieved</v>
      </c>
      <c r="T2248" s="2" t="str">
        <f t="shared" si="323"/>
        <v>poor</v>
      </c>
      <c r="U2248" s="2"/>
    </row>
    <row r="2249" spans="1:21" x14ac:dyDescent="0.3">
      <c r="A2249">
        <v>2248</v>
      </c>
      <c r="B2249" t="s">
        <v>3198</v>
      </c>
      <c r="C2249" t="str">
        <f t="shared" si="315"/>
        <v>EMP_2248</v>
      </c>
      <c r="D2249" t="s">
        <v>11</v>
      </c>
      <c r="E2249" t="str">
        <f t="shared" si="316"/>
        <v>EMP_2248Finance</v>
      </c>
      <c r="F2249" t="s">
        <v>18</v>
      </c>
      <c r="G2249" t="s">
        <v>16</v>
      </c>
      <c r="H2249">
        <v>51484</v>
      </c>
      <c r="I2249">
        <v>9885</v>
      </c>
      <c r="J2249">
        <v>0</v>
      </c>
      <c r="K2249">
        <v>0</v>
      </c>
      <c r="L2249" s="4" t="s">
        <v>3199</v>
      </c>
      <c r="M2249" s="4" t="str">
        <f t="shared" si="317"/>
        <v>1/22/2020</v>
      </c>
      <c r="N2249" s="1">
        <f t="shared" ca="1" si="318"/>
        <v>46064</v>
      </c>
      <c r="O2249" s="6" t="e">
        <f t="shared" ca="1" si="319"/>
        <v>#VALUE!</v>
      </c>
      <c r="P2249">
        <v>4</v>
      </c>
      <c r="Q2249">
        <f t="shared" si="320"/>
        <v>61369</v>
      </c>
      <c r="R2249" s="2">
        <f t="shared" si="321"/>
        <v>30684.5</v>
      </c>
      <c r="S2249" s="2" t="str">
        <f t="shared" si="322"/>
        <v xml:space="preserve"> Not Achieved</v>
      </c>
      <c r="T2249" s="2" t="str">
        <f t="shared" si="323"/>
        <v xml:space="preserve"> Excellent</v>
      </c>
      <c r="U2249" s="2"/>
    </row>
    <row r="2250" spans="1:21" x14ac:dyDescent="0.3">
      <c r="A2250">
        <v>2249</v>
      </c>
      <c r="B2250" t="s">
        <v>3200</v>
      </c>
      <c r="C2250" t="str">
        <f t="shared" si="315"/>
        <v>EMP_2249</v>
      </c>
      <c r="D2250" t="s">
        <v>11</v>
      </c>
      <c r="E2250" t="str">
        <f t="shared" si="316"/>
        <v>EMP_2249Finance</v>
      </c>
      <c r="F2250" t="s">
        <v>18</v>
      </c>
      <c r="G2250" t="s">
        <v>25</v>
      </c>
      <c r="H2250">
        <v>68419</v>
      </c>
      <c r="I2250">
        <v>14521</v>
      </c>
      <c r="J2250">
        <v>0</v>
      </c>
      <c r="K2250">
        <v>0</v>
      </c>
      <c r="L2250" s="4" t="s">
        <v>3201</v>
      </c>
      <c r="M2250" s="4" t="str">
        <f t="shared" si="317"/>
        <v>7/24/2024</v>
      </c>
      <c r="N2250" s="1">
        <f t="shared" ca="1" si="318"/>
        <v>46064</v>
      </c>
      <c r="O2250" s="6" t="e">
        <f t="shared" ca="1" si="319"/>
        <v>#VALUE!</v>
      </c>
      <c r="P2250">
        <v>3</v>
      </c>
      <c r="Q2250">
        <f t="shared" si="320"/>
        <v>82940</v>
      </c>
      <c r="R2250" s="2">
        <f t="shared" si="321"/>
        <v>41470</v>
      </c>
      <c r="S2250" s="2" t="str">
        <f t="shared" si="322"/>
        <v xml:space="preserve"> Not Achieved</v>
      </c>
      <c r="T2250" s="2" t="str">
        <f t="shared" si="323"/>
        <v xml:space="preserve"> Excellent</v>
      </c>
      <c r="U2250" s="2"/>
    </row>
    <row r="2251" spans="1:21" x14ac:dyDescent="0.3">
      <c r="A2251">
        <v>2250</v>
      </c>
      <c r="B2251" t="s">
        <v>3202</v>
      </c>
      <c r="C2251" t="str">
        <f t="shared" si="315"/>
        <v>EMP_2250</v>
      </c>
      <c r="D2251" t="s">
        <v>15</v>
      </c>
      <c r="E2251" t="str">
        <f t="shared" si="316"/>
        <v>EMP_2250IT</v>
      </c>
      <c r="F2251" t="s">
        <v>21</v>
      </c>
      <c r="G2251" t="s">
        <v>22</v>
      </c>
      <c r="H2251">
        <v>75989</v>
      </c>
      <c r="I2251">
        <v>11070</v>
      </c>
      <c r="J2251">
        <v>0</v>
      </c>
      <c r="K2251">
        <v>0</v>
      </c>
      <c r="L2251" s="4" t="s">
        <v>3203</v>
      </c>
      <c r="M2251" s="4" t="str">
        <f t="shared" si="317"/>
        <v>5/21/2022</v>
      </c>
      <c r="N2251" s="1">
        <f t="shared" ca="1" si="318"/>
        <v>46064</v>
      </c>
      <c r="O2251" s="6" t="e">
        <f t="shared" ca="1" si="319"/>
        <v>#VALUE!</v>
      </c>
      <c r="P2251">
        <v>2</v>
      </c>
      <c r="Q2251">
        <f t="shared" si="320"/>
        <v>87059</v>
      </c>
      <c r="R2251" s="2">
        <f t="shared" si="321"/>
        <v>43529.5</v>
      </c>
      <c r="S2251" s="2" t="str">
        <f t="shared" si="322"/>
        <v xml:space="preserve"> Not Achieved</v>
      </c>
      <c r="T2251" s="2" t="str">
        <f t="shared" si="323"/>
        <v xml:space="preserve"> Excellent</v>
      </c>
      <c r="U2251" s="2"/>
    </row>
    <row r="2252" spans="1:21" x14ac:dyDescent="0.3">
      <c r="A2252">
        <v>2251</v>
      </c>
      <c r="B2252" t="s">
        <v>3204</v>
      </c>
      <c r="C2252" t="str">
        <f t="shared" si="315"/>
        <v>EMP_2251</v>
      </c>
      <c r="D2252" t="s">
        <v>11</v>
      </c>
      <c r="E2252" t="str">
        <f t="shared" si="316"/>
        <v>EMP_2251HR</v>
      </c>
      <c r="F2252" t="s">
        <v>12</v>
      </c>
      <c r="G2252" t="s">
        <v>16</v>
      </c>
      <c r="H2252">
        <v>32182</v>
      </c>
      <c r="I2252">
        <v>14726</v>
      </c>
      <c r="J2252">
        <v>0</v>
      </c>
      <c r="K2252">
        <v>0</v>
      </c>
      <c r="L2252" s="4">
        <v>45234</v>
      </c>
      <c r="M2252" s="4" t="str">
        <f t="shared" si="317"/>
        <v>2023</v>
      </c>
      <c r="N2252" s="1">
        <f t="shared" ca="1" si="318"/>
        <v>46064</v>
      </c>
      <c r="O2252" s="6">
        <f t="shared" ca="1" si="319"/>
        <v>2</v>
      </c>
      <c r="P2252">
        <v>5</v>
      </c>
      <c r="Q2252">
        <f t="shared" si="320"/>
        <v>46908</v>
      </c>
      <c r="R2252" s="2">
        <f t="shared" si="321"/>
        <v>23454</v>
      </c>
      <c r="S2252" s="2" t="str">
        <f t="shared" si="322"/>
        <v xml:space="preserve"> Not Achieved</v>
      </c>
      <c r="T2252" s="2" t="str">
        <f t="shared" si="323"/>
        <v>Average</v>
      </c>
      <c r="U2252" s="2"/>
    </row>
    <row r="2253" spans="1:21" x14ac:dyDescent="0.3">
      <c r="A2253">
        <v>2252</v>
      </c>
      <c r="B2253" t="s">
        <v>3205</v>
      </c>
      <c r="C2253" t="str">
        <f t="shared" si="315"/>
        <v>EMP_2252</v>
      </c>
      <c r="D2253" t="s">
        <v>11</v>
      </c>
      <c r="E2253" t="str">
        <f t="shared" si="316"/>
        <v>EMP_2252HR</v>
      </c>
      <c r="F2253" t="s">
        <v>12</v>
      </c>
      <c r="G2253" t="s">
        <v>16</v>
      </c>
      <c r="H2253">
        <v>24217</v>
      </c>
      <c r="I2253">
        <v>12615</v>
      </c>
      <c r="J2253">
        <v>0</v>
      </c>
      <c r="K2253">
        <v>0</v>
      </c>
      <c r="L2253" s="4">
        <v>43443</v>
      </c>
      <c r="M2253" s="4" t="str">
        <f t="shared" si="317"/>
        <v>2018</v>
      </c>
      <c r="N2253" s="1">
        <f t="shared" ca="1" si="318"/>
        <v>46064</v>
      </c>
      <c r="O2253" s="6">
        <f t="shared" ca="1" si="319"/>
        <v>7</v>
      </c>
      <c r="P2253">
        <v>2</v>
      </c>
      <c r="Q2253">
        <f t="shared" si="320"/>
        <v>36832</v>
      </c>
      <c r="R2253" s="2">
        <f t="shared" si="321"/>
        <v>18416</v>
      </c>
      <c r="S2253" s="2" t="str">
        <f t="shared" si="322"/>
        <v xml:space="preserve"> Not Achieved</v>
      </c>
      <c r="T2253" s="2" t="str">
        <f t="shared" si="323"/>
        <v>poor</v>
      </c>
      <c r="U2253" s="2"/>
    </row>
    <row r="2254" spans="1:21" x14ac:dyDescent="0.3">
      <c r="A2254">
        <v>2253</v>
      </c>
      <c r="B2254" t="s">
        <v>3206</v>
      </c>
      <c r="C2254" t="str">
        <f t="shared" si="315"/>
        <v>EMP_2253</v>
      </c>
      <c r="D2254" t="s">
        <v>15</v>
      </c>
      <c r="E2254" t="str">
        <f t="shared" si="316"/>
        <v>EMP_2253Marketing</v>
      </c>
      <c r="F2254" t="s">
        <v>24</v>
      </c>
      <c r="G2254" t="s">
        <v>16</v>
      </c>
      <c r="H2254">
        <v>45912</v>
      </c>
      <c r="I2254">
        <v>5793</v>
      </c>
      <c r="J2254">
        <v>0</v>
      </c>
      <c r="K2254">
        <v>0</v>
      </c>
      <c r="L2254" s="4" t="s">
        <v>89</v>
      </c>
      <c r="M2254" s="4" t="str">
        <f t="shared" si="317"/>
        <v>7/25/2020</v>
      </c>
      <c r="N2254" s="1">
        <f t="shared" ca="1" si="318"/>
        <v>46064</v>
      </c>
      <c r="O2254" s="6" t="e">
        <f t="shared" ca="1" si="319"/>
        <v>#VALUE!</v>
      </c>
      <c r="P2254">
        <v>2</v>
      </c>
      <c r="Q2254">
        <f t="shared" si="320"/>
        <v>51705</v>
      </c>
      <c r="R2254" s="2">
        <f t="shared" si="321"/>
        <v>25852.5</v>
      </c>
      <c r="S2254" s="2" t="str">
        <f t="shared" si="322"/>
        <v xml:space="preserve"> Not Achieved</v>
      </c>
      <c r="T2254" s="2" t="str">
        <f t="shared" si="323"/>
        <v>Good</v>
      </c>
      <c r="U2254" s="2"/>
    </row>
    <row r="2255" spans="1:21" x14ac:dyDescent="0.3">
      <c r="A2255">
        <v>2254</v>
      </c>
      <c r="B2255" t="s">
        <v>3207</v>
      </c>
      <c r="C2255" t="str">
        <f t="shared" si="315"/>
        <v>EMP_2254</v>
      </c>
      <c r="D2255" t="s">
        <v>15</v>
      </c>
      <c r="E2255" t="str">
        <f t="shared" si="316"/>
        <v>EMP_2254IT</v>
      </c>
      <c r="F2255" t="s">
        <v>21</v>
      </c>
      <c r="G2255" t="s">
        <v>22</v>
      </c>
      <c r="H2255">
        <v>42538</v>
      </c>
      <c r="I2255">
        <v>2816</v>
      </c>
      <c r="J2255">
        <v>0</v>
      </c>
      <c r="K2255">
        <v>0</v>
      </c>
      <c r="L2255" s="4" t="s">
        <v>1536</v>
      </c>
      <c r="M2255" s="4" t="str">
        <f t="shared" si="317"/>
        <v>5/13/2024</v>
      </c>
      <c r="N2255" s="1">
        <f t="shared" ca="1" si="318"/>
        <v>46064</v>
      </c>
      <c r="O2255" s="6" t="e">
        <f t="shared" ca="1" si="319"/>
        <v>#VALUE!</v>
      </c>
      <c r="P2255">
        <v>2</v>
      </c>
      <c r="Q2255">
        <f t="shared" si="320"/>
        <v>45354</v>
      </c>
      <c r="R2255" s="2">
        <f t="shared" si="321"/>
        <v>22677</v>
      </c>
      <c r="S2255" s="2" t="str">
        <f t="shared" si="322"/>
        <v xml:space="preserve"> Not Achieved</v>
      </c>
      <c r="T2255" s="2" t="str">
        <f t="shared" si="323"/>
        <v>Good</v>
      </c>
      <c r="U2255" s="2"/>
    </row>
    <row r="2256" spans="1:21" x14ac:dyDescent="0.3">
      <c r="A2256">
        <v>2255</v>
      </c>
      <c r="B2256" t="s">
        <v>3208</v>
      </c>
      <c r="C2256" t="str">
        <f t="shared" si="315"/>
        <v>EMP_2255</v>
      </c>
      <c r="D2256" t="s">
        <v>15</v>
      </c>
      <c r="E2256" t="str">
        <f t="shared" si="316"/>
        <v>EMP_2255Finance</v>
      </c>
      <c r="F2256" t="s">
        <v>18</v>
      </c>
      <c r="G2256" t="s">
        <v>19</v>
      </c>
      <c r="H2256">
        <v>38475</v>
      </c>
      <c r="I2256">
        <v>4105</v>
      </c>
      <c r="J2256">
        <v>0</v>
      </c>
      <c r="K2256">
        <v>0</v>
      </c>
      <c r="L2256" s="4" t="s">
        <v>28</v>
      </c>
      <c r="M2256" s="4" t="str">
        <f t="shared" si="317"/>
        <v>12/19/2024</v>
      </c>
      <c r="N2256" s="1">
        <f t="shared" ca="1" si="318"/>
        <v>46064</v>
      </c>
      <c r="O2256" s="6" t="e">
        <f t="shared" ca="1" si="319"/>
        <v>#VALUE!</v>
      </c>
      <c r="P2256">
        <v>2</v>
      </c>
      <c r="Q2256">
        <f t="shared" si="320"/>
        <v>42580</v>
      </c>
      <c r="R2256" s="2">
        <f t="shared" si="321"/>
        <v>21290</v>
      </c>
      <c r="S2256" s="2" t="str">
        <f t="shared" si="322"/>
        <v xml:space="preserve"> Not Achieved</v>
      </c>
      <c r="T2256" s="2" t="str">
        <f t="shared" si="323"/>
        <v>Average</v>
      </c>
      <c r="U2256" s="2"/>
    </row>
    <row r="2257" spans="1:21" x14ac:dyDescent="0.3">
      <c r="A2257">
        <v>2256</v>
      </c>
      <c r="B2257" t="s">
        <v>3209</v>
      </c>
      <c r="C2257" t="str">
        <f t="shared" si="315"/>
        <v>EMP_2256</v>
      </c>
      <c r="D2257" t="s">
        <v>15</v>
      </c>
      <c r="E2257" t="str">
        <f t="shared" si="316"/>
        <v>EMP_2256Marketing</v>
      </c>
      <c r="F2257" t="s">
        <v>24</v>
      </c>
      <c r="G2257" t="s">
        <v>19</v>
      </c>
      <c r="H2257">
        <v>69678</v>
      </c>
      <c r="I2257">
        <v>4784</v>
      </c>
      <c r="J2257">
        <v>0</v>
      </c>
      <c r="K2257">
        <v>0</v>
      </c>
      <c r="L2257" s="4" t="s">
        <v>2760</v>
      </c>
      <c r="M2257" s="4" t="str">
        <f t="shared" si="317"/>
        <v>4/24/2019</v>
      </c>
      <c r="N2257" s="1">
        <f t="shared" ca="1" si="318"/>
        <v>46064</v>
      </c>
      <c r="O2257" s="6" t="e">
        <f t="shared" ca="1" si="319"/>
        <v>#VALUE!</v>
      </c>
      <c r="P2257">
        <v>2</v>
      </c>
      <c r="Q2257">
        <f t="shared" si="320"/>
        <v>74462</v>
      </c>
      <c r="R2257" s="2">
        <f t="shared" si="321"/>
        <v>37231</v>
      </c>
      <c r="S2257" s="2" t="str">
        <f t="shared" si="322"/>
        <v xml:space="preserve"> Not Achieved</v>
      </c>
      <c r="T2257" s="2" t="str">
        <f t="shared" si="323"/>
        <v xml:space="preserve"> Excellent</v>
      </c>
      <c r="U2257" s="2"/>
    </row>
    <row r="2258" spans="1:21" x14ac:dyDescent="0.3">
      <c r="A2258">
        <v>2257</v>
      </c>
      <c r="B2258" t="s">
        <v>3210</v>
      </c>
      <c r="C2258" t="str">
        <f t="shared" si="315"/>
        <v>EMP_2257</v>
      </c>
      <c r="D2258" t="s">
        <v>15</v>
      </c>
      <c r="E2258" t="str">
        <f t="shared" si="316"/>
        <v>EMP_2257Marketing</v>
      </c>
      <c r="F2258" t="s">
        <v>24</v>
      </c>
      <c r="G2258" t="s">
        <v>19</v>
      </c>
      <c r="H2258">
        <v>29547</v>
      </c>
      <c r="I2258">
        <v>10215</v>
      </c>
      <c r="J2258">
        <v>0</v>
      </c>
      <c r="K2258">
        <v>0</v>
      </c>
      <c r="L2258" s="4" t="s">
        <v>2581</v>
      </c>
      <c r="M2258" s="4" t="str">
        <f t="shared" si="317"/>
        <v>3/21/2018</v>
      </c>
      <c r="N2258" s="1">
        <f t="shared" ca="1" si="318"/>
        <v>46064</v>
      </c>
      <c r="O2258" s="6" t="e">
        <f t="shared" ca="1" si="319"/>
        <v>#VALUE!</v>
      </c>
      <c r="P2258">
        <v>2</v>
      </c>
      <c r="Q2258">
        <f t="shared" si="320"/>
        <v>39762</v>
      </c>
      <c r="R2258" s="2">
        <f t="shared" si="321"/>
        <v>19881</v>
      </c>
      <c r="S2258" s="2" t="str">
        <f t="shared" si="322"/>
        <v xml:space="preserve"> Not Achieved</v>
      </c>
      <c r="T2258" s="2" t="str">
        <f t="shared" si="323"/>
        <v>poor</v>
      </c>
      <c r="U2258" s="2"/>
    </row>
    <row r="2259" spans="1:21" x14ac:dyDescent="0.3">
      <c r="A2259">
        <v>2258</v>
      </c>
      <c r="B2259" t="s">
        <v>3211</v>
      </c>
      <c r="C2259" t="str">
        <f t="shared" si="315"/>
        <v>EMP_2258</v>
      </c>
      <c r="D2259" t="s">
        <v>15</v>
      </c>
      <c r="E2259" t="str">
        <f t="shared" si="316"/>
        <v>EMP_2258Marketing</v>
      </c>
      <c r="F2259" t="s">
        <v>24</v>
      </c>
      <c r="G2259" t="s">
        <v>22</v>
      </c>
      <c r="H2259">
        <v>24483</v>
      </c>
      <c r="I2259">
        <v>4409</v>
      </c>
      <c r="J2259">
        <v>0</v>
      </c>
      <c r="K2259">
        <v>0</v>
      </c>
      <c r="L2259" s="4">
        <v>44474</v>
      </c>
      <c r="M2259" s="4" t="str">
        <f t="shared" si="317"/>
        <v>2021</v>
      </c>
      <c r="N2259" s="1">
        <f t="shared" ca="1" si="318"/>
        <v>46064</v>
      </c>
      <c r="O2259" s="6">
        <f t="shared" ca="1" si="319"/>
        <v>4</v>
      </c>
      <c r="P2259">
        <v>1</v>
      </c>
      <c r="Q2259">
        <f t="shared" si="320"/>
        <v>28892</v>
      </c>
      <c r="R2259" s="2">
        <f t="shared" si="321"/>
        <v>14446</v>
      </c>
      <c r="S2259" s="2" t="str">
        <f t="shared" si="322"/>
        <v xml:space="preserve"> Not Achieved</v>
      </c>
      <c r="T2259" s="2" t="str">
        <f t="shared" si="323"/>
        <v>poor</v>
      </c>
      <c r="U2259" s="2"/>
    </row>
    <row r="2260" spans="1:21" x14ac:dyDescent="0.3">
      <c r="A2260">
        <v>2259</v>
      </c>
      <c r="B2260" t="s">
        <v>3212</v>
      </c>
      <c r="C2260" t="str">
        <f t="shared" si="315"/>
        <v>EMP_2259</v>
      </c>
      <c r="D2260" t="s">
        <v>15</v>
      </c>
      <c r="E2260" t="str">
        <f t="shared" si="316"/>
        <v>EMP_2259Marketing</v>
      </c>
      <c r="F2260" t="s">
        <v>24</v>
      </c>
      <c r="G2260" t="s">
        <v>19</v>
      </c>
      <c r="H2260">
        <v>28154</v>
      </c>
      <c r="I2260">
        <v>14558</v>
      </c>
      <c r="J2260">
        <v>0</v>
      </c>
      <c r="K2260">
        <v>0</v>
      </c>
      <c r="L2260" s="4">
        <v>43288</v>
      </c>
      <c r="M2260" s="4" t="str">
        <f t="shared" si="317"/>
        <v>2018</v>
      </c>
      <c r="N2260" s="1">
        <f t="shared" ca="1" si="318"/>
        <v>46064</v>
      </c>
      <c r="O2260" s="6">
        <f t="shared" ca="1" si="319"/>
        <v>7</v>
      </c>
      <c r="P2260">
        <v>5</v>
      </c>
      <c r="Q2260">
        <f t="shared" si="320"/>
        <v>42712</v>
      </c>
      <c r="R2260" s="2">
        <f t="shared" si="321"/>
        <v>21356</v>
      </c>
      <c r="S2260" s="2" t="str">
        <f t="shared" si="322"/>
        <v xml:space="preserve"> Not Achieved</v>
      </c>
      <c r="T2260" s="2" t="str">
        <f t="shared" si="323"/>
        <v>poor</v>
      </c>
      <c r="U2260" s="2"/>
    </row>
    <row r="2261" spans="1:21" x14ac:dyDescent="0.3">
      <c r="A2261">
        <v>2260</v>
      </c>
      <c r="B2261" t="s">
        <v>3213</v>
      </c>
      <c r="C2261" t="str">
        <f t="shared" si="315"/>
        <v>EMP_2260</v>
      </c>
      <c r="D2261" t="s">
        <v>11</v>
      </c>
      <c r="E2261" t="str">
        <f t="shared" si="316"/>
        <v>EMP_2260Sales</v>
      </c>
      <c r="F2261" t="s">
        <v>7</v>
      </c>
      <c r="G2261" t="s">
        <v>16</v>
      </c>
      <c r="H2261">
        <v>62153</v>
      </c>
      <c r="I2261">
        <v>10447</v>
      </c>
      <c r="J2261">
        <v>109461</v>
      </c>
      <c r="K2261">
        <v>137274</v>
      </c>
      <c r="L2261" s="4">
        <v>45388</v>
      </c>
      <c r="M2261" s="4" t="str">
        <f t="shared" si="317"/>
        <v>2024</v>
      </c>
      <c r="N2261" s="1">
        <f t="shared" ca="1" si="318"/>
        <v>46064</v>
      </c>
      <c r="O2261" s="6">
        <f t="shared" ca="1" si="319"/>
        <v>1</v>
      </c>
      <c r="P2261">
        <v>1</v>
      </c>
      <c r="Q2261">
        <f t="shared" si="320"/>
        <v>72600</v>
      </c>
      <c r="R2261" s="2">
        <f t="shared" si="321"/>
        <v>36300</v>
      </c>
      <c r="S2261" s="2" t="str">
        <f t="shared" si="322"/>
        <v xml:space="preserve"> Not Achieved</v>
      </c>
      <c r="T2261" s="2" t="str">
        <f t="shared" si="323"/>
        <v xml:space="preserve"> Excellent</v>
      </c>
      <c r="U2261" s="2"/>
    </row>
    <row r="2262" spans="1:21" x14ac:dyDescent="0.3">
      <c r="A2262">
        <v>2261</v>
      </c>
      <c r="B2262" t="s">
        <v>3214</v>
      </c>
      <c r="C2262" t="str">
        <f t="shared" si="315"/>
        <v>EMP_2261</v>
      </c>
      <c r="D2262" t="s">
        <v>11</v>
      </c>
      <c r="E2262" t="str">
        <f t="shared" si="316"/>
        <v>EMP_2261Marketing</v>
      </c>
      <c r="F2262" t="s">
        <v>24</v>
      </c>
      <c r="G2262" t="s">
        <v>16</v>
      </c>
      <c r="H2262">
        <v>26009</v>
      </c>
      <c r="I2262">
        <v>13372</v>
      </c>
      <c r="J2262">
        <v>0</v>
      </c>
      <c r="K2262">
        <v>0</v>
      </c>
      <c r="L2262" s="4" t="s">
        <v>2309</v>
      </c>
      <c r="M2262" s="4" t="str">
        <f t="shared" si="317"/>
        <v>4/28/2019</v>
      </c>
      <c r="N2262" s="1">
        <f t="shared" ca="1" si="318"/>
        <v>46064</v>
      </c>
      <c r="O2262" s="6" t="e">
        <f t="shared" ca="1" si="319"/>
        <v>#VALUE!</v>
      </c>
      <c r="P2262">
        <v>3</v>
      </c>
      <c r="Q2262">
        <f t="shared" si="320"/>
        <v>39381</v>
      </c>
      <c r="R2262" s="2">
        <f t="shared" si="321"/>
        <v>19690.5</v>
      </c>
      <c r="S2262" s="2" t="str">
        <f t="shared" si="322"/>
        <v xml:space="preserve"> Not Achieved</v>
      </c>
      <c r="T2262" s="2" t="str">
        <f t="shared" si="323"/>
        <v>poor</v>
      </c>
      <c r="U2262" s="2"/>
    </row>
    <row r="2263" spans="1:21" x14ac:dyDescent="0.3">
      <c r="A2263">
        <v>2262</v>
      </c>
      <c r="B2263" t="s">
        <v>3215</v>
      </c>
      <c r="C2263" t="str">
        <f t="shared" si="315"/>
        <v>EMP_2262</v>
      </c>
      <c r="D2263" t="s">
        <v>15</v>
      </c>
      <c r="E2263" t="str">
        <f t="shared" si="316"/>
        <v>EMP_2262Marketing</v>
      </c>
      <c r="F2263" t="s">
        <v>24</v>
      </c>
      <c r="G2263" t="s">
        <v>13</v>
      </c>
      <c r="H2263">
        <v>69305</v>
      </c>
      <c r="I2263">
        <v>2827</v>
      </c>
      <c r="J2263">
        <v>0</v>
      </c>
      <c r="K2263">
        <v>0</v>
      </c>
      <c r="L2263" s="4">
        <v>44509</v>
      </c>
      <c r="M2263" s="4" t="str">
        <f t="shared" si="317"/>
        <v>2021</v>
      </c>
      <c r="N2263" s="1">
        <f t="shared" ca="1" si="318"/>
        <v>46064</v>
      </c>
      <c r="O2263" s="6">
        <f t="shared" ca="1" si="319"/>
        <v>4</v>
      </c>
      <c r="P2263">
        <v>3</v>
      </c>
      <c r="Q2263">
        <f t="shared" si="320"/>
        <v>72132</v>
      </c>
      <c r="R2263" s="2">
        <f t="shared" si="321"/>
        <v>36066</v>
      </c>
      <c r="S2263" s="2" t="str">
        <f t="shared" si="322"/>
        <v xml:space="preserve"> Not Achieved</v>
      </c>
      <c r="T2263" s="2" t="str">
        <f t="shared" si="323"/>
        <v xml:space="preserve"> Excellent</v>
      </c>
      <c r="U2263" s="2"/>
    </row>
    <row r="2264" spans="1:21" x14ac:dyDescent="0.3">
      <c r="A2264">
        <v>2263</v>
      </c>
      <c r="B2264" t="s">
        <v>3216</v>
      </c>
      <c r="C2264" t="str">
        <f t="shared" si="315"/>
        <v>EMP_2263</v>
      </c>
      <c r="D2264" t="s">
        <v>11</v>
      </c>
      <c r="E2264" t="str">
        <f t="shared" si="316"/>
        <v>EMP_2263HR</v>
      </c>
      <c r="F2264" t="s">
        <v>12</v>
      </c>
      <c r="G2264" t="s">
        <v>13</v>
      </c>
      <c r="H2264">
        <v>63729</v>
      </c>
      <c r="I2264">
        <v>14879</v>
      </c>
      <c r="J2264">
        <v>0</v>
      </c>
      <c r="K2264">
        <v>0</v>
      </c>
      <c r="L2264" s="4" t="s">
        <v>3217</v>
      </c>
      <c r="M2264" s="4" t="str">
        <f t="shared" si="317"/>
        <v>12/22/2019</v>
      </c>
      <c r="N2264" s="1">
        <f t="shared" ca="1" si="318"/>
        <v>46064</v>
      </c>
      <c r="O2264" s="6" t="e">
        <f t="shared" ca="1" si="319"/>
        <v>#VALUE!</v>
      </c>
      <c r="P2264">
        <v>5</v>
      </c>
      <c r="Q2264">
        <f t="shared" si="320"/>
        <v>78608</v>
      </c>
      <c r="R2264" s="2">
        <f t="shared" si="321"/>
        <v>39304</v>
      </c>
      <c r="S2264" s="2" t="str">
        <f t="shared" si="322"/>
        <v xml:space="preserve"> Not Achieved</v>
      </c>
      <c r="T2264" s="2" t="str">
        <f t="shared" si="323"/>
        <v xml:space="preserve"> Excellent</v>
      </c>
      <c r="U2264" s="2"/>
    </row>
    <row r="2265" spans="1:21" x14ac:dyDescent="0.3">
      <c r="A2265">
        <v>2264</v>
      </c>
      <c r="B2265" t="s">
        <v>3218</v>
      </c>
      <c r="C2265" t="str">
        <f t="shared" si="315"/>
        <v>EMP_2264</v>
      </c>
      <c r="D2265" t="s">
        <v>11</v>
      </c>
      <c r="E2265" t="str">
        <f t="shared" si="316"/>
        <v>EMP_2264Marketing</v>
      </c>
      <c r="F2265" t="s">
        <v>24</v>
      </c>
      <c r="G2265" t="s">
        <v>19</v>
      </c>
      <c r="H2265">
        <v>51596</v>
      </c>
      <c r="I2265">
        <v>9580</v>
      </c>
      <c r="J2265">
        <v>0</v>
      </c>
      <c r="K2265">
        <v>0</v>
      </c>
      <c r="L2265" s="4" t="s">
        <v>3219</v>
      </c>
      <c r="M2265" s="4" t="str">
        <f t="shared" si="317"/>
        <v>4/14/2021</v>
      </c>
      <c r="N2265" s="1">
        <f t="shared" ca="1" si="318"/>
        <v>46064</v>
      </c>
      <c r="O2265" s="6" t="e">
        <f t="shared" ca="1" si="319"/>
        <v>#VALUE!</v>
      </c>
      <c r="P2265">
        <v>4</v>
      </c>
      <c r="Q2265">
        <f t="shared" si="320"/>
        <v>61176</v>
      </c>
      <c r="R2265" s="2">
        <f t="shared" si="321"/>
        <v>30588</v>
      </c>
      <c r="S2265" s="2" t="str">
        <f t="shared" si="322"/>
        <v xml:space="preserve"> Not Achieved</v>
      </c>
      <c r="T2265" s="2" t="str">
        <f t="shared" si="323"/>
        <v xml:space="preserve"> Excellent</v>
      </c>
      <c r="U2265" s="2"/>
    </row>
    <row r="2266" spans="1:21" x14ac:dyDescent="0.3">
      <c r="A2266">
        <v>2265</v>
      </c>
      <c r="B2266" t="s">
        <v>3220</v>
      </c>
      <c r="C2266" t="str">
        <f t="shared" si="315"/>
        <v>EMP_2265</v>
      </c>
      <c r="D2266" t="s">
        <v>11</v>
      </c>
      <c r="E2266" t="str">
        <f t="shared" si="316"/>
        <v>EMP_2265IT</v>
      </c>
      <c r="F2266" t="s">
        <v>21</v>
      </c>
      <c r="G2266" t="s">
        <v>16</v>
      </c>
      <c r="H2266">
        <v>21206</v>
      </c>
      <c r="I2266">
        <v>8967</v>
      </c>
      <c r="J2266">
        <v>0</v>
      </c>
      <c r="K2266">
        <v>0</v>
      </c>
      <c r="L2266" s="4" t="s">
        <v>1163</v>
      </c>
      <c r="M2266" s="4" t="str">
        <f t="shared" si="317"/>
        <v>1/13/2024</v>
      </c>
      <c r="N2266" s="1">
        <f t="shared" ca="1" si="318"/>
        <v>46064</v>
      </c>
      <c r="O2266" s="6" t="e">
        <f t="shared" ca="1" si="319"/>
        <v>#VALUE!</v>
      </c>
      <c r="P2266">
        <v>1</v>
      </c>
      <c r="Q2266">
        <f t="shared" si="320"/>
        <v>30173</v>
      </c>
      <c r="R2266" s="2">
        <f t="shared" si="321"/>
        <v>15086.5</v>
      </c>
      <c r="S2266" s="2" t="str">
        <f t="shared" si="322"/>
        <v xml:space="preserve"> Not Achieved</v>
      </c>
      <c r="T2266" s="2" t="str">
        <f t="shared" si="323"/>
        <v>poor</v>
      </c>
      <c r="U2266" s="2"/>
    </row>
    <row r="2267" spans="1:21" x14ac:dyDescent="0.3">
      <c r="A2267">
        <v>2266</v>
      </c>
      <c r="B2267" t="s">
        <v>3221</v>
      </c>
      <c r="C2267" t="str">
        <f t="shared" si="315"/>
        <v>EMP_2266</v>
      </c>
      <c r="D2267" t="s">
        <v>11</v>
      </c>
      <c r="E2267" t="str">
        <f t="shared" si="316"/>
        <v>EMP_2266Sales</v>
      </c>
      <c r="F2267" t="s">
        <v>7</v>
      </c>
      <c r="G2267" t="s">
        <v>22</v>
      </c>
      <c r="H2267">
        <v>77166</v>
      </c>
      <c r="I2267">
        <v>2296</v>
      </c>
      <c r="J2267">
        <v>125231</v>
      </c>
      <c r="K2267">
        <v>118495</v>
      </c>
      <c r="L2267" s="4" t="s">
        <v>31</v>
      </c>
      <c r="M2267" s="4" t="str">
        <f t="shared" si="317"/>
        <v>10/21/2020</v>
      </c>
      <c r="N2267" s="1">
        <f t="shared" ca="1" si="318"/>
        <v>46064</v>
      </c>
      <c r="O2267" s="6" t="e">
        <f t="shared" ca="1" si="319"/>
        <v>#VALUE!</v>
      </c>
      <c r="P2267">
        <v>5</v>
      </c>
      <c r="Q2267">
        <f t="shared" si="320"/>
        <v>79462</v>
      </c>
      <c r="R2267" s="2">
        <f t="shared" si="321"/>
        <v>39731</v>
      </c>
      <c r="S2267" s="2" t="str">
        <f t="shared" si="322"/>
        <v>Achieved</v>
      </c>
      <c r="T2267" s="2" t="str">
        <f t="shared" si="323"/>
        <v xml:space="preserve"> Excellent</v>
      </c>
      <c r="U2267" s="2"/>
    </row>
    <row r="2268" spans="1:21" x14ac:dyDescent="0.3">
      <c r="A2268">
        <v>2267</v>
      </c>
      <c r="B2268" t="s">
        <v>3222</v>
      </c>
      <c r="C2268" t="str">
        <f t="shared" si="315"/>
        <v>EMP_2267</v>
      </c>
      <c r="D2268" t="s">
        <v>15</v>
      </c>
      <c r="E2268" t="str">
        <f t="shared" si="316"/>
        <v>EMP_2267IT</v>
      </c>
      <c r="F2268" t="s">
        <v>21</v>
      </c>
      <c r="G2268" t="s">
        <v>16</v>
      </c>
      <c r="H2268">
        <v>78231</v>
      </c>
      <c r="I2268">
        <v>13184</v>
      </c>
      <c r="J2268">
        <v>0</v>
      </c>
      <c r="K2268">
        <v>0</v>
      </c>
      <c r="L2268" s="4" t="s">
        <v>657</v>
      </c>
      <c r="M2268" s="4" t="str">
        <f t="shared" si="317"/>
        <v>11/21/2022</v>
      </c>
      <c r="N2268" s="1">
        <f t="shared" ca="1" si="318"/>
        <v>46064</v>
      </c>
      <c r="O2268" s="6" t="e">
        <f t="shared" ca="1" si="319"/>
        <v>#VALUE!</v>
      </c>
      <c r="P2268">
        <v>5</v>
      </c>
      <c r="Q2268">
        <f t="shared" si="320"/>
        <v>91415</v>
      </c>
      <c r="R2268" s="2">
        <f t="shared" si="321"/>
        <v>45707.5</v>
      </c>
      <c r="S2268" s="2" t="str">
        <f t="shared" si="322"/>
        <v xml:space="preserve"> Not Achieved</v>
      </c>
      <c r="T2268" s="2" t="str">
        <f t="shared" si="323"/>
        <v xml:space="preserve"> Excellent</v>
      </c>
      <c r="U2268" s="2"/>
    </row>
    <row r="2269" spans="1:21" x14ac:dyDescent="0.3">
      <c r="A2269">
        <v>2268</v>
      </c>
      <c r="B2269" t="s">
        <v>3223</v>
      </c>
      <c r="C2269" t="str">
        <f t="shared" si="315"/>
        <v>EMP_2268</v>
      </c>
      <c r="D2269" t="s">
        <v>11</v>
      </c>
      <c r="E2269" t="str">
        <f t="shared" si="316"/>
        <v>EMP_2268Sales</v>
      </c>
      <c r="F2269" t="s">
        <v>7</v>
      </c>
      <c r="G2269" t="s">
        <v>25</v>
      </c>
      <c r="H2269">
        <v>34076</v>
      </c>
      <c r="I2269">
        <v>11395</v>
      </c>
      <c r="J2269">
        <v>217306</v>
      </c>
      <c r="K2269">
        <v>230213</v>
      </c>
      <c r="L2269" s="4" t="s">
        <v>3224</v>
      </c>
      <c r="M2269" s="4" t="str">
        <f t="shared" si="317"/>
        <v>6/30/2023</v>
      </c>
      <c r="N2269" s="1">
        <f t="shared" ca="1" si="318"/>
        <v>46064</v>
      </c>
      <c r="O2269" s="6" t="e">
        <f t="shared" ca="1" si="319"/>
        <v>#VALUE!</v>
      </c>
      <c r="P2269">
        <v>4</v>
      </c>
      <c r="Q2269">
        <f t="shared" si="320"/>
        <v>45471</v>
      </c>
      <c r="R2269" s="2">
        <f t="shared" si="321"/>
        <v>22735.5</v>
      </c>
      <c r="S2269" s="2" t="str">
        <f t="shared" si="322"/>
        <v xml:space="preserve"> Not Achieved</v>
      </c>
      <c r="T2269" s="2" t="str">
        <f t="shared" si="323"/>
        <v>Average</v>
      </c>
      <c r="U2269" s="2"/>
    </row>
    <row r="2270" spans="1:21" x14ac:dyDescent="0.3">
      <c r="A2270">
        <v>2269</v>
      </c>
      <c r="B2270" t="s">
        <v>3225</v>
      </c>
      <c r="C2270" t="str">
        <f t="shared" si="315"/>
        <v>EMP_2269</v>
      </c>
      <c r="D2270" t="s">
        <v>11</v>
      </c>
      <c r="E2270" t="str">
        <f t="shared" si="316"/>
        <v>EMP_2269IT</v>
      </c>
      <c r="F2270" t="s">
        <v>21</v>
      </c>
      <c r="G2270" t="s">
        <v>16</v>
      </c>
      <c r="H2270">
        <v>31743</v>
      </c>
      <c r="I2270">
        <v>5860</v>
      </c>
      <c r="J2270">
        <v>0</v>
      </c>
      <c r="K2270">
        <v>0</v>
      </c>
      <c r="L2270" s="4" t="s">
        <v>3226</v>
      </c>
      <c r="M2270" s="4" t="str">
        <f t="shared" si="317"/>
        <v>12/19/2022</v>
      </c>
      <c r="N2270" s="1">
        <f t="shared" ca="1" si="318"/>
        <v>46064</v>
      </c>
      <c r="O2270" s="6" t="e">
        <f t="shared" ca="1" si="319"/>
        <v>#VALUE!</v>
      </c>
      <c r="P2270">
        <v>3</v>
      </c>
      <c r="Q2270">
        <f t="shared" si="320"/>
        <v>37603</v>
      </c>
      <c r="R2270" s="2">
        <f t="shared" si="321"/>
        <v>18801.5</v>
      </c>
      <c r="S2270" s="2" t="str">
        <f t="shared" si="322"/>
        <v xml:space="preserve"> Not Achieved</v>
      </c>
      <c r="T2270" s="2" t="str">
        <f t="shared" si="323"/>
        <v>Average</v>
      </c>
      <c r="U2270" s="2"/>
    </row>
    <row r="2271" spans="1:21" x14ac:dyDescent="0.3">
      <c r="A2271">
        <v>2270</v>
      </c>
      <c r="B2271" t="s">
        <v>3227</v>
      </c>
      <c r="C2271" t="str">
        <f t="shared" si="315"/>
        <v>EMP_2270</v>
      </c>
      <c r="D2271" t="s">
        <v>15</v>
      </c>
      <c r="E2271" t="str">
        <f t="shared" si="316"/>
        <v>EMP_2270Sales</v>
      </c>
      <c r="F2271" t="s">
        <v>7</v>
      </c>
      <c r="G2271" t="s">
        <v>13</v>
      </c>
      <c r="H2271">
        <v>63916</v>
      </c>
      <c r="I2271">
        <v>13612</v>
      </c>
      <c r="J2271">
        <v>93618</v>
      </c>
      <c r="K2271">
        <v>232969</v>
      </c>
      <c r="L2271" s="4">
        <v>45242</v>
      </c>
      <c r="M2271" s="4" t="str">
        <f t="shared" si="317"/>
        <v>2023</v>
      </c>
      <c r="N2271" s="1">
        <f t="shared" ca="1" si="318"/>
        <v>46064</v>
      </c>
      <c r="O2271" s="6">
        <f t="shared" ca="1" si="319"/>
        <v>2</v>
      </c>
      <c r="P2271">
        <v>4</v>
      </c>
      <c r="Q2271">
        <f t="shared" si="320"/>
        <v>77528</v>
      </c>
      <c r="R2271" s="2">
        <f t="shared" si="321"/>
        <v>38764</v>
      </c>
      <c r="S2271" s="2" t="str">
        <f t="shared" si="322"/>
        <v xml:space="preserve"> Not Achieved</v>
      </c>
      <c r="T2271" s="2" t="str">
        <f t="shared" si="323"/>
        <v xml:space="preserve"> Excellent</v>
      </c>
      <c r="U2271" s="2"/>
    </row>
    <row r="2272" spans="1:21" x14ac:dyDescent="0.3">
      <c r="A2272">
        <v>2271</v>
      </c>
      <c r="B2272" t="s">
        <v>3228</v>
      </c>
      <c r="C2272" t="str">
        <f t="shared" si="315"/>
        <v>EMP_2271</v>
      </c>
      <c r="D2272" t="s">
        <v>15</v>
      </c>
      <c r="E2272" t="str">
        <f t="shared" si="316"/>
        <v>EMP_2271Finance</v>
      </c>
      <c r="F2272" t="s">
        <v>18</v>
      </c>
      <c r="G2272" t="s">
        <v>16</v>
      </c>
      <c r="H2272">
        <v>44162</v>
      </c>
      <c r="I2272">
        <v>6186</v>
      </c>
      <c r="J2272">
        <v>0</v>
      </c>
      <c r="K2272">
        <v>0</v>
      </c>
      <c r="L2272" s="4">
        <v>45417</v>
      </c>
      <c r="M2272" s="4" t="str">
        <f t="shared" si="317"/>
        <v>2024</v>
      </c>
      <c r="N2272" s="1">
        <f t="shared" ca="1" si="318"/>
        <v>46064</v>
      </c>
      <c r="O2272" s="6">
        <f t="shared" ca="1" si="319"/>
        <v>1</v>
      </c>
      <c r="P2272">
        <v>3</v>
      </c>
      <c r="Q2272">
        <f t="shared" si="320"/>
        <v>50348</v>
      </c>
      <c r="R2272" s="2">
        <f t="shared" si="321"/>
        <v>25174</v>
      </c>
      <c r="S2272" s="2" t="str">
        <f t="shared" si="322"/>
        <v xml:space="preserve"> Not Achieved</v>
      </c>
      <c r="T2272" s="2" t="str">
        <f t="shared" si="323"/>
        <v>Good</v>
      </c>
      <c r="U2272" s="2"/>
    </row>
    <row r="2273" spans="1:21" x14ac:dyDescent="0.3">
      <c r="A2273">
        <v>2272</v>
      </c>
      <c r="B2273" t="s">
        <v>3229</v>
      </c>
      <c r="C2273" t="str">
        <f t="shared" si="315"/>
        <v>EMP_2272</v>
      </c>
      <c r="D2273" t="s">
        <v>15</v>
      </c>
      <c r="E2273" t="str">
        <f t="shared" si="316"/>
        <v>EMP_2272IT</v>
      </c>
      <c r="F2273" t="s">
        <v>21</v>
      </c>
      <c r="G2273" t="s">
        <v>22</v>
      </c>
      <c r="H2273">
        <v>30520</v>
      </c>
      <c r="I2273">
        <v>5694</v>
      </c>
      <c r="J2273">
        <v>0</v>
      </c>
      <c r="K2273">
        <v>0</v>
      </c>
      <c r="L2273" s="4" t="s">
        <v>1315</v>
      </c>
      <c r="M2273" s="4" t="str">
        <f t="shared" si="317"/>
        <v>7/16/2023</v>
      </c>
      <c r="N2273" s="1">
        <f t="shared" ca="1" si="318"/>
        <v>46064</v>
      </c>
      <c r="O2273" s="6" t="e">
        <f t="shared" ca="1" si="319"/>
        <v>#VALUE!</v>
      </c>
      <c r="P2273">
        <v>1</v>
      </c>
      <c r="Q2273">
        <f t="shared" si="320"/>
        <v>36214</v>
      </c>
      <c r="R2273" s="2">
        <f t="shared" si="321"/>
        <v>18107</v>
      </c>
      <c r="S2273" s="2" t="str">
        <f t="shared" si="322"/>
        <v xml:space="preserve"> Not Achieved</v>
      </c>
      <c r="T2273" s="2" t="str">
        <f t="shared" si="323"/>
        <v>Average</v>
      </c>
      <c r="U2273" s="2"/>
    </row>
    <row r="2274" spans="1:21" x14ac:dyDescent="0.3">
      <c r="A2274">
        <v>2273</v>
      </c>
      <c r="B2274" t="s">
        <v>3230</v>
      </c>
      <c r="C2274" t="str">
        <f t="shared" si="315"/>
        <v>EMP_2273</v>
      </c>
      <c r="D2274" t="s">
        <v>11</v>
      </c>
      <c r="E2274" t="str">
        <f t="shared" si="316"/>
        <v>EMP_2273IT</v>
      </c>
      <c r="F2274" t="s">
        <v>21</v>
      </c>
      <c r="G2274" t="s">
        <v>22</v>
      </c>
      <c r="H2274">
        <v>72878</v>
      </c>
      <c r="I2274">
        <v>12562</v>
      </c>
      <c r="J2274">
        <v>0</v>
      </c>
      <c r="K2274">
        <v>0</v>
      </c>
      <c r="L2274" s="4" t="s">
        <v>3231</v>
      </c>
      <c r="M2274" s="4" t="str">
        <f t="shared" si="317"/>
        <v>12/30/2019</v>
      </c>
      <c r="N2274" s="1">
        <f t="shared" ca="1" si="318"/>
        <v>46064</v>
      </c>
      <c r="O2274" s="6" t="e">
        <f t="shared" ca="1" si="319"/>
        <v>#VALUE!</v>
      </c>
      <c r="P2274">
        <v>4</v>
      </c>
      <c r="Q2274">
        <f t="shared" si="320"/>
        <v>85440</v>
      </c>
      <c r="R2274" s="2">
        <f t="shared" si="321"/>
        <v>42720</v>
      </c>
      <c r="S2274" s="2" t="str">
        <f t="shared" si="322"/>
        <v xml:space="preserve"> Not Achieved</v>
      </c>
      <c r="T2274" s="2" t="str">
        <f t="shared" si="323"/>
        <v xml:space="preserve"> Excellent</v>
      </c>
      <c r="U2274" s="2"/>
    </row>
    <row r="2275" spans="1:21" x14ac:dyDescent="0.3">
      <c r="A2275">
        <v>2274</v>
      </c>
      <c r="B2275" t="s">
        <v>3232</v>
      </c>
      <c r="C2275" t="str">
        <f t="shared" si="315"/>
        <v>EMP_2274</v>
      </c>
      <c r="D2275" t="s">
        <v>11</v>
      </c>
      <c r="E2275" t="str">
        <f t="shared" si="316"/>
        <v>EMP_2274Marketing</v>
      </c>
      <c r="F2275" t="s">
        <v>24</v>
      </c>
      <c r="G2275" t="s">
        <v>13</v>
      </c>
      <c r="H2275">
        <v>67068</v>
      </c>
      <c r="I2275">
        <v>13665</v>
      </c>
      <c r="J2275">
        <v>0</v>
      </c>
      <c r="K2275">
        <v>0</v>
      </c>
      <c r="L2275" s="4">
        <v>43349</v>
      </c>
      <c r="M2275" s="4" t="str">
        <f t="shared" si="317"/>
        <v>2018</v>
      </c>
      <c r="N2275" s="1">
        <f t="shared" ca="1" si="318"/>
        <v>46064</v>
      </c>
      <c r="O2275" s="6">
        <f t="shared" ca="1" si="319"/>
        <v>7</v>
      </c>
      <c r="P2275">
        <v>3</v>
      </c>
      <c r="Q2275">
        <f t="shared" si="320"/>
        <v>80733</v>
      </c>
      <c r="R2275" s="2">
        <f t="shared" si="321"/>
        <v>40366.5</v>
      </c>
      <c r="S2275" s="2" t="str">
        <f t="shared" si="322"/>
        <v xml:space="preserve"> Not Achieved</v>
      </c>
      <c r="T2275" s="2" t="str">
        <f t="shared" si="323"/>
        <v xml:space="preserve"> Excellent</v>
      </c>
      <c r="U2275" s="2"/>
    </row>
    <row r="2276" spans="1:21" x14ac:dyDescent="0.3">
      <c r="A2276">
        <v>2275</v>
      </c>
      <c r="B2276" t="s">
        <v>3233</v>
      </c>
      <c r="C2276" t="str">
        <f t="shared" si="315"/>
        <v>EMP_2275</v>
      </c>
      <c r="D2276" t="s">
        <v>11</v>
      </c>
      <c r="E2276" t="str">
        <f t="shared" si="316"/>
        <v>EMP_2275Finance</v>
      </c>
      <c r="F2276" t="s">
        <v>18</v>
      </c>
      <c r="G2276" t="s">
        <v>25</v>
      </c>
      <c r="H2276">
        <v>40824</v>
      </c>
      <c r="I2276">
        <v>5351</v>
      </c>
      <c r="J2276">
        <v>0</v>
      </c>
      <c r="K2276">
        <v>0</v>
      </c>
      <c r="L2276" s="4">
        <v>44990</v>
      </c>
      <c r="M2276" s="4" t="str">
        <f t="shared" si="317"/>
        <v>2023</v>
      </c>
      <c r="N2276" s="1">
        <f t="shared" ca="1" si="318"/>
        <v>46064</v>
      </c>
      <c r="O2276" s="6">
        <f t="shared" ca="1" si="319"/>
        <v>2</v>
      </c>
      <c r="P2276">
        <v>5</v>
      </c>
      <c r="Q2276">
        <f t="shared" si="320"/>
        <v>46175</v>
      </c>
      <c r="R2276" s="2">
        <f t="shared" si="321"/>
        <v>23087.5</v>
      </c>
      <c r="S2276" s="2" t="str">
        <f t="shared" si="322"/>
        <v xml:space="preserve"> Not Achieved</v>
      </c>
      <c r="T2276" s="2" t="str">
        <f t="shared" si="323"/>
        <v>Good</v>
      </c>
      <c r="U2276" s="2"/>
    </row>
    <row r="2277" spans="1:21" x14ac:dyDescent="0.3">
      <c r="A2277">
        <v>2276</v>
      </c>
      <c r="B2277" t="s">
        <v>3234</v>
      </c>
      <c r="C2277" t="str">
        <f t="shared" si="315"/>
        <v>EMP_2276</v>
      </c>
      <c r="D2277" t="s">
        <v>11</v>
      </c>
      <c r="E2277" t="str">
        <f t="shared" si="316"/>
        <v>EMP_2276IT</v>
      </c>
      <c r="F2277" t="s">
        <v>21</v>
      </c>
      <c r="G2277" t="s">
        <v>22</v>
      </c>
      <c r="H2277">
        <v>72912</v>
      </c>
      <c r="I2277">
        <v>13774</v>
      </c>
      <c r="J2277">
        <v>0</v>
      </c>
      <c r="K2277">
        <v>0</v>
      </c>
      <c r="L2277" s="4">
        <v>43806</v>
      </c>
      <c r="M2277" s="4" t="str">
        <f t="shared" si="317"/>
        <v>2019</v>
      </c>
      <c r="N2277" s="1">
        <f t="shared" ca="1" si="318"/>
        <v>46064</v>
      </c>
      <c r="O2277" s="6">
        <f t="shared" ca="1" si="319"/>
        <v>6</v>
      </c>
      <c r="P2277">
        <v>3</v>
      </c>
      <c r="Q2277">
        <f t="shared" si="320"/>
        <v>86686</v>
      </c>
      <c r="R2277" s="2">
        <f t="shared" si="321"/>
        <v>43343</v>
      </c>
      <c r="S2277" s="2" t="str">
        <f t="shared" si="322"/>
        <v xml:space="preserve"> Not Achieved</v>
      </c>
      <c r="T2277" s="2" t="str">
        <f t="shared" si="323"/>
        <v xml:space="preserve"> Excellent</v>
      </c>
      <c r="U2277" s="2"/>
    </row>
    <row r="2278" spans="1:21" x14ac:dyDescent="0.3">
      <c r="A2278">
        <v>2277</v>
      </c>
      <c r="B2278" t="s">
        <v>3235</v>
      </c>
      <c r="C2278" t="str">
        <f t="shared" si="315"/>
        <v>EMP_2277</v>
      </c>
      <c r="D2278" t="s">
        <v>11</v>
      </c>
      <c r="E2278" t="str">
        <f t="shared" si="316"/>
        <v>EMP_2277Sales</v>
      </c>
      <c r="F2278" t="s">
        <v>7</v>
      </c>
      <c r="G2278" t="s">
        <v>25</v>
      </c>
      <c r="H2278">
        <v>20681</v>
      </c>
      <c r="I2278">
        <v>4019</v>
      </c>
      <c r="J2278">
        <v>97690</v>
      </c>
      <c r="K2278">
        <v>83566</v>
      </c>
      <c r="L2278" s="4" t="s">
        <v>122</v>
      </c>
      <c r="M2278" s="4" t="str">
        <f t="shared" si="317"/>
        <v>10/27/2022</v>
      </c>
      <c r="N2278" s="1">
        <f t="shared" ca="1" si="318"/>
        <v>46064</v>
      </c>
      <c r="O2278" s="6" t="e">
        <f t="shared" ca="1" si="319"/>
        <v>#VALUE!</v>
      </c>
      <c r="P2278">
        <v>2</v>
      </c>
      <c r="Q2278">
        <f t="shared" si="320"/>
        <v>24700</v>
      </c>
      <c r="R2278" s="2">
        <f t="shared" si="321"/>
        <v>12350</v>
      </c>
      <c r="S2278" s="2" t="str">
        <f t="shared" si="322"/>
        <v>Achieved</v>
      </c>
      <c r="T2278" s="2" t="str">
        <f t="shared" si="323"/>
        <v>poor</v>
      </c>
      <c r="U2278" s="2"/>
    </row>
    <row r="2279" spans="1:21" x14ac:dyDescent="0.3">
      <c r="A2279">
        <v>2278</v>
      </c>
      <c r="B2279" t="s">
        <v>3236</v>
      </c>
      <c r="C2279" t="str">
        <f t="shared" si="315"/>
        <v>EMP_2278</v>
      </c>
      <c r="D2279" t="s">
        <v>11</v>
      </c>
      <c r="E2279" t="str">
        <f t="shared" si="316"/>
        <v>EMP_2278Finance</v>
      </c>
      <c r="F2279" t="s">
        <v>18</v>
      </c>
      <c r="G2279" t="s">
        <v>22</v>
      </c>
      <c r="H2279">
        <v>48937</v>
      </c>
      <c r="I2279">
        <v>2637</v>
      </c>
      <c r="J2279">
        <v>0</v>
      </c>
      <c r="K2279">
        <v>0</v>
      </c>
      <c r="L2279" s="4" t="s">
        <v>3237</v>
      </c>
      <c r="M2279" s="4" t="str">
        <f t="shared" si="317"/>
        <v>2/20/2022</v>
      </c>
      <c r="N2279" s="1">
        <f t="shared" ca="1" si="318"/>
        <v>46064</v>
      </c>
      <c r="O2279" s="6" t="e">
        <f t="shared" ca="1" si="319"/>
        <v>#VALUE!</v>
      </c>
      <c r="P2279">
        <v>4</v>
      </c>
      <c r="Q2279">
        <f t="shared" si="320"/>
        <v>51574</v>
      </c>
      <c r="R2279" s="2">
        <f t="shared" si="321"/>
        <v>25787</v>
      </c>
      <c r="S2279" s="2" t="str">
        <f t="shared" si="322"/>
        <v xml:space="preserve"> Not Achieved</v>
      </c>
      <c r="T2279" s="2" t="str">
        <f t="shared" si="323"/>
        <v>Good</v>
      </c>
      <c r="U2279" s="2"/>
    </row>
    <row r="2280" spans="1:21" x14ac:dyDescent="0.3">
      <c r="A2280">
        <v>2279</v>
      </c>
      <c r="B2280" t="s">
        <v>3238</v>
      </c>
      <c r="C2280" t="str">
        <f t="shared" si="315"/>
        <v>EMP_2279</v>
      </c>
      <c r="D2280" t="s">
        <v>11</v>
      </c>
      <c r="E2280" t="str">
        <f t="shared" si="316"/>
        <v>EMP_2279HR</v>
      </c>
      <c r="F2280" t="s">
        <v>12</v>
      </c>
      <c r="G2280" t="s">
        <v>22</v>
      </c>
      <c r="H2280">
        <v>34504</v>
      </c>
      <c r="I2280">
        <v>4113</v>
      </c>
      <c r="J2280">
        <v>0</v>
      </c>
      <c r="K2280">
        <v>0</v>
      </c>
      <c r="L2280" s="4" t="s">
        <v>1538</v>
      </c>
      <c r="M2280" s="4" t="str">
        <f t="shared" si="317"/>
        <v>1/13/2020</v>
      </c>
      <c r="N2280" s="1">
        <f t="shared" ca="1" si="318"/>
        <v>46064</v>
      </c>
      <c r="O2280" s="6" t="e">
        <f t="shared" ca="1" si="319"/>
        <v>#VALUE!</v>
      </c>
      <c r="P2280">
        <v>1</v>
      </c>
      <c r="Q2280">
        <f t="shared" si="320"/>
        <v>38617</v>
      </c>
      <c r="R2280" s="2">
        <f t="shared" si="321"/>
        <v>19308.5</v>
      </c>
      <c r="S2280" s="2" t="str">
        <f t="shared" si="322"/>
        <v xml:space="preserve"> Not Achieved</v>
      </c>
      <c r="T2280" s="2" t="str">
        <f t="shared" si="323"/>
        <v>Average</v>
      </c>
      <c r="U2280" s="2"/>
    </row>
    <row r="2281" spans="1:21" x14ac:dyDescent="0.3">
      <c r="A2281">
        <v>2280</v>
      </c>
      <c r="B2281" t="s">
        <v>3239</v>
      </c>
      <c r="C2281" t="str">
        <f t="shared" si="315"/>
        <v>EMP_2280</v>
      </c>
      <c r="D2281" t="s">
        <v>11</v>
      </c>
      <c r="E2281" t="str">
        <f t="shared" si="316"/>
        <v>EMP_2280Marketing</v>
      </c>
      <c r="F2281" t="s">
        <v>24</v>
      </c>
      <c r="G2281" t="s">
        <v>19</v>
      </c>
      <c r="H2281">
        <v>63745</v>
      </c>
      <c r="I2281">
        <v>9851</v>
      </c>
      <c r="J2281">
        <v>0</v>
      </c>
      <c r="K2281">
        <v>0</v>
      </c>
      <c r="L2281" s="4" t="s">
        <v>1363</v>
      </c>
      <c r="M2281" s="4" t="str">
        <f t="shared" si="317"/>
        <v>11/16/2023</v>
      </c>
      <c r="N2281" s="1">
        <f t="shared" ca="1" si="318"/>
        <v>46064</v>
      </c>
      <c r="O2281" s="6" t="e">
        <f t="shared" ca="1" si="319"/>
        <v>#VALUE!</v>
      </c>
      <c r="P2281">
        <v>4</v>
      </c>
      <c r="Q2281">
        <f t="shared" si="320"/>
        <v>73596</v>
      </c>
      <c r="R2281" s="2">
        <f t="shared" si="321"/>
        <v>36798</v>
      </c>
      <c r="S2281" s="2" t="str">
        <f t="shared" si="322"/>
        <v xml:space="preserve"> Not Achieved</v>
      </c>
      <c r="T2281" s="2" t="str">
        <f t="shared" si="323"/>
        <v xml:space="preserve"> Excellent</v>
      </c>
      <c r="U2281" s="2"/>
    </row>
    <row r="2282" spans="1:21" x14ac:dyDescent="0.3">
      <c r="A2282">
        <v>2281</v>
      </c>
      <c r="B2282" t="s">
        <v>3240</v>
      </c>
      <c r="C2282" t="str">
        <f t="shared" si="315"/>
        <v>EMP_2281</v>
      </c>
      <c r="D2282" t="s">
        <v>11</v>
      </c>
      <c r="E2282" t="str">
        <f t="shared" si="316"/>
        <v>EMP_2281Marketing</v>
      </c>
      <c r="F2282" t="s">
        <v>24</v>
      </c>
      <c r="G2282" t="s">
        <v>25</v>
      </c>
      <c r="H2282">
        <v>70891</v>
      </c>
      <c r="I2282">
        <v>13505</v>
      </c>
      <c r="J2282">
        <v>0</v>
      </c>
      <c r="K2282">
        <v>0</v>
      </c>
      <c r="L2282" s="4">
        <v>44746</v>
      </c>
      <c r="M2282" s="4" t="str">
        <f t="shared" si="317"/>
        <v>2022</v>
      </c>
      <c r="N2282" s="1">
        <f t="shared" ca="1" si="318"/>
        <v>46064</v>
      </c>
      <c r="O2282" s="6">
        <f t="shared" ca="1" si="319"/>
        <v>3</v>
      </c>
      <c r="P2282">
        <v>4</v>
      </c>
      <c r="Q2282">
        <f t="shared" si="320"/>
        <v>84396</v>
      </c>
      <c r="R2282" s="2">
        <f t="shared" si="321"/>
        <v>42198</v>
      </c>
      <c r="S2282" s="2" t="str">
        <f t="shared" si="322"/>
        <v xml:space="preserve"> Not Achieved</v>
      </c>
      <c r="T2282" s="2" t="str">
        <f t="shared" si="323"/>
        <v xml:space="preserve"> Excellent</v>
      </c>
      <c r="U2282" s="2"/>
    </row>
    <row r="2283" spans="1:21" x14ac:dyDescent="0.3">
      <c r="A2283">
        <v>2282</v>
      </c>
      <c r="B2283" t="s">
        <v>3241</v>
      </c>
      <c r="C2283" t="str">
        <f t="shared" si="315"/>
        <v>EMP_2282</v>
      </c>
      <c r="D2283" t="s">
        <v>15</v>
      </c>
      <c r="E2283" t="str">
        <f t="shared" si="316"/>
        <v>EMP_2282Sales</v>
      </c>
      <c r="F2283" t="s">
        <v>7</v>
      </c>
      <c r="G2283" t="s">
        <v>19</v>
      </c>
      <c r="H2283">
        <v>37097</v>
      </c>
      <c r="I2283">
        <v>7545</v>
      </c>
      <c r="J2283">
        <v>175391</v>
      </c>
      <c r="K2283">
        <v>168519</v>
      </c>
      <c r="L2283" s="4">
        <v>45389</v>
      </c>
      <c r="M2283" s="4" t="str">
        <f t="shared" si="317"/>
        <v>2024</v>
      </c>
      <c r="N2283" s="1">
        <f t="shared" ca="1" si="318"/>
        <v>46064</v>
      </c>
      <c r="O2283" s="6">
        <f t="shared" ca="1" si="319"/>
        <v>1</v>
      </c>
      <c r="P2283">
        <v>2</v>
      </c>
      <c r="Q2283">
        <f t="shared" si="320"/>
        <v>44642</v>
      </c>
      <c r="R2283" s="2">
        <f t="shared" si="321"/>
        <v>22321</v>
      </c>
      <c r="S2283" s="2" t="str">
        <f t="shared" si="322"/>
        <v>Achieved</v>
      </c>
      <c r="T2283" s="2" t="str">
        <f t="shared" si="323"/>
        <v>Average</v>
      </c>
      <c r="U2283" s="2"/>
    </row>
    <row r="2284" spans="1:21" x14ac:dyDescent="0.3">
      <c r="A2284">
        <v>2283</v>
      </c>
      <c r="B2284" t="s">
        <v>3242</v>
      </c>
      <c r="C2284" t="str">
        <f t="shared" si="315"/>
        <v>EMP_2283</v>
      </c>
      <c r="D2284" t="s">
        <v>15</v>
      </c>
      <c r="E2284" t="str">
        <f t="shared" si="316"/>
        <v>EMP_2283IT</v>
      </c>
      <c r="F2284" t="s">
        <v>21</v>
      </c>
      <c r="G2284" t="s">
        <v>13</v>
      </c>
      <c r="H2284">
        <v>58127</v>
      </c>
      <c r="I2284">
        <v>9810</v>
      </c>
      <c r="J2284">
        <v>0</v>
      </c>
      <c r="K2284">
        <v>0</v>
      </c>
      <c r="L2284" s="4" t="s">
        <v>347</v>
      </c>
      <c r="M2284" s="4" t="str">
        <f t="shared" si="317"/>
        <v>8/21/2024</v>
      </c>
      <c r="N2284" s="1">
        <f t="shared" ca="1" si="318"/>
        <v>46064</v>
      </c>
      <c r="O2284" s="6" t="e">
        <f t="shared" ca="1" si="319"/>
        <v>#VALUE!</v>
      </c>
      <c r="P2284">
        <v>2</v>
      </c>
      <c r="Q2284">
        <f t="shared" si="320"/>
        <v>67937</v>
      </c>
      <c r="R2284" s="2">
        <f t="shared" si="321"/>
        <v>33968.5</v>
      </c>
      <c r="S2284" s="2" t="str">
        <f t="shared" si="322"/>
        <v xml:space="preserve"> Not Achieved</v>
      </c>
      <c r="T2284" s="2" t="str">
        <f t="shared" si="323"/>
        <v xml:space="preserve"> Excellent</v>
      </c>
      <c r="U2284" s="2"/>
    </row>
    <row r="2285" spans="1:21" x14ac:dyDescent="0.3">
      <c r="A2285">
        <v>2284</v>
      </c>
      <c r="B2285" t="s">
        <v>3243</v>
      </c>
      <c r="C2285" t="str">
        <f t="shared" si="315"/>
        <v>EMP_2284</v>
      </c>
      <c r="D2285" t="s">
        <v>11</v>
      </c>
      <c r="E2285" t="str">
        <f t="shared" si="316"/>
        <v>EMP_2284IT</v>
      </c>
      <c r="F2285" t="s">
        <v>21</v>
      </c>
      <c r="G2285" t="s">
        <v>25</v>
      </c>
      <c r="H2285">
        <v>49796</v>
      </c>
      <c r="I2285">
        <v>7220</v>
      </c>
      <c r="J2285">
        <v>0</v>
      </c>
      <c r="K2285">
        <v>0</v>
      </c>
      <c r="L2285" s="4" t="s">
        <v>3244</v>
      </c>
      <c r="M2285" s="4" t="str">
        <f t="shared" si="317"/>
        <v>10/16/2021</v>
      </c>
      <c r="N2285" s="1">
        <f t="shared" ca="1" si="318"/>
        <v>46064</v>
      </c>
      <c r="O2285" s="6" t="e">
        <f t="shared" ca="1" si="319"/>
        <v>#VALUE!</v>
      </c>
      <c r="P2285">
        <v>2</v>
      </c>
      <c r="Q2285">
        <f t="shared" si="320"/>
        <v>57016</v>
      </c>
      <c r="R2285" s="2">
        <f t="shared" si="321"/>
        <v>28508</v>
      </c>
      <c r="S2285" s="2" t="str">
        <f t="shared" si="322"/>
        <v xml:space="preserve"> Not Achieved</v>
      </c>
      <c r="T2285" s="2" t="str">
        <f t="shared" si="323"/>
        <v>Good</v>
      </c>
      <c r="U2285" s="2"/>
    </row>
    <row r="2286" spans="1:21" x14ac:dyDescent="0.3">
      <c r="A2286">
        <v>2285</v>
      </c>
      <c r="B2286" t="s">
        <v>3245</v>
      </c>
      <c r="C2286" t="str">
        <f t="shared" si="315"/>
        <v>EMP_2285</v>
      </c>
      <c r="D2286" t="s">
        <v>11</v>
      </c>
      <c r="E2286" t="str">
        <f t="shared" si="316"/>
        <v>EMP_2285Sales</v>
      </c>
      <c r="F2286" t="s">
        <v>7</v>
      </c>
      <c r="G2286" t="s">
        <v>22</v>
      </c>
      <c r="H2286">
        <v>50119</v>
      </c>
      <c r="I2286">
        <v>3543</v>
      </c>
      <c r="J2286">
        <v>250525</v>
      </c>
      <c r="K2286">
        <v>210294</v>
      </c>
      <c r="L2286" s="4" t="s">
        <v>3246</v>
      </c>
      <c r="M2286" s="4" t="str">
        <f t="shared" si="317"/>
        <v>4/16/2023</v>
      </c>
      <c r="N2286" s="1">
        <f t="shared" ca="1" si="318"/>
        <v>46064</v>
      </c>
      <c r="O2286" s="6" t="e">
        <f t="shared" ca="1" si="319"/>
        <v>#VALUE!</v>
      </c>
      <c r="P2286">
        <v>1</v>
      </c>
      <c r="Q2286">
        <f t="shared" si="320"/>
        <v>53662</v>
      </c>
      <c r="R2286" s="2">
        <f t="shared" si="321"/>
        <v>26831</v>
      </c>
      <c r="S2286" s="2" t="str">
        <f t="shared" si="322"/>
        <v>Achieved</v>
      </c>
      <c r="T2286" s="2" t="str">
        <f t="shared" si="323"/>
        <v xml:space="preserve"> Excellent</v>
      </c>
      <c r="U2286" s="2"/>
    </row>
    <row r="2287" spans="1:21" x14ac:dyDescent="0.3">
      <c r="A2287">
        <v>2286</v>
      </c>
      <c r="B2287" t="s">
        <v>3247</v>
      </c>
      <c r="C2287" t="str">
        <f t="shared" si="315"/>
        <v>EMP_2286</v>
      </c>
      <c r="D2287" t="s">
        <v>11</v>
      </c>
      <c r="E2287" t="str">
        <f t="shared" si="316"/>
        <v>EMP_2286IT</v>
      </c>
      <c r="F2287" t="s">
        <v>21</v>
      </c>
      <c r="G2287" t="s">
        <v>19</v>
      </c>
      <c r="H2287">
        <v>57428</v>
      </c>
      <c r="I2287">
        <v>6144</v>
      </c>
      <c r="J2287">
        <v>0</v>
      </c>
      <c r="K2287">
        <v>0</v>
      </c>
      <c r="L2287" s="4">
        <v>45088</v>
      </c>
      <c r="M2287" s="4" t="str">
        <f t="shared" si="317"/>
        <v>2023</v>
      </c>
      <c r="N2287" s="1">
        <f t="shared" ca="1" si="318"/>
        <v>46064</v>
      </c>
      <c r="O2287" s="6">
        <f t="shared" ca="1" si="319"/>
        <v>2</v>
      </c>
      <c r="P2287">
        <v>3</v>
      </c>
      <c r="Q2287">
        <f t="shared" si="320"/>
        <v>63572</v>
      </c>
      <c r="R2287" s="2">
        <f t="shared" si="321"/>
        <v>31786</v>
      </c>
      <c r="S2287" s="2" t="str">
        <f t="shared" si="322"/>
        <v xml:space="preserve"> Not Achieved</v>
      </c>
      <c r="T2287" s="2" t="str">
        <f t="shared" si="323"/>
        <v xml:space="preserve"> Excellent</v>
      </c>
      <c r="U2287" s="2"/>
    </row>
    <row r="2288" spans="1:21" x14ac:dyDescent="0.3">
      <c r="A2288">
        <v>2287</v>
      </c>
      <c r="B2288" t="s">
        <v>3248</v>
      </c>
      <c r="C2288" t="str">
        <f t="shared" si="315"/>
        <v>EMP_2287</v>
      </c>
      <c r="D2288" t="s">
        <v>11</v>
      </c>
      <c r="E2288" t="str">
        <f t="shared" si="316"/>
        <v>EMP_2287Sales</v>
      </c>
      <c r="F2288" t="s">
        <v>7</v>
      </c>
      <c r="G2288" t="s">
        <v>22</v>
      </c>
      <c r="H2288">
        <v>63330</v>
      </c>
      <c r="I2288">
        <v>13761</v>
      </c>
      <c r="J2288">
        <v>59832</v>
      </c>
      <c r="K2288">
        <v>193015</v>
      </c>
      <c r="L2288" s="4" t="s">
        <v>3249</v>
      </c>
      <c r="M2288" s="4" t="str">
        <f t="shared" si="317"/>
        <v>3/22/2023</v>
      </c>
      <c r="N2288" s="1">
        <f t="shared" ca="1" si="318"/>
        <v>46064</v>
      </c>
      <c r="O2288" s="6" t="e">
        <f t="shared" ca="1" si="319"/>
        <v>#VALUE!</v>
      </c>
      <c r="P2288">
        <v>2</v>
      </c>
      <c r="Q2288">
        <f t="shared" si="320"/>
        <v>77091</v>
      </c>
      <c r="R2288" s="2">
        <f t="shared" si="321"/>
        <v>38545.5</v>
      </c>
      <c r="S2288" s="2" t="str">
        <f t="shared" si="322"/>
        <v xml:space="preserve"> Not Achieved</v>
      </c>
      <c r="T2288" s="2" t="str">
        <f t="shared" si="323"/>
        <v xml:space="preserve"> Excellent</v>
      </c>
      <c r="U2288" s="2"/>
    </row>
    <row r="2289" spans="1:21" x14ac:dyDescent="0.3">
      <c r="A2289">
        <v>2288</v>
      </c>
      <c r="B2289" t="s">
        <v>3250</v>
      </c>
      <c r="C2289" t="str">
        <f t="shared" si="315"/>
        <v>EMP_2288</v>
      </c>
      <c r="D2289" t="s">
        <v>15</v>
      </c>
      <c r="E2289" t="str">
        <f t="shared" si="316"/>
        <v>EMP_2288HR</v>
      </c>
      <c r="F2289" t="s">
        <v>12</v>
      </c>
      <c r="G2289" t="s">
        <v>22</v>
      </c>
      <c r="H2289">
        <v>76952</v>
      </c>
      <c r="I2289">
        <v>11652</v>
      </c>
      <c r="J2289">
        <v>0</v>
      </c>
      <c r="K2289">
        <v>0</v>
      </c>
      <c r="L2289" s="4" t="s">
        <v>203</v>
      </c>
      <c r="M2289" s="4" t="str">
        <f t="shared" si="317"/>
        <v>8/21/2023</v>
      </c>
      <c r="N2289" s="1">
        <f t="shared" ca="1" si="318"/>
        <v>46064</v>
      </c>
      <c r="O2289" s="6" t="e">
        <f t="shared" ca="1" si="319"/>
        <v>#VALUE!</v>
      </c>
      <c r="P2289">
        <v>1</v>
      </c>
      <c r="Q2289">
        <f t="shared" si="320"/>
        <v>88604</v>
      </c>
      <c r="R2289" s="2">
        <f t="shared" si="321"/>
        <v>44302</v>
      </c>
      <c r="S2289" s="2" t="str">
        <f t="shared" si="322"/>
        <v xml:space="preserve"> Not Achieved</v>
      </c>
      <c r="T2289" s="2" t="str">
        <f t="shared" si="323"/>
        <v xml:space="preserve"> Excellent</v>
      </c>
      <c r="U2289" s="2"/>
    </row>
    <row r="2290" spans="1:21" x14ac:dyDescent="0.3">
      <c r="A2290">
        <v>2289</v>
      </c>
      <c r="B2290" t="s">
        <v>3251</v>
      </c>
      <c r="C2290" t="str">
        <f t="shared" si="315"/>
        <v>EMP_2289</v>
      </c>
      <c r="D2290" t="s">
        <v>15</v>
      </c>
      <c r="E2290" t="str">
        <f t="shared" si="316"/>
        <v>EMP_2289Finance</v>
      </c>
      <c r="F2290" t="s">
        <v>18</v>
      </c>
      <c r="G2290" t="s">
        <v>19</v>
      </c>
      <c r="H2290">
        <v>72936</v>
      </c>
      <c r="I2290">
        <v>3193</v>
      </c>
      <c r="J2290">
        <v>0</v>
      </c>
      <c r="K2290">
        <v>0</v>
      </c>
      <c r="L2290" s="4" t="s">
        <v>1509</v>
      </c>
      <c r="M2290" s="4" t="str">
        <f t="shared" si="317"/>
        <v>12/16/2020</v>
      </c>
      <c r="N2290" s="1">
        <f t="shared" ca="1" si="318"/>
        <v>46064</v>
      </c>
      <c r="O2290" s="6" t="e">
        <f t="shared" ca="1" si="319"/>
        <v>#VALUE!</v>
      </c>
      <c r="P2290">
        <v>5</v>
      </c>
      <c r="Q2290">
        <f t="shared" si="320"/>
        <v>76129</v>
      </c>
      <c r="R2290" s="2">
        <f t="shared" si="321"/>
        <v>38064.5</v>
      </c>
      <c r="S2290" s="2" t="str">
        <f t="shared" si="322"/>
        <v xml:space="preserve"> Not Achieved</v>
      </c>
      <c r="T2290" s="2" t="str">
        <f t="shared" si="323"/>
        <v xml:space="preserve"> Excellent</v>
      </c>
      <c r="U2290" s="2"/>
    </row>
    <row r="2291" spans="1:21" x14ac:dyDescent="0.3">
      <c r="A2291">
        <v>2290</v>
      </c>
      <c r="B2291" t="s">
        <v>3252</v>
      </c>
      <c r="C2291" t="str">
        <f t="shared" si="315"/>
        <v>EMP_2290</v>
      </c>
      <c r="D2291" t="s">
        <v>15</v>
      </c>
      <c r="E2291" t="str">
        <f t="shared" si="316"/>
        <v>EMP_2290Sales</v>
      </c>
      <c r="F2291" t="s">
        <v>7</v>
      </c>
      <c r="G2291" t="s">
        <v>19</v>
      </c>
      <c r="H2291">
        <v>22830</v>
      </c>
      <c r="I2291">
        <v>11735</v>
      </c>
      <c r="J2291">
        <v>228154</v>
      </c>
      <c r="K2291">
        <v>93666</v>
      </c>
      <c r="L2291" s="4">
        <v>45505</v>
      </c>
      <c r="M2291" s="4" t="str">
        <f t="shared" si="317"/>
        <v>2024</v>
      </c>
      <c r="N2291" s="1">
        <f t="shared" ca="1" si="318"/>
        <v>46064</v>
      </c>
      <c r="O2291" s="6">
        <f t="shared" ca="1" si="319"/>
        <v>1</v>
      </c>
      <c r="P2291">
        <v>3</v>
      </c>
      <c r="Q2291">
        <f t="shared" si="320"/>
        <v>34565</v>
      </c>
      <c r="R2291" s="2">
        <f t="shared" si="321"/>
        <v>17282.5</v>
      </c>
      <c r="S2291" s="2" t="str">
        <f t="shared" si="322"/>
        <v>Achieved</v>
      </c>
      <c r="T2291" s="2" t="str">
        <f t="shared" si="323"/>
        <v>poor</v>
      </c>
      <c r="U2291" s="2"/>
    </row>
    <row r="2292" spans="1:21" x14ac:dyDescent="0.3">
      <c r="A2292">
        <v>2291</v>
      </c>
      <c r="B2292" t="s">
        <v>3253</v>
      </c>
      <c r="C2292" t="str">
        <f t="shared" si="315"/>
        <v>EMP_2291</v>
      </c>
      <c r="D2292" t="s">
        <v>15</v>
      </c>
      <c r="E2292" t="str">
        <f t="shared" si="316"/>
        <v>EMP_2291HR</v>
      </c>
      <c r="F2292" t="s">
        <v>12</v>
      </c>
      <c r="G2292" t="s">
        <v>25</v>
      </c>
      <c r="H2292">
        <v>42908</v>
      </c>
      <c r="I2292">
        <v>14562</v>
      </c>
      <c r="J2292">
        <v>0</v>
      </c>
      <c r="K2292">
        <v>0</v>
      </c>
      <c r="L2292" s="4" t="s">
        <v>1054</v>
      </c>
      <c r="M2292" s="4" t="str">
        <f t="shared" si="317"/>
        <v>11/30/2019</v>
      </c>
      <c r="N2292" s="1">
        <f t="shared" ca="1" si="318"/>
        <v>46064</v>
      </c>
      <c r="O2292" s="6" t="e">
        <f t="shared" ca="1" si="319"/>
        <v>#VALUE!</v>
      </c>
      <c r="P2292">
        <v>4</v>
      </c>
      <c r="Q2292">
        <f t="shared" si="320"/>
        <v>57470</v>
      </c>
      <c r="R2292" s="2">
        <f t="shared" si="321"/>
        <v>28735</v>
      </c>
      <c r="S2292" s="2" t="str">
        <f t="shared" si="322"/>
        <v xml:space="preserve"> Not Achieved</v>
      </c>
      <c r="T2292" s="2" t="str">
        <f t="shared" si="323"/>
        <v>Good</v>
      </c>
      <c r="U2292" s="2"/>
    </row>
    <row r="2293" spans="1:21" x14ac:dyDescent="0.3">
      <c r="A2293">
        <v>2292</v>
      </c>
      <c r="B2293" t="s">
        <v>3254</v>
      </c>
      <c r="C2293" t="str">
        <f t="shared" si="315"/>
        <v>EMP_2292</v>
      </c>
      <c r="D2293" t="s">
        <v>15</v>
      </c>
      <c r="E2293" t="str">
        <f t="shared" si="316"/>
        <v>EMP_2292HR</v>
      </c>
      <c r="F2293" t="s">
        <v>12</v>
      </c>
      <c r="G2293" t="s">
        <v>16</v>
      </c>
      <c r="H2293">
        <v>34347</v>
      </c>
      <c r="I2293">
        <v>12010</v>
      </c>
      <c r="J2293">
        <v>0</v>
      </c>
      <c r="K2293">
        <v>0</v>
      </c>
      <c r="L2293" s="4">
        <v>44751</v>
      </c>
      <c r="M2293" s="4" t="str">
        <f t="shared" si="317"/>
        <v>2022</v>
      </c>
      <c r="N2293" s="1">
        <f t="shared" ca="1" si="318"/>
        <v>46064</v>
      </c>
      <c r="O2293" s="6">
        <f t="shared" ca="1" si="319"/>
        <v>3</v>
      </c>
      <c r="P2293">
        <v>4</v>
      </c>
      <c r="Q2293">
        <f t="shared" si="320"/>
        <v>46357</v>
      </c>
      <c r="R2293" s="2">
        <f t="shared" si="321"/>
        <v>23178.5</v>
      </c>
      <c r="S2293" s="2" t="str">
        <f t="shared" si="322"/>
        <v xml:space="preserve"> Not Achieved</v>
      </c>
      <c r="T2293" s="2" t="str">
        <f t="shared" si="323"/>
        <v>Average</v>
      </c>
      <c r="U2293" s="2"/>
    </row>
    <row r="2294" spans="1:21" x14ac:dyDescent="0.3">
      <c r="A2294">
        <v>2293</v>
      </c>
      <c r="B2294" t="s">
        <v>3255</v>
      </c>
      <c r="C2294" t="str">
        <f t="shared" si="315"/>
        <v>EMP_2293</v>
      </c>
      <c r="D2294" t="s">
        <v>11</v>
      </c>
      <c r="E2294" t="str">
        <f t="shared" si="316"/>
        <v>EMP_2293Marketing</v>
      </c>
      <c r="F2294" t="s">
        <v>24</v>
      </c>
      <c r="G2294" t="s">
        <v>16</v>
      </c>
      <c r="H2294">
        <v>67342</v>
      </c>
      <c r="I2294">
        <v>14784</v>
      </c>
      <c r="J2294">
        <v>0</v>
      </c>
      <c r="K2294">
        <v>0</v>
      </c>
      <c r="L2294" s="4" t="s">
        <v>2325</v>
      </c>
      <c r="M2294" s="4" t="str">
        <f t="shared" si="317"/>
        <v>11/18/2024</v>
      </c>
      <c r="N2294" s="1">
        <f t="shared" ca="1" si="318"/>
        <v>46064</v>
      </c>
      <c r="O2294" s="6" t="e">
        <f t="shared" ca="1" si="319"/>
        <v>#VALUE!</v>
      </c>
      <c r="P2294">
        <v>2</v>
      </c>
      <c r="Q2294">
        <f t="shared" si="320"/>
        <v>82126</v>
      </c>
      <c r="R2294" s="2">
        <f t="shared" si="321"/>
        <v>41063</v>
      </c>
      <c r="S2294" s="2" t="str">
        <f t="shared" si="322"/>
        <v xml:space="preserve"> Not Achieved</v>
      </c>
      <c r="T2294" s="2" t="str">
        <f t="shared" si="323"/>
        <v xml:space="preserve"> Excellent</v>
      </c>
      <c r="U2294" s="2"/>
    </row>
    <row r="2295" spans="1:21" x14ac:dyDescent="0.3">
      <c r="A2295">
        <v>2294</v>
      </c>
      <c r="B2295" t="s">
        <v>3256</v>
      </c>
      <c r="C2295" t="str">
        <f t="shared" si="315"/>
        <v>EMP_2294</v>
      </c>
      <c r="D2295" t="s">
        <v>11</v>
      </c>
      <c r="E2295" t="str">
        <f t="shared" si="316"/>
        <v>EMP_2294Finance</v>
      </c>
      <c r="F2295" t="s">
        <v>18</v>
      </c>
      <c r="G2295" t="s">
        <v>22</v>
      </c>
      <c r="H2295">
        <v>28755</v>
      </c>
      <c r="I2295">
        <v>7744</v>
      </c>
      <c r="J2295">
        <v>0</v>
      </c>
      <c r="K2295">
        <v>0</v>
      </c>
      <c r="L2295" s="4" t="s">
        <v>3145</v>
      </c>
      <c r="M2295" s="4" t="str">
        <f t="shared" si="317"/>
        <v>2/21/2020</v>
      </c>
      <c r="N2295" s="1">
        <f t="shared" ca="1" si="318"/>
        <v>46064</v>
      </c>
      <c r="O2295" s="6" t="e">
        <f t="shared" ca="1" si="319"/>
        <v>#VALUE!</v>
      </c>
      <c r="P2295">
        <v>1</v>
      </c>
      <c r="Q2295">
        <f t="shared" si="320"/>
        <v>36499</v>
      </c>
      <c r="R2295" s="2">
        <f t="shared" si="321"/>
        <v>18249.5</v>
      </c>
      <c r="S2295" s="2" t="str">
        <f t="shared" si="322"/>
        <v xml:space="preserve"> Not Achieved</v>
      </c>
      <c r="T2295" s="2" t="str">
        <f t="shared" si="323"/>
        <v>poor</v>
      </c>
      <c r="U2295" s="2"/>
    </row>
    <row r="2296" spans="1:21" x14ac:dyDescent="0.3">
      <c r="A2296">
        <v>2295</v>
      </c>
      <c r="B2296" t="s">
        <v>3257</v>
      </c>
      <c r="C2296" t="str">
        <f t="shared" si="315"/>
        <v>EMP_2295</v>
      </c>
      <c r="D2296" t="s">
        <v>15</v>
      </c>
      <c r="E2296" t="str">
        <f t="shared" si="316"/>
        <v>EMP_2295Marketing</v>
      </c>
      <c r="F2296" t="s">
        <v>24</v>
      </c>
      <c r="G2296" t="s">
        <v>16</v>
      </c>
      <c r="H2296">
        <v>66003</v>
      </c>
      <c r="I2296">
        <v>14488</v>
      </c>
      <c r="J2296">
        <v>0</v>
      </c>
      <c r="K2296">
        <v>0</v>
      </c>
      <c r="L2296" s="4">
        <v>45049</v>
      </c>
      <c r="M2296" s="4" t="str">
        <f t="shared" si="317"/>
        <v>2023</v>
      </c>
      <c r="N2296" s="1">
        <f t="shared" ca="1" si="318"/>
        <v>46064</v>
      </c>
      <c r="O2296" s="6">
        <f t="shared" ca="1" si="319"/>
        <v>2</v>
      </c>
      <c r="P2296">
        <v>5</v>
      </c>
      <c r="Q2296">
        <f t="shared" si="320"/>
        <v>80491</v>
      </c>
      <c r="R2296" s="2">
        <f t="shared" si="321"/>
        <v>40245.5</v>
      </c>
      <c r="S2296" s="2" t="str">
        <f t="shared" si="322"/>
        <v xml:space="preserve"> Not Achieved</v>
      </c>
      <c r="T2296" s="2" t="str">
        <f t="shared" si="323"/>
        <v xml:space="preserve"> Excellent</v>
      </c>
      <c r="U2296" s="2"/>
    </row>
    <row r="2297" spans="1:21" x14ac:dyDescent="0.3">
      <c r="A2297">
        <v>2296</v>
      </c>
      <c r="B2297" t="s">
        <v>3258</v>
      </c>
      <c r="C2297" t="str">
        <f t="shared" si="315"/>
        <v>EMP_2296</v>
      </c>
      <c r="D2297" t="s">
        <v>11</v>
      </c>
      <c r="E2297" t="str">
        <f t="shared" si="316"/>
        <v>EMP_2296Sales</v>
      </c>
      <c r="F2297" t="s">
        <v>7</v>
      </c>
      <c r="G2297" t="s">
        <v>22</v>
      </c>
      <c r="H2297">
        <v>23107</v>
      </c>
      <c r="I2297">
        <v>11065</v>
      </c>
      <c r="J2297">
        <v>148317</v>
      </c>
      <c r="K2297">
        <v>209089</v>
      </c>
      <c r="L2297" s="4" t="s">
        <v>1225</v>
      </c>
      <c r="M2297" s="4" t="str">
        <f t="shared" si="317"/>
        <v>12/27/2023</v>
      </c>
      <c r="N2297" s="1">
        <f t="shared" ca="1" si="318"/>
        <v>46064</v>
      </c>
      <c r="O2297" s="6" t="e">
        <f t="shared" ca="1" si="319"/>
        <v>#VALUE!</v>
      </c>
      <c r="P2297">
        <v>2</v>
      </c>
      <c r="Q2297">
        <f t="shared" si="320"/>
        <v>34172</v>
      </c>
      <c r="R2297" s="2">
        <f t="shared" si="321"/>
        <v>17086</v>
      </c>
      <c r="S2297" s="2" t="str">
        <f t="shared" si="322"/>
        <v xml:space="preserve"> Not Achieved</v>
      </c>
      <c r="T2297" s="2" t="str">
        <f t="shared" si="323"/>
        <v>poor</v>
      </c>
      <c r="U2297" s="2"/>
    </row>
    <row r="2298" spans="1:21" x14ac:dyDescent="0.3">
      <c r="A2298">
        <v>2297</v>
      </c>
      <c r="B2298" t="s">
        <v>3259</v>
      </c>
      <c r="C2298" t="str">
        <f t="shared" si="315"/>
        <v>EMP_2297</v>
      </c>
      <c r="D2298" t="s">
        <v>15</v>
      </c>
      <c r="E2298" t="str">
        <f t="shared" si="316"/>
        <v>EMP_2297Marketing</v>
      </c>
      <c r="F2298" t="s">
        <v>24</v>
      </c>
      <c r="G2298" t="s">
        <v>22</v>
      </c>
      <c r="H2298">
        <v>70831</v>
      </c>
      <c r="I2298">
        <v>12333</v>
      </c>
      <c r="J2298">
        <v>0</v>
      </c>
      <c r="K2298">
        <v>0</v>
      </c>
      <c r="L2298" s="4">
        <v>44996</v>
      </c>
      <c r="M2298" s="4" t="str">
        <f t="shared" si="317"/>
        <v>2023</v>
      </c>
      <c r="N2298" s="1">
        <f t="shared" ca="1" si="318"/>
        <v>46064</v>
      </c>
      <c r="O2298" s="6">
        <f t="shared" ca="1" si="319"/>
        <v>2</v>
      </c>
      <c r="P2298">
        <v>5</v>
      </c>
      <c r="Q2298">
        <f t="shared" si="320"/>
        <v>83164</v>
      </c>
      <c r="R2298" s="2">
        <f t="shared" si="321"/>
        <v>41582</v>
      </c>
      <c r="S2298" s="2" t="str">
        <f t="shared" si="322"/>
        <v xml:space="preserve"> Not Achieved</v>
      </c>
      <c r="T2298" s="2" t="str">
        <f t="shared" si="323"/>
        <v xml:space="preserve"> Excellent</v>
      </c>
      <c r="U2298" s="2"/>
    </row>
    <row r="2299" spans="1:21" x14ac:dyDescent="0.3">
      <c r="A2299">
        <v>2298</v>
      </c>
      <c r="B2299" t="s">
        <v>3260</v>
      </c>
      <c r="C2299" t="str">
        <f t="shared" si="315"/>
        <v>EMP_2298</v>
      </c>
      <c r="D2299" t="s">
        <v>15</v>
      </c>
      <c r="E2299" t="str">
        <f t="shared" si="316"/>
        <v>EMP_2298HR</v>
      </c>
      <c r="F2299" t="s">
        <v>12</v>
      </c>
      <c r="G2299" t="s">
        <v>13</v>
      </c>
      <c r="H2299">
        <v>32746</v>
      </c>
      <c r="I2299">
        <v>8608</v>
      </c>
      <c r="J2299">
        <v>0</v>
      </c>
      <c r="K2299">
        <v>0</v>
      </c>
      <c r="L2299" s="4" t="s">
        <v>3261</v>
      </c>
      <c r="M2299" s="4" t="str">
        <f t="shared" si="317"/>
        <v>6/26/2019</v>
      </c>
      <c r="N2299" s="1">
        <f t="shared" ca="1" si="318"/>
        <v>46064</v>
      </c>
      <c r="O2299" s="6" t="e">
        <f t="shared" ca="1" si="319"/>
        <v>#VALUE!</v>
      </c>
      <c r="P2299">
        <v>5</v>
      </c>
      <c r="Q2299">
        <f t="shared" si="320"/>
        <v>41354</v>
      </c>
      <c r="R2299" s="2">
        <f t="shared" si="321"/>
        <v>20677</v>
      </c>
      <c r="S2299" s="2" t="str">
        <f t="shared" si="322"/>
        <v xml:space="preserve"> Not Achieved</v>
      </c>
      <c r="T2299" s="2" t="str">
        <f t="shared" si="323"/>
        <v>Average</v>
      </c>
      <c r="U2299" s="2"/>
    </row>
    <row r="2300" spans="1:21" x14ac:dyDescent="0.3">
      <c r="A2300">
        <v>2299</v>
      </c>
      <c r="B2300" t="s">
        <v>3262</v>
      </c>
      <c r="C2300" t="str">
        <f t="shared" si="315"/>
        <v>EMP_2299</v>
      </c>
      <c r="D2300" t="s">
        <v>15</v>
      </c>
      <c r="E2300" t="str">
        <f t="shared" si="316"/>
        <v>EMP_2299Sales</v>
      </c>
      <c r="F2300" t="s">
        <v>7</v>
      </c>
      <c r="G2300" t="s">
        <v>19</v>
      </c>
      <c r="H2300">
        <v>24633</v>
      </c>
      <c r="I2300">
        <v>5234</v>
      </c>
      <c r="J2300">
        <v>156188</v>
      </c>
      <c r="K2300">
        <v>243081</v>
      </c>
      <c r="L2300" s="4">
        <v>43836</v>
      </c>
      <c r="M2300" s="4" t="str">
        <f t="shared" si="317"/>
        <v>2020</v>
      </c>
      <c r="N2300" s="1">
        <f t="shared" ca="1" si="318"/>
        <v>46064</v>
      </c>
      <c r="O2300" s="6">
        <f t="shared" ca="1" si="319"/>
        <v>6</v>
      </c>
      <c r="P2300">
        <v>3</v>
      </c>
      <c r="Q2300">
        <f t="shared" si="320"/>
        <v>29867</v>
      </c>
      <c r="R2300" s="2">
        <f t="shared" si="321"/>
        <v>14933.5</v>
      </c>
      <c r="S2300" s="2" t="str">
        <f t="shared" si="322"/>
        <v xml:space="preserve"> Not Achieved</v>
      </c>
      <c r="T2300" s="2" t="str">
        <f t="shared" si="323"/>
        <v>poor</v>
      </c>
      <c r="U2300" s="2"/>
    </row>
    <row r="2301" spans="1:21" x14ac:dyDescent="0.3">
      <c r="A2301">
        <v>2300</v>
      </c>
      <c r="B2301" t="s">
        <v>3263</v>
      </c>
      <c r="C2301" t="str">
        <f t="shared" si="315"/>
        <v>EMP_2300</v>
      </c>
      <c r="D2301" t="s">
        <v>11</v>
      </c>
      <c r="E2301" t="str">
        <f t="shared" si="316"/>
        <v>EMP_2300Finance</v>
      </c>
      <c r="F2301" t="s">
        <v>18</v>
      </c>
      <c r="G2301" t="s">
        <v>19</v>
      </c>
      <c r="H2301">
        <v>52887</v>
      </c>
      <c r="I2301">
        <v>11385</v>
      </c>
      <c r="J2301">
        <v>0</v>
      </c>
      <c r="K2301">
        <v>0</v>
      </c>
      <c r="L2301" s="4" t="s">
        <v>3059</v>
      </c>
      <c r="M2301" s="4" t="str">
        <f t="shared" si="317"/>
        <v>9/26/2021</v>
      </c>
      <c r="N2301" s="1">
        <f t="shared" ca="1" si="318"/>
        <v>46064</v>
      </c>
      <c r="O2301" s="6" t="e">
        <f t="shared" ca="1" si="319"/>
        <v>#VALUE!</v>
      </c>
      <c r="P2301">
        <v>5</v>
      </c>
      <c r="Q2301">
        <f t="shared" si="320"/>
        <v>64272</v>
      </c>
      <c r="R2301" s="2">
        <f t="shared" si="321"/>
        <v>32136</v>
      </c>
      <c r="S2301" s="2" t="str">
        <f t="shared" si="322"/>
        <v xml:space="preserve"> Not Achieved</v>
      </c>
      <c r="T2301" s="2" t="str">
        <f t="shared" si="323"/>
        <v xml:space="preserve"> Excellent</v>
      </c>
      <c r="U2301" s="2"/>
    </row>
    <row r="2302" spans="1:21" x14ac:dyDescent="0.3">
      <c r="A2302">
        <v>2301</v>
      </c>
      <c r="B2302" t="s">
        <v>3264</v>
      </c>
      <c r="C2302" t="str">
        <f t="shared" si="315"/>
        <v>EMP_2301</v>
      </c>
      <c r="D2302" t="s">
        <v>15</v>
      </c>
      <c r="E2302" t="str">
        <f t="shared" si="316"/>
        <v>EMP_2301HR</v>
      </c>
      <c r="F2302" t="s">
        <v>12</v>
      </c>
      <c r="G2302" t="s">
        <v>13</v>
      </c>
      <c r="H2302">
        <v>57834</v>
      </c>
      <c r="I2302">
        <v>9316</v>
      </c>
      <c r="J2302">
        <v>0</v>
      </c>
      <c r="K2302">
        <v>0</v>
      </c>
      <c r="L2302" s="4" t="s">
        <v>3265</v>
      </c>
      <c r="M2302" s="4" t="str">
        <f t="shared" si="317"/>
        <v>2/17/2018</v>
      </c>
      <c r="N2302" s="1">
        <f t="shared" ca="1" si="318"/>
        <v>46064</v>
      </c>
      <c r="O2302" s="6" t="e">
        <f t="shared" ca="1" si="319"/>
        <v>#VALUE!</v>
      </c>
      <c r="P2302">
        <v>2</v>
      </c>
      <c r="Q2302">
        <f t="shared" si="320"/>
        <v>67150</v>
      </c>
      <c r="R2302" s="2">
        <f t="shared" si="321"/>
        <v>33575</v>
      </c>
      <c r="S2302" s="2" t="str">
        <f t="shared" si="322"/>
        <v xml:space="preserve"> Not Achieved</v>
      </c>
      <c r="T2302" s="2" t="str">
        <f t="shared" si="323"/>
        <v xml:space="preserve"> Excellent</v>
      </c>
      <c r="U2302" s="2"/>
    </row>
    <row r="2303" spans="1:21" x14ac:dyDescent="0.3">
      <c r="A2303">
        <v>2302</v>
      </c>
      <c r="B2303" t="s">
        <v>3266</v>
      </c>
      <c r="C2303" t="str">
        <f t="shared" si="315"/>
        <v>EMP_2302</v>
      </c>
      <c r="D2303" t="s">
        <v>11</v>
      </c>
      <c r="E2303" t="str">
        <f t="shared" si="316"/>
        <v>EMP_2302HR</v>
      </c>
      <c r="F2303" t="s">
        <v>12</v>
      </c>
      <c r="G2303" t="s">
        <v>16</v>
      </c>
      <c r="H2303">
        <v>64517</v>
      </c>
      <c r="I2303">
        <v>12338</v>
      </c>
      <c r="J2303">
        <v>0</v>
      </c>
      <c r="K2303">
        <v>0</v>
      </c>
      <c r="L2303" s="4" t="s">
        <v>3267</v>
      </c>
      <c r="M2303" s="4" t="str">
        <f t="shared" si="317"/>
        <v>7/21/2023</v>
      </c>
      <c r="N2303" s="1">
        <f t="shared" ca="1" si="318"/>
        <v>46064</v>
      </c>
      <c r="O2303" s="6" t="e">
        <f t="shared" ca="1" si="319"/>
        <v>#VALUE!</v>
      </c>
      <c r="P2303">
        <v>1</v>
      </c>
      <c r="Q2303">
        <f t="shared" si="320"/>
        <v>76855</v>
      </c>
      <c r="R2303" s="2">
        <f t="shared" si="321"/>
        <v>38427.5</v>
      </c>
      <c r="S2303" s="2" t="str">
        <f t="shared" si="322"/>
        <v xml:space="preserve"> Not Achieved</v>
      </c>
      <c r="T2303" s="2" t="str">
        <f t="shared" si="323"/>
        <v xml:space="preserve"> Excellent</v>
      </c>
      <c r="U2303" s="2"/>
    </row>
    <row r="2304" spans="1:21" x14ac:dyDescent="0.3">
      <c r="A2304">
        <v>2303</v>
      </c>
      <c r="B2304" t="s">
        <v>3268</v>
      </c>
      <c r="C2304" t="str">
        <f t="shared" si="315"/>
        <v>EMP_2303</v>
      </c>
      <c r="D2304" t="s">
        <v>15</v>
      </c>
      <c r="E2304" t="str">
        <f t="shared" si="316"/>
        <v>EMP_2303Finance</v>
      </c>
      <c r="F2304" t="s">
        <v>18</v>
      </c>
      <c r="G2304" t="s">
        <v>13</v>
      </c>
      <c r="H2304">
        <v>63539</v>
      </c>
      <c r="I2304">
        <v>2372</v>
      </c>
      <c r="J2304">
        <v>0</v>
      </c>
      <c r="K2304">
        <v>0</v>
      </c>
      <c r="L2304" s="4">
        <v>45444</v>
      </c>
      <c r="M2304" s="4" t="str">
        <f t="shared" si="317"/>
        <v>2024</v>
      </c>
      <c r="N2304" s="1">
        <f t="shared" ca="1" si="318"/>
        <v>46064</v>
      </c>
      <c r="O2304" s="6">
        <f t="shared" ca="1" si="319"/>
        <v>1</v>
      </c>
      <c r="P2304">
        <v>3</v>
      </c>
      <c r="Q2304">
        <f t="shared" si="320"/>
        <v>65911</v>
      </c>
      <c r="R2304" s="2">
        <f t="shared" si="321"/>
        <v>32955.5</v>
      </c>
      <c r="S2304" s="2" t="str">
        <f t="shared" si="322"/>
        <v xml:space="preserve"> Not Achieved</v>
      </c>
      <c r="T2304" s="2" t="str">
        <f t="shared" si="323"/>
        <v xml:space="preserve"> Excellent</v>
      </c>
      <c r="U2304" s="2"/>
    </row>
    <row r="2305" spans="1:21" x14ac:dyDescent="0.3">
      <c r="A2305">
        <v>2304</v>
      </c>
      <c r="B2305" t="s">
        <v>3269</v>
      </c>
      <c r="C2305" t="str">
        <f t="shared" si="315"/>
        <v>EMP_2304</v>
      </c>
      <c r="D2305" t="s">
        <v>15</v>
      </c>
      <c r="E2305" t="str">
        <f t="shared" si="316"/>
        <v>EMP_2304HR</v>
      </c>
      <c r="F2305" t="s">
        <v>12</v>
      </c>
      <c r="G2305" t="s">
        <v>19</v>
      </c>
      <c r="H2305">
        <v>49507</v>
      </c>
      <c r="I2305">
        <v>4405</v>
      </c>
      <c r="J2305">
        <v>0</v>
      </c>
      <c r="K2305">
        <v>0</v>
      </c>
      <c r="L2305" s="4" t="s">
        <v>1678</v>
      </c>
      <c r="M2305" s="4" t="str">
        <f t="shared" si="317"/>
        <v>6/19/2023</v>
      </c>
      <c r="N2305" s="1">
        <f t="shared" ca="1" si="318"/>
        <v>46064</v>
      </c>
      <c r="O2305" s="6" t="e">
        <f t="shared" ca="1" si="319"/>
        <v>#VALUE!</v>
      </c>
      <c r="P2305">
        <v>2</v>
      </c>
      <c r="Q2305">
        <f t="shared" si="320"/>
        <v>53912</v>
      </c>
      <c r="R2305" s="2">
        <f t="shared" si="321"/>
        <v>26956</v>
      </c>
      <c r="S2305" s="2" t="str">
        <f t="shared" si="322"/>
        <v xml:space="preserve"> Not Achieved</v>
      </c>
      <c r="T2305" s="2" t="str">
        <f t="shared" si="323"/>
        <v>Good</v>
      </c>
      <c r="U2305" s="2"/>
    </row>
    <row r="2306" spans="1:21" x14ac:dyDescent="0.3">
      <c r="A2306">
        <v>2305</v>
      </c>
      <c r="B2306" t="s">
        <v>3270</v>
      </c>
      <c r="C2306" t="str">
        <f t="shared" si="315"/>
        <v>EMP_2305</v>
      </c>
      <c r="D2306" t="s">
        <v>15</v>
      </c>
      <c r="E2306" t="str">
        <f t="shared" si="316"/>
        <v>EMP_2305Finance</v>
      </c>
      <c r="F2306" t="s">
        <v>18</v>
      </c>
      <c r="G2306" t="s">
        <v>16</v>
      </c>
      <c r="H2306">
        <v>77804</v>
      </c>
      <c r="I2306">
        <v>4853</v>
      </c>
      <c r="J2306">
        <v>0</v>
      </c>
      <c r="K2306">
        <v>0</v>
      </c>
      <c r="L2306" s="4">
        <v>43259</v>
      </c>
      <c r="M2306" s="4" t="str">
        <f t="shared" si="317"/>
        <v>2018</v>
      </c>
      <c r="N2306" s="1">
        <f t="shared" ca="1" si="318"/>
        <v>46064</v>
      </c>
      <c r="O2306" s="6">
        <f t="shared" ca="1" si="319"/>
        <v>7</v>
      </c>
      <c r="P2306">
        <v>5</v>
      </c>
      <c r="Q2306">
        <f t="shared" si="320"/>
        <v>82657</v>
      </c>
      <c r="R2306" s="2">
        <f t="shared" si="321"/>
        <v>41328.5</v>
      </c>
      <c r="S2306" s="2" t="str">
        <f t="shared" si="322"/>
        <v xml:space="preserve"> Not Achieved</v>
      </c>
      <c r="T2306" s="2" t="str">
        <f t="shared" si="323"/>
        <v xml:space="preserve"> Excellent</v>
      </c>
      <c r="U2306" s="2"/>
    </row>
    <row r="2307" spans="1:21" x14ac:dyDescent="0.3">
      <c r="A2307">
        <v>2306</v>
      </c>
      <c r="B2307" t="s">
        <v>3271</v>
      </c>
      <c r="C2307" t="str">
        <f t="shared" ref="C2307:C2370" si="324">UPPER(B2307)</f>
        <v>EMP_2306</v>
      </c>
      <c r="D2307" t="s">
        <v>11</v>
      </c>
      <c r="E2307" t="str">
        <f t="shared" ref="E2307:E2370" si="325">_xlfn.CONCAT(C2307,F2307)</f>
        <v>EMP_2306Marketing</v>
      </c>
      <c r="F2307" t="s">
        <v>24</v>
      </c>
      <c r="G2307" t="s">
        <v>16</v>
      </c>
      <c r="H2307">
        <v>27739</v>
      </c>
      <c r="I2307">
        <v>3063</v>
      </c>
      <c r="J2307">
        <v>0</v>
      </c>
      <c r="K2307">
        <v>0</v>
      </c>
      <c r="L2307" s="4" t="s">
        <v>3272</v>
      </c>
      <c r="M2307" s="4" t="str">
        <f t="shared" ref="M2307:M2370" si="326">TEXT(L2307,"yyyy")</f>
        <v>2/18/2024</v>
      </c>
      <c r="N2307" s="1">
        <f t="shared" ref="N2307:N2370" ca="1" si="327">TODAY()</f>
        <v>46064</v>
      </c>
      <c r="O2307" s="6" t="e">
        <f t="shared" ref="O2307:O2370" ca="1" si="328">DATEDIF(L2307, TODAY(), "y")</f>
        <v>#VALUE!</v>
      </c>
      <c r="P2307">
        <v>1</v>
      </c>
      <c r="Q2307">
        <f t="shared" ref="Q2307:Q2370" si="329">SUM(H2307,I2307)</f>
        <v>30802</v>
      </c>
      <c r="R2307" s="2">
        <f t="shared" ref="R2307:R2370" si="330">AVERAGE(H2307,I2307)</f>
        <v>15401</v>
      </c>
      <c r="S2307" s="2" t="str">
        <f t="shared" ref="S2307:S2370" si="331">IF(J2307&gt;K2307,"Achieved"," Not Achieved")</f>
        <v xml:space="preserve"> Not Achieved</v>
      </c>
      <c r="T2307" s="2" t="str">
        <f t="shared" ref="T2307:T2370" si="332">_xlfn.IFS(H2307&gt;=50000," Excellent",H2307&gt;=40000,"Good",H2307&gt;=30000,"Average",H2307&lt;30000,"poor")</f>
        <v>poor</v>
      </c>
      <c r="U2307" s="2"/>
    </row>
    <row r="2308" spans="1:21" x14ac:dyDescent="0.3">
      <c r="A2308">
        <v>2307</v>
      </c>
      <c r="B2308" t="s">
        <v>3273</v>
      </c>
      <c r="C2308" t="str">
        <f t="shared" si="324"/>
        <v>EMP_2307</v>
      </c>
      <c r="D2308" t="s">
        <v>11</v>
      </c>
      <c r="E2308" t="str">
        <f t="shared" si="325"/>
        <v>EMP_2307HR</v>
      </c>
      <c r="F2308" t="s">
        <v>12</v>
      </c>
      <c r="G2308" t="s">
        <v>16</v>
      </c>
      <c r="H2308">
        <v>51425</v>
      </c>
      <c r="I2308">
        <v>10122</v>
      </c>
      <c r="J2308">
        <v>0</v>
      </c>
      <c r="K2308">
        <v>0</v>
      </c>
      <c r="L2308" s="4" t="s">
        <v>3274</v>
      </c>
      <c r="M2308" s="4" t="str">
        <f t="shared" si="326"/>
        <v>6/22/2022</v>
      </c>
      <c r="N2308" s="1">
        <f t="shared" ca="1" si="327"/>
        <v>46064</v>
      </c>
      <c r="O2308" s="6" t="e">
        <f t="shared" ca="1" si="328"/>
        <v>#VALUE!</v>
      </c>
      <c r="P2308">
        <v>5</v>
      </c>
      <c r="Q2308">
        <f t="shared" si="329"/>
        <v>61547</v>
      </c>
      <c r="R2308" s="2">
        <f t="shared" si="330"/>
        <v>30773.5</v>
      </c>
      <c r="S2308" s="2" t="str">
        <f t="shared" si="331"/>
        <v xml:space="preserve"> Not Achieved</v>
      </c>
      <c r="T2308" s="2" t="str">
        <f t="shared" si="332"/>
        <v xml:space="preserve"> Excellent</v>
      </c>
      <c r="U2308" s="2"/>
    </row>
    <row r="2309" spans="1:21" x14ac:dyDescent="0.3">
      <c r="A2309">
        <v>2308</v>
      </c>
      <c r="B2309" t="s">
        <v>3275</v>
      </c>
      <c r="C2309" t="str">
        <f t="shared" si="324"/>
        <v>EMP_2308</v>
      </c>
      <c r="D2309" t="s">
        <v>15</v>
      </c>
      <c r="E2309" t="str">
        <f t="shared" si="325"/>
        <v>EMP_2308Marketing</v>
      </c>
      <c r="F2309" t="s">
        <v>24</v>
      </c>
      <c r="G2309" t="s">
        <v>19</v>
      </c>
      <c r="H2309">
        <v>27520</v>
      </c>
      <c r="I2309">
        <v>10953</v>
      </c>
      <c r="J2309">
        <v>0</v>
      </c>
      <c r="K2309">
        <v>0</v>
      </c>
      <c r="L2309" s="4" t="s">
        <v>3276</v>
      </c>
      <c r="M2309" s="4" t="str">
        <f t="shared" si="326"/>
        <v>3/30/2024</v>
      </c>
      <c r="N2309" s="1">
        <f t="shared" ca="1" si="327"/>
        <v>46064</v>
      </c>
      <c r="O2309" s="6" t="e">
        <f t="shared" ca="1" si="328"/>
        <v>#VALUE!</v>
      </c>
      <c r="P2309">
        <v>1</v>
      </c>
      <c r="Q2309">
        <f t="shared" si="329"/>
        <v>38473</v>
      </c>
      <c r="R2309" s="2">
        <f t="shared" si="330"/>
        <v>19236.5</v>
      </c>
      <c r="S2309" s="2" t="str">
        <f t="shared" si="331"/>
        <v xml:space="preserve"> Not Achieved</v>
      </c>
      <c r="T2309" s="2" t="str">
        <f t="shared" si="332"/>
        <v>poor</v>
      </c>
      <c r="U2309" s="2"/>
    </row>
    <row r="2310" spans="1:21" x14ac:dyDescent="0.3">
      <c r="A2310">
        <v>2309</v>
      </c>
      <c r="B2310" t="s">
        <v>3277</v>
      </c>
      <c r="C2310" t="str">
        <f t="shared" si="324"/>
        <v>EMP_2309</v>
      </c>
      <c r="D2310" t="s">
        <v>15</v>
      </c>
      <c r="E2310" t="str">
        <f t="shared" si="325"/>
        <v>EMP_2309Sales</v>
      </c>
      <c r="F2310" t="s">
        <v>7</v>
      </c>
      <c r="G2310" t="s">
        <v>16</v>
      </c>
      <c r="H2310">
        <v>79510</v>
      </c>
      <c r="I2310">
        <v>13495</v>
      </c>
      <c r="J2310">
        <v>263829</v>
      </c>
      <c r="K2310">
        <v>116519</v>
      </c>
      <c r="L2310" s="4" t="s">
        <v>2327</v>
      </c>
      <c r="M2310" s="4" t="str">
        <f t="shared" si="326"/>
        <v>10/25/2020</v>
      </c>
      <c r="N2310" s="1">
        <f t="shared" ca="1" si="327"/>
        <v>46064</v>
      </c>
      <c r="O2310" s="6" t="e">
        <f t="shared" ca="1" si="328"/>
        <v>#VALUE!</v>
      </c>
      <c r="P2310">
        <v>5</v>
      </c>
      <c r="Q2310">
        <f t="shared" si="329"/>
        <v>93005</v>
      </c>
      <c r="R2310" s="2">
        <f t="shared" si="330"/>
        <v>46502.5</v>
      </c>
      <c r="S2310" s="2" t="str">
        <f t="shared" si="331"/>
        <v>Achieved</v>
      </c>
      <c r="T2310" s="2" t="str">
        <f t="shared" si="332"/>
        <v xml:space="preserve"> Excellent</v>
      </c>
      <c r="U2310" s="2"/>
    </row>
    <row r="2311" spans="1:21" x14ac:dyDescent="0.3">
      <c r="A2311">
        <v>2310</v>
      </c>
      <c r="B2311" t="s">
        <v>3278</v>
      </c>
      <c r="C2311" t="str">
        <f t="shared" si="324"/>
        <v>EMP_2310</v>
      </c>
      <c r="D2311" t="s">
        <v>11</v>
      </c>
      <c r="E2311" t="str">
        <f t="shared" si="325"/>
        <v>EMP_2310Marketing</v>
      </c>
      <c r="F2311" t="s">
        <v>24</v>
      </c>
      <c r="G2311" t="s">
        <v>25</v>
      </c>
      <c r="H2311">
        <v>41160</v>
      </c>
      <c r="I2311">
        <v>8056</v>
      </c>
      <c r="J2311">
        <v>0</v>
      </c>
      <c r="K2311">
        <v>0</v>
      </c>
      <c r="L2311" s="4">
        <v>44085</v>
      </c>
      <c r="M2311" s="4" t="str">
        <f t="shared" si="326"/>
        <v>2020</v>
      </c>
      <c r="N2311" s="1">
        <f t="shared" ca="1" si="327"/>
        <v>46064</v>
      </c>
      <c r="O2311" s="6">
        <f t="shared" ca="1" si="328"/>
        <v>5</v>
      </c>
      <c r="P2311">
        <v>1</v>
      </c>
      <c r="Q2311">
        <f t="shared" si="329"/>
        <v>49216</v>
      </c>
      <c r="R2311" s="2">
        <f t="shared" si="330"/>
        <v>24608</v>
      </c>
      <c r="S2311" s="2" t="str">
        <f t="shared" si="331"/>
        <v xml:space="preserve"> Not Achieved</v>
      </c>
      <c r="T2311" s="2" t="str">
        <f t="shared" si="332"/>
        <v>Good</v>
      </c>
      <c r="U2311" s="2"/>
    </row>
    <row r="2312" spans="1:21" x14ac:dyDescent="0.3">
      <c r="A2312">
        <v>2311</v>
      </c>
      <c r="B2312" t="s">
        <v>3279</v>
      </c>
      <c r="C2312" t="str">
        <f t="shared" si="324"/>
        <v>EMP_2311</v>
      </c>
      <c r="D2312" t="s">
        <v>11</v>
      </c>
      <c r="E2312" t="str">
        <f t="shared" si="325"/>
        <v>EMP_2311HR</v>
      </c>
      <c r="F2312" t="s">
        <v>12</v>
      </c>
      <c r="G2312" t="s">
        <v>19</v>
      </c>
      <c r="H2312">
        <v>37403</v>
      </c>
      <c r="I2312">
        <v>7139</v>
      </c>
      <c r="J2312">
        <v>0</v>
      </c>
      <c r="K2312">
        <v>0</v>
      </c>
      <c r="L2312" s="4" t="s">
        <v>1305</v>
      </c>
      <c r="M2312" s="4" t="str">
        <f t="shared" si="326"/>
        <v>5/15/2021</v>
      </c>
      <c r="N2312" s="1">
        <f t="shared" ca="1" si="327"/>
        <v>46064</v>
      </c>
      <c r="O2312" s="6" t="e">
        <f t="shared" ca="1" si="328"/>
        <v>#VALUE!</v>
      </c>
      <c r="P2312">
        <v>5</v>
      </c>
      <c r="Q2312">
        <f t="shared" si="329"/>
        <v>44542</v>
      </c>
      <c r="R2312" s="2">
        <f t="shared" si="330"/>
        <v>22271</v>
      </c>
      <c r="S2312" s="2" t="str">
        <f t="shared" si="331"/>
        <v xml:space="preserve"> Not Achieved</v>
      </c>
      <c r="T2312" s="2" t="str">
        <f t="shared" si="332"/>
        <v>Average</v>
      </c>
      <c r="U2312" s="2"/>
    </row>
    <row r="2313" spans="1:21" x14ac:dyDescent="0.3">
      <c r="A2313">
        <v>2312</v>
      </c>
      <c r="B2313" t="s">
        <v>3280</v>
      </c>
      <c r="C2313" t="str">
        <f t="shared" si="324"/>
        <v>EMP_2312</v>
      </c>
      <c r="D2313" t="s">
        <v>15</v>
      </c>
      <c r="E2313" t="str">
        <f t="shared" si="325"/>
        <v>EMP_2312Finance</v>
      </c>
      <c r="F2313" t="s">
        <v>18</v>
      </c>
      <c r="G2313" t="s">
        <v>22</v>
      </c>
      <c r="H2313">
        <v>60896</v>
      </c>
      <c r="I2313">
        <v>13696</v>
      </c>
      <c r="J2313">
        <v>0</v>
      </c>
      <c r="K2313">
        <v>0</v>
      </c>
      <c r="L2313" s="4">
        <v>44409</v>
      </c>
      <c r="M2313" s="4" t="str">
        <f t="shared" si="326"/>
        <v>2021</v>
      </c>
      <c r="N2313" s="1">
        <f t="shared" ca="1" si="327"/>
        <v>46064</v>
      </c>
      <c r="O2313" s="6">
        <f t="shared" ca="1" si="328"/>
        <v>4</v>
      </c>
      <c r="P2313">
        <v>2</v>
      </c>
      <c r="Q2313">
        <f t="shared" si="329"/>
        <v>74592</v>
      </c>
      <c r="R2313" s="2">
        <f t="shared" si="330"/>
        <v>37296</v>
      </c>
      <c r="S2313" s="2" t="str">
        <f t="shared" si="331"/>
        <v xml:space="preserve"> Not Achieved</v>
      </c>
      <c r="T2313" s="2" t="str">
        <f t="shared" si="332"/>
        <v xml:space="preserve"> Excellent</v>
      </c>
      <c r="U2313" s="2"/>
    </row>
    <row r="2314" spans="1:21" x14ac:dyDescent="0.3">
      <c r="A2314">
        <v>2313</v>
      </c>
      <c r="B2314" t="s">
        <v>3281</v>
      </c>
      <c r="C2314" t="str">
        <f t="shared" si="324"/>
        <v>EMP_2313</v>
      </c>
      <c r="D2314" t="s">
        <v>11</v>
      </c>
      <c r="E2314" t="str">
        <f t="shared" si="325"/>
        <v>EMP_2313HR</v>
      </c>
      <c r="F2314" t="s">
        <v>12</v>
      </c>
      <c r="G2314" t="s">
        <v>25</v>
      </c>
      <c r="H2314">
        <v>72763</v>
      </c>
      <c r="I2314">
        <v>5573</v>
      </c>
      <c r="J2314">
        <v>0</v>
      </c>
      <c r="K2314">
        <v>0</v>
      </c>
      <c r="L2314" s="4" t="s">
        <v>2976</v>
      </c>
      <c r="M2314" s="4" t="str">
        <f t="shared" si="326"/>
        <v>11/21/2018</v>
      </c>
      <c r="N2314" s="1">
        <f t="shared" ca="1" si="327"/>
        <v>46064</v>
      </c>
      <c r="O2314" s="6" t="e">
        <f t="shared" ca="1" si="328"/>
        <v>#VALUE!</v>
      </c>
      <c r="P2314">
        <v>4</v>
      </c>
      <c r="Q2314">
        <f t="shared" si="329"/>
        <v>78336</v>
      </c>
      <c r="R2314" s="2">
        <f t="shared" si="330"/>
        <v>39168</v>
      </c>
      <c r="S2314" s="2" t="str">
        <f t="shared" si="331"/>
        <v xml:space="preserve"> Not Achieved</v>
      </c>
      <c r="T2314" s="2" t="str">
        <f t="shared" si="332"/>
        <v xml:space="preserve"> Excellent</v>
      </c>
      <c r="U2314" s="2"/>
    </row>
    <row r="2315" spans="1:21" x14ac:dyDescent="0.3">
      <c r="A2315">
        <v>2314</v>
      </c>
      <c r="B2315" t="s">
        <v>3282</v>
      </c>
      <c r="C2315" t="str">
        <f t="shared" si="324"/>
        <v>EMP_2314</v>
      </c>
      <c r="D2315" t="s">
        <v>11</v>
      </c>
      <c r="E2315" t="str">
        <f t="shared" si="325"/>
        <v>EMP_2314IT</v>
      </c>
      <c r="F2315" t="s">
        <v>21</v>
      </c>
      <c r="G2315" t="s">
        <v>25</v>
      </c>
      <c r="H2315">
        <v>22882</v>
      </c>
      <c r="I2315">
        <v>13958</v>
      </c>
      <c r="J2315">
        <v>0</v>
      </c>
      <c r="K2315">
        <v>0</v>
      </c>
      <c r="L2315" s="4" t="s">
        <v>1759</v>
      </c>
      <c r="M2315" s="4" t="str">
        <f t="shared" si="326"/>
        <v>12/23/2019</v>
      </c>
      <c r="N2315" s="1">
        <f t="shared" ca="1" si="327"/>
        <v>46064</v>
      </c>
      <c r="O2315" s="6" t="e">
        <f t="shared" ca="1" si="328"/>
        <v>#VALUE!</v>
      </c>
      <c r="P2315">
        <v>2</v>
      </c>
      <c r="Q2315">
        <f t="shared" si="329"/>
        <v>36840</v>
      </c>
      <c r="R2315" s="2">
        <f t="shared" si="330"/>
        <v>18420</v>
      </c>
      <c r="S2315" s="2" t="str">
        <f t="shared" si="331"/>
        <v xml:space="preserve"> Not Achieved</v>
      </c>
      <c r="T2315" s="2" t="str">
        <f t="shared" si="332"/>
        <v>poor</v>
      </c>
      <c r="U2315" s="2"/>
    </row>
    <row r="2316" spans="1:21" x14ac:dyDescent="0.3">
      <c r="A2316">
        <v>2315</v>
      </c>
      <c r="B2316" t="s">
        <v>3283</v>
      </c>
      <c r="C2316" t="str">
        <f t="shared" si="324"/>
        <v>EMP_2315</v>
      </c>
      <c r="D2316" t="s">
        <v>15</v>
      </c>
      <c r="E2316" t="str">
        <f t="shared" si="325"/>
        <v>EMP_2315HR</v>
      </c>
      <c r="F2316" t="s">
        <v>12</v>
      </c>
      <c r="G2316" t="s">
        <v>19</v>
      </c>
      <c r="H2316">
        <v>67200</v>
      </c>
      <c r="I2316">
        <v>4654</v>
      </c>
      <c r="J2316">
        <v>0</v>
      </c>
      <c r="K2316">
        <v>0</v>
      </c>
      <c r="L2316" s="4" t="s">
        <v>2601</v>
      </c>
      <c r="M2316" s="4" t="str">
        <f t="shared" si="326"/>
        <v>10/23/2022</v>
      </c>
      <c r="N2316" s="1">
        <f t="shared" ca="1" si="327"/>
        <v>46064</v>
      </c>
      <c r="O2316" s="6" t="e">
        <f t="shared" ca="1" si="328"/>
        <v>#VALUE!</v>
      </c>
      <c r="P2316">
        <v>3</v>
      </c>
      <c r="Q2316">
        <f t="shared" si="329"/>
        <v>71854</v>
      </c>
      <c r="R2316" s="2">
        <f t="shared" si="330"/>
        <v>35927</v>
      </c>
      <c r="S2316" s="2" t="str">
        <f t="shared" si="331"/>
        <v xml:space="preserve"> Not Achieved</v>
      </c>
      <c r="T2316" s="2" t="str">
        <f t="shared" si="332"/>
        <v xml:space="preserve"> Excellent</v>
      </c>
      <c r="U2316" s="2"/>
    </row>
    <row r="2317" spans="1:21" x14ac:dyDescent="0.3">
      <c r="A2317">
        <v>2316</v>
      </c>
      <c r="B2317" t="s">
        <v>3284</v>
      </c>
      <c r="C2317" t="str">
        <f t="shared" si="324"/>
        <v>EMP_2316</v>
      </c>
      <c r="D2317" t="s">
        <v>11</v>
      </c>
      <c r="E2317" t="str">
        <f t="shared" si="325"/>
        <v>EMP_2316Finance</v>
      </c>
      <c r="F2317" t="s">
        <v>18</v>
      </c>
      <c r="G2317" t="s">
        <v>13</v>
      </c>
      <c r="H2317">
        <v>64283</v>
      </c>
      <c r="I2317">
        <v>4498</v>
      </c>
      <c r="J2317">
        <v>0</v>
      </c>
      <c r="K2317">
        <v>0</v>
      </c>
      <c r="L2317" s="4" t="s">
        <v>3285</v>
      </c>
      <c r="M2317" s="4" t="str">
        <f t="shared" si="326"/>
        <v>5/28/2023</v>
      </c>
      <c r="N2317" s="1">
        <f t="shared" ca="1" si="327"/>
        <v>46064</v>
      </c>
      <c r="O2317" s="6" t="e">
        <f t="shared" ca="1" si="328"/>
        <v>#VALUE!</v>
      </c>
      <c r="P2317">
        <v>4</v>
      </c>
      <c r="Q2317">
        <f t="shared" si="329"/>
        <v>68781</v>
      </c>
      <c r="R2317" s="2">
        <f t="shared" si="330"/>
        <v>34390.5</v>
      </c>
      <c r="S2317" s="2" t="str">
        <f t="shared" si="331"/>
        <v xml:space="preserve"> Not Achieved</v>
      </c>
      <c r="T2317" s="2" t="str">
        <f t="shared" si="332"/>
        <v xml:space="preserve"> Excellent</v>
      </c>
      <c r="U2317" s="2"/>
    </row>
    <row r="2318" spans="1:21" x14ac:dyDescent="0.3">
      <c r="A2318">
        <v>2317</v>
      </c>
      <c r="B2318" t="s">
        <v>3286</v>
      </c>
      <c r="C2318" t="str">
        <f t="shared" si="324"/>
        <v>EMP_2317</v>
      </c>
      <c r="D2318" t="s">
        <v>11</v>
      </c>
      <c r="E2318" t="str">
        <f t="shared" si="325"/>
        <v>EMP_2317Sales</v>
      </c>
      <c r="F2318" t="s">
        <v>7</v>
      </c>
      <c r="G2318" t="s">
        <v>16</v>
      </c>
      <c r="H2318">
        <v>74619</v>
      </c>
      <c r="I2318">
        <v>4796</v>
      </c>
      <c r="J2318">
        <v>174099</v>
      </c>
      <c r="K2318">
        <v>151579</v>
      </c>
      <c r="L2318" s="4">
        <v>45047</v>
      </c>
      <c r="M2318" s="4" t="str">
        <f t="shared" si="326"/>
        <v>2023</v>
      </c>
      <c r="N2318" s="1">
        <f t="shared" ca="1" si="327"/>
        <v>46064</v>
      </c>
      <c r="O2318" s="6">
        <f t="shared" ca="1" si="328"/>
        <v>2</v>
      </c>
      <c r="P2318">
        <v>3</v>
      </c>
      <c r="Q2318">
        <f t="shared" si="329"/>
        <v>79415</v>
      </c>
      <c r="R2318" s="2">
        <f t="shared" si="330"/>
        <v>39707.5</v>
      </c>
      <c r="S2318" s="2" t="str">
        <f t="shared" si="331"/>
        <v>Achieved</v>
      </c>
      <c r="T2318" s="2" t="str">
        <f t="shared" si="332"/>
        <v xml:space="preserve"> Excellent</v>
      </c>
      <c r="U2318" s="2"/>
    </row>
    <row r="2319" spans="1:21" x14ac:dyDescent="0.3">
      <c r="A2319">
        <v>2318</v>
      </c>
      <c r="B2319" t="s">
        <v>3287</v>
      </c>
      <c r="C2319" t="str">
        <f t="shared" si="324"/>
        <v>EMP_2318</v>
      </c>
      <c r="D2319" t="s">
        <v>15</v>
      </c>
      <c r="E2319" t="str">
        <f t="shared" si="325"/>
        <v>EMP_2318Sales</v>
      </c>
      <c r="F2319" t="s">
        <v>7</v>
      </c>
      <c r="G2319" t="s">
        <v>19</v>
      </c>
      <c r="H2319">
        <v>30862</v>
      </c>
      <c r="I2319">
        <v>12366</v>
      </c>
      <c r="J2319">
        <v>190237</v>
      </c>
      <c r="K2319">
        <v>229935</v>
      </c>
      <c r="L2319" s="4">
        <v>45021</v>
      </c>
      <c r="M2319" s="4" t="str">
        <f t="shared" si="326"/>
        <v>2023</v>
      </c>
      <c r="N2319" s="1">
        <f t="shared" ca="1" si="327"/>
        <v>46064</v>
      </c>
      <c r="O2319" s="6">
        <f t="shared" ca="1" si="328"/>
        <v>2</v>
      </c>
      <c r="P2319">
        <v>1</v>
      </c>
      <c r="Q2319">
        <f t="shared" si="329"/>
        <v>43228</v>
      </c>
      <c r="R2319" s="2">
        <f t="shared" si="330"/>
        <v>21614</v>
      </c>
      <c r="S2319" s="2" t="str">
        <f t="shared" si="331"/>
        <v xml:space="preserve"> Not Achieved</v>
      </c>
      <c r="T2319" s="2" t="str">
        <f t="shared" si="332"/>
        <v>Average</v>
      </c>
      <c r="U2319" s="2"/>
    </row>
    <row r="2320" spans="1:21" x14ac:dyDescent="0.3">
      <c r="A2320">
        <v>2319</v>
      </c>
      <c r="B2320" t="s">
        <v>3288</v>
      </c>
      <c r="C2320" t="str">
        <f t="shared" si="324"/>
        <v>EMP_2319</v>
      </c>
      <c r="D2320" t="s">
        <v>11</v>
      </c>
      <c r="E2320" t="str">
        <f t="shared" si="325"/>
        <v>EMP_2319Sales</v>
      </c>
      <c r="F2320" t="s">
        <v>7</v>
      </c>
      <c r="G2320" t="s">
        <v>22</v>
      </c>
      <c r="H2320">
        <v>21425</v>
      </c>
      <c r="I2320">
        <v>6642</v>
      </c>
      <c r="J2320">
        <v>150295</v>
      </c>
      <c r="K2320">
        <v>181183</v>
      </c>
      <c r="L2320" s="4" t="s">
        <v>239</v>
      </c>
      <c r="M2320" s="4" t="str">
        <f t="shared" si="326"/>
        <v>8/23/2019</v>
      </c>
      <c r="N2320" s="1">
        <f t="shared" ca="1" si="327"/>
        <v>46064</v>
      </c>
      <c r="O2320" s="6" t="e">
        <f t="shared" ca="1" si="328"/>
        <v>#VALUE!</v>
      </c>
      <c r="P2320">
        <v>4</v>
      </c>
      <c r="Q2320">
        <f t="shared" si="329"/>
        <v>28067</v>
      </c>
      <c r="R2320" s="2">
        <f t="shared" si="330"/>
        <v>14033.5</v>
      </c>
      <c r="S2320" s="2" t="str">
        <f t="shared" si="331"/>
        <v xml:space="preserve"> Not Achieved</v>
      </c>
      <c r="T2320" s="2" t="str">
        <f t="shared" si="332"/>
        <v>poor</v>
      </c>
      <c r="U2320" s="2"/>
    </row>
    <row r="2321" spans="1:21" x14ac:dyDescent="0.3">
      <c r="A2321">
        <v>2320</v>
      </c>
      <c r="B2321" t="s">
        <v>3289</v>
      </c>
      <c r="C2321" t="str">
        <f t="shared" si="324"/>
        <v>EMP_2320</v>
      </c>
      <c r="D2321" t="s">
        <v>11</v>
      </c>
      <c r="E2321" t="str">
        <f t="shared" si="325"/>
        <v>EMP_2320IT</v>
      </c>
      <c r="F2321" t="s">
        <v>21</v>
      </c>
      <c r="G2321" t="s">
        <v>22</v>
      </c>
      <c r="H2321">
        <v>70291</v>
      </c>
      <c r="I2321">
        <v>2203</v>
      </c>
      <c r="J2321">
        <v>0</v>
      </c>
      <c r="K2321">
        <v>0</v>
      </c>
      <c r="L2321" s="4">
        <v>45505</v>
      </c>
      <c r="M2321" s="4" t="str">
        <f t="shared" si="326"/>
        <v>2024</v>
      </c>
      <c r="N2321" s="1">
        <f t="shared" ca="1" si="327"/>
        <v>46064</v>
      </c>
      <c r="O2321" s="6">
        <f t="shared" ca="1" si="328"/>
        <v>1</v>
      </c>
      <c r="P2321">
        <v>1</v>
      </c>
      <c r="Q2321">
        <f t="shared" si="329"/>
        <v>72494</v>
      </c>
      <c r="R2321" s="2">
        <f t="shared" si="330"/>
        <v>36247</v>
      </c>
      <c r="S2321" s="2" t="str">
        <f t="shared" si="331"/>
        <v xml:space="preserve"> Not Achieved</v>
      </c>
      <c r="T2321" s="2" t="str">
        <f t="shared" si="332"/>
        <v xml:space="preserve"> Excellent</v>
      </c>
      <c r="U2321" s="2"/>
    </row>
    <row r="2322" spans="1:21" x14ac:dyDescent="0.3">
      <c r="A2322">
        <v>2321</v>
      </c>
      <c r="B2322" t="s">
        <v>3290</v>
      </c>
      <c r="C2322" t="str">
        <f t="shared" si="324"/>
        <v>EMP_2321</v>
      </c>
      <c r="D2322" t="s">
        <v>11</v>
      </c>
      <c r="E2322" t="str">
        <f t="shared" si="325"/>
        <v>EMP_2321Finance</v>
      </c>
      <c r="F2322" t="s">
        <v>18</v>
      </c>
      <c r="G2322" t="s">
        <v>16</v>
      </c>
      <c r="H2322">
        <v>62168</v>
      </c>
      <c r="I2322">
        <v>10050</v>
      </c>
      <c r="J2322">
        <v>0</v>
      </c>
      <c r="K2322">
        <v>0</v>
      </c>
      <c r="L2322" s="4">
        <v>45630</v>
      </c>
      <c r="M2322" s="4" t="str">
        <f t="shared" si="326"/>
        <v>2024</v>
      </c>
      <c r="N2322" s="1">
        <f t="shared" ca="1" si="327"/>
        <v>46064</v>
      </c>
      <c r="O2322" s="6">
        <f t="shared" ca="1" si="328"/>
        <v>1</v>
      </c>
      <c r="P2322">
        <v>2</v>
      </c>
      <c r="Q2322">
        <f t="shared" si="329"/>
        <v>72218</v>
      </c>
      <c r="R2322" s="2">
        <f t="shared" si="330"/>
        <v>36109</v>
      </c>
      <c r="S2322" s="2" t="str">
        <f t="shared" si="331"/>
        <v xml:space="preserve"> Not Achieved</v>
      </c>
      <c r="T2322" s="2" t="str">
        <f t="shared" si="332"/>
        <v xml:space="preserve"> Excellent</v>
      </c>
      <c r="U2322" s="2"/>
    </row>
    <row r="2323" spans="1:21" x14ac:dyDescent="0.3">
      <c r="A2323">
        <v>2322</v>
      </c>
      <c r="B2323" t="s">
        <v>3291</v>
      </c>
      <c r="C2323" t="str">
        <f t="shared" si="324"/>
        <v>EMP_2322</v>
      </c>
      <c r="D2323" t="s">
        <v>15</v>
      </c>
      <c r="E2323" t="str">
        <f t="shared" si="325"/>
        <v>EMP_2322Marketing</v>
      </c>
      <c r="F2323" t="s">
        <v>24</v>
      </c>
      <c r="G2323" t="s">
        <v>16</v>
      </c>
      <c r="H2323">
        <v>22563</v>
      </c>
      <c r="I2323">
        <v>2030</v>
      </c>
      <c r="J2323">
        <v>0</v>
      </c>
      <c r="K2323">
        <v>0</v>
      </c>
      <c r="L2323" s="4" t="s">
        <v>565</v>
      </c>
      <c r="M2323" s="4" t="str">
        <f t="shared" si="326"/>
        <v>7/15/2021</v>
      </c>
      <c r="N2323" s="1">
        <f t="shared" ca="1" si="327"/>
        <v>46064</v>
      </c>
      <c r="O2323" s="6" t="e">
        <f t="shared" ca="1" si="328"/>
        <v>#VALUE!</v>
      </c>
      <c r="P2323">
        <v>1</v>
      </c>
      <c r="Q2323">
        <f t="shared" si="329"/>
        <v>24593</v>
      </c>
      <c r="R2323" s="2">
        <f t="shared" si="330"/>
        <v>12296.5</v>
      </c>
      <c r="S2323" s="2" t="str">
        <f t="shared" si="331"/>
        <v xml:space="preserve"> Not Achieved</v>
      </c>
      <c r="T2323" s="2" t="str">
        <f t="shared" si="332"/>
        <v>poor</v>
      </c>
      <c r="U2323" s="2"/>
    </row>
    <row r="2324" spans="1:21" x14ac:dyDescent="0.3">
      <c r="A2324">
        <v>2323</v>
      </c>
      <c r="B2324" t="s">
        <v>3292</v>
      </c>
      <c r="C2324" t="str">
        <f t="shared" si="324"/>
        <v>EMP_2323</v>
      </c>
      <c r="D2324" t="s">
        <v>15</v>
      </c>
      <c r="E2324" t="str">
        <f t="shared" si="325"/>
        <v>EMP_2323Sales</v>
      </c>
      <c r="F2324" t="s">
        <v>7</v>
      </c>
      <c r="G2324" t="s">
        <v>16</v>
      </c>
      <c r="H2324">
        <v>24579</v>
      </c>
      <c r="I2324">
        <v>10992</v>
      </c>
      <c r="J2324">
        <v>91613</v>
      </c>
      <c r="K2324">
        <v>212466</v>
      </c>
      <c r="L2324" s="4">
        <v>43252</v>
      </c>
      <c r="M2324" s="4" t="str">
        <f t="shared" si="326"/>
        <v>2018</v>
      </c>
      <c r="N2324" s="1">
        <f t="shared" ca="1" si="327"/>
        <v>46064</v>
      </c>
      <c r="O2324" s="6">
        <f t="shared" ca="1" si="328"/>
        <v>7</v>
      </c>
      <c r="P2324">
        <v>2</v>
      </c>
      <c r="Q2324">
        <f t="shared" si="329"/>
        <v>35571</v>
      </c>
      <c r="R2324" s="2">
        <f t="shared" si="330"/>
        <v>17785.5</v>
      </c>
      <c r="S2324" s="2" t="str">
        <f t="shared" si="331"/>
        <v xml:space="preserve"> Not Achieved</v>
      </c>
      <c r="T2324" s="2" t="str">
        <f t="shared" si="332"/>
        <v>poor</v>
      </c>
      <c r="U2324" s="2"/>
    </row>
    <row r="2325" spans="1:21" x14ac:dyDescent="0.3">
      <c r="A2325">
        <v>2324</v>
      </c>
      <c r="B2325" t="s">
        <v>3293</v>
      </c>
      <c r="C2325" t="str">
        <f t="shared" si="324"/>
        <v>EMP_2324</v>
      </c>
      <c r="D2325" t="s">
        <v>11</v>
      </c>
      <c r="E2325" t="str">
        <f t="shared" si="325"/>
        <v>EMP_2324Marketing</v>
      </c>
      <c r="F2325" t="s">
        <v>24</v>
      </c>
      <c r="G2325" t="s">
        <v>19</v>
      </c>
      <c r="H2325">
        <v>63070</v>
      </c>
      <c r="I2325">
        <v>13279</v>
      </c>
      <c r="J2325">
        <v>0</v>
      </c>
      <c r="K2325">
        <v>0</v>
      </c>
      <c r="L2325" s="4" t="s">
        <v>1341</v>
      </c>
      <c r="M2325" s="4" t="str">
        <f t="shared" si="326"/>
        <v>5/27/2021</v>
      </c>
      <c r="N2325" s="1">
        <f t="shared" ca="1" si="327"/>
        <v>46064</v>
      </c>
      <c r="O2325" s="6" t="e">
        <f t="shared" ca="1" si="328"/>
        <v>#VALUE!</v>
      </c>
      <c r="P2325">
        <v>5</v>
      </c>
      <c r="Q2325">
        <f t="shared" si="329"/>
        <v>76349</v>
      </c>
      <c r="R2325" s="2">
        <f t="shared" si="330"/>
        <v>38174.5</v>
      </c>
      <c r="S2325" s="2" t="str">
        <f t="shared" si="331"/>
        <v xml:space="preserve"> Not Achieved</v>
      </c>
      <c r="T2325" s="2" t="str">
        <f t="shared" si="332"/>
        <v xml:space="preserve"> Excellent</v>
      </c>
      <c r="U2325" s="2"/>
    </row>
    <row r="2326" spans="1:21" x14ac:dyDescent="0.3">
      <c r="A2326">
        <v>2325</v>
      </c>
      <c r="B2326" t="s">
        <v>3294</v>
      </c>
      <c r="C2326" t="str">
        <f t="shared" si="324"/>
        <v>EMP_2325</v>
      </c>
      <c r="D2326" t="s">
        <v>15</v>
      </c>
      <c r="E2326" t="str">
        <f t="shared" si="325"/>
        <v>EMP_2325Sales</v>
      </c>
      <c r="F2326" t="s">
        <v>7</v>
      </c>
      <c r="G2326" t="s">
        <v>19</v>
      </c>
      <c r="H2326">
        <v>49209</v>
      </c>
      <c r="I2326">
        <v>12197</v>
      </c>
      <c r="J2326">
        <v>152519</v>
      </c>
      <c r="K2326">
        <v>169797</v>
      </c>
      <c r="L2326" s="4">
        <v>44199</v>
      </c>
      <c r="M2326" s="4" t="str">
        <f t="shared" si="326"/>
        <v>2021</v>
      </c>
      <c r="N2326" s="1">
        <f t="shared" ca="1" si="327"/>
        <v>46064</v>
      </c>
      <c r="O2326" s="6">
        <f t="shared" ca="1" si="328"/>
        <v>5</v>
      </c>
      <c r="P2326">
        <v>4</v>
      </c>
      <c r="Q2326">
        <f t="shared" si="329"/>
        <v>61406</v>
      </c>
      <c r="R2326" s="2">
        <f t="shared" si="330"/>
        <v>30703</v>
      </c>
      <c r="S2326" s="2" t="str">
        <f t="shared" si="331"/>
        <v xml:space="preserve"> Not Achieved</v>
      </c>
      <c r="T2326" s="2" t="str">
        <f t="shared" si="332"/>
        <v>Good</v>
      </c>
      <c r="U2326" s="2"/>
    </row>
    <row r="2327" spans="1:21" x14ac:dyDescent="0.3">
      <c r="A2327">
        <v>2326</v>
      </c>
      <c r="B2327" t="s">
        <v>3295</v>
      </c>
      <c r="C2327" t="str">
        <f t="shared" si="324"/>
        <v>EMP_2326</v>
      </c>
      <c r="D2327" t="s">
        <v>11</v>
      </c>
      <c r="E2327" t="str">
        <f t="shared" si="325"/>
        <v>EMP_2326HR</v>
      </c>
      <c r="F2327" t="s">
        <v>12</v>
      </c>
      <c r="G2327" t="s">
        <v>25</v>
      </c>
      <c r="H2327">
        <v>48740</v>
      </c>
      <c r="I2327">
        <v>13219</v>
      </c>
      <c r="J2327">
        <v>0</v>
      </c>
      <c r="K2327">
        <v>0</v>
      </c>
      <c r="L2327" s="4" t="s">
        <v>3296</v>
      </c>
      <c r="M2327" s="4" t="str">
        <f t="shared" si="326"/>
        <v>4/19/2020</v>
      </c>
      <c r="N2327" s="1">
        <f t="shared" ca="1" si="327"/>
        <v>46064</v>
      </c>
      <c r="O2327" s="6" t="e">
        <f t="shared" ca="1" si="328"/>
        <v>#VALUE!</v>
      </c>
      <c r="P2327">
        <v>3</v>
      </c>
      <c r="Q2327">
        <f t="shared" si="329"/>
        <v>61959</v>
      </c>
      <c r="R2327" s="2">
        <f t="shared" si="330"/>
        <v>30979.5</v>
      </c>
      <c r="S2327" s="2" t="str">
        <f t="shared" si="331"/>
        <v xml:space="preserve"> Not Achieved</v>
      </c>
      <c r="T2327" s="2" t="str">
        <f t="shared" si="332"/>
        <v>Good</v>
      </c>
      <c r="U2327" s="2"/>
    </row>
    <row r="2328" spans="1:21" x14ac:dyDescent="0.3">
      <c r="A2328">
        <v>2327</v>
      </c>
      <c r="B2328" t="s">
        <v>3297</v>
      </c>
      <c r="C2328" t="str">
        <f t="shared" si="324"/>
        <v>EMP_2327</v>
      </c>
      <c r="D2328" t="s">
        <v>15</v>
      </c>
      <c r="E2328" t="str">
        <f t="shared" si="325"/>
        <v>EMP_2327HR</v>
      </c>
      <c r="F2328" t="s">
        <v>12</v>
      </c>
      <c r="G2328" t="s">
        <v>22</v>
      </c>
      <c r="H2328">
        <v>46473</v>
      </c>
      <c r="I2328">
        <v>12919</v>
      </c>
      <c r="J2328">
        <v>0</v>
      </c>
      <c r="K2328">
        <v>0</v>
      </c>
      <c r="L2328" s="4">
        <v>44660</v>
      </c>
      <c r="M2328" s="4" t="str">
        <f t="shared" si="326"/>
        <v>2022</v>
      </c>
      <c r="N2328" s="1">
        <f t="shared" ca="1" si="327"/>
        <v>46064</v>
      </c>
      <c r="O2328" s="6">
        <f t="shared" ca="1" si="328"/>
        <v>3</v>
      </c>
      <c r="P2328">
        <v>2</v>
      </c>
      <c r="Q2328">
        <f t="shared" si="329"/>
        <v>59392</v>
      </c>
      <c r="R2328" s="2">
        <f t="shared" si="330"/>
        <v>29696</v>
      </c>
      <c r="S2328" s="2" t="str">
        <f t="shared" si="331"/>
        <v xml:space="preserve"> Not Achieved</v>
      </c>
      <c r="T2328" s="2" t="str">
        <f t="shared" si="332"/>
        <v>Good</v>
      </c>
      <c r="U2328" s="2"/>
    </row>
    <row r="2329" spans="1:21" x14ac:dyDescent="0.3">
      <c r="A2329">
        <v>2328</v>
      </c>
      <c r="B2329" t="s">
        <v>3298</v>
      </c>
      <c r="C2329" t="str">
        <f t="shared" si="324"/>
        <v>EMP_2328</v>
      </c>
      <c r="D2329" t="s">
        <v>11</v>
      </c>
      <c r="E2329" t="str">
        <f t="shared" si="325"/>
        <v>EMP_2328HR</v>
      </c>
      <c r="F2329" t="s">
        <v>12</v>
      </c>
      <c r="G2329" t="s">
        <v>13</v>
      </c>
      <c r="H2329">
        <v>66833</v>
      </c>
      <c r="I2329">
        <v>5913</v>
      </c>
      <c r="J2329">
        <v>0</v>
      </c>
      <c r="K2329">
        <v>0</v>
      </c>
      <c r="L2329" s="4">
        <v>43506</v>
      </c>
      <c r="M2329" s="4" t="str">
        <f t="shared" si="326"/>
        <v>2019</v>
      </c>
      <c r="N2329" s="1">
        <f t="shared" ca="1" si="327"/>
        <v>46064</v>
      </c>
      <c r="O2329" s="6">
        <f t="shared" ca="1" si="328"/>
        <v>7</v>
      </c>
      <c r="P2329">
        <v>2</v>
      </c>
      <c r="Q2329">
        <f t="shared" si="329"/>
        <v>72746</v>
      </c>
      <c r="R2329" s="2">
        <f t="shared" si="330"/>
        <v>36373</v>
      </c>
      <c r="S2329" s="2" t="str">
        <f t="shared" si="331"/>
        <v xml:space="preserve"> Not Achieved</v>
      </c>
      <c r="T2329" s="2" t="str">
        <f t="shared" si="332"/>
        <v xml:space="preserve"> Excellent</v>
      </c>
      <c r="U2329" s="2"/>
    </row>
    <row r="2330" spans="1:21" x14ac:dyDescent="0.3">
      <c r="A2330">
        <v>2329</v>
      </c>
      <c r="B2330" t="s">
        <v>3299</v>
      </c>
      <c r="C2330" t="str">
        <f t="shared" si="324"/>
        <v>EMP_2329</v>
      </c>
      <c r="D2330" t="s">
        <v>15</v>
      </c>
      <c r="E2330" t="str">
        <f t="shared" si="325"/>
        <v>EMP_2329Finance</v>
      </c>
      <c r="F2330" t="s">
        <v>18</v>
      </c>
      <c r="G2330" t="s">
        <v>22</v>
      </c>
      <c r="H2330">
        <v>28596</v>
      </c>
      <c r="I2330">
        <v>7148</v>
      </c>
      <c r="J2330">
        <v>0</v>
      </c>
      <c r="K2330">
        <v>0</v>
      </c>
      <c r="L2330" s="4">
        <v>43986</v>
      </c>
      <c r="M2330" s="4" t="str">
        <f t="shared" si="326"/>
        <v>2020</v>
      </c>
      <c r="N2330" s="1">
        <f t="shared" ca="1" si="327"/>
        <v>46064</v>
      </c>
      <c r="O2330" s="6">
        <f t="shared" ca="1" si="328"/>
        <v>5</v>
      </c>
      <c r="P2330">
        <v>2</v>
      </c>
      <c r="Q2330">
        <f t="shared" si="329"/>
        <v>35744</v>
      </c>
      <c r="R2330" s="2">
        <f t="shared" si="330"/>
        <v>17872</v>
      </c>
      <c r="S2330" s="2" t="str">
        <f t="shared" si="331"/>
        <v xml:space="preserve"> Not Achieved</v>
      </c>
      <c r="T2330" s="2" t="str">
        <f t="shared" si="332"/>
        <v>poor</v>
      </c>
      <c r="U2330" s="2"/>
    </row>
    <row r="2331" spans="1:21" x14ac:dyDescent="0.3">
      <c r="A2331">
        <v>2330</v>
      </c>
      <c r="B2331" t="s">
        <v>3300</v>
      </c>
      <c r="C2331" t="str">
        <f t="shared" si="324"/>
        <v>EMP_2330</v>
      </c>
      <c r="D2331" t="s">
        <v>15</v>
      </c>
      <c r="E2331" t="str">
        <f t="shared" si="325"/>
        <v>EMP_2330Marketing</v>
      </c>
      <c r="F2331" t="s">
        <v>24</v>
      </c>
      <c r="G2331" t="s">
        <v>22</v>
      </c>
      <c r="H2331">
        <v>42197</v>
      </c>
      <c r="I2331">
        <v>9493</v>
      </c>
      <c r="J2331">
        <v>0</v>
      </c>
      <c r="K2331">
        <v>0</v>
      </c>
      <c r="L2331" s="4" t="s">
        <v>3301</v>
      </c>
      <c r="M2331" s="4" t="str">
        <f t="shared" si="326"/>
        <v>10/24/2021</v>
      </c>
      <c r="N2331" s="1">
        <f t="shared" ca="1" si="327"/>
        <v>46064</v>
      </c>
      <c r="O2331" s="6" t="e">
        <f t="shared" ca="1" si="328"/>
        <v>#VALUE!</v>
      </c>
      <c r="P2331">
        <v>2</v>
      </c>
      <c r="Q2331">
        <f t="shared" si="329"/>
        <v>51690</v>
      </c>
      <c r="R2331" s="2">
        <f t="shared" si="330"/>
        <v>25845</v>
      </c>
      <c r="S2331" s="2" t="str">
        <f t="shared" si="331"/>
        <v xml:space="preserve"> Not Achieved</v>
      </c>
      <c r="T2331" s="2" t="str">
        <f t="shared" si="332"/>
        <v>Good</v>
      </c>
      <c r="U2331" s="2"/>
    </row>
    <row r="2332" spans="1:21" x14ac:dyDescent="0.3">
      <c r="A2332">
        <v>2331</v>
      </c>
      <c r="B2332" t="s">
        <v>3302</v>
      </c>
      <c r="C2332" t="str">
        <f t="shared" si="324"/>
        <v>EMP_2331</v>
      </c>
      <c r="D2332" t="s">
        <v>15</v>
      </c>
      <c r="E2332" t="str">
        <f t="shared" si="325"/>
        <v>EMP_2331IT</v>
      </c>
      <c r="F2332" t="s">
        <v>21</v>
      </c>
      <c r="G2332" t="s">
        <v>13</v>
      </c>
      <c r="H2332">
        <v>51124</v>
      </c>
      <c r="I2332">
        <v>12690</v>
      </c>
      <c r="J2332">
        <v>0</v>
      </c>
      <c r="K2332">
        <v>0</v>
      </c>
      <c r="L2332" s="4" t="s">
        <v>2944</v>
      </c>
      <c r="M2332" s="4" t="str">
        <f t="shared" si="326"/>
        <v>10/23/2019</v>
      </c>
      <c r="N2332" s="1">
        <f t="shared" ca="1" si="327"/>
        <v>46064</v>
      </c>
      <c r="O2332" s="6" t="e">
        <f t="shared" ca="1" si="328"/>
        <v>#VALUE!</v>
      </c>
      <c r="P2332">
        <v>2</v>
      </c>
      <c r="Q2332">
        <f t="shared" si="329"/>
        <v>63814</v>
      </c>
      <c r="R2332" s="2">
        <f t="shared" si="330"/>
        <v>31907</v>
      </c>
      <c r="S2332" s="2" t="str">
        <f t="shared" si="331"/>
        <v xml:space="preserve"> Not Achieved</v>
      </c>
      <c r="T2332" s="2" t="str">
        <f t="shared" si="332"/>
        <v xml:space="preserve"> Excellent</v>
      </c>
      <c r="U2332" s="2"/>
    </row>
    <row r="2333" spans="1:21" x14ac:dyDescent="0.3">
      <c r="A2333">
        <v>2332</v>
      </c>
      <c r="B2333" t="s">
        <v>3303</v>
      </c>
      <c r="C2333" t="str">
        <f t="shared" si="324"/>
        <v>EMP_2332</v>
      </c>
      <c r="D2333" t="s">
        <v>15</v>
      </c>
      <c r="E2333" t="str">
        <f t="shared" si="325"/>
        <v>EMP_2332Marketing</v>
      </c>
      <c r="F2333" t="s">
        <v>24</v>
      </c>
      <c r="G2333" t="s">
        <v>16</v>
      </c>
      <c r="H2333">
        <v>67952</v>
      </c>
      <c r="I2333">
        <v>13092</v>
      </c>
      <c r="J2333">
        <v>0</v>
      </c>
      <c r="K2333">
        <v>0</v>
      </c>
      <c r="L2333" s="4">
        <v>43586</v>
      </c>
      <c r="M2333" s="4" t="str">
        <f t="shared" si="326"/>
        <v>2019</v>
      </c>
      <c r="N2333" s="1">
        <f t="shared" ca="1" si="327"/>
        <v>46064</v>
      </c>
      <c r="O2333" s="6">
        <f t="shared" ca="1" si="328"/>
        <v>6</v>
      </c>
      <c r="P2333">
        <v>4</v>
      </c>
      <c r="Q2333">
        <f t="shared" si="329"/>
        <v>81044</v>
      </c>
      <c r="R2333" s="2">
        <f t="shared" si="330"/>
        <v>40522</v>
      </c>
      <c r="S2333" s="2" t="str">
        <f t="shared" si="331"/>
        <v xml:space="preserve"> Not Achieved</v>
      </c>
      <c r="T2333" s="2" t="str">
        <f t="shared" si="332"/>
        <v xml:space="preserve"> Excellent</v>
      </c>
      <c r="U2333" s="2"/>
    </row>
    <row r="2334" spans="1:21" x14ac:dyDescent="0.3">
      <c r="A2334">
        <v>2333</v>
      </c>
      <c r="B2334" t="s">
        <v>3304</v>
      </c>
      <c r="C2334" t="str">
        <f t="shared" si="324"/>
        <v>EMP_2333</v>
      </c>
      <c r="D2334" t="s">
        <v>11</v>
      </c>
      <c r="E2334" t="str">
        <f t="shared" si="325"/>
        <v>EMP_2333Marketing</v>
      </c>
      <c r="F2334" t="s">
        <v>24</v>
      </c>
      <c r="G2334" t="s">
        <v>19</v>
      </c>
      <c r="H2334">
        <v>34744</v>
      </c>
      <c r="I2334">
        <v>8684</v>
      </c>
      <c r="J2334">
        <v>0</v>
      </c>
      <c r="K2334">
        <v>0</v>
      </c>
      <c r="L2334" s="4" t="s">
        <v>3305</v>
      </c>
      <c r="M2334" s="4" t="str">
        <f t="shared" si="326"/>
        <v>11/29/2023</v>
      </c>
      <c r="N2334" s="1">
        <f t="shared" ca="1" si="327"/>
        <v>46064</v>
      </c>
      <c r="O2334" s="6" t="e">
        <f t="shared" ca="1" si="328"/>
        <v>#VALUE!</v>
      </c>
      <c r="P2334">
        <v>1</v>
      </c>
      <c r="Q2334">
        <f t="shared" si="329"/>
        <v>43428</v>
      </c>
      <c r="R2334" s="2">
        <f t="shared" si="330"/>
        <v>21714</v>
      </c>
      <c r="S2334" s="2" t="str">
        <f t="shared" si="331"/>
        <v xml:space="preserve"> Not Achieved</v>
      </c>
      <c r="T2334" s="2" t="str">
        <f t="shared" si="332"/>
        <v>Average</v>
      </c>
      <c r="U2334" s="2"/>
    </row>
    <row r="2335" spans="1:21" x14ac:dyDescent="0.3">
      <c r="A2335">
        <v>2334</v>
      </c>
      <c r="B2335" t="s">
        <v>3306</v>
      </c>
      <c r="C2335" t="str">
        <f t="shared" si="324"/>
        <v>EMP_2334</v>
      </c>
      <c r="D2335" t="s">
        <v>15</v>
      </c>
      <c r="E2335" t="str">
        <f t="shared" si="325"/>
        <v>EMP_2334Finance</v>
      </c>
      <c r="F2335" t="s">
        <v>18</v>
      </c>
      <c r="G2335" t="s">
        <v>13</v>
      </c>
      <c r="H2335">
        <v>76539</v>
      </c>
      <c r="I2335">
        <v>8332</v>
      </c>
      <c r="J2335">
        <v>0</v>
      </c>
      <c r="K2335">
        <v>0</v>
      </c>
      <c r="L2335" s="4">
        <v>45047</v>
      </c>
      <c r="M2335" s="4" t="str">
        <f t="shared" si="326"/>
        <v>2023</v>
      </c>
      <c r="N2335" s="1">
        <f t="shared" ca="1" si="327"/>
        <v>46064</v>
      </c>
      <c r="O2335" s="6">
        <f t="shared" ca="1" si="328"/>
        <v>2</v>
      </c>
      <c r="P2335">
        <v>1</v>
      </c>
      <c r="Q2335">
        <f t="shared" si="329"/>
        <v>84871</v>
      </c>
      <c r="R2335" s="2">
        <f t="shared" si="330"/>
        <v>42435.5</v>
      </c>
      <c r="S2335" s="2" t="str">
        <f t="shared" si="331"/>
        <v xml:space="preserve"> Not Achieved</v>
      </c>
      <c r="T2335" s="2" t="str">
        <f t="shared" si="332"/>
        <v xml:space="preserve"> Excellent</v>
      </c>
      <c r="U2335" s="2"/>
    </row>
    <row r="2336" spans="1:21" x14ac:dyDescent="0.3">
      <c r="A2336">
        <v>2335</v>
      </c>
      <c r="B2336" t="s">
        <v>3307</v>
      </c>
      <c r="C2336" t="str">
        <f t="shared" si="324"/>
        <v>EMP_2335</v>
      </c>
      <c r="D2336" t="s">
        <v>11</v>
      </c>
      <c r="E2336" t="str">
        <f t="shared" si="325"/>
        <v>EMP_2335Marketing</v>
      </c>
      <c r="F2336" t="s">
        <v>24</v>
      </c>
      <c r="G2336" t="s">
        <v>16</v>
      </c>
      <c r="H2336">
        <v>62694</v>
      </c>
      <c r="I2336">
        <v>2403</v>
      </c>
      <c r="J2336">
        <v>0</v>
      </c>
      <c r="K2336">
        <v>0</v>
      </c>
      <c r="L2336" s="4">
        <v>43197</v>
      </c>
      <c r="M2336" s="4" t="str">
        <f t="shared" si="326"/>
        <v>2018</v>
      </c>
      <c r="N2336" s="1">
        <f t="shared" ca="1" si="327"/>
        <v>46064</v>
      </c>
      <c r="O2336" s="6">
        <f t="shared" ca="1" si="328"/>
        <v>7</v>
      </c>
      <c r="P2336">
        <v>2</v>
      </c>
      <c r="Q2336">
        <f t="shared" si="329"/>
        <v>65097</v>
      </c>
      <c r="R2336" s="2">
        <f t="shared" si="330"/>
        <v>32548.5</v>
      </c>
      <c r="S2336" s="2" t="str">
        <f t="shared" si="331"/>
        <v xml:space="preserve"> Not Achieved</v>
      </c>
      <c r="T2336" s="2" t="str">
        <f t="shared" si="332"/>
        <v xml:space="preserve"> Excellent</v>
      </c>
      <c r="U2336" s="2"/>
    </row>
    <row r="2337" spans="1:21" x14ac:dyDescent="0.3">
      <c r="A2337">
        <v>2336</v>
      </c>
      <c r="B2337" t="s">
        <v>3308</v>
      </c>
      <c r="C2337" t="str">
        <f t="shared" si="324"/>
        <v>EMP_2336</v>
      </c>
      <c r="D2337" t="s">
        <v>15</v>
      </c>
      <c r="E2337" t="str">
        <f t="shared" si="325"/>
        <v>EMP_2336Finance</v>
      </c>
      <c r="F2337" t="s">
        <v>18</v>
      </c>
      <c r="G2337" t="s">
        <v>13</v>
      </c>
      <c r="H2337">
        <v>74336</v>
      </c>
      <c r="I2337">
        <v>9571</v>
      </c>
      <c r="J2337">
        <v>0</v>
      </c>
      <c r="K2337">
        <v>0</v>
      </c>
      <c r="L2337" s="4">
        <v>45294</v>
      </c>
      <c r="M2337" s="4" t="str">
        <f t="shared" si="326"/>
        <v>2024</v>
      </c>
      <c r="N2337" s="1">
        <f t="shared" ca="1" si="327"/>
        <v>46064</v>
      </c>
      <c r="O2337" s="6">
        <f t="shared" ca="1" si="328"/>
        <v>2</v>
      </c>
      <c r="P2337">
        <v>1</v>
      </c>
      <c r="Q2337">
        <f t="shared" si="329"/>
        <v>83907</v>
      </c>
      <c r="R2337" s="2">
        <f t="shared" si="330"/>
        <v>41953.5</v>
      </c>
      <c r="S2337" s="2" t="str">
        <f t="shared" si="331"/>
        <v xml:space="preserve"> Not Achieved</v>
      </c>
      <c r="T2337" s="2" t="str">
        <f t="shared" si="332"/>
        <v xml:space="preserve"> Excellent</v>
      </c>
      <c r="U2337" s="2"/>
    </row>
    <row r="2338" spans="1:21" x14ac:dyDescent="0.3">
      <c r="A2338">
        <v>2337</v>
      </c>
      <c r="B2338" t="s">
        <v>3309</v>
      </c>
      <c r="C2338" t="str">
        <f t="shared" si="324"/>
        <v>EMP_2337</v>
      </c>
      <c r="D2338" t="s">
        <v>11</v>
      </c>
      <c r="E2338" t="str">
        <f t="shared" si="325"/>
        <v>EMP_2337Sales</v>
      </c>
      <c r="F2338" t="s">
        <v>7</v>
      </c>
      <c r="G2338" t="s">
        <v>13</v>
      </c>
      <c r="H2338">
        <v>73546</v>
      </c>
      <c r="I2338">
        <v>9647</v>
      </c>
      <c r="J2338">
        <v>155507</v>
      </c>
      <c r="K2338">
        <v>123248</v>
      </c>
      <c r="L2338" s="4">
        <v>44964</v>
      </c>
      <c r="M2338" s="4" t="str">
        <f t="shared" si="326"/>
        <v>2023</v>
      </c>
      <c r="N2338" s="1">
        <f t="shared" ca="1" si="327"/>
        <v>46064</v>
      </c>
      <c r="O2338" s="6">
        <f t="shared" ca="1" si="328"/>
        <v>3</v>
      </c>
      <c r="P2338">
        <v>3</v>
      </c>
      <c r="Q2338">
        <f t="shared" si="329"/>
        <v>83193</v>
      </c>
      <c r="R2338" s="2">
        <f t="shared" si="330"/>
        <v>41596.5</v>
      </c>
      <c r="S2338" s="2" t="str">
        <f t="shared" si="331"/>
        <v>Achieved</v>
      </c>
      <c r="T2338" s="2" t="str">
        <f t="shared" si="332"/>
        <v xml:space="preserve"> Excellent</v>
      </c>
      <c r="U2338" s="2"/>
    </row>
    <row r="2339" spans="1:21" x14ac:dyDescent="0.3">
      <c r="A2339">
        <v>2338</v>
      </c>
      <c r="B2339" t="s">
        <v>3310</v>
      </c>
      <c r="C2339" t="str">
        <f t="shared" si="324"/>
        <v>EMP_2338</v>
      </c>
      <c r="D2339" t="s">
        <v>15</v>
      </c>
      <c r="E2339" t="str">
        <f t="shared" si="325"/>
        <v>EMP_2338HR</v>
      </c>
      <c r="F2339" t="s">
        <v>12</v>
      </c>
      <c r="G2339" t="s">
        <v>22</v>
      </c>
      <c r="H2339">
        <v>47041</v>
      </c>
      <c r="I2339">
        <v>11380</v>
      </c>
      <c r="J2339">
        <v>0</v>
      </c>
      <c r="K2339">
        <v>0</v>
      </c>
      <c r="L2339" s="4">
        <v>43263</v>
      </c>
      <c r="M2339" s="4" t="str">
        <f t="shared" si="326"/>
        <v>2018</v>
      </c>
      <c r="N2339" s="1">
        <f t="shared" ca="1" si="327"/>
        <v>46064</v>
      </c>
      <c r="O2339" s="6">
        <f t="shared" ca="1" si="328"/>
        <v>7</v>
      </c>
      <c r="P2339">
        <v>4</v>
      </c>
      <c r="Q2339">
        <f t="shared" si="329"/>
        <v>58421</v>
      </c>
      <c r="R2339" s="2">
        <f t="shared" si="330"/>
        <v>29210.5</v>
      </c>
      <c r="S2339" s="2" t="str">
        <f t="shared" si="331"/>
        <v xml:space="preserve"> Not Achieved</v>
      </c>
      <c r="T2339" s="2" t="str">
        <f t="shared" si="332"/>
        <v>Good</v>
      </c>
      <c r="U2339" s="2"/>
    </row>
    <row r="2340" spans="1:21" x14ac:dyDescent="0.3">
      <c r="A2340">
        <v>2339</v>
      </c>
      <c r="B2340" t="s">
        <v>3311</v>
      </c>
      <c r="C2340" t="str">
        <f t="shared" si="324"/>
        <v>EMP_2339</v>
      </c>
      <c r="D2340" t="s">
        <v>11</v>
      </c>
      <c r="E2340" t="str">
        <f t="shared" si="325"/>
        <v>EMP_2339IT</v>
      </c>
      <c r="F2340" t="s">
        <v>21</v>
      </c>
      <c r="G2340" t="s">
        <v>13</v>
      </c>
      <c r="H2340">
        <v>33615</v>
      </c>
      <c r="I2340">
        <v>13501</v>
      </c>
      <c r="J2340">
        <v>0</v>
      </c>
      <c r="K2340">
        <v>0</v>
      </c>
      <c r="L2340" s="4">
        <v>44713</v>
      </c>
      <c r="M2340" s="4" t="str">
        <f t="shared" si="326"/>
        <v>2022</v>
      </c>
      <c r="N2340" s="1">
        <f t="shared" ca="1" si="327"/>
        <v>46064</v>
      </c>
      <c r="O2340" s="6">
        <f t="shared" ca="1" si="328"/>
        <v>3</v>
      </c>
      <c r="P2340">
        <v>5</v>
      </c>
      <c r="Q2340">
        <f t="shared" si="329"/>
        <v>47116</v>
      </c>
      <c r="R2340" s="2">
        <f t="shared" si="330"/>
        <v>23558</v>
      </c>
      <c r="S2340" s="2" t="str">
        <f t="shared" si="331"/>
        <v xml:space="preserve"> Not Achieved</v>
      </c>
      <c r="T2340" s="2" t="str">
        <f t="shared" si="332"/>
        <v>Average</v>
      </c>
      <c r="U2340" s="2"/>
    </row>
    <row r="2341" spans="1:21" x14ac:dyDescent="0.3">
      <c r="A2341">
        <v>2340</v>
      </c>
      <c r="B2341" t="s">
        <v>3312</v>
      </c>
      <c r="C2341" t="str">
        <f t="shared" si="324"/>
        <v>EMP_2340</v>
      </c>
      <c r="D2341" t="s">
        <v>15</v>
      </c>
      <c r="E2341" t="str">
        <f t="shared" si="325"/>
        <v>EMP_2340Finance</v>
      </c>
      <c r="F2341" t="s">
        <v>18</v>
      </c>
      <c r="G2341" t="s">
        <v>16</v>
      </c>
      <c r="H2341">
        <v>78634</v>
      </c>
      <c r="I2341">
        <v>8846</v>
      </c>
      <c r="J2341">
        <v>0</v>
      </c>
      <c r="K2341">
        <v>0</v>
      </c>
      <c r="L2341" s="4" t="s">
        <v>3313</v>
      </c>
      <c r="M2341" s="4" t="str">
        <f t="shared" si="326"/>
        <v>6/30/2024</v>
      </c>
      <c r="N2341" s="1">
        <f t="shared" ca="1" si="327"/>
        <v>46064</v>
      </c>
      <c r="O2341" s="6" t="e">
        <f t="shared" ca="1" si="328"/>
        <v>#VALUE!</v>
      </c>
      <c r="P2341">
        <v>2</v>
      </c>
      <c r="Q2341">
        <f t="shared" si="329"/>
        <v>87480</v>
      </c>
      <c r="R2341" s="2">
        <f t="shared" si="330"/>
        <v>43740</v>
      </c>
      <c r="S2341" s="2" t="str">
        <f t="shared" si="331"/>
        <v xml:space="preserve"> Not Achieved</v>
      </c>
      <c r="T2341" s="2" t="str">
        <f t="shared" si="332"/>
        <v xml:space="preserve"> Excellent</v>
      </c>
      <c r="U2341" s="2"/>
    </row>
    <row r="2342" spans="1:21" x14ac:dyDescent="0.3">
      <c r="A2342">
        <v>2341</v>
      </c>
      <c r="B2342" t="s">
        <v>3314</v>
      </c>
      <c r="C2342" t="str">
        <f t="shared" si="324"/>
        <v>EMP_2341</v>
      </c>
      <c r="D2342" t="s">
        <v>15</v>
      </c>
      <c r="E2342" t="str">
        <f t="shared" si="325"/>
        <v>EMP_2341Sales</v>
      </c>
      <c r="F2342" t="s">
        <v>7</v>
      </c>
      <c r="G2342" t="s">
        <v>25</v>
      </c>
      <c r="H2342">
        <v>63416</v>
      </c>
      <c r="I2342">
        <v>4686</v>
      </c>
      <c r="J2342">
        <v>85932</v>
      </c>
      <c r="K2342">
        <v>86136</v>
      </c>
      <c r="L2342" s="4">
        <v>44749</v>
      </c>
      <c r="M2342" s="4" t="str">
        <f t="shared" si="326"/>
        <v>2022</v>
      </c>
      <c r="N2342" s="1">
        <f t="shared" ca="1" si="327"/>
        <v>46064</v>
      </c>
      <c r="O2342" s="6">
        <f t="shared" ca="1" si="328"/>
        <v>3</v>
      </c>
      <c r="P2342">
        <v>2</v>
      </c>
      <c r="Q2342">
        <f t="shared" si="329"/>
        <v>68102</v>
      </c>
      <c r="R2342" s="2">
        <f t="shared" si="330"/>
        <v>34051</v>
      </c>
      <c r="S2342" s="2" t="str">
        <f t="shared" si="331"/>
        <v xml:space="preserve"> Not Achieved</v>
      </c>
      <c r="T2342" s="2" t="str">
        <f t="shared" si="332"/>
        <v xml:space="preserve"> Excellent</v>
      </c>
      <c r="U2342" s="2"/>
    </row>
    <row r="2343" spans="1:21" x14ac:dyDescent="0.3">
      <c r="A2343">
        <v>2342</v>
      </c>
      <c r="B2343" t="s">
        <v>3315</v>
      </c>
      <c r="C2343" t="str">
        <f t="shared" si="324"/>
        <v>EMP_2342</v>
      </c>
      <c r="D2343" t="s">
        <v>15</v>
      </c>
      <c r="E2343" t="str">
        <f t="shared" si="325"/>
        <v>EMP_2342IT</v>
      </c>
      <c r="F2343" t="s">
        <v>21</v>
      </c>
      <c r="G2343" t="s">
        <v>13</v>
      </c>
      <c r="H2343">
        <v>48684</v>
      </c>
      <c r="I2343">
        <v>4136</v>
      </c>
      <c r="J2343">
        <v>0</v>
      </c>
      <c r="K2343">
        <v>0</v>
      </c>
      <c r="L2343" s="4" t="s">
        <v>2648</v>
      </c>
      <c r="M2343" s="4" t="str">
        <f t="shared" si="326"/>
        <v>8/16/2021</v>
      </c>
      <c r="N2343" s="1">
        <f t="shared" ca="1" si="327"/>
        <v>46064</v>
      </c>
      <c r="O2343" s="6" t="e">
        <f t="shared" ca="1" si="328"/>
        <v>#VALUE!</v>
      </c>
      <c r="P2343">
        <v>5</v>
      </c>
      <c r="Q2343">
        <f t="shared" si="329"/>
        <v>52820</v>
      </c>
      <c r="R2343" s="2">
        <f t="shared" si="330"/>
        <v>26410</v>
      </c>
      <c r="S2343" s="2" t="str">
        <f t="shared" si="331"/>
        <v xml:space="preserve"> Not Achieved</v>
      </c>
      <c r="T2343" s="2" t="str">
        <f t="shared" si="332"/>
        <v>Good</v>
      </c>
      <c r="U2343" s="2"/>
    </row>
    <row r="2344" spans="1:21" x14ac:dyDescent="0.3">
      <c r="A2344">
        <v>2343</v>
      </c>
      <c r="B2344" t="s">
        <v>3316</v>
      </c>
      <c r="C2344" t="str">
        <f t="shared" si="324"/>
        <v>EMP_2343</v>
      </c>
      <c r="D2344" t="s">
        <v>11</v>
      </c>
      <c r="E2344" t="str">
        <f t="shared" si="325"/>
        <v>EMP_2343Marketing</v>
      </c>
      <c r="F2344" t="s">
        <v>24</v>
      </c>
      <c r="G2344" t="s">
        <v>19</v>
      </c>
      <c r="H2344">
        <v>42112</v>
      </c>
      <c r="I2344">
        <v>2771</v>
      </c>
      <c r="J2344">
        <v>0</v>
      </c>
      <c r="K2344">
        <v>0</v>
      </c>
      <c r="L2344" s="4" t="s">
        <v>2340</v>
      </c>
      <c r="M2344" s="4" t="str">
        <f t="shared" si="326"/>
        <v>11/22/2020</v>
      </c>
      <c r="N2344" s="1">
        <f t="shared" ca="1" si="327"/>
        <v>46064</v>
      </c>
      <c r="O2344" s="6" t="e">
        <f t="shared" ca="1" si="328"/>
        <v>#VALUE!</v>
      </c>
      <c r="P2344">
        <v>4</v>
      </c>
      <c r="Q2344">
        <f t="shared" si="329"/>
        <v>44883</v>
      </c>
      <c r="R2344" s="2">
        <f t="shared" si="330"/>
        <v>22441.5</v>
      </c>
      <c r="S2344" s="2" t="str">
        <f t="shared" si="331"/>
        <v xml:space="preserve"> Not Achieved</v>
      </c>
      <c r="T2344" s="2" t="str">
        <f t="shared" si="332"/>
        <v>Good</v>
      </c>
      <c r="U2344" s="2"/>
    </row>
    <row r="2345" spans="1:21" x14ac:dyDescent="0.3">
      <c r="A2345">
        <v>2344</v>
      </c>
      <c r="B2345" t="s">
        <v>3317</v>
      </c>
      <c r="C2345" t="str">
        <f t="shared" si="324"/>
        <v>EMP_2344</v>
      </c>
      <c r="D2345" t="s">
        <v>11</v>
      </c>
      <c r="E2345" t="str">
        <f t="shared" si="325"/>
        <v>EMP_2344IT</v>
      </c>
      <c r="F2345" t="s">
        <v>21</v>
      </c>
      <c r="G2345" t="s">
        <v>13</v>
      </c>
      <c r="H2345">
        <v>60742</v>
      </c>
      <c r="I2345">
        <v>3116</v>
      </c>
      <c r="J2345">
        <v>0</v>
      </c>
      <c r="K2345">
        <v>0</v>
      </c>
      <c r="L2345" s="4">
        <v>43498</v>
      </c>
      <c r="M2345" s="4" t="str">
        <f t="shared" si="326"/>
        <v>2019</v>
      </c>
      <c r="N2345" s="1">
        <f t="shared" ca="1" si="327"/>
        <v>46064</v>
      </c>
      <c r="O2345" s="6">
        <f t="shared" ca="1" si="328"/>
        <v>7</v>
      </c>
      <c r="P2345">
        <v>2</v>
      </c>
      <c r="Q2345">
        <f t="shared" si="329"/>
        <v>63858</v>
      </c>
      <c r="R2345" s="2">
        <f t="shared" si="330"/>
        <v>31929</v>
      </c>
      <c r="S2345" s="2" t="str">
        <f t="shared" si="331"/>
        <v xml:space="preserve"> Not Achieved</v>
      </c>
      <c r="T2345" s="2" t="str">
        <f t="shared" si="332"/>
        <v xml:space="preserve"> Excellent</v>
      </c>
      <c r="U2345" s="2"/>
    </row>
    <row r="2346" spans="1:21" x14ac:dyDescent="0.3">
      <c r="A2346">
        <v>2345</v>
      </c>
      <c r="B2346" t="s">
        <v>3318</v>
      </c>
      <c r="C2346" t="str">
        <f t="shared" si="324"/>
        <v>EMP_2345</v>
      </c>
      <c r="D2346" t="s">
        <v>15</v>
      </c>
      <c r="E2346" t="str">
        <f t="shared" si="325"/>
        <v>EMP_2345HR</v>
      </c>
      <c r="F2346" t="s">
        <v>12</v>
      </c>
      <c r="G2346" t="s">
        <v>13</v>
      </c>
      <c r="H2346">
        <v>56181</v>
      </c>
      <c r="I2346">
        <v>12446</v>
      </c>
      <c r="J2346">
        <v>0</v>
      </c>
      <c r="K2346">
        <v>0</v>
      </c>
      <c r="L2346" s="4" t="s">
        <v>3319</v>
      </c>
      <c r="M2346" s="4" t="str">
        <f t="shared" si="326"/>
        <v>9/18/2022</v>
      </c>
      <c r="N2346" s="1">
        <f t="shared" ca="1" si="327"/>
        <v>46064</v>
      </c>
      <c r="O2346" s="6" t="e">
        <f t="shared" ca="1" si="328"/>
        <v>#VALUE!</v>
      </c>
      <c r="P2346">
        <v>2</v>
      </c>
      <c r="Q2346">
        <f t="shared" si="329"/>
        <v>68627</v>
      </c>
      <c r="R2346" s="2">
        <f t="shared" si="330"/>
        <v>34313.5</v>
      </c>
      <c r="S2346" s="2" t="str">
        <f t="shared" si="331"/>
        <v xml:space="preserve"> Not Achieved</v>
      </c>
      <c r="T2346" s="2" t="str">
        <f t="shared" si="332"/>
        <v xml:space="preserve"> Excellent</v>
      </c>
      <c r="U2346" s="2"/>
    </row>
    <row r="2347" spans="1:21" x14ac:dyDescent="0.3">
      <c r="A2347">
        <v>2346</v>
      </c>
      <c r="B2347" t="s">
        <v>3320</v>
      </c>
      <c r="C2347" t="str">
        <f t="shared" si="324"/>
        <v>EMP_2346</v>
      </c>
      <c r="D2347" t="s">
        <v>11</v>
      </c>
      <c r="E2347" t="str">
        <f t="shared" si="325"/>
        <v>EMP_2346Sales</v>
      </c>
      <c r="F2347" t="s">
        <v>7</v>
      </c>
      <c r="G2347" t="s">
        <v>25</v>
      </c>
      <c r="H2347">
        <v>23045</v>
      </c>
      <c r="I2347">
        <v>14217</v>
      </c>
      <c r="J2347">
        <v>81521</v>
      </c>
      <c r="K2347">
        <v>169898</v>
      </c>
      <c r="L2347" s="4">
        <v>44721</v>
      </c>
      <c r="M2347" s="4" t="str">
        <f t="shared" si="326"/>
        <v>2022</v>
      </c>
      <c r="N2347" s="1">
        <f t="shared" ca="1" si="327"/>
        <v>46064</v>
      </c>
      <c r="O2347" s="6">
        <f t="shared" ca="1" si="328"/>
        <v>3</v>
      </c>
      <c r="P2347">
        <v>5</v>
      </c>
      <c r="Q2347">
        <f t="shared" si="329"/>
        <v>37262</v>
      </c>
      <c r="R2347" s="2">
        <f t="shared" si="330"/>
        <v>18631</v>
      </c>
      <c r="S2347" s="2" t="str">
        <f t="shared" si="331"/>
        <v xml:space="preserve"> Not Achieved</v>
      </c>
      <c r="T2347" s="2" t="str">
        <f t="shared" si="332"/>
        <v>poor</v>
      </c>
      <c r="U2347" s="2"/>
    </row>
    <row r="2348" spans="1:21" x14ac:dyDescent="0.3">
      <c r="A2348">
        <v>2347</v>
      </c>
      <c r="B2348" t="s">
        <v>3321</v>
      </c>
      <c r="C2348" t="str">
        <f t="shared" si="324"/>
        <v>EMP_2347</v>
      </c>
      <c r="D2348" t="s">
        <v>15</v>
      </c>
      <c r="E2348" t="str">
        <f t="shared" si="325"/>
        <v>EMP_2347Finance</v>
      </c>
      <c r="F2348" t="s">
        <v>18</v>
      </c>
      <c r="G2348" t="s">
        <v>22</v>
      </c>
      <c r="H2348">
        <v>45636</v>
      </c>
      <c r="I2348">
        <v>12946</v>
      </c>
      <c r="J2348">
        <v>0</v>
      </c>
      <c r="K2348">
        <v>0</v>
      </c>
      <c r="L2348" s="4" t="s">
        <v>461</v>
      </c>
      <c r="M2348" s="4" t="str">
        <f t="shared" si="326"/>
        <v>9/25/2019</v>
      </c>
      <c r="N2348" s="1">
        <f t="shared" ca="1" si="327"/>
        <v>46064</v>
      </c>
      <c r="O2348" s="6" t="e">
        <f t="shared" ca="1" si="328"/>
        <v>#VALUE!</v>
      </c>
      <c r="P2348">
        <v>2</v>
      </c>
      <c r="Q2348">
        <f t="shared" si="329"/>
        <v>58582</v>
      </c>
      <c r="R2348" s="2">
        <f t="shared" si="330"/>
        <v>29291</v>
      </c>
      <c r="S2348" s="2" t="str">
        <f t="shared" si="331"/>
        <v xml:space="preserve"> Not Achieved</v>
      </c>
      <c r="T2348" s="2" t="str">
        <f t="shared" si="332"/>
        <v>Good</v>
      </c>
      <c r="U2348" s="2"/>
    </row>
    <row r="2349" spans="1:21" x14ac:dyDescent="0.3">
      <c r="A2349">
        <v>2348</v>
      </c>
      <c r="B2349" t="s">
        <v>3322</v>
      </c>
      <c r="C2349" t="str">
        <f t="shared" si="324"/>
        <v>EMP_2348</v>
      </c>
      <c r="D2349" t="s">
        <v>11</v>
      </c>
      <c r="E2349" t="str">
        <f t="shared" si="325"/>
        <v>EMP_2348Sales</v>
      </c>
      <c r="F2349" t="s">
        <v>7</v>
      </c>
      <c r="G2349" t="s">
        <v>22</v>
      </c>
      <c r="H2349">
        <v>72789</v>
      </c>
      <c r="I2349">
        <v>4385</v>
      </c>
      <c r="J2349">
        <v>83633</v>
      </c>
      <c r="K2349">
        <v>207258</v>
      </c>
      <c r="L2349" s="4" t="s">
        <v>3323</v>
      </c>
      <c r="M2349" s="4" t="str">
        <f t="shared" si="326"/>
        <v>9/27/2019</v>
      </c>
      <c r="N2349" s="1">
        <f t="shared" ca="1" si="327"/>
        <v>46064</v>
      </c>
      <c r="O2349" s="6" t="e">
        <f t="shared" ca="1" si="328"/>
        <v>#VALUE!</v>
      </c>
      <c r="P2349">
        <v>2</v>
      </c>
      <c r="Q2349">
        <f t="shared" si="329"/>
        <v>77174</v>
      </c>
      <c r="R2349" s="2">
        <f t="shared" si="330"/>
        <v>38587</v>
      </c>
      <c r="S2349" s="2" t="str">
        <f t="shared" si="331"/>
        <v xml:space="preserve"> Not Achieved</v>
      </c>
      <c r="T2349" s="2" t="str">
        <f t="shared" si="332"/>
        <v xml:space="preserve"> Excellent</v>
      </c>
      <c r="U2349" s="2"/>
    </row>
    <row r="2350" spans="1:21" x14ac:dyDescent="0.3">
      <c r="A2350">
        <v>2349</v>
      </c>
      <c r="B2350" t="s">
        <v>3324</v>
      </c>
      <c r="C2350" t="str">
        <f t="shared" si="324"/>
        <v>EMP_2349</v>
      </c>
      <c r="D2350" t="s">
        <v>15</v>
      </c>
      <c r="E2350" t="str">
        <f t="shared" si="325"/>
        <v>EMP_2349Finance</v>
      </c>
      <c r="F2350" t="s">
        <v>18</v>
      </c>
      <c r="G2350" t="s">
        <v>25</v>
      </c>
      <c r="H2350">
        <v>74866</v>
      </c>
      <c r="I2350">
        <v>7664</v>
      </c>
      <c r="J2350">
        <v>0</v>
      </c>
      <c r="K2350">
        <v>0</v>
      </c>
      <c r="L2350" s="4" t="s">
        <v>3325</v>
      </c>
      <c r="M2350" s="4" t="str">
        <f t="shared" si="326"/>
        <v>4/16/2022</v>
      </c>
      <c r="N2350" s="1">
        <f t="shared" ca="1" si="327"/>
        <v>46064</v>
      </c>
      <c r="O2350" s="6" t="e">
        <f t="shared" ca="1" si="328"/>
        <v>#VALUE!</v>
      </c>
      <c r="P2350">
        <v>2</v>
      </c>
      <c r="Q2350">
        <f t="shared" si="329"/>
        <v>82530</v>
      </c>
      <c r="R2350" s="2">
        <f t="shared" si="330"/>
        <v>41265</v>
      </c>
      <c r="S2350" s="2" t="str">
        <f t="shared" si="331"/>
        <v xml:space="preserve"> Not Achieved</v>
      </c>
      <c r="T2350" s="2" t="str">
        <f t="shared" si="332"/>
        <v xml:space="preserve"> Excellent</v>
      </c>
      <c r="U2350" s="2"/>
    </row>
    <row r="2351" spans="1:21" x14ac:dyDescent="0.3">
      <c r="A2351">
        <v>2350</v>
      </c>
      <c r="B2351" t="s">
        <v>3326</v>
      </c>
      <c r="C2351" t="str">
        <f t="shared" si="324"/>
        <v>EMP_2350</v>
      </c>
      <c r="D2351" t="s">
        <v>15</v>
      </c>
      <c r="E2351" t="str">
        <f t="shared" si="325"/>
        <v>EMP_2350IT</v>
      </c>
      <c r="F2351" t="s">
        <v>21</v>
      </c>
      <c r="G2351" t="s">
        <v>19</v>
      </c>
      <c r="H2351">
        <v>31712</v>
      </c>
      <c r="I2351">
        <v>11057</v>
      </c>
      <c r="J2351">
        <v>0</v>
      </c>
      <c r="K2351">
        <v>0</v>
      </c>
      <c r="L2351" s="4" t="s">
        <v>2868</v>
      </c>
      <c r="M2351" s="4" t="str">
        <f t="shared" si="326"/>
        <v>5/19/2020</v>
      </c>
      <c r="N2351" s="1">
        <f t="shared" ca="1" si="327"/>
        <v>46064</v>
      </c>
      <c r="O2351" s="6" t="e">
        <f t="shared" ca="1" si="328"/>
        <v>#VALUE!</v>
      </c>
      <c r="P2351">
        <v>5</v>
      </c>
      <c r="Q2351">
        <f t="shared" si="329"/>
        <v>42769</v>
      </c>
      <c r="R2351" s="2">
        <f t="shared" si="330"/>
        <v>21384.5</v>
      </c>
      <c r="S2351" s="2" t="str">
        <f t="shared" si="331"/>
        <v xml:space="preserve"> Not Achieved</v>
      </c>
      <c r="T2351" s="2" t="str">
        <f t="shared" si="332"/>
        <v>Average</v>
      </c>
      <c r="U2351" s="2"/>
    </row>
    <row r="2352" spans="1:21" x14ac:dyDescent="0.3">
      <c r="A2352">
        <v>2351</v>
      </c>
      <c r="B2352" t="s">
        <v>3327</v>
      </c>
      <c r="C2352" t="str">
        <f t="shared" si="324"/>
        <v>EMP_2351</v>
      </c>
      <c r="D2352" t="s">
        <v>15</v>
      </c>
      <c r="E2352" t="str">
        <f t="shared" si="325"/>
        <v>EMP_2351Finance</v>
      </c>
      <c r="F2352" t="s">
        <v>18</v>
      </c>
      <c r="G2352" t="s">
        <v>16</v>
      </c>
      <c r="H2352">
        <v>71953</v>
      </c>
      <c r="I2352">
        <v>14541</v>
      </c>
      <c r="J2352">
        <v>0</v>
      </c>
      <c r="K2352">
        <v>0</v>
      </c>
      <c r="L2352" s="4" t="s">
        <v>3328</v>
      </c>
      <c r="M2352" s="4" t="str">
        <f t="shared" si="326"/>
        <v>10/28/2021</v>
      </c>
      <c r="N2352" s="1">
        <f t="shared" ca="1" si="327"/>
        <v>46064</v>
      </c>
      <c r="O2352" s="6" t="e">
        <f t="shared" ca="1" si="328"/>
        <v>#VALUE!</v>
      </c>
      <c r="P2352">
        <v>4</v>
      </c>
      <c r="Q2352">
        <f t="shared" si="329"/>
        <v>86494</v>
      </c>
      <c r="R2352" s="2">
        <f t="shared" si="330"/>
        <v>43247</v>
      </c>
      <c r="S2352" s="2" t="str">
        <f t="shared" si="331"/>
        <v xml:space="preserve"> Not Achieved</v>
      </c>
      <c r="T2352" s="2" t="str">
        <f t="shared" si="332"/>
        <v xml:space="preserve"> Excellent</v>
      </c>
      <c r="U2352" s="2"/>
    </row>
    <row r="2353" spans="1:21" x14ac:dyDescent="0.3">
      <c r="A2353">
        <v>2352</v>
      </c>
      <c r="B2353" t="s">
        <v>3329</v>
      </c>
      <c r="C2353" t="str">
        <f t="shared" si="324"/>
        <v>EMP_2352</v>
      </c>
      <c r="D2353" t="s">
        <v>15</v>
      </c>
      <c r="E2353" t="str">
        <f t="shared" si="325"/>
        <v>EMP_2352Sales</v>
      </c>
      <c r="F2353" t="s">
        <v>7</v>
      </c>
      <c r="G2353" t="s">
        <v>13</v>
      </c>
      <c r="H2353">
        <v>37408</v>
      </c>
      <c r="I2353">
        <v>4866</v>
      </c>
      <c r="J2353">
        <v>81416</v>
      </c>
      <c r="K2353">
        <v>113309</v>
      </c>
      <c r="L2353" s="4">
        <v>43800</v>
      </c>
      <c r="M2353" s="4" t="str">
        <f t="shared" si="326"/>
        <v>2019</v>
      </c>
      <c r="N2353" s="1">
        <f t="shared" ca="1" si="327"/>
        <v>46064</v>
      </c>
      <c r="O2353" s="6">
        <f t="shared" ca="1" si="328"/>
        <v>6</v>
      </c>
      <c r="P2353">
        <v>3</v>
      </c>
      <c r="Q2353">
        <f t="shared" si="329"/>
        <v>42274</v>
      </c>
      <c r="R2353" s="2">
        <f t="shared" si="330"/>
        <v>21137</v>
      </c>
      <c r="S2353" s="2" t="str">
        <f t="shared" si="331"/>
        <v xml:space="preserve"> Not Achieved</v>
      </c>
      <c r="T2353" s="2" t="str">
        <f t="shared" si="332"/>
        <v>Average</v>
      </c>
      <c r="U2353" s="2"/>
    </row>
    <row r="2354" spans="1:21" x14ac:dyDescent="0.3">
      <c r="A2354">
        <v>2353</v>
      </c>
      <c r="B2354" t="s">
        <v>3330</v>
      </c>
      <c r="C2354" t="str">
        <f t="shared" si="324"/>
        <v>EMP_2353</v>
      </c>
      <c r="D2354" t="s">
        <v>15</v>
      </c>
      <c r="E2354" t="str">
        <f t="shared" si="325"/>
        <v>EMP_2353HR</v>
      </c>
      <c r="F2354" t="s">
        <v>12</v>
      </c>
      <c r="G2354" t="s">
        <v>13</v>
      </c>
      <c r="H2354">
        <v>48327</v>
      </c>
      <c r="I2354">
        <v>4201</v>
      </c>
      <c r="J2354">
        <v>0</v>
      </c>
      <c r="K2354">
        <v>0</v>
      </c>
      <c r="L2354" s="4" t="s">
        <v>2443</v>
      </c>
      <c r="M2354" s="4" t="str">
        <f t="shared" si="326"/>
        <v>1/28/2020</v>
      </c>
      <c r="N2354" s="1">
        <f t="shared" ca="1" si="327"/>
        <v>46064</v>
      </c>
      <c r="O2354" s="6" t="e">
        <f t="shared" ca="1" si="328"/>
        <v>#VALUE!</v>
      </c>
      <c r="P2354">
        <v>4</v>
      </c>
      <c r="Q2354">
        <f t="shared" si="329"/>
        <v>52528</v>
      </c>
      <c r="R2354" s="2">
        <f t="shared" si="330"/>
        <v>26264</v>
      </c>
      <c r="S2354" s="2" t="str">
        <f t="shared" si="331"/>
        <v xml:space="preserve"> Not Achieved</v>
      </c>
      <c r="T2354" s="2" t="str">
        <f t="shared" si="332"/>
        <v>Good</v>
      </c>
      <c r="U2354" s="2"/>
    </row>
    <row r="2355" spans="1:21" x14ac:dyDescent="0.3">
      <c r="A2355">
        <v>2354</v>
      </c>
      <c r="B2355" t="s">
        <v>3331</v>
      </c>
      <c r="C2355" t="str">
        <f t="shared" si="324"/>
        <v>EMP_2354</v>
      </c>
      <c r="D2355" t="s">
        <v>11</v>
      </c>
      <c r="E2355" t="str">
        <f t="shared" si="325"/>
        <v>EMP_2354Sales</v>
      </c>
      <c r="F2355" t="s">
        <v>7</v>
      </c>
      <c r="G2355" t="s">
        <v>13</v>
      </c>
      <c r="H2355">
        <v>31592</v>
      </c>
      <c r="I2355">
        <v>6595</v>
      </c>
      <c r="J2355">
        <v>196265</v>
      </c>
      <c r="K2355">
        <v>97238</v>
      </c>
      <c r="L2355" s="4" t="s">
        <v>3332</v>
      </c>
      <c r="M2355" s="4" t="str">
        <f t="shared" si="326"/>
        <v>9/17/2019</v>
      </c>
      <c r="N2355" s="1">
        <f t="shared" ca="1" si="327"/>
        <v>46064</v>
      </c>
      <c r="O2355" s="6" t="e">
        <f t="shared" ca="1" si="328"/>
        <v>#VALUE!</v>
      </c>
      <c r="P2355">
        <v>2</v>
      </c>
      <c r="Q2355">
        <f t="shared" si="329"/>
        <v>38187</v>
      </c>
      <c r="R2355" s="2">
        <f t="shared" si="330"/>
        <v>19093.5</v>
      </c>
      <c r="S2355" s="2" t="str">
        <f t="shared" si="331"/>
        <v>Achieved</v>
      </c>
      <c r="T2355" s="2" t="str">
        <f t="shared" si="332"/>
        <v>Average</v>
      </c>
      <c r="U2355" s="2"/>
    </row>
    <row r="2356" spans="1:21" x14ac:dyDescent="0.3">
      <c r="A2356">
        <v>2355</v>
      </c>
      <c r="B2356" t="s">
        <v>3333</v>
      </c>
      <c r="C2356" t="str">
        <f t="shared" si="324"/>
        <v>EMP_2355</v>
      </c>
      <c r="D2356" t="s">
        <v>15</v>
      </c>
      <c r="E2356" t="str">
        <f t="shared" si="325"/>
        <v>EMP_2355IT</v>
      </c>
      <c r="F2356" t="s">
        <v>21</v>
      </c>
      <c r="G2356" t="s">
        <v>16</v>
      </c>
      <c r="H2356">
        <v>75672</v>
      </c>
      <c r="I2356">
        <v>14999</v>
      </c>
      <c r="J2356">
        <v>0</v>
      </c>
      <c r="K2356">
        <v>0</v>
      </c>
      <c r="L2356" s="4" t="s">
        <v>453</v>
      </c>
      <c r="M2356" s="4" t="str">
        <f t="shared" si="326"/>
        <v>5/20/2019</v>
      </c>
      <c r="N2356" s="1">
        <f t="shared" ca="1" si="327"/>
        <v>46064</v>
      </c>
      <c r="O2356" s="6" t="e">
        <f t="shared" ca="1" si="328"/>
        <v>#VALUE!</v>
      </c>
      <c r="P2356">
        <v>4</v>
      </c>
      <c r="Q2356">
        <f t="shared" si="329"/>
        <v>90671</v>
      </c>
      <c r="R2356" s="2">
        <f t="shared" si="330"/>
        <v>45335.5</v>
      </c>
      <c r="S2356" s="2" t="str">
        <f t="shared" si="331"/>
        <v xml:space="preserve"> Not Achieved</v>
      </c>
      <c r="T2356" s="2" t="str">
        <f t="shared" si="332"/>
        <v xml:space="preserve"> Excellent</v>
      </c>
      <c r="U2356" s="2"/>
    </row>
    <row r="2357" spans="1:21" x14ac:dyDescent="0.3">
      <c r="A2357">
        <v>2356</v>
      </c>
      <c r="B2357" t="s">
        <v>3334</v>
      </c>
      <c r="C2357" t="str">
        <f t="shared" si="324"/>
        <v>EMP_2356</v>
      </c>
      <c r="D2357" t="s">
        <v>11</v>
      </c>
      <c r="E2357" t="str">
        <f t="shared" si="325"/>
        <v>EMP_2356HR</v>
      </c>
      <c r="F2357" t="s">
        <v>12</v>
      </c>
      <c r="G2357" t="s">
        <v>13</v>
      </c>
      <c r="H2357">
        <v>20817</v>
      </c>
      <c r="I2357">
        <v>2620</v>
      </c>
      <c r="J2357">
        <v>0</v>
      </c>
      <c r="K2357">
        <v>0</v>
      </c>
      <c r="L2357" s="4">
        <v>43443</v>
      </c>
      <c r="M2357" s="4" t="str">
        <f t="shared" si="326"/>
        <v>2018</v>
      </c>
      <c r="N2357" s="1">
        <f t="shared" ca="1" si="327"/>
        <v>46064</v>
      </c>
      <c r="O2357" s="6">
        <f t="shared" ca="1" si="328"/>
        <v>7</v>
      </c>
      <c r="P2357">
        <v>1</v>
      </c>
      <c r="Q2357">
        <f t="shared" si="329"/>
        <v>23437</v>
      </c>
      <c r="R2357" s="2">
        <f t="shared" si="330"/>
        <v>11718.5</v>
      </c>
      <c r="S2357" s="2" t="str">
        <f t="shared" si="331"/>
        <v xml:space="preserve"> Not Achieved</v>
      </c>
      <c r="T2357" s="2" t="str">
        <f t="shared" si="332"/>
        <v>poor</v>
      </c>
      <c r="U2357" s="2"/>
    </row>
    <row r="2358" spans="1:21" x14ac:dyDescent="0.3">
      <c r="A2358">
        <v>2357</v>
      </c>
      <c r="B2358" t="s">
        <v>3335</v>
      </c>
      <c r="C2358" t="str">
        <f t="shared" si="324"/>
        <v>EMP_2357</v>
      </c>
      <c r="D2358" t="s">
        <v>15</v>
      </c>
      <c r="E2358" t="str">
        <f t="shared" si="325"/>
        <v>EMP_2357Finance</v>
      </c>
      <c r="F2358" t="s">
        <v>18</v>
      </c>
      <c r="G2358" t="s">
        <v>13</v>
      </c>
      <c r="H2358">
        <v>59110</v>
      </c>
      <c r="I2358">
        <v>5780</v>
      </c>
      <c r="J2358">
        <v>0</v>
      </c>
      <c r="K2358">
        <v>0</v>
      </c>
      <c r="L2358" s="4" t="s">
        <v>1623</v>
      </c>
      <c r="M2358" s="4" t="str">
        <f t="shared" si="326"/>
        <v>7/29/2021</v>
      </c>
      <c r="N2358" s="1">
        <f t="shared" ca="1" si="327"/>
        <v>46064</v>
      </c>
      <c r="O2358" s="6" t="e">
        <f t="shared" ca="1" si="328"/>
        <v>#VALUE!</v>
      </c>
      <c r="P2358">
        <v>2</v>
      </c>
      <c r="Q2358">
        <f t="shared" si="329"/>
        <v>64890</v>
      </c>
      <c r="R2358" s="2">
        <f t="shared" si="330"/>
        <v>32445</v>
      </c>
      <c r="S2358" s="2" t="str">
        <f t="shared" si="331"/>
        <v xml:space="preserve"> Not Achieved</v>
      </c>
      <c r="T2358" s="2" t="str">
        <f t="shared" si="332"/>
        <v xml:space="preserve"> Excellent</v>
      </c>
      <c r="U2358" s="2"/>
    </row>
    <row r="2359" spans="1:21" x14ac:dyDescent="0.3">
      <c r="A2359">
        <v>2358</v>
      </c>
      <c r="B2359" t="s">
        <v>3336</v>
      </c>
      <c r="C2359" t="str">
        <f t="shared" si="324"/>
        <v>EMP_2358</v>
      </c>
      <c r="D2359" t="s">
        <v>11</v>
      </c>
      <c r="E2359" t="str">
        <f t="shared" si="325"/>
        <v>EMP_2358Marketing</v>
      </c>
      <c r="F2359" t="s">
        <v>24</v>
      </c>
      <c r="G2359" t="s">
        <v>25</v>
      </c>
      <c r="H2359">
        <v>44349</v>
      </c>
      <c r="I2359">
        <v>4163</v>
      </c>
      <c r="J2359">
        <v>0</v>
      </c>
      <c r="K2359">
        <v>0</v>
      </c>
      <c r="L2359" s="4">
        <v>43231</v>
      </c>
      <c r="M2359" s="4" t="str">
        <f t="shared" si="326"/>
        <v>2018</v>
      </c>
      <c r="N2359" s="1">
        <f t="shared" ca="1" si="327"/>
        <v>46064</v>
      </c>
      <c r="O2359" s="6">
        <f t="shared" ca="1" si="328"/>
        <v>7</v>
      </c>
      <c r="P2359">
        <v>3</v>
      </c>
      <c r="Q2359">
        <f t="shared" si="329"/>
        <v>48512</v>
      </c>
      <c r="R2359" s="2">
        <f t="shared" si="330"/>
        <v>24256</v>
      </c>
      <c r="S2359" s="2" t="str">
        <f t="shared" si="331"/>
        <v xml:space="preserve"> Not Achieved</v>
      </c>
      <c r="T2359" s="2" t="str">
        <f t="shared" si="332"/>
        <v>Good</v>
      </c>
      <c r="U2359" s="2"/>
    </row>
    <row r="2360" spans="1:21" x14ac:dyDescent="0.3">
      <c r="A2360">
        <v>2359</v>
      </c>
      <c r="B2360" t="s">
        <v>3337</v>
      </c>
      <c r="C2360" t="str">
        <f t="shared" si="324"/>
        <v>EMP_2359</v>
      </c>
      <c r="D2360" t="s">
        <v>11</v>
      </c>
      <c r="E2360" t="str">
        <f t="shared" si="325"/>
        <v>EMP_2359IT</v>
      </c>
      <c r="F2360" t="s">
        <v>21</v>
      </c>
      <c r="G2360" t="s">
        <v>25</v>
      </c>
      <c r="H2360">
        <v>23794</v>
      </c>
      <c r="I2360">
        <v>14269</v>
      </c>
      <c r="J2360">
        <v>0</v>
      </c>
      <c r="K2360">
        <v>0</v>
      </c>
      <c r="L2360" s="4">
        <v>45484</v>
      </c>
      <c r="M2360" s="4" t="str">
        <f t="shared" si="326"/>
        <v>2024</v>
      </c>
      <c r="N2360" s="1">
        <f t="shared" ca="1" si="327"/>
        <v>46064</v>
      </c>
      <c r="O2360" s="6">
        <f t="shared" ca="1" si="328"/>
        <v>1</v>
      </c>
      <c r="P2360">
        <v>5</v>
      </c>
      <c r="Q2360">
        <f t="shared" si="329"/>
        <v>38063</v>
      </c>
      <c r="R2360" s="2">
        <f t="shared" si="330"/>
        <v>19031.5</v>
      </c>
      <c r="S2360" s="2" t="str">
        <f t="shared" si="331"/>
        <v xml:space="preserve"> Not Achieved</v>
      </c>
      <c r="T2360" s="2" t="str">
        <f t="shared" si="332"/>
        <v>poor</v>
      </c>
      <c r="U2360" s="2"/>
    </row>
    <row r="2361" spans="1:21" x14ac:dyDescent="0.3">
      <c r="A2361">
        <v>2360</v>
      </c>
      <c r="B2361" t="s">
        <v>3338</v>
      </c>
      <c r="C2361" t="str">
        <f t="shared" si="324"/>
        <v>EMP_2360</v>
      </c>
      <c r="D2361" t="s">
        <v>11</v>
      </c>
      <c r="E2361" t="str">
        <f t="shared" si="325"/>
        <v>EMP_2360Sales</v>
      </c>
      <c r="F2361" t="s">
        <v>7</v>
      </c>
      <c r="G2361" t="s">
        <v>19</v>
      </c>
      <c r="H2361">
        <v>78780</v>
      </c>
      <c r="I2361">
        <v>6923</v>
      </c>
      <c r="J2361">
        <v>287805</v>
      </c>
      <c r="K2361">
        <v>198907</v>
      </c>
      <c r="L2361" s="4" t="s">
        <v>1349</v>
      </c>
      <c r="M2361" s="4" t="str">
        <f t="shared" si="326"/>
        <v>1/28/2019</v>
      </c>
      <c r="N2361" s="1">
        <f t="shared" ca="1" si="327"/>
        <v>46064</v>
      </c>
      <c r="O2361" s="6" t="e">
        <f t="shared" ca="1" si="328"/>
        <v>#VALUE!</v>
      </c>
      <c r="P2361">
        <v>2</v>
      </c>
      <c r="Q2361">
        <f t="shared" si="329"/>
        <v>85703</v>
      </c>
      <c r="R2361" s="2">
        <f t="shared" si="330"/>
        <v>42851.5</v>
      </c>
      <c r="S2361" s="2" t="str">
        <f t="shared" si="331"/>
        <v>Achieved</v>
      </c>
      <c r="T2361" s="2" t="str">
        <f t="shared" si="332"/>
        <v xml:space="preserve"> Excellent</v>
      </c>
      <c r="U2361" s="2"/>
    </row>
    <row r="2362" spans="1:21" x14ac:dyDescent="0.3">
      <c r="A2362">
        <v>2361</v>
      </c>
      <c r="B2362" t="s">
        <v>3339</v>
      </c>
      <c r="C2362" t="str">
        <f t="shared" si="324"/>
        <v>EMP_2361</v>
      </c>
      <c r="D2362" t="s">
        <v>15</v>
      </c>
      <c r="E2362" t="str">
        <f t="shared" si="325"/>
        <v>EMP_2361IT</v>
      </c>
      <c r="F2362" t="s">
        <v>21</v>
      </c>
      <c r="G2362" t="s">
        <v>25</v>
      </c>
      <c r="H2362">
        <v>32552</v>
      </c>
      <c r="I2362">
        <v>14220</v>
      </c>
      <c r="J2362">
        <v>0</v>
      </c>
      <c r="K2362">
        <v>0</v>
      </c>
      <c r="L2362" s="4">
        <v>45632</v>
      </c>
      <c r="M2362" s="4" t="str">
        <f t="shared" si="326"/>
        <v>2024</v>
      </c>
      <c r="N2362" s="1">
        <f t="shared" ca="1" si="327"/>
        <v>46064</v>
      </c>
      <c r="O2362" s="6">
        <f t="shared" ca="1" si="328"/>
        <v>1</v>
      </c>
      <c r="P2362">
        <v>2</v>
      </c>
      <c r="Q2362">
        <f t="shared" si="329"/>
        <v>46772</v>
      </c>
      <c r="R2362" s="2">
        <f t="shared" si="330"/>
        <v>23386</v>
      </c>
      <c r="S2362" s="2" t="str">
        <f t="shared" si="331"/>
        <v xml:space="preserve"> Not Achieved</v>
      </c>
      <c r="T2362" s="2" t="str">
        <f t="shared" si="332"/>
        <v>Average</v>
      </c>
      <c r="U2362" s="2"/>
    </row>
    <row r="2363" spans="1:21" x14ac:dyDescent="0.3">
      <c r="A2363">
        <v>2362</v>
      </c>
      <c r="B2363" t="s">
        <v>3340</v>
      </c>
      <c r="C2363" t="str">
        <f t="shared" si="324"/>
        <v>EMP_2362</v>
      </c>
      <c r="D2363" t="s">
        <v>15</v>
      </c>
      <c r="E2363" t="str">
        <f t="shared" si="325"/>
        <v>EMP_2362Sales</v>
      </c>
      <c r="F2363" t="s">
        <v>7</v>
      </c>
      <c r="G2363" t="s">
        <v>13</v>
      </c>
      <c r="H2363">
        <v>33448</v>
      </c>
      <c r="I2363">
        <v>4379</v>
      </c>
      <c r="J2363">
        <v>157272</v>
      </c>
      <c r="K2363">
        <v>96887</v>
      </c>
      <c r="L2363" s="4" t="s">
        <v>691</v>
      </c>
      <c r="M2363" s="4" t="str">
        <f t="shared" si="326"/>
        <v>2/20/2024</v>
      </c>
      <c r="N2363" s="1">
        <f t="shared" ca="1" si="327"/>
        <v>46064</v>
      </c>
      <c r="O2363" s="6" t="e">
        <f t="shared" ca="1" si="328"/>
        <v>#VALUE!</v>
      </c>
      <c r="P2363">
        <v>3</v>
      </c>
      <c r="Q2363">
        <f t="shared" si="329"/>
        <v>37827</v>
      </c>
      <c r="R2363" s="2">
        <f t="shared" si="330"/>
        <v>18913.5</v>
      </c>
      <c r="S2363" s="2" t="str">
        <f t="shared" si="331"/>
        <v>Achieved</v>
      </c>
      <c r="T2363" s="2" t="str">
        <f t="shared" si="332"/>
        <v>Average</v>
      </c>
      <c r="U2363" s="2"/>
    </row>
    <row r="2364" spans="1:21" x14ac:dyDescent="0.3">
      <c r="A2364">
        <v>2363</v>
      </c>
      <c r="B2364" t="s">
        <v>3341</v>
      </c>
      <c r="C2364" t="str">
        <f t="shared" si="324"/>
        <v>EMP_2363</v>
      </c>
      <c r="D2364" t="s">
        <v>11</v>
      </c>
      <c r="E2364" t="str">
        <f t="shared" si="325"/>
        <v>EMP_2363Finance</v>
      </c>
      <c r="F2364" t="s">
        <v>18</v>
      </c>
      <c r="G2364" t="s">
        <v>25</v>
      </c>
      <c r="H2364">
        <v>65209</v>
      </c>
      <c r="I2364">
        <v>9702</v>
      </c>
      <c r="J2364">
        <v>0</v>
      </c>
      <c r="K2364">
        <v>0</v>
      </c>
      <c r="L2364" s="4">
        <v>43383</v>
      </c>
      <c r="M2364" s="4" t="str">
        <f t="shared" si="326"/>
        <v>2018</v>
      </c>
      <c r="N2364" s="1">
        <f t="shared" ca="1" si="327"/>
        <v>46064</v>
      </c>
      <c r="O2364" s="6">
        <f t="shared" ca="1" si="328"/>
        <v>7</v>
      </c>
      <c r="P2364">
        <v>1</v>
      </c>
      <c r="Q2364">
        <f t="shared" si="329"/>
        <v>74911</v>
      </c>
      <c r="R2364" s="2">
        <f t="shared" si="330"/>
        <v>37455.5</v>
      </c>
      <c r="S2364" s="2" t="str">
        <f t="shared" si="331"/>
        <v xml:space="preserve"> Not Achieved</v>
      </c>
      <c r="T2364" s="2" t="str">
        <f t="shared" si="332"/>
        <v xml:space="preserve"> Excellent</v>
      </c>
      <c r="U2364" s="2"/>
    </row>
    <row r="2365" spans="1:21" x14ac:dyDescent="0.3">
      <c r="A2365">
        <v>2364</v>
      </c>
      <c r="B2365" t="s">
        <v>3342</v>
      </c>
      <c r="C2365" t="str">
        <f t="shared" si="324"/>
        <v>EMP_2364</v>
      </c>
      <c r="D2365" t="s">
        <v>11</v>
      </c>
      <c r="E2365" t="str">
        <f t="shared" si="325"/>
        <v>EMP_2364HR</v>
      </c>
      <c r="F2365" t="s">
        <v>12</v>
      </c>
      <c r="G2365" t="s">
        <v>13</v>
      </c>
      <c r="H2365">
        <v>44439</v>
      </c>
      <c r="I2365">
        <v>10392</v>
      </c>
      <c r="J2365">
        <v>0</v>
      </c>
      <c r="K2365">
        <v>0</v>
      </c>
      <c r="L2365" s="4" t="s">
        <v>2545</v>
      </c>
      <c r="M2365" s="4" t="str">
        <f t="shared" si="326"/>
        <v>10/31/2019</v>
      </c>
      <c r="N2365" s="1">
        <f t="shared" ca="1" si="327"/>
        <v>46064</v>
      </c>
      <c r="O2365" s="6" t="e">
        <f t="shared" ca="1" si="328"/>
        <v>#VALUE!</v>
      </c>
      <c r="P2365">
        <v>1</v>
      </c>
      <c r="Q2365">
        <f t="shared" si="329"/>
        <v>54831</v>
      </c>
      <c r="R2365" s="2">
        <f t="shared" si="330"/>
        <v>27415.5</v>
      </c>
      <c r="S2365" s="2" t="str">
        <f t="shared" si="331"/>
        <v xml:space="preserve"> Not Achieved</v>
      </c>
      <c r="T2365" s="2" t="str">
        <f t="shared" si="332"/>
        <v>Good</v>
      </c>
      <c r="U2365" s="2"/>
    </row>
    <row r="2366" spans="1:21" x14ac:dyDescent="0.3">
      <c r="A2366">
        <v>2365</v>
      </c>
      <c r="B2366" t="s">
        <v>3343</v>
      </c>
      <c r="C2366" t="str">
        <f t="shared" si="324"/>
        <v>EMP_2365</v>
      </c>
      <c r="D2366" t="s">
        <v>11</v>
      </c>
      <c r="E2366" t="str">
        <f t="shared" si="325"/>
        <v>EMP_2365Sales</v>
      </c>
      <c r="F2366" t="s">
        <v>7</v>
      </c>
      <c r="G2366" t="s">
        <v>22</v>
      </c>
      <c r="H2366">
        <v>62655</v>
      </c>
      <c r="I2366">
        <v>14008</v>
      </c>
      <c r="J2366">
        <v>157722</v>
      </c>
      <c r="K2366">
        <v>89290</v>
      </c>
      <c r="L2366" s="4" t="s">
        <v>2776</v>
      </c>
      <c r="M2366" s="4" t="str">
        <f t="shared" si="326"/>
        <v>7/29/2020</v>
      </c>
      <c r="N2366" s="1">
        <f t="shared" ca="1" si="327"/>
        <v>46064</v>
      </c>
      <c r="O2366" s="6" t="e">
        <f t="shared" ca="1" si="328"/>
        <v>#VALUE!</v>
      </c>
      <c r="P2366">
        <v>4</v>
      </c>
      <c r="Q2366">
        <f t="shared" si="329"/>
        <v>76663</v>
      </c>
      <c r="R2366" s="2">
        <f t="shared" si="330"/>
        <v>38331.5</v>
      </c>
      <c r="S2366" s="2" t="str">
        <f t="shared" si="331"/>
        <v>Achieved</v>
      </c>
      <c r="T2366" s="2" t="str">
        <f t="shared" si="332"/>
        <v xml:space="preserve"> Excellent</v>
      </c>
      <c r="U2366" s="2"/>
    </row>
    <row r="2367" spans="1:21" x14ac:dyDescent="0.3">
      <c r="A2367">
        <v>2366</v>
      </c>
      <c r="B2367" t="s">
        <v>3344</v>
      </c>
      <c r="C2367" t="str">
        <f t="shared" si="324"/>
        <v>EMP_2366</v>
      </c>
      <c r="D2367" t="s">
        <v>11</v>
      </c>
      <c r="E2367" t="str">
        <f t="shared" si="325"/>
        <v>EMP_2366Sales</v>
      </c>
      <c r="F2367" t="s">
        <v>7</v>
      </c>
      <c r="G2367" t="s">
        <v>22</v>
      </c>
      <c r="H2367">
        <v>71372</v>
      </c>
      <c r="I2367">
        <v>4839</v>
      </c>
      <c r="J2367">
        <v>183435</v>
      </c>
      <c r="K2367">
        <v>213000</v>
      </c>
      <c r="L2367" s="4">
        <v>45146</v>
      </c>
      <c r="M2367" s="4" t="str">
        <f t="shared" si="326"/>
        <v>2023</v>
      </c>
      <c r="N2367" s="1">
        <f t="shared" ca="1" si="327"/>
        <v>46064</v>
      </c>
      <c r="O2367" s="6">
        <f t="shared" ca="1" si="328"/>
        <v>2</v>
      </c>
      <c r="P2367">
        <v>1</v>
      </c>
      <c r="Q2367">
        <f t="shared" si="329"/>
        <v>76211</v>
      </c>
      <c r="R2367" s="2">
        <f t="shared" si="330"/>
        <v>38105.5</v>
      </c>
      <c r="S2367" s="2" t="str">
        <f t="shared" si="331"/>
        <v xml:space="preserve"> Not Achieved</v>
      </c>
      <c r="T2367" s="2" t="str">
        <f t="shared" si="332"/>
        <v xml:space="preserve"> Excellent</v>
      </c>
      <c r="U2367" s="2"/>
    </row>
    <row r="2368" spans="1:21" x14ac:dyDescent="0.3">
      <c r="A2368">
        <v>2367</v>
      </c>
      <c r="B2368" t="s">
        <v>3345</v>
      </c>
      <c r="C2368" t="str">
        <f t="shared" si="324"/>
        <v>EMP_2367</v>
      </c>
      <c r="D2368" t="s">
        <v>11</v>
      </c>
      <c r="E2368" t="str">
        <f t="shared" si="325"/>
        <v>EMP_2367HR</v>
      </c>
      <c r="F2368" t="s">
        <v>12</v>
      </c>
      <c r="G2368" t="s">
        <v>19</v>
      </c>
      <c r="H2368">
        <v>52279</v>
      </c>
      <c r="I2368">
        <v>9727</v>
      </c>
      <c r="J2368">
        <v>0</v>
      </c>
      <c r="K2368">
        <v>0</v>
      </c>
      <c r="L2368" s="4" t="s">
        <v>1374</v>
      </c>
      <c r="M2368" s="4" t="str">
        <f t="shared" si="326"/>
        <v>7/26/2023</v>
      </c>
      <c r="N2368" s="1">
        <f t="shared" ca="1" si="327"/>
        <v>46064</v>
      </c>
      <c r="O2368" s="6" t="e">
        <f t="shared" ca="1" si="328"/>
        <v>#VALUE!</v>
      </c>
      <c r="P2368">
        <v>1</v>
      </c>
      <c r="Q2368">
        <f t="shared" si="329"/>
        <v>62006</v>
      </c>
      <c r="R2368" s="2">
        <f t="shared" si="330"/>
        <v>31003</v>
      </c>
      <c r="S2368" s="2" t="str">
        <f t="shared" si="331"/>
        <v xml:space="preserve"> Not Achieved</v>
      </c>
      <c r="T2368" s="2" t="str">
        <f t="shared" si="332"/>
        <v xml:space="preserve"> Excellent</v>
      </c>
      <c r="U2368" s="2"/>
    </row>
    <row r="2369" spans="1:21" x14ac:dyDescent="0.3">
      <c r="A2369">
        <v>2368</v>
      </c>
      <c r="B2369" t="s">
        <v>3346</v>
      </c>
      <c r="C2369" t="str">
        <f t="shared" si="324"/>
        <v>EMP_2368</v>
      </c>
      <c r="D2369" t="s">
        <v>15</v>
      </c>
      <c r="E2369" t="str">
        <f t="shared" si="325"/>
        <v>EMP_2368Sales</v>
      </c>
      <c r="F2369" t="s">
        <v>7</v>
      </c>
      <c r="G2369" t="s">
        <v>22</v>
      </c>
      <c r="H2369">
        <v>37645</v>
      </c>
      <c r="I2369">
        <v>9574</v>
      </c>
      <c r="J2369">
        <v>142182</v>
      </c>
      <c r="K2369">
        <v>151751</v>
      </c>
      <c r="L2369" s="4" t="s">
        <v>1932</v>
      </c>
      <c r="M2369" s="4" t="str">
        <f t="shared" si="326"/>
        <v>9/24/2020</v>
      </c>
      <c r="N2369" s="1">
        <f t="shared" ca="1" si="327"/>
        <v>46064</v>
      </c>
      <c r="O2369" s="6" t="e">
        <f t="shared" ca="1" si="328"/>
        <v>#VALUE!</v>
      </c>
      <c r="P2369">
        <v>3</v>
      </c>
      <c r="Q2369">
        <f t="shared" si="329"/>
        <v>47219</v>
      </c>
      <c r="R2369" s="2">
        <f t="shared" si="330"/>
        <v>23609.5</v>
      </c>
      <c r="S2369" s="2" t="str">
        <f t="shared" si="331"/>
        <v xml:space="preserve"> Not Achieved</v>
      </c>
      <c r="T2369" s="2" t="str">
        <f t="shared" si="332"/>
        <v>Average</v>
      </c>
      <c r="U2369" s="2"/>
    </row>
    <row r="2370" spans="1:21" x14ac:dyDescent="0.3">
      <c r="A2370">
        <v>2369</v>
      </c>
      <c r="B2370" t="s">
        <v>3347</v>
      </c>
      <c r="C2370" t="str">
        <f t="shared" si="324"/>
        <v>EMP_2369</v>
      </c>
      <c r="D2370" t="s">
        <v>11</v>
      </c>
      <c r="E2370" t="str">
        <f t="shared" si="325"/>
        <v>EMP_2369HR</v>
      </c>
      <c r="F2370" t="s">
        <v>12</v>
      </c>
      <c r="G2370" t="s">
        <v>22</v>
      </c>
      <c r="H2370">
        <v>44938</v>
      </c>
      <c r="I2370">
        <v>12789</v>
      </c>
      <c r="J2370">
        <v>0</v>
      </c>
      <c r="K2370">
        <v>0</v>
      </c>
      <c r="L2370" s="4">
        <v>43988</v>
      </c>
      <c r="M2370" s="4" t="str">
        <f t="shared" si="326"/>
        <v>2020</v>
      </c>
      <c r="N2370" s="1">
        <f t="shared" ca="1" si="327"/>
        <v>46064</v>
      </c>
      <c r="O2370" s="6">
        <f t="shared" ca="1" si="328"/>
        <v>5</v>
      </c>
      <c r="P2370">
        <v>2</v>
      </c>
      <c r="Q2370">
        <f t="shared" si="329"/>
        <v>57727</v>
      </c>
      <c r="R2370" s="2">
        <f t="shared" si="330"/>
        <v>28863.5</v>
      </c>
      <c r="S2370" s="2" t="str">
        <f t="shared" si="331"/>
        <v xml:space="preserve"> Not Achieved</v>
      </c>
      <c r="T2370" s="2" t="str">
        <f t="shared" si="332"/>
        <v>Good</v>
      </c>
      <c r="U2370" s="2"/>
    </row>
    <row r="2371" spans="1:21" x14ac:dyDescent="0.3">
      <c r="A2371">
        <v>2370</v>
      </c>
      <c r="B2371" t="s">
        <v>3348</v>
      </c>
      <c r="C2371" t="str">
        <f t="shared" ref="C2371:C2434" si="333">UPPER(B2371)</f>
        <v>EMP_2370</v>
      </c>
      <c r="D2371" t="s">
        <v>15</v>
      </c>
      <c r="E2371" t="str">
        <f t="shared" ref="E2371:E2434" si="334">_xlfn.CONCAT(C2371,F2371)</f>
        <v>EMP_2370Marketing</v>
      </c>
      <c r="F2371" t="s">
        <v>24</v>
      </c>
      <c r="G2371" t="s">
        <v>13</v>
      </c>
      <c r="H2371">
        <v>76202</v>
      </c>
      <c r="I2371">
        <v>6165</v>
      </c>
      <c r="J2371">
        <v>0</v>
      </c>
      <c r="K2371">
        <v>0</v>
      </c>
      <c r="L2371" s="4" t="s">
        <v>1917</v>
      </c>
      <c r="M2371" s="4" t="str">
        <f t="shared" ref="M2371:M2434" si="335">TEXT(L2371,"yyyy")</f>
        <v>9/24/2023</v>
      </c>
      <c r="N2371" s="1">
        <f t="shared" ref="N2371:N2434" ca="1" si="336">TODAY()</f>
        <v>46064</v>
      </c>
      <c r="O2371" s="6" t="e">
        <f t="shared" ref="O2371:O2434" ca="1" si="337">DATEDIF(L2371, TODAY(), "y")</f>
        <v>#VALUE!</v>
      </c>
      <c r="P2371">
        <v>5</v>
      </c>
      <c r="Q2371">
        <f t="shared" ref="Q2371:Q2434" si="338">SUM(H2371,I2371)</f>
        <v>82367</v>
      </c>
      <c r="R2371" s="2">
        <f t="shared" ref="R2371:R2434" si="339">AVERAGE(H2371,I2371)</f>
        <v>41183.5</v>
      </c>
      <c r="S2371" s="2" t="str">
        <f t="shared" ref="S2371:S2434" si="340">IF(J2371&gt;K2371,"Achieved"," Not Achieved")</f>
        <v xml:space="preserve"> Not Achieved</v>
      </c>
      <c r="T2371" s="2" t="str">
        <f t="shared" ref="T2371:T2434" si="341">_xlfn.IFS(H2371&gt;=50000," Excellent",H2371&gt;=40000,"Good",H2371&gt;=30000,"Average",H2371&lt;30000,"poor")</f>
        <v xml:space="preserve"> Excellent</v>
      </c>
      <c r="U2371" s="2"/>
    </row>
    <row r="2372" spans="1:21" x14ac:dyDescent="0.3">
      <c r="A2372">
        <v>2371</v>
      </c>
      <c r="B2372" t="s">
        <v>3349</v>
      </c>
      <c r="C2372" t="str">
        <f t="shared" si="333"/>
        <v>EMP_2371</v>
      </c>
      <c r="D2372" t="s">
        <v>11</v>
      </c>
      <c r="E2372" t="str">
        <f t="shared" si="334"/>
        <v>EMP_2371HR</v>
      </c>
      <c r="F2372" t="s">
        <v>12</v>
      </c>
      <c r="G2372" t="s">
        <v>22</v>
      </c>
      <c r="H2372">
        <v>63077</v>
      </c>
      <c r="I2372">
        <v>14270</v>
      </c>
      <c r="J2372">
        <v>0</v>
      </c>
      <c r="K2372">
        <v>0</v>
      </c>
      <c r="L2372" s="4">
        <v>45513</v>
      </c>
      <c r="M2372" s="4" t="str">
        <f t="shared" si="335"/>
        <v>2024</v>
      </c>
      <c r="N2372" s="1">
        <f t="shared" ca="1" si="336"/>
        <v>46064</v>
      </c>
      <c r="O2372" s="6">
        <f t="shared" ca="1" si="337"/>
        <v>1</v>
      </c>
      <c r="P2372">
        <v>1</v>
      </c>
      <c r="Q2372">
        <f t="shared" si="338"/>
        <v>77347</v>
      </c>
      <c r="R2372" s="2">
        <f t="shared" si="339"/>
        <v>38673.5</v>
      </c>
      <c r="S2372" s="2" t="str">
        <f t="shared" si="340"/>
        <v xml:space="preserve"> Not Achieved</v>
      </c>
      <c r="T2372" s="2" t="str">
        <f t="shared" si="341"/>
        <v xml:space="preserve"> Excellent</v>
      </c>
      <c r="U2372" s="2"/>
    </row>
    <row r="2373" spans="1:21" x14ac:dyDescent="0.3">
      <c r="A2373">
        <v>2372</v>
      </c>
      <c r="B2373" t="s">
        <v>3350</v>
      </c>
      <c r="C2373" t="str">
        <f t="shared" si="333"/>
        <v>EMP_2372</v>
      </c>
      <c r="D2373" t="s">
        <v>15</v>
      </c>
      <c r="E2373" t="str">
        <f t="shared" si="334"/>
        <v>EMP_2372IT</v>
      </c>
      <c r="F2373" t="s">
        <v>21</v>
      </c>
      <c r="G2373" t="s">
        <v>22</v>
      </c>
      <c r="H2373">
        <v>59091</v>
      </c>
      <c r="I2373">
        <v>2725</v>
      </c>
      <c r="J2373">
        <v>0</v>
      </c>
      <c r="K2373">
        <v>0</v>
      </c>
      <c r="L2373" s="4">
        <v>44538</v>
      </c>
      <c r="M2373" s="4" t="str">
        <f t="shared" si="335"/>
        <v>2021</v>
      </c>
      <c r="N2373" s="1">
        <f t="shared" ca="1" si="336"/>
        <v>46064</v>
      </c>
      <c r="O2373" s="6">
        <f t="shared" ca="1" si="337"/>
        <v>4</v>
      </c>
      <c r="P2373">
        <v>5</v>
      </c>
      <c r="Q2373">
        <f t="shared" si="338"/>
        <v>61816</v>
      </c>
      <c r="R2373" s="2">
        <f t="shared" si="339"/>
        <v>30908</v>
      </c>
      <c r="S2373" s="2" t="str">
        <f t="shared" si="340"/>
        <v xml:space="preserve"> Not Achieved</v>
      </c>
      <c r="T2373" s="2" t="str">
        <f t="shared" si="341"/>
        <v xml:space="preserve"> Excellent</v>
      </c>
      <c r="U2373" s="2"/>
    </row>
    <row r="2374" spans="1:21" x14ac:dyDescent="0.3">
      <c r="A2374">
        <v>2373</v>
      </c>
      <c r="B2374" t="s">
        <v>3351</v>
      </c>
      <c r="C2374" t="str">
        <f t="shared" si="333"/>
        <v>EMP_2373</v>
      </c>
      <c r="D2374" t="s">
        <v>11</v>
      </c>
      <c r="E2374" t="str">
        <f t="shared" si="334"/>
        <v>EMP_2373Marketing</v>
      </c>
      <c r="F2374" t="s">
        <v>24</v>
      </c>
      <c r="G2374" t="s">
        <v>22</v>
      </c>
      <c r="H2374">
        <v>39298</v>
      </c>
      <c r="I2374">
        <v>12262</v>
      </c>
      <c r="J2374">
        <v>0</v>
      </c>
      <c r="K2374">
        <v>0</v>
      </c>
      <c r="L2374" s="4">
        <v>45051</v>
      </c>
      <c r="M2374" s="4" t="str">
        <f t="shared" si="335"/>
        <v>2023</v>
      </c>
      <c r="N2374" s="1">
        <f t="shared" ca="1" si="336"/>
        <v>46064</v>
      </c>
      <c r="O2374" s="6">
        <f t="shared" ca="1" si="337"/>
        <v>2</v>
      </c>
      <c r="P2374">
        <v>5</v>
      </c>
      <c r="Q2374">
        <f t="shared" si="338"/>
        <v>51560</v>
      </c>
      <c r="R2374" s="2">
        <f t="shared" si="339"/>
        <v>25780</v>
      </c>
      <c r="S2374" s="2" t="str">
        <f t="shared" si="340"/>
        <v xml:space="preserve"> Not Achieved</v>
      </c>
      <c r="T2374" s="2" t="str">
        <f t="shared" si="341"/>
        <v>Average</v>
      </c>
      <c r="U2374" s="2"/>
    </row>
    <row r="2375" spans="1:21" x14ac:dyDescent="0.3">
      <c r="A2375">
        <v>2374</v>
      </c>
      <c r="B2375" t="s">
        <v>3352</v>
      </c>
      <c r="C2375" t="str">
        <f t="shared" si="333"/>
        <v>EMP_2374</v>
      </c>
      <c r="D2375" t="s">
        <v>15</v>
      </c>
      <c r="E2375" t="str">
        <f t="shared" si="334"/>
        <v>EMP_2374Marketing</v>
      </c>
      <c r="F2375" t="s">
        <v>24</v>
      </c>
      <c r="G2375" t="s">
        <v>25</v>
      </c>
      <c r="H2375">
        <v>20654</v>
      </c>
      <c r="I2375">
        <v>9284</v>
      </c>
      <c r="J2375">
        <v>0</v>
      </c>
      <c r="K2375">
        <v>0</v>
      </c>
      <c r="L2375" s="4" t="s">
        <v>1759</v>
      </c>
      <c r="M2375" s="4" t="str">
        <f t="shared" si="335"/>
        <v>12/23/2019</v>
      </c>
      <c r="N2375" s="1">
        <f t="shared" ca="1" si="336"/>
        <v>46064</v>
      </c>
      <c r="O2375" s="6" t="e">
        <f t="shared" ca="1" si="337"/>
        <v>#VALUE!</v>
      </c>
      <c r="P2375">
        <v>1</v>
      </c>
      <c r="Q2375">
        <f t="shared" si="338"/>
        <v>29938</v>
      </c>
      <c r="R2375" s="2">
        <f t="shared" si="339"/>
        <v>14969</v>
      </c>
      <c r="S2375" s="2" t="str">
        <f t="shared" si="340"/>
        <v xml:space="preserve"> Not Achieved</v>
      </c>
      <c r="T2375" s="2" t="str">
        <f t="shared" si="341"/>
        <v>poor</v>
      </c>
      <c r="U2375" s="2"/>
    </row>
    <row r="2376" spans="1:21" x14ac:dyDescent="0.3">
      <c r="A2376">
        <v>2375</v>
      </c>
      <c r="B2376" t="s">
        <v>3353</v>
      </c>
      <c r="C2376" t="str">
        <f t="shared" si="333"/>
        <v>EMP_2375</v>
      </c>
      <c r="D2376" t="s">
        <v>11</v>
      </c>
      <c r="E2376" t="str">
        <f t="shared" si="334"/>
        <v>EMP_2375HR</v>
      </c>
      <c r="F2376" t="s">
        <v>12</v>
      </c>
      <c r="G2376" t="s">
        <v>19</v>
      </c>
      <c r="H2376">
        <v>79157</v>
      </c>
      <c r="I2376">
        <v>4410</v>
      </c>
      <c r="J2376">
        <v>0</v>
      </c>
      <c r="K2376">
        <v>0</v>
      </c>
      <c r="L2376" s="4">
        <v>45113</v>
      </c>
      <c r="M2376" s="4" t="str">
        <f t="shared" si="335"/>
        <v>2023</v>
      </c>
      <c r="N2376" s="1">
        <f t="shared" ca="1" si="336"/>
        <v>46064</v>
      </c>
      <c r="O2376" s="6">
        <f t="shared" ca="1" si="337"/>
        <v>2</v>
      </c>
      <c r="P2376">
        <v>5</v>
      </c>
      <c r="Q2376">
        <f t="shared" si="338"/>
        <v>83567</v>
      </c>
      <c r="R2376" s="2">
        <f t="shared" si="339"/>
        <v>41783.5</v>
      </c>
      <c r="S2376" s="2" t="str">
        <f t="shared" si="340"/>
        <v xml:space="preserve"> Not Achieved</v>
      </c>
      <c r="T2376" s="2" t="str">
        <f t="shared" si="341"/>
        <v xml:space="preserve"> Excellent</v>
      </c>
      <c r="U2376" s="2"/>
    </row>
    <row r="2377" spans="1:21" x14ac:dyDescent="0.3">
      <c r="A2377">
        <v>2376</v>
      </c>
      <c r="B2377" t="s">
        <v>3354</v>
      </c>
      <c r="C2377" t="str">
        <f t="shared" si="333"/>
        <v>EMP_2376</v>
      </c>
      <c r="D2377" t="s">
        <v>15</v>
      </c>
      <c r="E2377" t="str">
        <f t="shared" si="334"/>
        <v>EMP_2376Finance</v>
      </c>
      <c r="F2377" t="s">
        <v>18</v>
      </c>
      <c r="G2377" t="s">
        <v>19</v>
      </c>
      <c r="H2377">
        <v>57828</v>
      </c>
      <c r="I2377">
        <v>6570</v>
      </c>
      <c r="J2377">
        <v>0</v>
      </c>
      <c r="K2377">
        <v>0</v>
      </c>
      <c r="L2377" s="4">
        <v>45210</v>
      </c>
      <c r="M2377" s="4" t="str">
        <f t="shared" si="335"/>
        <v>2023</v>
      </c>
      <c r="N2377" s="1">
        <f t="shared" ca="1" si="336"/>
        <v>46064</v>
      </c>
      <c r="O2377" s="6">
        <f t="shared" ca="1" si="337"/>
        <v>2</v>
      </c>
      <c r="P2377">
        <v>4</v>
      </c>
      <c r="Q2377">
        <f t="shared" si="338"/>
        <v>64398</v>
      </c>
      <c r="R2377" s="2">
        <f t="shared" si="339"/>
        <v>32199</v>
      </c>
      <c r="S2377" s="2" t="str">
        <f t="shared" si="340"/>
        <v xml:space="preserve"> Not Achieved</v>
      </c>
      <c r="T2377" s="2" t="str">
        <f t="shared" si="341"/>
        <v xml:space="preserve"> Excellent</v>
      </c>
      <c r="U2377" s="2"/>
    </row>
    <row r="2378" spans="1:21" x14ac:dyDescent="0.3">
      <c r="A2378">
        <v>2377</v>
      </c>
      <c r="B2378" t="s">
        <v>3355</v>
      </c>
      <c r="C2378" t="str">
        <f t="shared" si="333"/>
        <v>EMP_2377</v>
      </c>
      <c r="D2378" t="s">
        <v>15</v>
      </c>
      <c r="E2378" t="str">
        <f t="shared" si="334"/>
        <v>EMP_2377IT</v>
      </c>
      <c r="F2378" t="s">
        <v>21</v>
      </c>
      <c r="G2378" t="s">
        <v>16</v>
      </c>
      <c r="H2378">
        <v>72599</v>
      </c>
      <c r="I2378">
        <v>13096</v>
      </c>
      <c r="J2378">
        <v>0</v>
      </c>
      <c r="K2378">
        <v>0</v>
      </c>
      <c r="L2378" s="4">
        <v>45052</v>
      </c>
      <c r="M2378" s="4" t="str">
        <f t="shared" si="335"/>
        <v>2023</v>
      </c>
      <c r="N2378" s="1">
        <f t="shared" ca="1" si="336"/>
        <v>46064</v>
      </c>
      <c r="O2378" s="6">
        <f t="shared" ca="1" si="337"/>
        <v>2</v>
      </c>
      <c r="P2378">
        <v>3</v>
      </c>
      <c r="Q2378">
        <f t="shared" si="338"/>
        <v>85695</v>
      </c>
      <c r="R2378" s="2">
        <f t="shared" si="339"/>
        <v>42847.5</v>
      </c>
      <c r="S2378" s="2" t="str">
        <f t="shared" si="340"/>
        <v xml:space="preserve"> Not Achieved</v>
      </c>
      <c r="T2378" s="2" t="str">
        <f t="shared" si="341"/>
        <v xml:space="preserve"> Excellent</v>
      </c>
      <c r="U2378" s="2"/>
    </row>
    <row r="2379" spans="1:21" x14ac:dyDescent="0.3">
      <c r="A2379">
        <v>2378</v>
      </c>
      <c r="B2379" t="s">
        <v>3356</v>
      </c>
      <c r="C2379" t="str">
        <f t="shared" si="333"/>
        <v>EMP_2378</v>
      </c>
      <c r="D2379" t="s">
        <v>15</v>
      </c>
      <c r="E2379" t="str">
        <f t="shared" si="334"/>
        <v>EMP_2378IT</v>
      </c>
      <c r="F2379" t="s">
        <v>21</v>
      </c>
      <c r="G2379" t="s">
        <v>25</v>
      </c>
      <c r="H2379">
        <v>23379</v>
      </c>
      <c r="I2379">
        <v>3596</v>
      </c>
      <c r="J2379">
        <v>0</v>
      </c>
      <c r="K2379">
        <v>0</v>
      </c>
      <c r="L2379" s="4" t="s">
        <v>1731</v>
      </c>
      <c r="M2379" s="4" t="str">
        <f t="shared" si="335"/>
        <v>1/15/2020</v>
      </c>
      <c r="N2379" s="1">
        <f t="shared" ca="1" si="336"/>
        <v>46064</v>
      </c>
      <c r="O2379" s="6" t="e">
        <f t="shared" ca="1" si="337"/>
        <v>#VALUE!</v>
      </c>
      <c r="P2379">
        <v>5</v>
      </c>
      <c r="Q2379">
        <f t="shared" si="338"/>
        <v>26975</v>
      </c>
      <c r="R2379" s="2">
        <f t="shared" si="339"/>
        <v>13487.5</v>
      </c>
      <c r="S2379" s="2" t="str">
        <f t="shared" si="340"/>
        <v xml:space="preserve"> Not Achieved</v>
      </c>
      <c r="T2379" s="2" t="str">
        <f t="shared" si="341"/>
        <v>poor</v>
      </c>
      <c r="U2379" s="2"/>
    </row>
    <row r="2380" spans="1:21" x14ac:dyDescent="0.3">
      <c r="A2380">
        <v>2379</v>
      </c>
      <c r="B2380" t="s">
        <v>3357</v>
      </c>
      <c r="C2380" t="str">
        <f t="shared" si="333"/>
        <v>EMP_2379</v>
      </c>
      <c r="D2380" t="s">
        <v>15</v>
      </c>
      <c r="E2380" t="str">
        <f t="shared" si="334"/>
        <v>EMP_2379IT</v>
      </c>
      <c r="F2380" t="s">
        <v>21</v>
      </c>
      <c r="G2380" t="s">
        <v>25</v>
      </c>
      <c r="H2380">
        <v>64545</v>
      </c>
      <c r="I2380">
        <v>8816</v>
      </c>
      <c r="J2380">
        <v>0</v>
      </c>
      <c r="K2380">
        <v>0</v>
      </c>
      <c r="L2380" s="4" t="s">
        <v>1549</v>
      </c>
      <c r="M2380" s="4" t="str">
        <f t="shared" si="335"/>
        <v>3/20/2019</v>
      </c>
      <c r="N2380" s="1">
        <f t="shared" ca="1" si="336"/>
        <v>46064</v>
      </c>
      <c r="O2380" s="6" t="e">
        <f t="shared" ca="1" si="337"/>
        <v>#VALUE!</v>
      </c>
      <c r="P2380">
        <v>2</v>
      </c>
      <c r="Q2380">
        <f t="shared" si="338"/>
        <v>73361</v>
      </c>
      <c r="R2380" s="2">
        <f t="shared" si="339"/>
        <v>36680.5</v>
      </c>
      <c r="S2380" s="2" t="str">
        <f t="shared" si="340"/>
        <v xml:space="preserve"> Not Achieved</v>
      </c>
      <c r="T2380" s="2" t="str">
        <f t="shared" si="341"/>
        <v xml:space="preserve"> Excellent</v>
      </c>
      <c r="U2380" s="2"/>
    </row>
    <row r="2381" spans="1:21" x14ac:dyDescent="0.3">
      <c r="A2381">
        <v>2380</v>
      </c>
      <c r="B2381" t="s">
        <v>3358</v>
      </c>
      <c r="C2381" t="str">
        <f t="shared" si="333"/>
        <v>EMP_2380</v>
      </c>
      <c r="D2381" t="s">
        <v>11</v>
      </c>
      <c r="E2381" t="str">
        <f t="shared" si="334"/>
        <v>EMP_2380IT</v>
      </c>
      <c r="F2381" t="s">
        <v>21</v>
      </c>
      <c r="G2381" t="s">
        <v>22</v>
      </c>
      <c r="H2381">
        <v>73482</v>
      </c>
      <c r="I2381">
        <v>4471</v>
      </c>
      <c r="J2381">
        <v>0</v>
      </c>
      <c r="K2381">
        <v>0</v>
      </c>
      <c r="L2381" s="4">
        <v>45235</v>
      </c>
      <c r="M2381" s="4" t="str">
        <f t="shared" si="335"/>
        <v>2023</v>
      </c>
      <c r="N2381" s="1">
        <f t="shared" ca="1" si="336"/>
        <v>46064</v>
      </c>
      <c r="O2381" s="6">
        <f t="shared" ca="1" si="337"/>
        <v>2</v>
      </c>
      <c r="P2381">
        <v>2</v>
      </c>
      <c r="Q2381">
        <f t="shared" si="338"/>
        <v>77953</v>
      </c>
      <c r="R2381" s="2">
        <f t="shared" si="339"/>
        <v>38976.5</v>
      </c>
      <c r="S2381" s="2" t="str">
        <f t="shared" si="340"/>
        <v xml:space="preserve"> Not Achieved</v>
      </c>
      <c r="T2381" s="2" t="str">
        <f t="shared" si="341"/>
        <v xml:space="preserve"> Excellent</v>
      </c>
      <c r="U2381" s="2"/>
    </row>
    <row r="2382" spans="1:21" x14ac:dyDescent="0.3">
      <c r="A2382">
        <v>2381</v>
      </c>
      <c r="B2382" t="s">
        <v>3359</v>
      </c>
      <c r="C2382" t="str">
        <f t="shared" si="333"/>
        <v>EMP_2381</v>
      </c>
      <c r="D2382" t="s">
        <v>15</v>
      </c>
      <c r="E2382" t="str">
        <f t="shared" si="334"/>
        <v>EMP_2381Finance</v>
      </c>
      <c r="F2382" t="s">
        <v>18</v>
      </c>
      <c r="G2382" t="s">
        <v>22</v>
      </c>
      <c r="H2382">
        <v>68491</v>
      </c>
      <c r="I2382">
        <v>10521</v>
      </c>
      <c r="J2382">
        <v>0</v>
      </c>
      <c r="K2382">
        <v>0</v>
      </c>
      <c r="L2382" s="4" t="s">
        <v>3159</v>
      </c>
      <c r="M2382" s="4" t="str">
        <f t="shared" si="335"/>
        <v>2/21/2019</v>
      </c>
      <c r="N2382" s="1">
        <f t="shared" ca="1" si="336"/>
        <v>46064</v>
      </c>
      <c r="O2382" s="6" t="e">
        <f t="shared" ca="1" si="337"/>
        <v>#VALUE!</v>
      </c>
      <c r="P2382">
        <v>5</v>
      </c>
      <c r="Q2382">
        <f t="shared" si="338"/>
        <v>79012</v>
      </c>
      <c r="R2382" s="2">
        <f t="shared" si="339"/>
        <v>39506</v>
      </c>
      <c r="S2382" s="2" t="str">
        <f t="shared" si="340"/>
        <v xml:space="preserve"> Not Achieved</v>
      </c>
      <c r="T2382" s="2" t="str">
        <f t="shared" si="341"/>
        <v xml:space="preserve"> Excellent</v>
      </c>
      <c r="U2382" s="2"/>
    </row>
    <row r="2383" spans="1:21" x14ac:dyDescent="0.3">
      <c r="A2383">
        <v>2382</v>
      </c>
      <c r="B2383" t="s">
        <v>3360</v>
      </c>
      <c r="C2383" t="str">
        <f t="shared" si="333"/>
        <v>EMP_2382</v>
      </c>
      <c r="D2383" t="s">
        <v>11</v>
      </c>
      <c r="E2383" t="str">
        <f t="shared" si="334"/>
        <v>EMP_2382IT</v>
      </c>
      <c r="F2383" t="s">
        <v>21</v>
      </c>
      <c r="G2383" t="s">
        <v>16</v>
      </c>
      <c r="H2383">
        <v>22937</v>
      </c>
      <c r="I2383">
        <v>3007</v>
      </c>
      <c r="J2383">
        <v>0</v>
      </c>
      <c r="K2383">
        <v>0</v>
      </c>
      <c r="L2383" s="4">
        <v>43193</v>
      </c>
      <c r="M2383" s="4" t="str">
        <f t="shared" si="335"/>
        <v>2018</v>
      </c>
      <c r="N2383" s="1">
        <f t="shared" ca="1" si="336"/>
        <v>46064</v>
      </c>
      <c r="O2383" s="6">
        <f t="shared" ca="1" si="337"/>
        <v>7</v>
      </c>
      <c r="P2383">
        <v>1</v>
      </c>
      <c r="Q2383">
        <f t="shared" si="338"/>
        <v>25944</v>
      </c>
      <c r="R2383" s="2">
        <f t="shared" si="339"/>
        <v>12972</v>
      </c>
      <c r="S2383" s="2" t="str">
        <f t="shared" si="340"/>
        <v xml:space="preserve"> Not Achieved</v>
      </c>
      <c r="T2383" s="2" t="str">
        <f t="shared" si="341"/>
        <v>poor</v>
      </c>
      <c r="U2383" s="2"/>
    </row>
    <row r="2384" spans="1:21" x14ac:dyDescent="0.3">
      <c r="A2384">
        <v>2383</v>
      </c>
      <c r="B2384" t="s">
        <v>3361</v>
      </c>
      <c r="C2384" t="str">
        <f t="shared" si="333"/>
        <v>EMP_2383</v>
      </c>
      <c r="D2384" t="s">
        <v>15</v>
      </c>
      <c r="E2384" t="str">
        <f t="shared" si="334"/>
        <v>EMP_2383IT</v>
      </c>
      <c r="F2384" t="s">
        <v>21</v>
      </c>
      <c r="G2384" t="s">
        <v>22</v>
      </c>
      <c r="H2384">
        <v>28408</v>
      </c>
      <c r="I2384">
        <v>13188</v>
      </c>
      <c r="J2384">
        <v>0</v>
      </c>
      <c r="K2384">
        <v>0</v>
      </c>
      <c r="L2384" s="4">
        <v>45484</v>
      </c>
      <c r="M2384" s="4" t="str">
        <f t="shared" si="335"/>
        <v>2024</v>
      </c>
      <c r="N2384" s="1">
        <f t="shared" ca="1" si="336"/>
        <v>46064</v>
      </c>
      <c r="O2384" s="6">
        <f t="shared" ca="1" si="337"/>
        <v>1</v>
      </c>
      <c r="P2384">
        <v>5</v>
      </c>
      <c r="Q2384">
        <f t="shared" si="338"/>
        <v>41596</v>
      </c>
      <c r="R2384" s="2">
        <f t="shared" si="339"/>
        <v>20798</v>
      </c>
      <c r="S2384" s="2" t="str">
        <f t="shared" si="340"/>
        <v xml:space="preserve"> Not Achieved</v>
      </c>
      <c r="T2384" s="2" t="str">
        <f t="shared" si="341"/>
        <v>poor</v>
      </c>
      <c r="U2384" s="2"/>
    </row>
    <row r="2385" spans="1:21" x14ac:dyDescent="0.3">
      <c r="A2385">
        <v>2384</v>
      </c>
      <c r="B2385" t="s">
        <v>3362</v>
      </c>
      <c r="C2385" t="str">
        <f t="shared" si="333"/>
        <v>EMP_2384</v>
      </c>
      <c r="D2385" t="s">
        <v>11</v>
      </c>
      <c r="E2385" t="str">
        <f t="shared" si="334"/>
        <v>EMP_2384Sales</v>
      </c>
      <c r="F2385" t="s">
        <v>7</v>
      </c>
      <c r="G2385" t="s">
        <v>22</v>
      </c>
      <c r="H2385">
        <v>71668</v>
      </c>
      <c r="I2385">
        <v>7510</v>
      </c>
      <c r="J2385">
        <v>211574</v>
      </c>
      <c r="K2385">
        <v>84655</v>
      </c>
      <c r="L2385" s="4">
        <v>43164</v>
      </c>
      <c r="M2385" s="4" t="str">
        <f t="shared" si="335"/>
        <v>2018</v>
      </c>
      <c r="N2385" s="1">
        <f t="shared" ca="1" si="336"/>
        <v>46064</v>
      </c>
      <c r="O2385" s="6">
        <f t="shared" ca="1" si="337"/>
        <v>7</v>
      </c>
      <c r="P2385">
        <v>5</v>
      </c>
      <c r="Q2385">
        <f t="shared" si="338"/>
        <v>79178</v>
      </c>
      <c r="R2385" s="2">
        <f t="shared" si="339"/>
        <v>39589</v>
      </c>
      <c r="S2385" s="2" t="str">
        <f t="shared" si="340"/>
        <v>Achieved</v>
      </c>
      <c r="T2385" s="2" t="str">
        <f t="shared" si="341"/>
        <v xml:space="preserve"> Excellent</v>
      </c>
      <c r="U2385" s="2"/>
    </row>
    <row r="2386" spans="1:21" x14ac:dyDescent="0.3">
      <c r="A2386">
        <v>2385</v>
      </c>
      <c r="B2386" t="s">
        <v>3363</v>
      </c>
      <c r="C2386" t="str">
        <f t="shared" si="333"/>
        <v>EMP_2385</v>
      </c>
      <c r="D2386" t="s">
        <v>15</v>
      </c>
      <c r="E2386" t="str">
        <f t="shared" si="334"/>
        <v>EMP_2385HR</v>
      </c>
      <c r="F2386" t="s">
        <v>12</v>
      </c>
      <c r="G2386" t="s">
        <v>19</v>
      </c>
      <c r="H2386">
        <v>71760</v>
      </c>
      <c r="I2386">
        <v>7288</v>
      </c>
      <c r="J2386">
        <v>0</v>
      </c>
      <c r="K2386">
        <v>0</v>
      </c>
      <c r="L2386" s="4">
        <v>44631</v>
      </c>
      <c r="M2386" s="4" t="str">
        <f t="shared" si="335"/>
        <v>2022</v>
      </c>
      <c r="N2386" s="1">
        <f t="shared" ca="1" si="336"/>
        <v>46064</v>
      </c>
      <c r="O2386" s="6">
        <f t="shared" ca="1" si="337"/>
        <v>3</v>
      </c>
      <c r="P2386">
        <v>5</v>
      </c>
      <c r="Q2386">
        <f t="shared" si="338"/>
        <v>79048</v>
      </c>
      <c r="R2386" s="2">
        <f t="shared" si="339"/>
        <v>39524</v>
      </c>
      <c r="S2386" s="2" t="str">
        <f t="shared" si="340"/>
        <v xml:space="preserve"> Not Achieved</v>
      </c>
      <c r="T2386" s="2" t="str">
        <f t="shared" si="341"/>
        <v xml:space="preserve"> Excellent</v>
      </c>
      <c r="U2386" s="2"/>
    </row>
    <row r="2387" spans="1:21" x14ac:dyDescent="0.3">
      <c r="A2387">
        <v>2386</v>
      </c>
      <c r="B2387" t="s">
        <v>3364</v>
      </c>
      <c r="C2387" t="str">
        <f t="shared" si="333"/>
        <v>EMP_2386</v>
      </c>
      <c r="D2387" t="s">
        <v>15</v>
      </c>
      <c r="E2387" t="str">
        <f t="shared" si="334"/>
        <v>EMP_2386IT</v>
      </c>
      <c r="F2387" t="s">
        <v>21</v>
      </c>
      <c r="G2387" t="s">
        <v>25</v>
      </c>
      <c r="H2387">
        <v>58749</v>
      </c>
      <c r="I2387">
        <v>9562</v>
      </c>
      <c r="J2387">
        <v>0</v>
      </c>
      <c r="K2387">
        <v>0</v>
      </c>
      <c r="L2387" s="4">
        <v>44206</v>
      </c>
      <c r="M2387" s="4" t="str">
        <f t="shared" si="335"/>
        <v>2021</v>
      </c>
      <c r="N2387" s="1">
        <f t="shared" ca="1" si="336"/>
        <v>46064</v>
      </c>
      <c r="O2387" s="6">
        <f t="shared" ca="1" si="337"/>
        <v>5</v>
      </c>
      <c r="P2387">
        <v>1</v>
      </c>
      <c r="Q2387">
        <f t="shared" si="338"/>
        <v>68311</v>
      </c>
      <c r="R2387" s="2">
        <f t="shared" si="339"/>
        <v>34155.5</v>
      </c>
      <c r="S2387" s="2" t="str">
        <f t="shared" si="340"/>
        <v xml:space="preserve"> Not Achieved</v>
      </c>
      <c r="T2387" s="2" t="str">
        <f t="shared" si="341"/>
        <v xml:space="preserve"> Excellent</v>
      </c>
      <c r="U2387" s="2"/>
    </row>
    <row r="2388" spans="1:21" x14ac:dyDescent="0.3">
      <c r="A2388">
        <v>2387</v>
      </c>
      <c r="B2388" t="s">
        <v>3365</v>
      </c>
      <c r="C2388" t="str">
        <f t="shared" si="333"/>
        <v>EMP_2387</v>
      </c>
      <c r="D2388" t="s">
        <v>15</v>
      </c>
      <c r="E2388" t="str">
        <f t="shared" si="334"/>
        <v>EMP_2387Marketing</v>
      </c>
      <c r="F2388" t="s">
        <v>24</v>
      </c>
      <c r="G2388" t="s">
        <v>13</v>
      </c>
      <c r="H2388">
        <v>70025</v>
      </c>
      <c r="I2388">
        <v>5895</v>
      </c>
      <c r="J2388">
        <v>0</v>
      </c>
      <c r="K2388">
        <v>0</v>
      </c>
      <c r="L2388" s="4">
        <v>44901</v>
      </c>
      <c r="M2388" s="4" t="str">
        <f t="shared" si="335"/>
        <v>2022</v>
      </c>
      <c r="N2388" s="1">
        <f t="shared" ca="1" si="336"/>
        <v>46064</v>
      </c>
      <c r="O2388" s="6">
        <f t="shared" ca="1" si="337"/>
        <v>3</v>
      </c>
      <c r="P2388">
        <v>3</v>
      </c>
      <c r="Q2388">
        <f t="shared" si="338"/>
        <v>75920</v>
      </c>
      <c r="R2388" s="2">
        <f t="shared" si="339"/>
        <v>37960</v>
      </c>
      <c r="S2388" s="2" t="str">
        <f t="shared" si="340"/>
        <v xml:space="preserve"> Not Achieved</v>
      </c>
      <c r="T2388" s="2" t="str">
        <f t="shared" si="341"/>
        <v xml:space="preserve"> Excellent</v>
      </c>
      <c r="U2388" s="2"/>
    </row>
    <row r="2389" spans="1:21" x14ac:dyDescent="0.3">
      <c r="A2389">
        <v>2388</v>
      </c>
      <c r="B2389" t="s">
        <v>3366</v>
      </c>
      <c r="C2389" t="str">
        <f t="shared" si="333"/>
        <v>EMP_2388</v>
      </c>
      <c r="D2389" t="s">
        <v>15</v>
      </c>
      <c r="E2389" t="str">
        <f t="shared" si="334"/>
        <v>EMP_2388Sales</v>
      </c>
      <c r="F2389" t="s">
        <v>7</v>
      </c>
      <c r="G2389" t="s">
        <v>13</v>
      </c>
      <c r="H2389">
        <v>43760</v>
      </c>
      <c r="I2389">
        <v>12523</v>
      </c>
      <c r="J2389">
        <v>290678</v>
      </c>
      <c r="K2389">
        <v>126293</v>
      </c>
      <c r="L2389" s="4" t="s">
        <v>207</v>
      </c>
      <c r="M2389" s="4" t="str">
        <f t="shared" si="335"/>
        <v>6/14/2018</v>
      </c>
      <c r="N2389" s="1">
        <f t="shared" ca="1" si="336"/>
        <v>46064</v>
      </c>
      <c r="O2389" s="6" t="e">
        <f t="shared" ca="1" si="337"/>
        <v>#VALUE!</v>
      </c>
      <c r="P2389">
        <v>1</v>
      </c>
      <c r="Q2389">
        <f t="shared" si="338"/>
        <v>56283</v>
      </c>
      <c r="R2389" s="2">
        <f t="shared" si="339"/>
        <v>28141.5</v>
      </c>
      <c r="S2389" s="2" t="str">
        <f t="shared" si="340"/>
        <v>Achieved</v>
      </c>
      <c r="T2389" s="2" t="str">
        <f t="shared" si="341"/>
        <v>Good</v>
      </c>
      <c r="U2389" s="2"/>
    </row>
    <row r="2390" spans="1:21" x14ac:dyDescent="0.3">
      <c r="A2390">
        <v>2389</v>
      </c>
      <c r="B2390" t="s">
        <v>3367</v>
      </c>
      <c r="C2390" t="str">
        <f t="shared" si="333"/>
        <v>EMP_2389</v>
      </c>
      <c r="D2390" t="s">
        <v>11</v>
      </c>
      <c r="E2390" t="str">
        <f t="shared" si="334"/>
        <v>EMP_2389HR</v>
      </c>
      <c r="F2390" t="s">
        <v>12</v>
      </c>
      <c r="G2390" t="s">
        <v>16</v>
      </c>
      <c r="H2390">
        <v>55498</v>
      </c>
      <c r="I2390">
        <v>4685</v>
      </c>
      <c r="J2390">
        <v>0</v>
      </c>
      <c r="K2390">
        <v>0</v>
      </c>
      <c r="L2390" s="4">
        <v>44654</v>
      </c>
      <c r="M2390" s="4" t="str">
        <f t="shared" si="335"/>
        <v>2022</v>
      </c>
      <c r="N2390" s="1">
        <f t="shared" ca="1" si="336"/>
        <v>46064</v>
      </c>
      <c r="O2390" s="6">
        <f t="shared" ca="1" si="337"/>
        <v>3</v>
      </c>
      <c r="P2390">
        <v>1</v>
      </c>
      <c r="Q2390">
        <f t="shared" si="338"/>
        <v>60183</v>
      </c>
      <c r="R2390" s="2">
        <f t="shared" si="339"/>
        <v>30091.5</v>
      </c>
      <c r="S2390" s="2" t="str">
        <f t="shared" si="340"/>
        <v xml:space="preserve"> Not Achieved</v>
      </c>
      <c r="T2390" s="2" t="str">
        <f t="shared" si="341"/>
        <v xml:space="preserve"> Excellent</v>
      </c>
      <c r="U2390" s="2"/>
    </row>
    <row r="2391" spans="1:21" x14ac:dyDescent="0.3">
      <c r="A2391">
        <v>2390</v>
      </c>
      <c r="B2391" t="s">
        <v>3368</v>
      </c>
      <c r="C2391" t="str">
        <f t="shared" si="333"/>
        <v>EMP_2390</v>
      </c>
      <c r="D2391" t="s">
        <v>11</v>
      </c>
      <c r="E2391" t="str">
        <f t="shared" si="334"/>
        <v>EMP_2390Finance</v>
      </c>
      <c r="F2391" t="s">
        <v>18</v>
      </c>
      <c r="G2391" t="s">
        <v>25</v>
      </c>
      <c r="H2391">
        <v>20977</v>
      </c>
      <c r="I2391">
        <v>2191</v>
      </c>
      <c r="J2391">
        <v>0</v>
      </c>
      <c r="K2391">
        <v>0</v>
      </c>
      <c r="L2391" s="4">
        <v>44655</v>
      </c>
      <c r="M2391" s="4" t="str">
        <f t="shared" si="335"/>
        <v>2022</v>
      </c>
      <c r="N2391" s="1">
        <f t="shared" ca="1" si="336"/>
        <v>46064</v>
      </c>
      <c r="O2391" s="6">
        <f t="shared" ca="1" si="337"/>
        <v>3</v>
      </c>
      <c r="P2391">
        <v>4</v>
      </c>
      <c r="Q2391">
        <f t="shared" si="338"/>
        <v>23168</v>
      </c>
      <c r="R2391" s="2">
        <f t="shared" si="339"/>
        <v>11584</v>
      </c>
      <c r="S2391" s="2" t="str">
        <f t="shared" si="340"/>
        <v xml:space="preserve"> Not Achieved</v>
      </c>
      <c r="T2391" s="2" t="str">
        <f t="shared" si="341"/>
        <v>poor</v>
      </c>
      <c r="U2391" s="2"/>
    </row>
    <row r="2392" spans="1:21" x14ac:dyDescent="0.3">
      <c r="A2392">
        <v>2391</v>
      </c>
      <c r="B2392" t="s">
        <v>3369</v>
      </c>
      <c r="C2392" t="str">
        <f t="shared" si="333"/>
        <v>EMP_2391</v>
      </c>
      <c r="D2392" t="s">
        <v>15</v>
      </c>
      <c r="E2392" t="str">
        <f t="shared" si="334"/>
        <v>EMP_2391Finance</v>
      </c>
      <c r="F2392" t="s">
        <v>18</v>
      </c>
      <c r="G2392" t="s">
        <v>19</v>
      </c>
      <c r="H2392">
        <v>68893</v>
      </c>
      <c r="I2392">
        <v>12944</v>
      </c>
      <c r="J2392">
        <v>0</v>
      </c>
      <c r="K2392">
        <v>0</v>
      </c>
      <c r="L2392" s="4" t="s">
        <v>2212</v>
      </c>
      <c r="M2392" s="4" t="str">
        <f t="shared" si="335"/>
        <v>6/19/2018</v>
      </c>
      <c r="N2392" s="1">
        <f t="shared" ca="1" si="336"/>
        <v>46064</v>
      </c>
      <c r="O2392" s="6" t="e">
        <f t="shared" ca="1" si="337"/>
        <v>#VALUE!</v>
      </c>
      <c r="P2392">
        <v>2</v>
      </c>
      <c r="Q2392">
        <f t="shared" si="338"/>
        <v>81837</v>
      </c>
      <c r="R2392" s="2">
        <f t="shared" si="339"/>
        <v>40918.5</v>
      </c>
      <c r="S2392" s="2" t="str">
        <f t="shared" si="340"/>
        <v xml:space="preserve"> Not Achieved</v>
      </c>
      <c r="T2392" s="2" t="str">
        <f t="shared" si="341"/>
        <v xml:space="preserve"> Excellent</v>
      </c>
      <c r="U2392" s="2"/>
    </row>
    <row r="2393" spans="1:21" x14ac:dyDescent="0.3">
      <c r="A2393">
        <v>2392</v>
      </c>
      <c r="B2393" t="s">
        <v>3370</v>
      </c>
      <c r="C2393" t="str">
        <f t="shared" si="333"/>
        <v>EMP_2392</v>
      </c>
      <c r="D2393" t="s">
        <v>15</v>
      </c>
      <c r="E2393" t="str">
        <f t="shared" si="334"/>
        <v>EMP_2392Sales</v>
      </c>
      <c r="F2393" t="s">
        <v>7</v>
      </c>
      <c r="G2393" t="s">
        <v>25</v>
      </c>
      <c r="H2393">
        <v>70346</v>
      </c>
      <c r="I2393">
        <v>9349</v>
      </c>
      <c r="J2393">
        <v>119561</v>
      </c>
      <c r="K2393">
        <v>220138</v>
      </c>
      <c r="L2393" s="4" t="s">
        <v>1013</v>
      </c>
      <c r="M2393" s="4" t="str">
        <f t="shared" si="335"/>
        <v>3/28/2020</v>
      </c>
      <c r="N2393" s="1">
        <f t="shared" ca="1" si="336"/>
        <v>46064</v>
      </c>
      <c r="O2393" s="6" t="e">
        <f t="shared" ca="1" si="337"/>
        <v>#VALUE!</v>
      </c>
      <c r="P2393">
        <v>4</v>
      </c>
      <c r="Q2393">
        <f t="shared" si="338"/>
        <v>79695</v>
      </c>
      <c r="R2393" s="2">
        <f t="shared" si="339"/>
        <v>39847.5</v>
      </c>
      <c r="S2393" s="2" t="str">
        <f t="shared" si="340"/>
        <v xml:space="preserve"> Not Achieved</v>
      </c>
      <c r="T2393" s="2" t="str">
        <f t="shared" si="341"/>
        <v xml:space="preserve"> Excellent</v>
      </c>
      <c r="U2393" s="2"/>
    </row>
    <row r="2394" spans="1:21" x14ac:dyDescent="0.3">
      <c r="A2394">
        <v>2393</v>
      </c>
      <c r="B2394" t="s">
        <v>3371</v>
      </c>
      <c r="C2394" t="str">
        <f t="shared" si="333"/>
        <v>EMP_2393</v>
      </c>
      <c r="D2394" t="s">
        <v>11</v>
      </c>
      <c r="E2394" t="str">
        <f t="shared" si="334"/>
        <v>EMP_2393IT</v>
      </c>
      <c r="F2394" t="s">
        <v>21</v>
      </c>
      <c r="G2394" t="s">
        <v>22</v>
      </c>
      <c r="H2394">
        <v>61681</v>
      </c>
      <c r="I2394">
        <v>5846</v>
      </c>
      <c r="J2394">
        <v>0</v>
      </c>
      <c r="K2394">
        <v>0</v>
      </c>
      <c r="L2394" s="4" t="s">
        <v>3033</v>
      </c>
      <c r="M2394" s="4" t="str">
        <f t="shared" si="335"/>
        <v>1/30/2020</v>
      </c>
      <c r="N2394" s="1">
        <f t="shared" ca="1" si="336"/>
        <v>46064</v>
      </c>
      <c r="O2394" s="6" t="e">
        <f t="shared" ca="1" si="337"/>
        <v>#VALUE!</v>
      </c>
      <c r="P2394">
        <v>3</v>
      </c>
      <c r="Q2394">
        <f t="shared" si="338"/>
        <v>67527</v>
      </c>
      <c r="R2394" s="2">
        <f t="shared" si="339"/>
        <v>33763.5</v>
      </c>
      <c r="S2394" s="2" t="str">
        <f t="shared" si="340"/>
        <v xml:space="preserve"> Not Achieved</v>
      </c>
      <c r="T2394" s="2" t="str">
        <f t="shared" si="341"/>
        <v xml:space="preserve"> Excellent</v>
      </c>
      <c r="U2394" s="2"/>
    </row>
    <row r="2395" spans="1:21" x14ac:dyDescent="0.3">
      <c r="A2395">
        <v>2394</v>
      </c>
      <c r="B2395" t="s">
        <v>3372</v>
      </c>
      <c r="C2395" t="str">
        <f t="shared" si="333"/>
        <v>EMP_2394</v>
      </c>
      <c r="D2395" t="s">
        <v>15</v>
      </c>
      <c r="E2395" t="str">
        <f t="shared" si="334"/>
        <v>EMP_2394IT</v>
      </c>
      <c r="F2395" t="s">
        <v>21</v>
      </c>
      <c r="G2395" t="s">
        <v>16</v>
      </c>
      <c r="H2395">
        <v>38090</v>
      </c>
      <c r="I2395">
        <v>7851</v>
      </c>
      <c r="J2395">
        <v>0</v>
      </c>
      <c r="K2395">
        <v>0</v>
      </c>
      <c r="L2395" s="4" t="s">
        <v>3373</v>
      </c>
      <c r="M2395" s="4" t="str">
        <f t="shared" si="335"/>
        <v>2/15/2020</v>
      </c>
      <c r="N2395" s="1">
        <f t="shared" ca="1" si="336"/>
        <v>46064</v>
      </c>
      <c r="O2395" s="6" t="e">
        <f t="shared" ca="1" si="337"/>
        <v>#VALUE!</v>
      </c>
      <c r="P2395">
        <v>3</v>
      </c>
      <c r="Q2395">
        <f t="shared" si="338"/>
        <v>45941</v>
      </c>
      <c r="R2395" s="2">
        <f t="shared" si="339"/>
        <v>22970.5</v>
      </c>
      <c r="S2395" s="2" t="str">
        <f t="shared" si="340"/>
        <v xml:space="preserve"> Not Achieved</v>
      </c>
      <c r="T2395" s="2" t="str">
        <f t="shared" si="341"/>
        <v>Average</v>
      </c>
      <c r="U2395" s="2"/>
    </row>
    <row r="2396" spans="1:21" x14ac:dyDescent="0.3">
      <c r="A2396">
        <v>2395</v>
      </c>
      <c r="B2396" t="s">
        <v>3374</v>
      </c>
      <c r="C2396" t="str">
        <f t="shared" si="333"/>
        <v>EMP_2395</v>
      </c>
      <c r="D2396" t="s">
        <v>11</v>
      </c>
      <c r="E2396" t="str">
        <f t="shared" si="334"/>
        <v>EMP_2395HR</v>
      </c>
      <c r="F2396" t="s">
        <v>12</v>
      </c>
      <c r="G2396" t="s">
        <v>19</v>
      </c>
      <c r="H2396">
        <v>51854</v>
      </c>
      <c r="I2396">
        <v>11764</v>
      </c>
      <c r="J2396">
        <v>0</v>
      </c>
      <c r="K2396">
        <v>0</v>
      </c>
      <c r="L2396" s="4">
        <v>43260</v>
      </c>
      <c r="M2396" s="4" t="str">
        <f t="shared" si="335"/>
        <v>2018</v>
      </c>
      <c r="N2396" s="1">
        <f t="shared" ca="1" si="336"/>
        <v>46064</v>
      </c>
      <c r="O2396" s="6">
        <f t="shared" ca="1" si="337"/>
        <v>7</v>
      </c>
      <c r="P2396">
        <v>1</v>
      </c>
      <c r="Q2396">
        <f t="shared" si="338"/>
        <v>63618</v>
      </c>
      <c r="R2396" s="2">
        <f t="shared" si="339"/>
        <v>31809</v>
      </c>
      <c r="S2396" s="2" t="str">
        <f t="shared" si="340"/>
        <v xml:space="preserve"> Not Achieved</v>
      </c>
      <c r="T2396" s="2" t="str">
        <f t="shared" si="341"/>
        <v xml:space="preserve"> Excellent</v>
      </c>
      <c r="U2396" s="2"/>
    </row>
    <row r="2397" spans="1:21" x14ac:dyDescent="0.3">
      <c r="A2397">
        <v>2396</v>
      </c>
      <c r="B2397" t="s">
        <v>3375</v>
      </c>
      <c r="C2397" t="str">
        <f t="shared" si="333"/>
        <v>EMP_2396</v>
      </c>
      <c r="D2397" t="s">
        <v>15</v>
      </c>
      <c r="E2397" t="str">
        <f t="shared" si="334"/>
        <v>EMP_2396HR</v>
      </c>
      <c r="F2397" t="s">
        <v>12</v>
      </c>
      <c r="G2397" t="s">
        <v>13</v>
      </c>
      <c r="H2397">
        <v>26283</v>
      </c>
      <c r="I2397">
        <v>5748</v>
      </c>
      <c r="J2397">
        <v>0</v>
      </c>
      <c r="K2397">
        <v>0</v>
      </c>
      <c r="L2397" s="4" t="s">
        <v>2554</v>
      </c>
      <c r="M2397" s="4" t="str">
        <f t="shared" si="335"/>
        <v>6/15/2024</v>
      </c>
      <c r="N2397" s="1">
        <f t="shared" ca="1" si="336"/>
        <v>46064</v>
      </c>
      <c r="O2397" s="6" t="e">
        <f t="shared" ca="1" si="337"/>
        <v>#VALUE!</v>
      </c>
      <c r="P2397">
        <v>5</v>
      </c>
      <c r="Q2397">
        <f t="shared" si="338"/>
        <v>32031</v>
      </c>
      <c r="R2397" s="2">
        <f t="shared" si="339"/>
        <v>16015.5</v>
      </c>
      <c r="S2397" s="2" t="str">
        <f t="shared" si="340"/>
        <v xml:space="preserve"> Not Achieved</v>
      </c>
      <c r="T2397" s="2" t="str">
        <f t="shared" si="341"/>
        <v>poor</v>
      </c>
      <c r="U2397" s="2"/>
    </row>
    <row r="2398" spans="1:21" x14ac:dyDescent="0.3">
      <c r="A2398">
        <v>2397</v>
      </c>
      <c r="B2398" t="s">
        <v>3376</v>
      </c>
      <c r="C2398" t="str">
        <f t="shared" si="333"/>
        <v>EMP_2397</v>
      </c>
      <c r="D2398" t="s">
        <v>15</v>
      </c>
      <c r="E2398" t="str">
        <f t="shared" si="334"/>
        <v>EMP_2397IT</v>
      </c>
      <c r="F2398" t="s">
        <v>21</v>
      </c>
      <c r="G2398" t="s">
        <v>19</v>
      </c>
      <c r="H2398">
        <v>78360</v>
      </c>
      <c r="I2398">
        <v>13370</v>
      </c>
      <c r="J2398">
        <v>0</v>
      </c>
      <c r="K2398">
        <v>0</v>
      </c>
      <c r="L2398" s="4">
        <v>44054</v>
      </c>
      <c r="M2398" s="4" t="str">
        <f t="shared" si="335"/>
        <v>2020</v>
      </c>
      <c r="N2398" s="1">
        <f t="shared" ca="1" si="336"/>
        <v>46064</v>
      </c>
      <c r="O2398" s="6">
        <f t="shared" ca="1" si="337"/>
        <v>5</v>
      </c>
      <c r="P2398">
        <v>5</v>
      </c>
      <c r="Q2398">
        <f t="shared" si="338"/>
        <v>91730</v>
      </c>
      <c r="R2398" s="2">
        <f t="shared" si="339"/>
        <v>45865</v>
      </c>
      <c r="S2398" s="2" t="str">
        <f t="shared" si="340"/>
        <v xml:space="preserve"> Not Achieved</v>
      </c>
      <c r="T2398" s="2" t="str">
        <f t="shared" si="341"/>
        <v xml:space="preserve"> Excellent</v>
      </c>
      <c r="U2398" s="2"/>
    </row>
    <row r="2399" spans="1:21" x14ac:dyDescent="0.3">
      <c r="A2399">
        <v>2398</v>
      </c>
      <c r="B2399" t="s">
        <v>3377</v>
      </c>
      <c r="C2399" t="str">
        <f t="shared" si="333"/>
        <v>EMP_2398</v>
      </c>
      <c r="D2399" t="s">
        <v>15</v>
      </c>
      <c r="E2399" t="str">
        <f t="shared" si="334"/>
        <v>EMP_2398Marketing</v>
      </c>
      <c r="F2399" t="s">
        <v>24</v>
      </c>
      <c r="G2399" t="s">
        <v>22</v>
      </c>
      <c r="H2399">
        <v>52200</v>
      </c>
      <c r="I2399">
        <v>8654</v>
      </c>
      <c r="J2399">
        <v>0</v>
      </c>
      <c r="K2399">
        <v>0</v>
      </c>
      <c r="L2399" s="4" t="s">
        <v>3153</v>
      </c>
      <c r="M2399" s="4" t="str">
        <f t="shared" si="335"/>
        <v>3/17/2020</v>
      </c>
      <c r="N2399" s="1">
        <f t="shared" ca="1" si="336"/>
        <v>46064</v>
      </c>
      <c r="O2399" s="6" t="e">
        <f t="shared" ca="1" si="337"/>
        <v>#VALUE!</v>
      </c>
      <c r="P2399">
        <v>3</v>
      </c>
      <c r="Q2399">
        <f t="shared" si="338"/>
        <v>60854</v>
      </c>
      <c r="R2399" s="2">
        <f t="shared" si="339"/>
        <v>30427</v>
      </c>
      <c r="S2399" s="2" t="str">
        <f t="shared" si="340"/>
        <v xml:space="preserve"> Not Achieved</v>
      </c>
      <c r="T2399" s="2" t="str">
        <f t="shared" si="341"/>
        <v xml:space="preserve"> Excellent</v>
      </c>
      <c r="U2399" s="2"/>
    </row>
    <row r="2400" spans="1:21" x14ac:dyDescent="0.3">
      <c r="A2400">
        <v>2399</v>
      </c>
      <c r="B2400" t="s">
        <v>3378</v>
      </c>
      <c r="C2400" t="str">
        <f t="shared" si="333"/>
        <v>EMP_2399</v>
      </c>
      <c r="D2400" t="s">
        <v>11</v>
      </c>
      <c r="E2400" t="str">
        <f t="shared" si="334"/>
        <v>EMP_2399HR</v>
      </c>
      <c r="F2400" t="s">
        <v>12</v>
      </c>
      <c r="G2400" t="s">
        <v>16</v>
      </c>
      <c r="H2400">
        <v>59725</v>
      </c>
      <c r="I2400">
        <v>5194</v>
      </c>
      <c r="J2400">
        <v>0</v>
      </c>
      <c r="K2400">
        <v>0</v>
      </c>
      <c r="L2400" s="4">
        <v>44086</v>
      </c>
      <c r="M2400" s="4" t="str">
        <f t="shared" si="335"/>
        <v>2020</v>
      </c>
      <c r="N2400" s="1">
        <f t="shared" ca="1" si="336"/>
        <v>46064</v>
      </c>
      <c r="O2400" s="6">
        <f t="shared" ca="1" si="337"/>
        <v>5</v>
      </c>
      <c r="P2400">
        <v>3</v>
      </c>
      <c r="Q2400">
        <f t="shared" si="338"/>
        <v>64919</v>
      </c>
      <c r="R2400" s="2">
        <f t="shared" si="339"/>
        <v>32459.5</v>
      </c>
      <c r="S2400" s="2" t="str">
        <f t="shared" si="340"/>
        <v xml:space="preserve"> Not Achieved</v>
      </c>
      <c r="T2400" s="2" t="str">
        <f t="shared" si="341"/>
        <v xml:space="preserve"> Excellent</v>
      </c>
      <c r="U2400" s="2"/>
    </row>
    <row r="2401" spans="1:21" x14ac:dyDescent="0.3">
      <c r="A2401">
        <v>2400</v>
      </c>
      <c r="B2401" t="s">
        <v>3379</v>
      </c>
      <c r="C2401" t="str">
        <f t="shared" si="333"/>
        <v>EMP_2400</v>
      </c>
      <c r="D2401" t="s">
        <v>11</v>
      </c>
      <c r="E2401" t="str">
        <f t="shared" si="334"/>
        <v>EMP_2400Marketing</v>
      </c>
      <c r="F2401" t="s">
        <v>24</v>
      </c>
      <c r="G2401" t="s">
        <v>25</v>
      </c>
      <c r="H2401">
        <v>56569</v>
      </c>
      <c r="I2401">
        <v>13472</v>
      </c>
      <c r="J2401">
        <v>0</v>
      </c>
      <c r="K2401">
        <v>0</v>
      </c>
      <c r="L2401" s="4">
        <v>44166</v>
      </c>
      <c r="M2401" s="4" t="str">
        <f t="shared" si="335"/>
        <v>2020</v>
      </c>
      <c r="N2401" s="1">
        <f t="shared" ca="1" si="336"/>
        <v>46064</v>
      </c>
      <c r="O2401" s="6">
        <f t="shared" ca="1" si="337"/>
        <v>5</v>
      </c>
      <c r="P2401">
        <v>3</v>
      </c>
      <c r="Q2401">
        <f t="shared" si="338"/>
        <v>70041</v>
      </c>
      <c r="R2401" s="2">
        <f t="shared" si="339"/>
        <v>35020.5</v>
      </c>
      <c r="S2401" s="2" t="str">
        <f t="shared" si="340"/>
        <v xml:space="preserve"> Not Achieved</v>
      </c>
      <c r="T2401" s="2" t="str">
        <f t="shared" si="341"/>
        <v xml:space="preserve"> Excellent</v>
      </c>
      <c r="U2401" s="2"/>
    </row>
    <row r="2402" spans="1:21" x14ac:dyDescent="0.3">
      <c r="A2402">
        <v>2401</v>
      </c>
      <c r="B2402" t="s">
        <v>3380</v>
      </c>
      <c r="C2402" t="str">
        <f t="shared" si="333"/>
        <v>EMP_2401</v>
      </c>
      <c r="D2402" t="s">
        <v>15</v>
      </c>
      <c r="E2402" t="str">
        <f t="shared" si="334"/>
        <v>EMP_2401Marketing</v>
      </c>
      <c r="F2402" t="s">
        <v>24</v>
      </c>
      <c r="G2402" t="s">
        <v>25</v>
      </c>
      <c r="H2402">
        <v>69638</v>
      </c>
      <c r="I2402">
        <v>12559</v>
      </c>
      <c r="J2402">
        <v>0</v>
      </c>
      <c r="K2402">
        <v>0</v>
      </c>
      <c r="L2402" s="4" t="s">
        <v>1403</v>
      </c>
      <c r="M2402" s="4" t="str">
        <f t="shared" si="335"/>
        <v>4/16/2021</v>
      </c>
      <c r="N2402" s="1">
        <f t="shared" ca="1" si="336"/>
        <v>46064</v>
      </c>
      <c r="O2402" s="6" t="e">
        <f t="shared" ca="1" si="337"/>
        <v>#VALUE!</v>
      </c>
      <c r="P2402">
        <v>2</v>
      </c>
      <c r="Q2402">
        <f t="shared" si="338"/>
        <v>82197</v>
      </c>
      <c r="R2402" s="2">
        <f t="shared" si="339"/>
        <v>41098.5</v>
      </c>
      <c r="S2402" s="2" t="str">
        <f t="shared" si="340"/>
        <v xml:space="preserve"> Not Achieved</v>
      </c>
      <c r="T2402" s="2" t="str">
        <f t="shared" si="341"/>
        <v xml:space="preserve"> Excellent</v>
      </c>
      <c r="U2402" s="2"/>
    </row>
    <row r="2403" spans="1:21" x14ac:dyDescent="0.3">
      <c r="A2403">
        <v>2402</v>
      </c>
      <c r="B2403" t="s">
        <v>3381</v>
      </c>
      <c r="C2403" t="str">
        <f t="shared" si="333"/>
        <v>EMP_2402</v>
      </c>
      <c r="D2403" t="s">
        <v>15</v>
      </c>
      <c r="E2403" t="str">
        <f t="shared" si="334"/>
        <v>EMP_2402IT</v>
      </c>
      <c r="F2403" t="s">
        <v>21</v>
      </c>
      <c r="G2403" t="s">
        <v>16</v>
      </c>
      <c r="H2403">
        <v>20005</v>
      </c>
      <c r="I2403">
        <v>2378</v>
      </c>
      <c r="J2403">
        <v>0</v>
      </c>
      <c r="K2403">
        <v>0</v>
      </c>
      <c r="L2403" s="4">
        <v>43776</v>
      </c>
      <c r="M2403" s="4" t="str">
        <f t="shared" si="335"/>
        <v>2019</v>
      </c>
      <c r="N2403" s="1">
        <f t="shared" ca="1" si="336"/>
        <v>46064</v>
      </c>
      <c r="O2403" s="6">
        <f t="shared" ca="1" si="337"/>
        <v>6</v>
      </c>
      <c r="P2403">
        <v>5</v>
      </c>
      <c r="Q2403">
        <f t="shared" si="338"/>
        <v>22383</v>
      </c>
      <c r="R2403" s="2">
        <f t="shared" si="339"/>
        <v>11191.5</v>
      </c>
      <c r="S2403" s="2" t="str">
        <f t="shared" si="340"/>
        <v xml:space="preserve"> Not Achieved</v>
      </c>
      <c r="T2403" s="2" t="str">
        <f t="shared" si="341"/>
        <v>poor</v>
      </c>
      <c r="U2403" s="2"/>
    </row>
    <row r="2404" spans="1:21" x14ac:dyDescent="0.3">
      <c r="A2404">
        <v>2403</v>
      </c>
      <c r="B2404" t="s">
        <v>3382</v>
      </c>
      <c r="C2404" t="str">
        <f t="shared" si="333"/>
        <v>EMP_2403</v>
      </c>
      <c r="D2404" t="s">
        <v>15</v>
      </c>
      <c r="E2404" t="str">
        <f t="shared" si="334"/>
        <v>EMP_2403Finance</v>
      </c>
      <c r="F2404" t="s">
        <v>18</v>
      </c>
      <c r="G2404" t="s">
        <v>16</v>
      </c>
      <c r="H2404">
        <v>68119</v>
      </c>
      <c r="I2404">
        <v>4483</v>
      </c>
      <c r="J2404">
        <v>0</v>
      </c>
      <c r="K2404">
        <v>0</v>
      </c>
      <c r="L2404" s="4" t="s">
        <v>3383</v>
      </c>
      <c r="M2404" s="4" t="str">
        <f t="shared" si="335"/>
        <v>11/23/2022</v>
      </c>
      <c r="N2404" s="1">
        <f t="shared" ca="1" si="336"/>
        <v>46064</v>
      </c>
      <c r="O2404" s="6" t="e">
        <f t="shared" ca="1" si="337"/>
        <v>#VALUE!</v>
      </c>
      <c r="P2404">
        <v>3</v>
      </c>
      <c r="Q2404">
        <f t="shared" si="338"/>
        <v>72602</v>
      </c>
      <c r="R2404" s="2">
        <f t="shared" si="339"/>
        <v>36301</v>
      </c>
      <c r="S2404" s="2" t="str">
        <f t="shared" si="340"/>
        <v xml:space="preserve"> Not Achieved</v>
      </c>
      <c r="T2404" s="2" t="str">
        <f t="shared" si="341"/>
        <v xml:space="preserve"> Excellent</v>
      </c>
      <c r="U2404" s="2"/>
    </row>
    <row r="2405" spans="1:21" x14ac:dyDescent="0.3">
      <c r="A2405">
        <v>2404</v>
      </c>
      <c r="B2405" t="s">
        <v>3384</v>
      </c>
      <c r="C2405" t="str">
        <f t="shared" si="333"/>
        <v>EMP_2404</v>
      </c>
      <c r="D2405" t="s">
        <v>11</v>
      </c>
      <c r="E2405" t="str">
        <f t="shared" si="334"/>
        <v>EMP_2404Sales</v>
      </c>
      <c r="F2405" t="s">
        <v>7</v>
      </c>
      <c r="G2405" t="s">
        <v>13</v>
      </c>
      <c r="H2405">
        <v>25072</v>
      </c>
      <c r="I2405">
        <v>3277</v>
      </c>
      <c r="J2405">
        <v>113626</v>
      </c>
      <c r="K2405">
        <v>209158</v>
      </c>
      <c r="L2405" s="4" t="s">
        <v>3332</v>
      </c>
      <c r="M2405" s="4" t="str">
        <f t="shared" si="335"/>
        <v>9/17/2019</v>
      </c>
      <c r="N2405" s="1">
        <f t="shared" ca="1" si="336"/>
        <v>46064</v>
      </c>
      <c r="O2405" s="6" t="e">
        <f t="shared" ca="1" si="337"/>
        <v>#VALUE!</v>
      </c>
      <c r="P2405">
        <v>1</v>
      </c>
      <c r="Q2405">
        <f t="shared" si="338"/>
        <v>28349</v>
      </c>
      <c r="R2405" s="2">
        <f t="shared" si="339"/>
        <v>14174.5</v>
      </c>
      <c r="S2405" s="2" t="str">
        <f t="shared" si="340"/>
        <v xml:space="preserve"> Not Achieved</v>
      </c>
      <c r="T2405" s="2" t="str">
        <f t="shared" si="341"/>
        <v>poor</v>
      </c>
      <c r="U2405" s="2"/>
    </row>
    <row r="2406" spans="1:21" x14ac:dyDescent="0.3">
      <c r="A2406">
        <v>2405</v>
      </c>
      <c r="B2406" t="s">
        <v>3385</v>
      </c>
      <c r="C2406" t="str">
        <f t="shared" si="333"/>
        <v>EMP_2405</v>
      </c>
      <c r="D2406" t="s">
        <v>11</v>
      </c>
      <c r="E2406" t="str">
        <f t="shared" si="334"/>
        <v>EMP_2405HR</v>
      </c>
      <c r="F2406" t="s">
        <v>12</v>
      </c>
      <c r="G2406" t="s">
        <v>13</v>
      </c>
      <c r="H2406">
        <v>27423</v>
      </c>
      <c r="I2406">
        <v>12275</v>
      </c>
      <c r="J2406">
        <v>0</v>
      </c>
      <c r="K2406">
        <v>0</v>
      </c>
      <c r="L2406" s="4" t="s">
        <v>142</v>
      </c>
      <c r="M2406" s="4" t="str">
        <f t="shared" si="335"/>
        <v>1/18/2020</v>
      </c>
      <c r="N2406" s="1">
        <f t="shared" ca="1" si="336"/>
        <v>46064</v>
      </c>
      <c r="O2406" s="6" t="e">
        <f t="shared" ca="1" si="337"/>
        <v>#VALUE!</v>
      </c>
      <c r="P2406">
        <v>5</v>
      </c>
      <c r="Q2406">
        <f t="shared" si="338"/>
        <v>39698</v>
      </c>
      <c r="R2406" s="2">
        <f t="shared" si="339"/>
        <v>19849</v>
      </c>
      <c r="S2406" s="2" t="str">
        <f t="shared" si="340"/>
        <v xml:space="preserve"> Not Achieved</v>
      </c>
      <c r="T2406" s="2" t="str">
        <f t="shared" si="341"/>
        <v>poor</v>
      </c>
      <c r="U2406" s="2"/>
    </row>
    <row r="2407" spans="1:21" x14ac:dyDescent="0.3">
      <c r="A2407">
        <v>2406</v>
      </c>
      <c r="B2407" t="s">
        <v>3386</v>
      </c>
      <c r="C2407" t="str">
        <f t="shared" si="333"/>
        <v>EMP_2406</v>
      </c>
      <c r="D2407" t="s">
        <v>15</v>
      </c>
      <c r="E2407" t="str">
        <f t="shared" si="334"/>
        <v>EMP_2406IT</v>
      </c>
      <c r="F2407" t="s">
        <v>21</v>
      </c>
      <c r="G2407" t="s">
        <v>25</v>
      </c>
      <c r="H2407">
        <v>60618</v>
      </c>
      <c r="I2407">
        <v>13900</v>
      </c>
      <c r="J2407">
        <v>0</v>
      </c>
      <c r="K2407">
        <v>0</v>
      </c>
      <c r="L2407" s="4" t="s">
        <v>682</v>
      </c>
      <c r="M2407" s="4" t="str">
        <f t="shared" si="335"/>
        <v>8/17/2024</v>
      </c>
      <c r="N2407" s="1">
        <f t="shared" ca="1" si="336"/>
        <v>46064</v>
      </c>
      <c r="O2407" s="6" t="e">
        <f t="shared" ca="1" si="337"/>
        <v>#VALUE!</v>
      </c>
      <c r="P2407">
        <v>4</v>
      </c>
      <c r="Q2407">
        <f t="shared" si="338"/>
        <v>74518</v>
      </c>
      <c r="R2407" s="2">
        <f t="shared" si="339"/>
        <v>37259</v>
      </c>
      <c r="S2407" s="2" t="str">
        <f t="shared" si="340"/>
        <v xml:space="preserve"> Not Achieved</v>
      </c>
      <c r="T2407" s="2" t="str">
        <f t="shared" si="341"/>
        <v xml:space="preserve"> Excellent</v>
      </c>
      <c r="U2407" s="2"/>
    </row>
    <row r="2408" spans="1:21" x14ac:dyDescent="0.3">
      <c r="A2408">
        <v>2407</v>
      </c>
      <c r="B2408" t="s">
        <v>3387</v>
      </c>
      <c r="C2408" t="str">
        <f t="shared" si="333"/>
        <v>EMP_2407</v>
      </c>
      <c r="D2408" t="s">
        <v>15</v>
      </c>
      <c r="E2408" t="str">
        <f t="shared" si="334"/>
        <v>EMP_2407HR</v>
      </c>
      <c r="F2408" t="s">
        <v>12</v>
      </c>
      <c r="G2408" t="s">
        <v>25</v>
      </c>
      <c r="H2408">
        <v>57397</v>
      </c>
      <c r="I2408">
        <v>11451</v>
      </c>
      <c r="J2408">
        <v>0</v>
      </c>
      <c r="K2408">
        <v>0</v>
      </c>
      <c r="L2408" s="4" t="s">
        <v>3388</v>
      </c>
      <c r="M2408" s="4" t="str">
        <f t="shared" si="335"/>
        <v>7/17/2022</v>
      </c>
      <c r="N2408" s="1">
        <f t="shared" ca="1" si="336"/>
        <v>46064</v>
      </c>
      <c r="O2408" s="6" t="e">
        <f t="shared" ca="1" si="337"/>
        <v>#VALUE!</v>
      </c>
      <c r="P2408">
        <v>2</v>
      </c>
      <c r="Q2408">
        <f t="shared" si="338"/>
        <v>68848</v>
      </c>
      <c r="R2408" s="2">
        <f t="shared" si="339"/>
        <v>34424</v>
      </c>
      <c r="S2408" s="2" t="str">
        <f t="shared" si="340"/>
        <v xml:space="preserve"> Not Achieved</v>
      </c>
      <c r="T2408" s="2" t="str">
        <f t="shared" si="341"/>
        <v xml:space="preserve"> Excellent</v>
      </c>
      <c r="U2408" s="2"/>
    </row>
    <row r="2409" spans="1:21" x14ac:dyDescent="0.3">
      <c r="A2409">
        <v>2408</v>
      </c>
      <c r="B2409" t="s">
        <v>3389</v>
      </c>
      <c r="C2409" t="str">
        <f t="shared" si="333"/>
        <v>EMP_2408</v>
      </c>
      <c r="D2409" t="s">
        <v>11</v>
      </c>
      <c r="E2409" t="str">
        <f t="shared" si="334"/>
        <v>EMP_2408HR</v>
      </c>
      <c r="F2409" t="s">
        <v>12</v>
      </c>
      <c r="G2409" t="s">
        <v>25</v>
      </c>
      <c r="H2409">
        <v>64441</v>
      </c>
      <c r="I2409">
        <v>10707</v>
      </c>
      <c r="J2409">
        <v>0</v>
      </c>
      <c r="K2409">
        <v>0</v>
      </c>
      <c r="L2409" s="4" t="s">
        <v>857</v>
      </c>
      <c r="M2409" s="4" t="str">
        <f t="shared" si="335"/>
        <v>9/17/2021</v>
      </c>
      <c r="N2409" s="1">
        <f t="shared" ca="1" si="336"/>
        <v>46064</v>
      </c>
      <c r="O2409" s="6" t="e">
        <f t="shared" ca="1" si="337"/>
        <v>#VALUE!</v>
      </c>
      <c r="P2409">
        <v>2</v>
      </c>
      <c r="Q2409">
        <f t="shared" si="338"/>
        <v>75148</v>
      </c>
      <c r="R2409" s="2">
        <f t="shared" si="339"/>
        <v>37574</v>
      </c>
      <c r="S2409" s="2" t="str">
        <f t="shared" si="340"/>
        <v xml:space="preserve"> Not Achieved</v>
      </c>
      <c r="T2409" s="2" t="str">
        <f t="shared" si="341"/>
        <v xml:space="preserve"> Excellent</v>
      </c>
      <c r="U2409" s="2"/>
    </row>
    <row r="2410" spans="1:21" x14ac:dyDescent="0.3">
      <c r="A2410">
        <v>2409</v>
      </c>
      <c r="B2410" t="s">
        <v>3390</v>
      </c>
      <c r="C2410" t="str">
        <f t="shared" si="333"/>
        <v>EMP_2409</v>
      </c>
      <c r="D2410" t="s">
        <v>15</v>
      </c>
      <c r="E2410" t="str">
        <f t="shared" si="334"/>
        <v>EMP_2409Finance</v>
      </c>
      <c r="F2410" t="s">
        <v>18</v>
      </c>
      <c r="G2410" t="s">
        <v>13</v>
      </c>
      <c r="H2410">
        <v>79941</v>
      </c>
      <c r="I2410">
        <v>7714</v>
      </c>
      <c r="J2410">
        <v>0</v>
      </c>
      <c r="K2410">
        <v>0</v>
      </c>
      <c r="L2410" s="4" t="s">
        <v>720</v>
      </c>
      <c r="M2410" s="4" t="str">
        <f t="shared" si="335"/>
        <v>11/21/2020</v>
      </c>
      <c r="N2410" s="1">
        <f t="shared" ca="1" si="336"/>
        <v>46064</v>
      </c>
      <c r="O2410" s="6" t="e">
        <f t="shared" ca="1" si="337"/>
        <v>#VALUE!</v>
      </c>
      <c r="P2410">
        <v>1</v>
      </c>
      <c r="Q2410">
        <f t="shared" si="338"/>
        <v>87655</v>
      </c>
      <c r="R2410" s="2">
        <f t="shared" si="339"/>
        <v>43827.5</v>
      </c>
      <c r="S2410" s="2" t="str">
        <f t="shared" si="340"/>
        <v xml:space="preserve"> Not Achieved</v>
      </c>
      <c r="T2410" s="2" t="str">
        <f t="shared" si="341"/>
        <v xml:space="preserve"> Excellent</v>
      </c>
      <c r="U2410" s="2"/>
    </row>
    <row r="2411" spans="1:21" x14ac:dyDescent="0.3">
      <c r="A2411">
        <v>2410</v>
      </c>
      <c r="B2411" t="s">
        <v>3391</v>
      </c>
      <c r="C2411" t="str">
        <f t="shared" si="333"/>
        <v>EMP_2410</v>
      </c>
      <c r="D2411" t="s">
        <v>11</v>
      </c>
      <c r="E2411" t="str">
        <f t="shared" si="334"/>
        <v>EMP_2410HR</v>
      </c>
      <c r="F2411" t="s">
        <v>12</v>
      </c>
      <c r="G2411" t="s">
        <v>13</v>
      </c>
      <c r="H2411">
        <v>63352</v>
      </c>
      <c r="I2411">
        <v>7939</v>
      </c>
      <c r="J2411">
        <v>0</v>
      </c>
      <c r="K2411">
        <v>0</v>
      </c>
      <c r="L2411" s="4" t="s">
        <v>1238</v>
      </c>
      <c r="M2411" s="4" t="str">
        <f t="shared" si="335"/>
        <v>5/29/2018</v>
      </c>
      <c r="N2411" s="1">
        <f t="shared" ca="1" si="336"/>
        <v>46064</v>
      </c>
      <c r="O2411" s="6" t="e">
        <f t="shared" ca="1" si="337"/>
        <v>#VALUE!</v>
      </c>
      <c r="P2411">
        <v>5</v>
      </c>
      <c r="Q2411">
        <f t="shared" si="338"/>
        <v>71291</v>
      </c>
      <c r="R2411" s="2">
        <f t="shared" si="339"/>
        <v>35645.5</v>
      </c>
      <c r="S2411" s="2" t="str">
        <f t="shared" si="340"/>
        <v xml:space="preserve"> Not Achieved</v>
      </c>
      <c r="T2411" s="2" t="str">
        <f t="shared" si="341"/>
        <v xml:space="preserve"> Excellent</v>
      </c>
      <c r="U2411" s="2"/>
    </row>
    <row r="2412" spans="1:21" x14ac:dyDescent="0.3">
      <c r="A2412">
        <v>2411</v>
      </c>
      <c r="B2412" t="s">
        <v>3392</v>
      </c>
      <c r="C2412" t="str">
        <f t="shared" si="333"/>
        <v>EMP_2411</v>
      </c>
      <c r="D2412" t="s">
        <v>15</v>
      </c>
      <c r="E2412" t="str">
        <f t="shared" si="334"/>
        <v>EMP_2411HR</v>
      </c>
      <c r="F2412" t="s">
        <v>12</v>
      </c>
      <c r="G2412" t="s">
        <v>13</v>
      </c>
      <c r="H2412">
        <v>33768</v>
      </c>
      <c r="I2412">
        <v>6955</v>
      </c>
      <c r="J2412">
        <v>0</v>
      </c>
      <c r="K2412">
        <v>0</v>
      </c>
      <c r="L2412" s="4" t="s">
        <v>1043</v>
      </c>
      <c r="M2412" s="4" t="str">
        <f t="shared" si="335"/>
        <v>3/15/2021</v>
      </c>
      <c r="N2412" s="1">
        <f t="shared" ca="1" si="336"/>
        <v>46064</v>
      </c>
      <c r="O2412" s="6" t="e">
        <f t="shared" ca="1" si="337"/>
        <v>#VALUE!</v>
      </c>
      <c r="P2412">
        <v>2</v>
      </c>
      <c r="Q2412">
        <f t="shared" si="338"/>
        <v>40723</v>
      </c>
      <c r="R2412" s="2">
        <f t="shared" si="339"/>
        <v>20361.5</v>
      </c>
      <c r="S2412" s="2" t="str">
        <f t="shared" si="340"/>
        <v xml:space="preserve"> Not Achieved</v>
      </c>
      <c r="T2412" s="2" t="str">
        <f t="shared" si="341"/>
        <v>Average</v>
      </c>
      <c r="U2412" s="2"/>
    </row>
    <row r="2413" spans="1:21" x14ac:dyDescent="0.3">
      <c r="A2413">
        <v>2412</v>
      </c>
      <c r="B2413" t="s">
        <v>3393</v>
      </c>
      <c r="C2413" t="str">
        <f t="shared" si="333"/>
        <v>EMP_2412</v>
      </c>
      <c r="D2413" t="s">
        <v>15</v>
      </c>
      <c r="E2413" t="str">
        <f t="shared" si="334"/>
        <v>EMP_2412HR</v>
      </c>
      <c r="F2413" t="s">
        <v>12</v>
      </c>
      <c r="G2413" t="s">
        <v>13</v>
      </c>
      <c r="H2413">
        <v>40776</v>
      </c>
      <c r="I2413">
        <v>11766</v>
      </c>
      <c r="J2413">
        <v>0</v>
      </c>
      <c r="K2413">
        <v>0</v>
      </c>
      <c r="L2413" s="4" t="s">
        <v>1001</v>
      </c>
      <c r="M2413" s="4" t="str">
        <f t="shared" si="335"/>
        <v>11/14/2023</v>
      </c>
      <c r="N2413" s="1">
        <f t="shared" ca="1" si="336"/>
        <v>46064</v>
      </c>
      <c r="O2413" s="6" t="e">
        <f t="shared" ca="1" si="337"/>
        <v>#VALUE!</v>
      </c>
      <c r="P2413">
        <v>3</v>
      </c>
      <c r="Q2413">
        <f t="shared" si="338"/>
        <v>52542</v>
      </c>
      <c r="R2413" s="2">
        <f t="shared" si="339"/>
        <v>26271</v>
      </c>
      <c r="S2413" s="2" t="str">
        <f t="shared" si="340"/>
        <v xml:space="preserve"> Not Achieved</v>
      </c>
      <c r="T2413" s="2" t="str">
        <f t="shared" si="341"/>
        <v>Good</v>
      </c>
      <c r="U2413" s="2"/>
    </row>
    <row r="2414" spans="1:21" x14ac:dyDescent="0.3">
      <c r="A2414">
        <v>2413</v>
      </c>
      <c r="B2414" t="s">
        <v>3394</v>
      </c>
      <c r="C2414" t="str">
        <f t="shared" si="333"/>
        <v>EMP_2413</v>
      </c>
      <c r="D2414" t="s">
        <v>15</v>
      </c>
      <c r="E2414" t="str">
        <f t="shared" si="334"/>
        <v>EMP_2413HR</v>
      </c>
      <c r="F2414" t="s">
        <v>12</v>
      </c>
      <c r="G2414" t="s">
        <v>19</v>
      </c>
      <c r="H2414">
        <v>45454</v>
      </c>
      <c r="I2414">
        <v>9817</v>
      </c>
      <c r="J2414">
        <v>0</v>
      </c>
      <c r="K2414">
        <v>0</v>
      </c>
      <c r="L2414" s="4">
        <v>45450</v>
      </c>
      <c r="M2414" s="4" t="str">
        <f t="shared" si="335"/>
        <v>2024</v>
      </c>
      <c r="N2414" s="1">
        <f t="shared" ca="1" si="336"/>
        <v>46064</v>
      </c>
      <c r="O2414" s="6">
        <f t="shared" ca="1" si="337"/>
        <v>1</v>
      </c>
      <c r="P2414">
        <v>3</v>
      </c>
      <c r="Q2414">
        <f t="shared" si="338"/>
        <v>55271</v>
      </c>
      <c r="R2414" s="2">
        <f t="shared" si="339"/>
        <v>27635.5</v>
      </c>
      <c r="S2414" s="2" t="str">
        <f t="shared" si="340"/>
        <v xml:space="preserve"> Not Achieved</v>
      </c>
      <c r="T2414" s="2" t="str">
        <f t="shared" si="341"/>
        <v>Good</v>
      </c>
      <c r="U2414" s="2"/>
    </row>
    <row r="2415" spans="1:21" x14ac:dyDescent="0.3">
      <c r="A2415">
        <v>2414</v>
      </c>
      <c r="B2415" t="s">
        <v>3395</v>
      </c>
      <c r="C2415" t="str">
        <f t="shared" si="333"/>
        <v>EMP_2414</v>
      </c>
      <c r="D2415" t="s">
        <v>11</v>
      </c>
      <c r="E2415" t="str">
        <f t="shared" si="334"/>
        <v>EMP_2414Marketing</v>
      </c>
      <c r="F2415" t="s">
        <v>24</v>
      </c>
      <c r="G2415" t="s">
        <v>25</v>
      </c>
      <c r="H2415">
        <v>50916</v>
      </c>
      <c r="I2415">
        <v>13572</v>
      </c>
      <c r="J2415">
        <v>0</v>
      </c>
      <c r="K2415">
        <v>0</v>
      </c>
      <c r="L2415" s="4" t="s">
        <v>285</v>
      </c>
      <c r="M2415" s="4" t="str">
        <f t="shared" si="335"/>
        <v>8/14/2021</v>
      </c>
      <c r="N2415" s="1">
        <f t="shared" ca="1" si="336"/>
        <v>46064</v>
      </c>
      <c r="O2415" s="6" t="e">
        <f t="shared" ca="1" si="337"/>
        <v>#VALUE!</v>
      </c>
      <c r="P2415">
        <v>1</v>
      </c>
      <c r="Q2415">
        <f t="shared" si="338"/>
        <v>64488</v>
      </c>
      <c r="R2415" s="2">
        <f t="shared" si="339"/>
        <v>32244</v>
      </c>
      <c r="S2415" s="2" t="str">
        <f t="shared" si="340"/>
        <v xml:space="preserve"> Not Achieved</v>
      </c>
      <c r="T2415" s="2" t="str">
        <f t="shared" si="341"/>
        <v xml:space="preserve"> Excellent</v>
      </c>
      <c r="U2415" s="2"/>
    </row>
    <row r="2416" spans="1:21" x14ac:dyDescent="0.3">
      <c r="A2416">
        <v>2415</v>
      </c>
      <c r="B2416" t="s">
        <v>3396</v>
      </c>
      <c r="C2416" t="str">
        <f t="shared" si="333"/>
        <v>EMP_2415</v>
      </c>
      <c r="D2416" t="s">
        <v>15</v>
      </c>
      <c r="E2416" t="str">
        <f t="shared" si="334"/>
        <v>EMP_2415HR</v>
      </c>
      <c r="F2416" t="s">
        <v>12</v>
      </c>
      <c r="G2416" t="s">
        <v>13</v>
      </c>
      <c r="H2416">
        <v>57579</v>
      </c>
      <c r="I2416">
        <v>2322</v>
      </c>
      <c r="J2416">
        <v>0</v>
      </c>
      <c r="K2416">
        <v>0</v>
      </c>
      <c r="L2416" s="4">
        <v>44603</v>
      </c>
      <c r="M2416" s="4" t="str">
        <f t="shared" si="335"/>
        <v>2022</v>
      </c>
      <c r="N2416" s="1">
        <f t="shared" ca="1" si="336"/>
        <v>46064</v>
      </c>
      <c r="O2416" s="6">
        <f t="shared" ca="1" si="337"/>
        <v>4</v>
      </c>
      <c r="P2416">
        <v>5</v>
      </c>
      <c r="Q2416">
        <f t="shared" si="338"/>
        <v>59901</v>
      </c>
      <c r="R2416" s="2">
        <f t="shared" si="339"/>
        <v>29950.5</v>
      </c>
      <c r="S2416" s="2" t="str">
        <f t="shared" si="340"/>
        <v xml:space="preserve"> Not Achieved</v>
      </c>
      <c r="T2416" s="2" t="str">
        <f t="shared" si="341"/>
        <v xml:space="preserve"> Excellent</v>
      </c>
      <c r="U2416" s="2"/>
    </row>
    <row r="2417" spans="1:21" x14ac:dyDescent="0.3">
      <c r="A2417">
        <v>2416</v>
      </c>
      <c r="B2417" t="s">
        <v>3397</v>
      </c>
      <c r="C2417" t="str">
        <f t="shared" si="333"/>
        <v>EMP_2416</v>
      </c>
      <c r="D2417" t="s">
        <v>11</v>
      </c>
      <c r="E2417" t="str">
        <f t="shared" si="334"/>
        <v>EMP_2416HR</v>
      </c>
      <c r="F2417" t="s">
        <v>12</v>
      </c>
      <c r="G2417" t="s">
        <v>25</v>
      </c>
      <c r="H2417">
        <v>45301</v>
      </c>
      <c r="I2417">
        <v>13641</v>
      </c>
      <c r="J2417">
        <v>0</v>
      </c>
      <c r="K2417">
        <v>0</v>
      </c>
      <c r="L2417" s="4" t="s">
        <v>3398</v>
      </c>
      <c r="M2417" s="4" t="str">
        <f t="shared" si="335"/>
        <v>3/31/2024</v>
      </c>
      <c r="N2417" s="1">
        <f t="shared" ca="1" si="336"/>
        <v>46064</v>
      </c>
      <c r="O2417" s="6" t="e">
        <f t="shared" ca="1" si="337"/>
        <v>#VALUE!</v>
      </c>
      <c r="P2417">
        <v>1</v>
      </c>
      <c r="Q2417">
        <f t="shared" si="338"/>
        <v>58942</v>
      </c>
      <c r="R2417" s="2">
        <f t="shared" si="339"/>
        <v>29471</v>
      </c>
      <c r="S2417" s="2" t="str">
        <f t="shared" si="340"/>
        <v xml:space="preserve"> Not Achieved</v>
      </c>
      <c r="T2417" s="2" t="str">
        <f t="shared" si="341"/>
        <v>Good</v>
      </c>
      <c r="U2417" s="2"/>
    </row>
    <row r="2418" spans="1:21" x14ac:dyDescent="0.3">
      <c r="A2418">
        <v>2417</v>
      </c>
      <c r="B2418" t="s">
        <v>3399</v>
      </c>
      <c r="C2418" t="str">
        <f t="shared" si="333"/>
        <v>EMP_2417</v>
      </c>
      <c r="D2418" t="s">
        <v>15</v>
      </c>
      <c r="E2418" t="str">
        <f t="shared" si="334"/>
        <v>EMP_2417HR</v>
      </c>
      <c r="F2418" t="s">
        <v>12</v>
      </c>
      <c r="G2418" t="s">
        <v>13</v>
      </c>
      <c r="H2418">
        <v>63551</v>
      </c>
      <c r="I2418">
        <v>3325</v>
      </c>
      <c r="J2418">
        <v>0</v>
      </c>
      <c r="K2418">
        <v>0</v>
      </c>
      <c r="L2418" s="4" t="s">
        <v>3400</v>
      </c>
      <c r="M2418" s="4" t="str">
        <f t="shared" si="335"/>
        <v>11/27/2024</v>
      </c>
      <c r="N2418" s="1">
        <f t="shared" ca="1" si="336"/>
        <v>46064</v>
      </c>
      <c r="O2418" s="6" t="e">
        <f t="shared" ca="1" si="337"/>
        <v>#VALUE!</v>
      </c>
      <c r="P2418">
        <v>2</v>
      </c>
      <c r="Q2418">
        <f t="shared" si="338"/>
        <v>66876</v>
      </c>
      <c r="R2418" s="2">
        <f t="shared" si="339"/>
        <v>33438</v>
      </c>
      <c r="S2418" s="2" t="str">
        <f t="shared" si="340"/>
        <v xml:space="preserve"> Not Achieved</v>
      </c>
      <c r="T2418" s="2" t="str">
        <f t="shared" si="341"/>
        <v xml:space="preserve"> Excellent</v>
      </c>
      <c r="U2418" s="2"/>
    </row>
    <row r="2419" spans="1:21" x14ac:dyDescent="0.3">
      <c r="A2419">
        <v>2418</v>
      </c>
      <c r="B2419" t="s">
        <v>3401</v>
      </c>
      <c r="C2419" t="str">
        <f t="shared" si="333"/>
        <v>EMP_2418</v>
      </c>
      <c r="D2419" t="s">
        <v>11</v>
      </c>
      <c r="E2419" t="str">
        <f t="shared" si="334"/>
        <v>EMP_2418Marketing</v>
      </c>
      <c r="F2419" t="s">
        <v>24</v>
      </c>
      <c r="G2419" t="s">
        <v>25</v>
      </c>
      <c r="H2419">
        <v>51817</v>
      </c>
      <c r="I2419">
        <v>13211</v>
      </c>
      <c r="J2419">
        <v>0</v>
      </c>
      <c r="K2419">
        <v>0</v>
      </c>
      <c r="L2419" s="4">
        <v>45420</v>
      </c>
      <c r="M2419" s="4" t="str">
        <f t="shared" si="335"/>
        <v>2024</v>
      </c>
      <c r="N2419" s="1">
        <f t="shared" ca="1" si="336"/>
        <v>46064</v>
      </c>
      <c r="O2419" s="6">
        <f t="shared" ca="1" si="337"/>
        <v>1</v>
      </c>
      <c r="P2419">
        <v>5</v>
      </c>
      <c r="Q2419">
        <f t="shared" si="338"/>
        <v>65028</v>
      </c>
      <c r="R2419" s="2">
        <f t="shared" si="339"/>
        <v>32514</v>
      </c>
      <c r="S2419" s="2" t="str">
        <f t="shared" si="340"/>
        <v xml:space="preserve"> Not Achieved</v>
      </c>
      <c r="T2419" s="2" t="str">
        <f t="shared" si="341"/>
        <v xml:space="preserve"> Excellent</v>
      </c>
      <c r="U2419" s="2"/>
    </row>
    <row r="2420" spans="1:21" x14ac:dyDescent="0.3">
      <c r="A2420">
        <v>2419</v>
      </c>
      <c r="B2420" t="s">
        <v>3402</v>
      </c>
      <c r="C2420" t="str">
        <f t="shared" si="333"/>
        <v>EMP_2419</v>
      </c>
      <c r="D2420" t="s">
        <v>15</v>
      </c>
      <c r="E2420" t="str">
        <f t="shared" si="334"/>
        <v>EMP_2419Finance</v>
      </c>
      <c r="F2420" t="s">
        <v>18</v>
      </c>
      <c r="G2420" t="s">
        <v>19</v>
      </c>
      <c r="H2420">
        <v>45891</v>
      </c>
      <c r="I2420">
        <v>7056</v>
      </c>
      <c r="J2420">
        <v>0</v>
      </c>
      <c r="K2420">
        <v>0</v>
      </c>
      <c r="L2420" s="4" t="s">
        <v>1013</v>
      </c>
      <c r="M2420" s="4" t="str">
        <f t="shared" si="335"/>
        <v>3/28/2020</v>
      </c>
      <c r="N2420" s="1">
        <f t="shared" ca="1" si="336"/>
        <v>46064</v>
      </c>
      <c r="O2420" s="6" t="e">
        <f t="shared" ca="1" si="337"/>
        <v>#VALUE!</v>
      </c>
      <c r="P2420">
        <v>1</v>
      </c>
      <c r="Q2420">
        <f t="shared" si="338"/>
        <v>52947</v>
      </c>
      <c r="R2420" s="2">
        <f t="shared" si="339"/>
        <v>26473.5</v>
      </c>
      <c r="S2420" s="2" t="str">
        <f t="shared" si="340"/>
        <v xml:space="preserve"> Not Achieved</v>
      </c>
      <c r="T2420" s="2" t="str">
        <f t="shared" si="341"/>
        <v>Good</v>
      </c>
      <c r="U2420" s="2"/>
    </row>
    <row r="2421" spans="1:21" x14ac:dyDescent="0.3">
      <c r="A2421">
        <v>2420</v>
      </c>
      <c r="B2421" t="s">
        <v>3403</v>
      </c>
      <c r="C2421" t="str">
        <f t="shared" si="333"/>
        <v>EMP_2420</v>
      </c>
      <c r="D2421" t="s">
        <v>15</v>
      </c>
      <c r="E2421" t="str">
        <f t="shared" si="334"/>
        <v>EMP_2420HR</v>
      </c>
      <c r="F2421" t="s">
        <v>12</v>
      </c>
      <c r="G2421" t="s">
        <v>25</v>
      </c>
      <c r="H2421">
        <v>75891</v>
      </c>
      <c r="I2421">
        <v>8843</v>
      </c>
      <c r="J2421">
        <v>0</v>
      </c>
      <c r="K2421">
        <v>0</v>
      </c>
      <c r="L2421" s="4">
        <v>43406</v>
      </c>
      <c r="M2421" s="4" t="str">
        <f t="shared" si="335"/>
        <v>2018</v>
      </c>
      <c r="N2421" s="1">
        <f t="shared" ca="1" si="336"/>
        <v>46064</v>
      </c>
      <c r="O2421" s="6">
        <f t="shared" ca="1" si="337"/>
        <v>7</v>
      </c>
      <c r="P2421">
        <v>5</v>
      </c>
      <c r="Q2421">
        <f t="shared" si="338"/>
        <v>84734</v>
      </c>
      <c r="R2421" s="2">
        <f t="shared" si="339"/>
        <v>42367</v>
      </c>
      <c r="S2421" s="2" t="str">
        <f t="shared" si="340"/>
        <v xml:space="preserve"> Not Achieved</v>
      </c>
      <c r="T2421" s="2" t="str">
        <f t="shared" si="341"/>
        <v xml:space="preserve"> Excellent</v>
      </c>
      <c r="U2421" s="2"/>
    </row>
    <row r="2422" spans="1:21" x14ac:dyDescent="0.3">
      <c r="A2422">
        <v>2421</v>
      </c>
      <c r="B2422" t="s">
        <v>3404</v>
      </c>
      <c r="C2422" t="str">
        <f t="shared" si="333"/>
        <v>EMP_2421</v>
      </c>
      <c r="D2422" t="s">
        <v>11</v>
      </c>
      <c r="E2422" t="str">
        <f t="shared" si="334"/>
        <v>EMP_2421Marketing</v>
      </c>
      <c r="F2422" t="s">
        <v>24</v>
      </c>
      <c r="G2422" t="s">
        <v>16</v>
      </c>
      <c r="H2422">
        <v>44220</v>
      </c>
      <c r="I2422">
        <v>13028</v>
      </c>
      <c r="J2422">
        <v>0</v>
      </c>
      <c r="K2422">
        <v>0</v>
      </c>
      <c r="L2422" s="4" t="s">
        <v>3405</v>
      </c>
      <c r="M2422" s="4" t="str">
        <f t="shared" si="335"/>
        <v>3/27/2023</v>
      </c>
      <c r="N2422" s="1">
        <f t="shared" ca="1" si="336"/>
        <v>46064</v>
      </c>
      <c r="O2422" s="6" t="e">
        <f t="shared" ca="1" si="337"/>
        <v>#VALUE!</v>
      </c>
      <c r="P2422">
        <v>1</v>
      </c>
      <c r="Q2422">
        <f t="shared" si="338"/>
        <v>57248</v>
      </c>
      <c r="R2422" s="2">
        <f t="shared" si="339"/>
        <v>28624</v>
      </c>
      <c r="S2422" s="2" t="str">
        <f t="shared" si="340"/>
        <v xml:space="preserve"> Not Achieved</v>
      </c>
      <c r="T2422" s="2" t="str">
        <f t="shared" si="341"/>
        <v>Good</v>
      </c>
      <c r="U2422" s="2"/>
    </row>
    <row r="2423" spans="1:21" x14ac:dyDescent="0.3">
      <c r="A2423">
        <v>2422</v>
      </c>
      <c r="B2423" t="s">
        <v>3406</v>
      </c>
      <c r="C2423" t="str">
        <f t="shared" si="333"/>
        <v>EMP_2422</v>
      </c>
      <c r="D2423" t="s">
        <v>11</v>
      </c>
      <c r="E2423" t="str">
        <f t="shared" si="334"/>
        <v>EMP_2422HR</v>
      </c>
      <c r="F2423" t="s">
        <v>12</v>
      </c>
      <c r="G2423" t="s">
        <v>16</v>
      </c>
      <c r="H2423">
        <v>76854</v>
      </c>
      <c r="I2423">
        <v>4046</v>
      </c>
      <c r="J2423">
        <v>0</v>
      </c>
      <c r="K2423">
        <v>0</v>
      </c>
      <c r="L2423" s="4" t="s">
        <v>318</v>
      </c>
      <c r="M2423" s="4" t="str">
        <f t="shared" si="335"/>
        <v>3/14/2021</v>
      </c>
      <c r="N2423" s="1">
        <f t="shared" ca="1" si="336"/>
        <v>46064</v>
      </c>
      <c r="O2423" s="6" t="e">
        <f t="shared" ca="1" si="337"/>
        <v>#VALUE!</v>
      </c>
      <c r="P2423">
        <v>2</v>
      </c>
      <c r="Q2423">
        <f t="shared" si="338"/>
        <v>80900</v>
      </c>
      <c r="R2423" s="2">
        <f t="shared" si="339"/>
        <v>40450</v>
      </c>
      <c r="S2423" s="2" t="str">
        <f t="shared" si="340"/>
        <v xml:space="preserve"> Not Achieved</v>
      </c>
      <c r="T2423" s="2" t="str">
        <f t="shared" si="341"/>
        <v xml:space="preserve"> Excellent</v>
      </c>
      <c r="U2423" s="2"/>
    </row>
    <row r="2424" spans="1:21" x14ac:dyDescent="0.3">
      <c r="A2424">
        <v>2423</v>
      </c>
      <c r="B2424" t="s">
        <v>3407</v>
      </c>
      <c r="C2424" t="str">
        <f t="shared" si="333"/>
        <v>EMP_2423</v>
      </c>
      <c r="D2424" t="s">
        <v>11</v>
      </c>
      <c r="E2424" t="str">
        <f t="shared" si="334"/>
        <v>EMP_2423Sales</v>
      </c>
      <c r="F2424" t="s">
        <v>7</v>
      </c>
      <c r="G2424" t="s">
        <v>22</v>
      </c>
      <c r="H2424">
        <v>29647</v>
      </c>
      <c r="I2424">
        <v>11039</v>
      </c>
      <c r="J2424">
        <v>73571</v>
      </c>
      <c r="K2424">
        <v>84680</v>
      </c>
      <c r="L2424" s="4" t="s">
        <v>1947</v>
      </c>
      <c r="M2424" s="4" t="str">
        <f t="shared" si="335"/>
        <v>3/17/2023</v>
      </c>
      <c r="N2424" s="1">
        <f t="shared" ca="1" si="336"/>
        <v>46064</v>
      </c>
      <c r="O2424" s="6" t="e">
        <f t="shared" ca="1" si="337"/>
        <v>#VALUE!</v>
      </c>
      <c r="P2424">
        <v>4</v>
      </c>
      <c r="Q2424">
        <f t="shared" si="338"/>
        <v>40686</v>
      </c>
      <c r="R2424" s="2">
        <f t="shared" si="339"/>
        <v>20343</v>
      </c>
      <c r="S2424" s="2" t="str">
        <f t="shared" si="340"/>
        <v xml:space="preserve"> Not Achieved</v>
      </c>
      <c r="T2424" s="2" t="str">
        <f t="shared" si="341"/>
        <v>poor</v>
      </c>
      <c r="U2424" s="2"/>
    </row>
    <row r="2425" spans="1:21" x14ac:dyDescent="0.3">
      <c r="A2425">
        <v>2424</v>
      </c>
      <c r="B2425" t="s">
        <v>3408</v>
      </c>
      <c r="C2425" t="str">
        <f t="shared" si="333"/>
        <v>EMP_2424</v>
      </c>
      <c r="D2425" t="s">
        <v>11</v>
      </c>
      <c r="E2425" t="str">
        <f t="shared" si="334"/>
        <v>EMP_2424Sales</v>
      </c>
      <c r="F2425" t="s">
        <v>7</v>
      </c>
      <c r="G2425" t="s">
        <v>25</v>
      </c>
      <c r="H2425">
        <v>24902</v>
      </c>
      <c r="I2425">
        <v>11943</v>
      </c>
      <c r="J2425">
        <v>88365</v>
      </c>
      <c r="K2425">
        <v>176459</v>
      </c>
      <c r="L2425" s="4">
        <v>45114</v>
      </c>
      <c r="M2425" s="4" t="str">
        <f t="shared" si="335"/>
        <v>2023</v>
      </c>
      <c r="N2425" s="1">
        <f t="shared" ca="1" si="336"/>
        <v>46064</v>
      </c>
      <c r="O2425" s="6">
        <f t="shared" ca="1" si="337"/>
        <v>2</v>
      </c>
      <c r="P2425">
        <v>3</v>
      </c>
      <c r="Q2425">
        <f t="shared" si="338"/>
        <v>36845</v>
      </c>
      <c r="R2425" s="2">
        <f t="shared" si="339"/>
        <v>18422.5</v>
      </c>
      <c r="S2425" s="2" t="str">
        <f t="shared" si="340"/>
        <v xml:space="preserve"> Not Achieved</v>
      </c>
      <c r="T2425" s="2" t="str">
        <f t="shared" si="341"/>
        <v>poor</v>
      </c>
      <c r="U2425" s="2"/>
    </row>
    <row r="2426" spans="1:21" x14ac:dyDescent="0.3">
      <c r="A2426">
        <v>2425</v>
      </c>
      <c r="B2426" t="s">
        <v>3409</v>
      </c>
      <c r="C2426" t="str">
        <f t="shared" si="333"/>
        <v>EMP_2425</v>
      </c>
      <c r="D2426" t="s">
        <v>11</v>
      </c>
      <c r="E2426" t="str">
        <f t="shared" si="334"/>
        <v>EMP_2425Marketing</v>
      </c>
      <c r="F2426" t="s">
        <v>24</v>
      </c>
      <c r="G2426" t="s">
        <v>19</v>
      </c>
      <c r="H2426">
        <v>26845</v>
      </c>
      <c r="I2426">
        <v>8048</v>
      </c>
      <c r="J2426">
        <v>0</v>
      </c>
      <c r="K2426">
        <v>0</v>
      </c>
      <c r="L2426" s="4" t="s">
        <v>1303</v>
      </c>
      <c r="M2426" s="4" t="str">
        <f t="shared" si="335"/>
        <v>5/27/2022</v>
      </c>
      <c r="N2426" s="1">
        <f t="shared" ca="1" si="336"/>
        <v>46064</v>
      </c>
      <c r="O2426" s="6" t="e">
        <f t="shared" ca="1" si="337"/>
        <v>#VALUE!</v>
      </c>
      <c r="P2426">
        <v>5</v>
      </c>
      <c r="Q2426">
        <f t="shared" si="338"/>
        <v>34893</v>
      </c>
      <c r="R2426" s="2">
        <f t="shared" si="339"/>
        <v>17446.5</v>
      </c>
      <c r="S2426" s="2" t="str">
        <f t="shared" si="340"/>
        <v xml:space="preserve"> Not Achieved</v>
      </c>
      <c r="T2426" s="2" t="str">
        <f t="shared" si="341"/>
        <v>poor</v>
      </c>
      <c r="U2426" s="2"/>
    </row>
    <row r="2427" spans="1:21" x14ac:dyDescent="0.3">
      <c r="A2427">
        <v>2426</v>
      </c>
      <c r="B2427" t="s">
        <v>3410</v>
      </c>
      <c r="C2427" t="str">
        <f t="shared" si="333"/>
        <v>EMP_2426</v>
      </c>
      <c r="D2427" t="s">
        <v>15</v>
      </c>
      <c r="E2427" t="str">
        <f t="shared" si="334"/>
        <v>EMP_2426IT</v>
      </c>
      <c r="F2427" t="s">
        <v>21</v>
      </c>
      <c r="G2427" t="s">
        <v>25</v>
      </c>
      <c r="H2427">
        <v>45128</v>
      </c>
      <c r="I2427">
        <v>9413</v>
      </c>
      <c r="J2427">
        <v>0</v>
      </c>
      <c r="K2427">
        <v>0</v>
      </c>
      <c r="L2427" s="4" t="s">
        <v>224</v>
      </c>
      <c r="M2427" s="4" t="str">
        <f t="shared" si="335"/>
        <v>2/23/2023</v>
      </c>
      <c r="N2427" s="1">
        <f t="shared" ca="1" si="336"/>
        <v>46064</v>
      </c>
      <c r="O2427" s="6" t="e">
        <f t="shared" ca="1" si="337"/>
        <v>#VALUE!</v>
      </c>
      <c r="P2427">
        <v>5</v>
      </c>
      <c r="Q2427">
        <f t="shared" si="338"/>
        <v>54541</v>
      </c>
      <c r="R2427" s="2">
        <f t="shared" si="339"/>
        <v>27270.5</v>
      </c>
      <c r="S2427" s="2" t="str">
        <f t="shared" si="340"/>
        <v xml:space="preserve"> Not Achieved</v>
      </c>
      <c r="T2427" s="2" t="str">
        <f t="shared" si="341"/>
        <v>Good</v>
      </c>
      <c r="U2427" s="2"/>
    </row>
    <row r="2428" spans="1:21" x14ac:dyDescent="0.3">
      <c r="A2428">
        <v>2427</v>
      </c>
      <c r="B2428" t="s">
        <v>3411</v>
      </c>
      <c r="C2428" t="str">
        <f t="shared" si="333"/>
        <v>EMP_2427</v>
      </c>
      <c r="D2428" t="s">
        <v>15</v>
      </c>
      <c r="E2428" t="str">
        <f t="shared" si="334"/>
        <v>EMP_2427HR</v>
      </c>
      <c r="F2428" t="s">
        <v>12</v>
      </c>
      <c r="G2428" t="s">
        <v>25</v>
      </c>
      <c r="H2428">
        <v>29694</v>
      </c>
      <c r="I2428">
        <v>8345</v>
      </c>
      <c r="J2428">
        <v>0</v>
      </c>
      <c r="K2428">
        <v>0</v>
      </c>
      <c r="L2428" s="4" t="s">
        <v>2791</v>
      </c>
      <c r="M2428" s="4" t="str">
        <f t="shared" si="335"/>
        <v>9/20/2019</v>
      </c>
      <c r="N2428" s="1">
        <f t="shared" ca="1" si="336"/>
        <v>46064</v>
      </c>
      <c r="O2428" s="6" t="e">
        <f t="shared" ca="1" si="337"/>
        <v>#VALUE!</v>
      </c>
      <c r="P2428">
        <v>1</v>
      </c>
      <c r="Q2428">
        <f t="shared" si="338"/>
        <v>38039</v>
      </c>
      <c r="R2428" s="2">
        <f t="shared" si="339"/>
        <v>19019.5</v>
      </c>
      <c r="S2428" s="2" t="str">
        <f t="shared" si="340"/>
        <v xml:space="preserve"> Not Achieved</v>
      </c>
      <c r="T2428" s="2" t="str">
        <f t="shared" si="341"/>
        <v>poor</v>
      </c>
      <c r="U2428" s="2"/>
    </row>
    <row r="2429" spans="1:21" x14ac:dyDescent="0.3">
      <c r="A2429">
        <v>2428</v>
      </c>
      <c r="B2429" t="s">
        <v>3412</v>
      </c>
      <c r="C2429" t="str">
        <f t="shared" si="333"/>
        <v>EMP_2428</v>
      </c>
      <c r="D2429" t="s">
        <v>15</v>
      </c>
      <c r="E2429" t="str">
        <f t="shared" si="334"/>
        <v>EMP_2428IT</v>
      </c>
      <c r="F2429" t="s">
        <v>21</v>
      </c>
      <c r="G2429" t="s">
        <v>13</v>
      </c>
      <c r="H2429">
        <v>47666</v>
      </c>
      <c r="I2429">
        <v>7396</v>
      </c>
      <c r="J2429">
        <v>0</v>
      </c>
      <c r="K2429">
        <v>0</v>
      </c>
      <c r="L2429" s="4">
        <v>43987</v>
      </c>
      <c r="M2429" s="4" t="str">
        <f t="shared" si="335"/>
        <v>2020</v>
      </c>
      <c r="N2429" s="1">
        <f t="shared" ca="1" si="336"/>
        <v>46064</v>
      </c>
      <c r="O2429" s="6">
        <f t="shared" ca="1" si="337"/>
        <v>5</v>
      </c>
      <c r="P2429">
        <v>4</v>
      </c>
      <c r="Q2429">
        <f t="shared" si="338"/>
        <v>55062</v>
      </c>
      <c r="R2429" s="2">
        <f t="shared" si="339"/>
        <v>27531</v>
      </c>
      <c r="S2429" s="2" t="str">
        <f t="shared" si="340"/>
        <v xml:space="preserve"> Not Achieved</v>
      </c>
      <c r="T2429" s="2" t="str">
        <f t="shared" si="341"/>
        <v>Good</v>
      </c>
      <c r="U2429" s="2"/>
    </row>
    <row r="2430" spans="1:21" x14ac:dyDescent="0.3">
      <c r="A2430">
        <v>2429</v>
      </c>
      <c r="B2430" t="s">
        <v>3413</v>
      </c>
      <c r="C2430" t="str">
        <f t="shared" si="333"/>
        <v>EMP_2429</v>
      </c>
      <c r="D2430" t="s">
        <v>11</v>
      </c>
      <c r="E2430" t="str">
        <f t="shared" si="334"/>
        <v>EMP_2429HR</v>
      </c>
      <c r="F2430" t="s">
        <v>12</v>
      </c>
      <c r="G2430" t="s">
        <v>22</v>
      </c>
      <c r="H2430">
        <v>79777</v>
      </c>
      <c r="I2430">
        <v>13421</v>
      </c>
      <c r="J2430">
        <v>0</v>
      </c>
      <c r="K2430">
        <v>0</v>
      </c>
      <c r="L2430" s="4" t="s">
        <v>3414</v>
      </c>
      <c r="M2430" s="4" t="str">
        <f t="shared" si="335"/>
        <v>1/24/2019</v>
      </c>
      <c r="N2430" s="1">
        <f t="shared" ca="1" si="336"/>
        <v>46064</v>
      </c>
      <c r="O2430" s="6" t="e">
        <f t="shared" ca="1" si="337"/>
        <v>#VALUE!</v>
      </c>
      <c r="P2430">
        <v>5</v>
      </c>
      <c r="Q2430">
        <f t="shared" si="338"/>
        <v>93198</v>
      </c>
      <c r="R2430" s="2">
        <f t="shared" si="339"/>
        <v>46599</v>
      </c>
      <c r="S2430" s="2" t="str">
        <f t="shared" si="340"/>
        <v xml:space="preserve"> Not Achieved</v>
      </c>
      <c r="T2430" s="2" t="str">
        <f t="shared" si="341"/>
        <v xml:space="preserve"> Excellent</v>
      </c>
      <c r="U2430" s="2"/>
    </row>
    <row r="2431" spans="1:21" x14ac:dyDescent="0.3">
      <c r="A2431">
        <v>2430</v>
      </c>
      <c r="B2431" t="s">
        <v>3415</v>
      </c>
      <c r="C2431" t="str">
        <f t="shared" si="333"/>
        <v>EMP_2430</v>
      </c>
      <c r="D2431" t="s">
        <v>11</v>
      </c>
      <c r="E2431" t="str">
        <f t="shared" si="334"/>
        <v>EMP_2430IT</v>
      </c>
      <c r="F2431" t="s">
        <v>21</v>
      </c>
      <c r="G2431" t="s">
        <v>13</v>
      </c>
      <c r="H2431">
        <v>78786</v>
      </c>
      <c r="I2431">
        <v>12957</v>
      </c>
      <c r="J2431">
        <v>0</v>
      </c>
      <c r="K2431">
        <v>0</v>
      </c>
      <c r="L2431" s="4">
        <v>44595</v>
      </c>
      <c r="M2431" s="4" t="str">
        <f t="shared" si="335"/>
        <v>2022</v>
      </c>
      <c r="N2431" s="1">
        <f t="shared" ca="1" si="336"/>
        <v>46064</v>
      </c>
      <c r="O2431" s="6">
        <f t="shared" ca="1" si="337"/>
        <v>4</v>
      </c>
      <c r="P2431">
        <v>1</v>
      </c>
      <c r="Q2431">
        <f t="shared" si="338"/>
        <v>91743</v>
      </c>
      <c r="R2431" s="2">
        <f t="shared" si="339"/>
        <v>45871.5</v>
      </c>
      <c r="S2431" s="2" t="str">
        <f t="shared" si="340"/>
        <v xml:space="preserve"> Not Achieved</v>
      </c>
      <c r="T2431" s="2" t="str">
        <f t="shared" si="341"/>
        <v xml:space="preserve"> Excellent</v>
      </c>
      <c r="U2431" s="2"/>
    </row>
    <row r="2432" spans="1:21" x14ac:dyDescent="0.3">
      <c r="A2432">
        <v>2431</v>
      </c>
      <c r="B2432" t="s">
        <v>3416</v>
      </c>
      <c r="C2432" t="str">
        <f t="shared" si="333"/>
        <v>EMP_2431</v>
      </c>
      <c r="D2432" t="s">
        <v>11</v>
      </c>
      <c r="E2432" t="str">
        <f t="shared" si="334"/>
        <v>EMP_2431HR</v>
      </c>
      <c r="F2432" t="s">
        <v>12</v>
      </c>
      <c r="G2432" t="s">
        <v>16</v>
      </c>
      <c r="H2432">
        <v>64852</v>
      </c>
      <c r="I2432">
        <v>8775</v>
      </c>
      <c r="J2432">
        <v>0</v>
      </c>
      <c r="K2432">
        <v>0</v>
      </c>
      <c r="L2432" s="4" t="s">
        <v>3417</v>
      </c>
      <c r="M2432" s="4" t="str">
        <f t="shared" si="335"/>
        <v>5/29/2021</v>
      </c>
      <c r="N2432" s="1">
        <f t="shared" ca="1" si="336"/>
        <v>46064</v>
      </c>
      <c r="O2432" s="6" t="e">
        <f t="shared" ca="1" si="337"/>
        <v>#VALUE!</v>
      </c>
      <c r="P2432">
        <v>3</v>
      </c>
      <c r="Q2432">
        <f t="shared" si="338"/>
        <v>73627</v>
      </c>
      <c r="R2432" s="2">
        <f t="shared" si="339"/>
        <v>36813.5</v>
      </c>
      <c r="S2432" s="2" t="str">
        <f t="shared" si="340"/>
        <v xml:space="preserve"> Not Achieved</v>
      </c>
      <c r="T2432" s="2" t="str">
        <f t="shared" si="341"/>
        <v xml:space="preserve"> Excellent</v>
      </c>
      <c r="U2432" s="2"/>
    </row>
    <row r="2433" spans="1:21" x14ac:dyDescent="0.3">
      <c r="A2433">
        <v>2432</v>
      </c>
      <c r="B2433" t="s">
        <v>3418</v>
      </c>
      <c r="C2433" t="str">
        <f t="shared" si="333"/>
        <v>EMP_2432</v>
      </c>
      <c r="D2433" t="s">
        <v>11</v>
      </c>
      <c r="E2433" t="str">
        <f t="shared" si="334"/>
        <v>EMP_2432Sales</v>
      </c>
      <c r="F2433" t="s">
        <v>7</v>
      </c>
      <c r="G2433" t="s">
        <v>13</v>
      </c>
      <c r="H2433">
        <v>33675</v>
      </c>
      <c r="I2433">
        <v>12287</v>
      </c>
      <c r="J2433">
        <v>86689</v>
      </c>
      <c r="K2433">
        <v>118865</v>
      </c>
      <c r="L2433" s="4">
        <v>45180</v>
      </c>
      <c r="M2433" s="4" t="str">
        <f t="shared" si="335"/>
        <v>2023</v>
      </c>
      <c r="N2433" s="1">
        <f t="shared" ca="1" si="336"/>
        <v>46064</v>
      </c>
      <c r="O2433" s="6">
        <f t="shared" ca="1" si="337"/>
        <v>2</v>
      </c>
      <c r="P2433">
        <v>1</v>
      </c>
      <c r="Q2433">
        <f t="shared" si="338"/>
        <v>45962</v>
      </c>
      <c r="R2433" s="2">
        <f t="shared" si="339"/>
        <v>22981</v>
      </c>
      <c r="S2433" s="2" t="str">
        <f t="shared" si="340"/>
        <v xml:space="preserve"> Not Achieved</v>
      </c>
      <c r="T2433" s="2" t="str">
        <f t="shared" si="341"/>
        <v>Average</v>
      </c>
      <c r="U2433" s="2"/>
    </row>
    <row r="2434" spans="1:21" x14ac:dyDescent="0.3">
      <c r="A2434">
        <v>2433</v>
      </c>
      <c r="B2434" t="s">
        <v>3419</v>
      </c>
      <c r="C2434" t="str">
        <f t="shared" si="333"/>
        <v>EMP_2433</v>
      </c>
      <c r="D2434" t="s">
        <v>15</v>
      </c>
      <c r="E2434" t="str">
        <f t="shared" si="334"/>
        <v>EMP_2433Sales</v>
      </c>
      <c r="F2434" t="s">
        <v>7</v>
      </c>
      <c r="G2434" t="s">
        <v>25</v>
      </c>
      <c r="H2434">
        <v>36420</v>
      </c>
      <c r="I2434">
        <v>13935</v>
      </c>
      <c r="J2434">
        <v>199329</v>
      </c>
      <c r="K2434">
        <v>221375</v>
      </c>
      <c r="L2434" s="4">
        <v>44683</v>
      </c>
      <c r="M2434" s="4" t="str">
        <f t="shared" si="335"/>
        <v>2022</v>
      </c>
      <c r="N2434" s="1">
        <f t="shared" ca="1" si="336"/>
        <v>46064</v>
      </c>
      <c r="O2434" s="6">
        <f t="shared" ca="1" si="337"/>
        <v>3</v>
      </c>
      <c r="P2434">
        <v>1</v>
      </c>
      <c r="Q2434">
        <f t="shared" si="338"/>
        <v>50355</v>
      </c>
      <c r="R2434" s="2">
        <f t="shared" si="339"/>
        <v>25177.5</v>
      </c>
      <c r="S2434" s="2" t="str">
        <f t="shared" si="340"/>
        <v xml:space="preserve"> Not Achieved</v>
      </c>
      <c r="T2434" s="2" t="str">
        <f t="shared" si="341"/>
        <v>Average</v>
      </c>
      <c r="U2434" s="2"/>
    </row>
    <row r="2435" spans="1:21" x14ac:dyDescent="0.3">
      <c r="A2435">
        <v>2434</v>
      </c>
      <c r="B2435" t="s">
        <v>3420</v>
      </c>
      <c r="C2435" t="str">
        <f t="shared" ref="C2435:C2498" si="342">UPPER(B2435)</f>
        <v>EMP_2434</v>
      </c>
      <c r="D2435" t="s">
        <v>15</v>
      </c>
      <c r="E2435" t="str">
        <f t="shared" ref="E2435:E2498" si="343">_xlfn.CONCAT(C2435,F2435)</f>
        <v>EMP_2434HR</v>
      </c>
      <c r="F2435" t="s">
        <v>12</v>
      </c>
      <c r="G2435" t="s">
        <v>13</v>
      </c>
      <c r="H2435">
        <v>22257</v>
      </c>
      <c r="I2435">
        <v>6353</v>
      </c>
      <c r="J2435">
        <v>0</v>
      </c>
      <c r="K2435">
        <v>0</v>
      </c>
      <c r="L2435" s="4" t="s">
        <v>3421</v>
      </c>
      <c r="M2435" s="4" t="str">
        <f t="shared" ref="M2435:M2498" si="344">TEXT(L2435,"yyyy")</f>
        <v>9/17/2023</v>
      </c>
      <c r="N2435" s="1">
        <f t="shared" ref="N2435:N2498" ca="1" si="345">TODAY()</f>
        <v>46064</v>
      </c>
      <c r="O2435" s="6" t="e">
        <f t="shared" ref="O2435:O2498" ca="1" si="346">DATEDIF(L2435, TODAY(), "y")</f>
        <v>#VALUE!</v>
      </c>
      <c r="P2435">
        <v>1</v>
      </c>
      <c r="Q2435">
        <f t="shared" ref="Q2435:Q2498" si="347">SUM(H2435,I2435)</f>
        <v>28610</v>
      </c>
      <c r="R2435" s="2">
        <f t="shared" ref="R2435:R2498" si="348">AVERAGE(H2435,I2435)</f>
        <v>14305</v>
      </c>
      <c r="S2435" s="2" t="str">
        <f t="shared" ref="S2435:S2498" si="349">IF(J2435&gt;K2435,"Achieved"," Not Achieved")</f>
        <v xml:space="preserve"> Not Achieved</v>
      </c>
      <c r="T2435" s="2" t="str">
        <f t="shared" ref="T2435:T2498" si="350">_xlfn.IFS(H2435&gt;=50000," Excellent",H2435&gt;=40000,"Good",H2435&gt;=30000,"Average",H2435&lt;30000,"poor")</f>
        <v>poor</v>
      </c>
      <c r="U2435" s="2"/>
    </row>
    <row r="2436" spans="1:21" x14ac:dyDescent="0.3">
      <c r="A2436">
        <v>2435</v>
      </c>
      <c r="B2436" t="s">
        <v>3422</v>
      </c>
      <c r="C2436" t="str">
        <f t="shared" si="342"/>
        <v>EMP_2435</v>
      </c>
      <c r="D2436" t="s">
        <v>11</v>
      </c>
      <c r="E2436" t="str">
        <f t="shared" si="343"/>
        <v>EMP_2435Finance</v>
      </c>
      <c r="F2436" t="s">
        <v>18</v>
      </c>
      <c r="G2436" t="s">
        <v>16</v>
      </c>
      <c r="H2436">
        <v>31245</v>
      </c>
      <c r="I2436">
        <v>14430</v>
      </c>
      <c r="J2436">
        <v>0</v>
      </c>
      <c r="K2436">
        <v>0</v>
      </c>
      <c r="L2436" s="4" t="s">
        <v>1680</v>
      </c>
      <c r="M2436" s="4" t="str">
        <f t="shared" si="344"/>
        <v>2/28/2024</v>
      </c>
      <c r="N2436" s="1">
        <f t="shared" ca="1" si="345"/>
        <v>46064</v>
      </c>
      <c r="O2436" s="6" t="e">
        <f t="shared" ca="1" si="346"/>
        <v>#VALUE!</v>
      </c>
      <c r="P2436">
        <v>4</v>
      </c>
      <c r="Q2436">
        <f t="shared" si="347"/>
        <v>45675</v>
      </c>
      <c r="R2436" s="2">
        <f t="shared" si="348"/>
        <v>22837.5</v>
      </c>
      <c r="S2436" s="2" t="str">
        <f t="shared" si="349"/>
        <v xml:space="preserve"> Not Achieved</v>
      </c>
      <c r="T2436" s="2" t="str">
        <f t="shared" si="350"/>
        <v>Average</v>
      </c>
      <c r="U2436" s="2"/>
    </row>
    <row r="2437" spans="1:21" x14ac:dyDescent="0.3">
      <c r="A2437">
        <v>2436</v>
      </c>
      <c r="B2437" t="s">
        <v>3423</v>
      </c>
      <c r="C2437" t="str">
        <f t="shared" si="342"/>
        <v>EMP_2436</v>
      </c>
      <c r="D2437" t="s">
        <v>11</v>
      </c>
      <c r="E2437" t="str">
        <f t="shared" si="343"/>
        <v>EMP_2436IT</v>
      </c>
      <c r="F2437" t="s">
        <v>21</v>
      </c>
      <c r="G2437" t="s">
        <v>25</v>
      </c>
      <c r="H2437">
        <v>31023</v>
      </c>
      <c r="I2437">
        <v>12264</v>
      </c>
      <c r="J2437">
        <v>0</v>
      </c>
      <c r="K2437">
        <v>0</v>
      </c>
      <c r="L2437" s="4" t="s">
        <v>279</v>
      </c>
      <c r="M2437" s="4" t="str">
        <f t="shared" si="344"/>
        <v>12/15/2022</v>
      </c>
      <c r="N2437" s="1">
        <f t="shared" ca="1" si="345"/>
        <v>46064</v>
      </c>
      <c r="O2437" s="6" t="e">
        <f t="shared" ca="1" si="346"/>
        <v>#VALUE!</v>
      </c>
      <c r="P2437">
        <v>5</v>
      </c>
      <c r="Q2437">
        <f t="shared" si="347"/>
        <v>43287</v>
      </c>
      <c r="R2437" s="2">
        <f t="shared" si="348"/>
        <v>21643.5</v>
      </c>
      <c r="S2437" s="2" t="str">
        <f t="shared" si="349"/>
        <v xml:space="preserve"> Not Achieved</v>
      </c>
      <c r="T2437" s="2" t="str">
        <f t="shared" si="350"/>
        <v>Average</v>
      </c>
      <c r="U2437" s="2"/>
    </row>
    <row r="2438" spans="1:21" x14ac:dyDescent="0.3">
      <c r="A2438">
        <v>2437</v>
      </c>
      <c r="B2438" t="s">
        <v>3424</v>
      </c>
      <c r="C2438" t="str">
        <f t="shared" si="342"/>
        <v>EMP_2437</v>
      </c>
      <c r="D2438" t="s">
        <v>15</v>
      </c>
      <c r="E2438" t="str">
        <f t="shared" si="343"/>
        <v>EMP_2437IT</v>
      </c>
      <c r="F2438" t="s">
        <v>21</v>
      </c>
      <c r="G2438" t="s">
        <v>25</v>
      </c>
      <c r="H2438">
        <v>51042</v>
      </c>
      <c r="I2438">
        <v>13046</v>
      </c>
      <c r="J2438">
        <v>0</v>
      </c>
      <c r="K2438">
        <v>0</v>
      </c>
      <c r="L2438" s="4" t="s">
        <v>3425</v>
      </c>
      <c r="M2438" s="4" t="str">
        <f t="shared" si="344"/>
        <v>6/19/2021</v>
      </c>
      <c r="N2438" s="1">
        <f t="shared" ca="1" si="345"/>
        <v>46064</v>
      </c>
      <c r="O2438" s="6" t="e">
        <f t="shared" ca="1" si="346"/>
        <v>#VALUE!</v>
      </c>
      <c r="P2438">
        <v>4</v>
      </c>
      <c r="Q2438">
        <f t="shared" si="347"/>
        <v>64088</v>
      </c>
      <c r="R2438" s="2">
        <f t="shared" si="348"/>
        <v>32044</v>
      </c>
      <c r="S2438" s="2" t="str">
        <f t="shared" si="349"/>
        <v xml:space="preserve"> Not Achieved</v>
      </c>
      <c r="T2438" s="2" t="str">
        <f t="shared" si="350"/>
        <v xml:space="preserve"> Excellent</v>
      </c>
      <c r="U2438" s="2"/>
    </row>
    <row r="2439" spans="1:21" x14ac:dyDescent="0.3">
      <c r="A2439">
        <v>2438</v>
      </c>
      <c r="B2439" t="s">
        <v>3426</v>
      </c>
      <c r="C2439" t="str">
        <f t="shared" si="342"/>
        <v>EMP_2438</v>
      </c>
      <c r="D2439" t="s">
        <v>11</v>
      </c>
      <c r="E2439" t="str">
        <f t="shared" si="343"/>
        <v>EMP_2438HR</v>
      </c>
      <c r="F2439" t="s">
        <v>12</v>
      </c>
      <c r="G2439" t="s">
        <v>22</v>
      </c>
      <c r="H2439">
        <v>33396</v>
      </c>
      <c r="I2439">
        <v>9902</v>
      </c>
      <c r="J2439">
        <v>0</v>
      </c>
      <c r="K2439">
        <v>0</v>
      </c>
      <c r="L2439" s="4" t="s">
        <v>3427</v>
      </c>
      <c r="M2439" s="4" t="str">
        <f t="shared" si="344"/>
        <v>6/25/2024</v>
      </c>
      <c r="N2439" s="1">
        <f t="shared" ca="1" si="345"/>
        <v>46064</v>
      </c>
      <c r="O2439" s="6" t="e">
        <f t="shared" ca="1" si="346"/>
        <v>#VALUE!</v>
      </c>
      <c r="P2439">
        <v>5</v>
      </c>
      <c r="Q2439">
        <f t="shared" si="347"/>
        <v>43298</v>
      </c>
      <c r="R2439" s="2">
        <f t="shared" si="348"/>
        <v>21649</v>
      </c>
      <c r="S2439" s="2" t="str">
        <f t="shared" si="349"/>
        <v xml:space="preserve"> Not Achieved</v>
      </c>
      <c r="T2439" s="2" t="str">
        <f t="shared" si="350"/>
        <v>Average</v>
      </c>
      <c r="U2439" s="2"/>
    </row>
    <row r="2440" spans="1:21" x14ac:dyDescent="0.3">
      <c r="A2440">
        <v>2439</v>
      </c>
      <c r="B2440" t="s">
        <v>3428</v>
      </c>
      <c r="C2440" t="str">
        <f t="shared" si="342"/>
        <v>EMP_2439</v>
      </c>
      <c r="D2440" t="s">
        <v>15</v>
      </c>
      <c r="E2440" t="str">
        <f t="shared" si="343"/>
        <v>EMP_2439IT</v>
      </c>
      <c r="F2440" t="s">
        <v>21</v>
      </c>
      <c r="G2440" t="s">
        <v>25</v>
      </c>
      <c r="H2440">
        <v>64233</v>
      </c>
      <c r="I2440">
        <v>10960</v>
      </c>
      <c r="J2440">
        <v>0</v>
      </c>
      <c r="K2440">
        <v>0</v>
      </c>
      <c r="L2440" s="4">
        <v>43684</v>
      </c>
      <c r="M2440" s="4" t="str">
        <f t="shared" si="344"/>
        <v>2019</v>
      </c>
      <c r="N2440" s="1">
        <f t="shared" ca="1" si="345"/>
        <v>46064</v>
      </c>
      <c r="O2440" s="6">
        <f t="shared" ca="1" si="346"/>
        <v>6</v>
      </c>
      <c r="P2440">
        <v>4</v>
      </c>
      <c r="Q2440">
        <f t="shared" si="347"/>
        <v>75193</v>
      </c>
      <c r="R2440" s="2">
        <f t="shared" si="348"/>
        <v>37596.5</v>
      </c>
      <c r="S2440" s="2" t="str">
        <f t="shared" si="349"/>
        <v xml:space="preserve"> Not Achieved</v>
      </c>
      <c r="T2440" s="2" t="str">
        <f t="shared" si="350"/>
        <v xml:space="preserve"> Excellent</v>
      </c>
      <c r="U2440" s="2"/>
    </row>
    <row r="2441" spans="1:21" x14ac:dyDescent="0.3">
      <c r="A2441">
        <v>2440</v>
      </c>
      <c r="B2441" t="s">
        <v>3429</v>
      </c>
      <c r="C2441" t="str">
        <f t="shared" si="342"/>
        <v>EMP_2440</v>
      </c>
      <c r="D2441" t="s">
        <v>11</v>
      </c>
      <c r="E2441" t="str">
        <f t="shared" si="343"/>
        <v>EMP_2440Marketing</v>
      </c>
      <c r="F2441" t="s">
        <v>24</v>
      </c>
      <c r="G2441" t="s">
        <v>22</v>
      </c>
      <c r="H2441">
        <v>65450</v>
      </c>
      <c r="I2441">
        <v>12884</v>
      </c>
      <c r="J2441">
        <v>0</v>
      </c>
      <c r="K2441">
        <v>0</v>
      </c>
      <c r="L2441" s="4">
        <v>44326</v>
      </c>
      <c r="M2441" s="4" t="str">
        <f t="shared" si="344"/>
        <v>2021</v>
      </c>
      <c r="N2441" s="1">
        <f t="shared" ca="1" si="345"/>
        <v>46064</v>
      </c>
      <c r="O2441" s="6">
        <f t="shared" ca="1" si="346"/>
        <v>4</v>
      </c>
      <c r="P2441">
        <v>2</v>
      </c>
      <c r="Q2441">
        <f t="shared" si="347"/>
        <v>78334</v>
      </c>
      <c r="R2441" s="2">
        <f t="shared" si="348"/>
        <v>39167</v>
      </c>
      <c r="S2441" s="2" t="str">
        <f t="shared" si="349"/>
        <v xml:space="preserve"> Not Achieved</v>
      </c>
      <c r="T2441" s="2" t="str">
        <f t="shared" si="350"/>
        <v xml:space="preserve"> Excellent</v>
      </c>
      <c r="U2441" s="2"/>
    </row>
    <row r="2442" spans="1:21" x14ac:dyDescent="0.3">
      <c r="A2442">
        <v>2441</v>
      </c>
      <c r="B2442" t="s">
        <v>3430</v>
      </c>
      <c r="C2442" t="str">
        <f t="shared" si="342"/>
        <v>EMP_2441</v>
      </c>
      <c r="D2442" t="s">
        <v>11</v>
      </c>
      <c r="E2442" t="str">
        <f t="shared" si="343"/>
        <v>EMP_2441Marketing</v>
      </c>
      <c r="F2442" t="s">
        <v>24</v>
      </c>
      <c r="G2442" t="s">
        <v>22</v>
      </c>
      <c r="H2442">
        <v>34281</v>
      </c>
      <c r="I2442">
        <v>13345</v>
      </c>
      <c r="J2442">
        <v>0</v>
      </c>
      <c r="K2442">
        <v>0</v>
      </c>
      <c r="L2442" s="4" t="s">
        <v>277</v>
      </c>
      <c r="M2442" s="4" t="str">
        <f t="shared" si="344"/>
        <v>3/18/2022</v>
      </c>
      <c r="N2442" s="1">
        <f t="shared" ca="1" si="345"/>
        <v>46064</v>
      </c>
      <c r="O2442" s="6" t="e">
        <f t="shared" ca="1" si="346"/>
        <v>#VALUE!</v>
      </c>
      <c r="P2442">
        <v>1</v>
      </c>
      <c r="Q2442">
        <f t="shared" si="347"/>
        <v>47626</v>
      </c>
      <c r="R2442" s="2">
        <f t="shared" si="348"/>
        <v>23813</v>
      </c>
      <c r="S2442" s="2" t="str">
        <f t="shared" si="349"/>
        <v xml:space="preserve"> Not Achieved</v>
      </c>
      <c r="T2442" s="2" t="str">
        <f t="shared" si="350"/>
        <v>Average</v>
      </c>
      <c r="U2442" s="2"/>
    </row>
    <row r="2443" spans="1:21" x14ac:dyDescent="0.3">
      <c r="A2443">
        <v>2442</v>
      </c>
      <c r="B2443" t="s">
        <v>3431</v>
      </c>
      <c r="C2443" t="str">
        <f t="shared" si="342"/>
        <v>EMP_2442</v>
      </c>
      <c r="D2443" t="s">
        <v>15</v>
      </c>
      <c r="E2443" t="str">
        <f t="shared" si="343"/>
        <v>EMP_2442HR</v>
      </c>
      <c r="F2443" t="s">
        <v>12</v>
      </c>
      <c r="G2443" t="s">
        <v>22</v>
      </c>
      <c r="H2443">
        <v>29191</v>
      </c>
      <c r="I2443">
        <v>4597</v>
      </c>
      <c r="J2443">
        <v>0</v>
      </c>
      <c r="K2443">
        <v>0</v>
      </c>
      <c r="L2443" s="4">
        <v>45413</v>
      </c>
      <c r="M2443" s="4" t="str">
        <f t="shared" si="344"/>
        <v>2024</v>
      </c>
      <c r="N2443" s="1">
        <f t="shared" ca="1" si="345"/>
        <v>46064</v>
      </c>
      <c r="O2443" s="6">
        <f t="shared" ca="1" si="346"/>
        <v>1</v>
      </c>
      <c r="P2443">
        <v>3</v>
      </c>
      <c r="Q2443">
        <f t="shared" si="347"/>
        <v>33788</v>
      </c>
      <c r="R2443" s="2">
        <f t="shared" si="348"/>
        <v>16894</v>
      </c>
      <c r="S2443" s="2" t="str">
        <f t="shared" si="349"/>
        <v xml:space="preserve"> Not Achieved</v>
      </c>
      <c r="T2443" s="2" t="str">
        <f t="shared" si="350"/>
        <v>poor</v>
      </c>
      <c r="U2443" s="2"/>
    </row>
    <row r="2444" spans="1:21" x14ac:dyDescent="0.3">
      <c r="A2444">
        <v>2443</v>
      </c>
      <c r="B2444" t="s">
        <v>3432</v>
      </c>
      <c r="C2444" t="str">
        <f t="shared" si="342"/>
        <v>EMP_2443</v>
      </c>
      <c r="D2444" t="s">
        <v>11</v>
      </c>
      <c r="E2444" t="str">
        <f t="shared" si="343"/>
        <v>EMP_2443Marketing</v>
      </c>
      <c r="F2444" t="s">
        <v>24</v>
      </c>
      <c r="G2444" t="s">
        <v>22</v>
      </c>
      <c r="H2444">
        <v>54188</v>
      </c>
      <c r="I2444">
        <v>8377</v>
      </c>
      <c r="J2444">
        <v>0</v>
      </c>
      <c r="K2444">
        <v>0</v>
      </c>
      <c r="L2444" s="4" t="s">
        <v>3433</v>
      </c>
      <c r="M2444" s="4" t="str">
        <f t="shared" si="344"/>
        <v>1/14/2020</v>
      </c>
      <c r="N2444" s="1">
        <f t="shared" ca="1" si="345"/>
        <v>46064</v>
      </c>
      <c r="O2444" s="6" t="e">
        <f t="shared" ca="1" si="346"/>
        <v>#VALUE!</v>
      </c>
      <c r="P2444">
        <v>4</v>
      </c>
      <c r="Q2444">
        <f t="shared" si="347"/>
        <v>62565</v>
      </c>
      <c r="R2444" s="2">
        <f t="shared" si="348"/>
        <v>31282.5</v>
      </c>
      <c r="S2444" s="2" t="str">
        <f t="shared" si="349"/>
        <v xml:space="preserve"> Not Achieved</v>
      </c>
      <c r="T2444" s="2" t="str">
        <f t="shared" si="350"/>
        <v xml:space="preserve"> Excellent</v>
      </c>
      <c r="U2444" s="2"/>
    </row>
    <row r="2445" spans="1:21" x14ac:dyDescent="0.3">
      <c r="A2445">
        <v>2444</v>
      </c>
      <c r="B2445" t="s">
        <v>3434</v>
      </c>
      <c r="C2445" t="str">
        <f t="shared" si="342"/>
        <v>EMP_2444</v>
      </c>
      <c r="D2445" t="s">
        <v>11</v>
      </c>
      <c r="E2445" t="str">
        <f t="shared" si="343"/>
        <v>EMP_2444Sales</v>
      </c>
      <c r="F2445" t="s">
        <v>7</v>
      </c>
      <c r="G2445" t="s">
        <v>16</v>
      </c>
      <c r="H2445">
        <v>72934</v>
      </c>
      <c r="I2445">
        <v>7951</v>
      </c>
      <c r="J2445">
        <v>192082</v>
      </c>
      <c r="K2445">
        <v>119613</v>
      </c>
      <c r="L2445" s="4" t="s">
        <v>820</v>
      </c>
      <c r="M2445" s="4" t="str">
        <f t="shared" si="344"/>
        <v>6/27/2024</v>
      </c>
      <c r="N2445" s="1">
        <f t="shared" ca="1" si="345"/>
        <v>46064</v>
      </c>
      <c r="O2445" s="6" t="e">
        <f t="shared" ca="1" si="346"/>
        <v>#VALUE!</v>
      </c>
      <c r="P2445">
        <v>1</v>
      </c>
      <c r="Q2445">
        <f t="shared" si="347"/>
        <v>80885</v>
      </c>
      <c r="R2445" s="2">
        <f t="shared" si="348"/>
        <v>40442.5</v>
      </c>
      <c r="S2445" s="2" t="str">
        <f t="shared" si="349"/>
        <v>Achieved</v>
      </c>
      <c r="T2445" s="2" t="str">
        <f t="shared" si="350"/>
        <v xml:space="preserve"> Excellent</v>
      </c>
      <c r="U2445" s="2"/>
    </row>
    <row r="2446" spans="1:21" x14ac:dyDescent="0.3">
      <c r="A2446">
        <v>2445</v>
      </c>
      <c r="B2446" t="s">
        <v>3435</v>
      </c>
      <c r="C2446" t="str">
        <f t="shared" si="342"/>
        <v>EMP_2445</v>
      </c>
      <c r="D2446" t="s">
        <v>11</v>
      </c>
      <c r="E2446" t="str">
        <f t="shared" si="343"/>
        <v>EMP_2445IT</v>
      </c>
      <c r="F2446" t="s">
        <v>21</v>
      </c>
      <c r="G2446" t="s">
        <v>25</v>
      </c>
      <c r="H2446">
        <v>35951</v>
      </c>
      <c r="I2446">
        <v>9415</v>
      </c>
      <c r="J2446">
        <v>0</v>
      </c>
      <c r="K2446">
        <v>0</v>
      </c>
      <c r="L2446" s="4">
        <v>43442</v>
      </c>
      <c r="M2446" s="4" t="str">
        <f t="shared" si="344"/>
        <v>2018</v>
      </c>
      <c r="N2446" s="1">
        <f t="shared" ca="1" si="345"/>
        <v>46064</v>
      </c>
      <c r="O2446" s="6">
        <f t="shared" ca="1" si="346"/>
        <v>7</v>
      </c>
      <c r="P2446">
        <v>1</v>
      </c>
      <c r="Q2446">
        <f t="shared" si="347"/>
        <v>45366</v>
      </c>
      <c r="R2446" s="2">
        <f t="shared" si="348"/>
        <v>22683</v>
      </c>
      <c r="S2446" s="2" t="str">
        <f t="shared" si="349"/>
        <v xml:space="preserve"> Not Achieved</v>
      </c>
      <c r="T2446" s="2" t="str">
        <f t="shared" si="350"/>
        <v>Average</v>
      </c>
      <c r="U2446" s="2"/>
    </row>
    <row r="2447" spans="1:21" x14ac:dyDescent="0.3">
      <c r="A2447">
        <v>2446</v>
      </c>
      <c r="B2447" t="s">
        <v>3436</v>
      </c>
      <c r="C2447" t="str">
        <f t="shared" si="342"/>
        <v>EMP_2446</v>
      </c>
      <c r="D2447" t="s">
        <v>15</v>
      </c>
      <c r="E2447" t="str">
        <f t="shared" si="343"/>
        <v>EMP_2446IT</v>
      </c>
      <c r="F2447" t="s">
        <v>21</v>
      </c>
      <c r="G2447" t="s">
        <v>19</v>
      </c>
      <c r="H2447">
        <v>68001</v>
      </c>
      <c r="I2447">
        <v>2723</v>
      </c>
      <c r="J2447">
        <v>0</v>
      </c>
      <c r="K2447">
        <v>0</v>
      </c>
      <c r="L2447" s="4" t="s">
        <v>35</v>
      </c>
      <c r="M2447" s="4" t="str">
        <f t="shared" si="344"/>
        <v>11/14/2021</v>
      </c>
      <c r="N2447" s="1">
        <f t="shared" ca="1" si="345"/>
        <v>46064</v>
      </c>
      <c r="O2447" s="6" t="e">
        <f t="shared" ca="1" si="346"/>
        <v>#VALUE!</v>
      </c>
      <c r="P2447">
        <v>2</v>
      </c>
      <c r="Q2447">
        <f t="shared" si="347"/>
        <v>70724</v>
      </c>
      <c r="R2447" s="2">
        <f t="shared" si="348"/>
        <v>35362</v>
      </c>
      <c r="S2447" s="2" t="str">
        <f t="shared" si="349"/>
        <v xml:space="preserve"> Not Achieved</v>
      </c>
      <c r="T2447" s="2" t="str">
        <f t="shared" si="350"/>
        <v xml:space="preserve"> Excellent</v>
      </c>
      <c r="U2447" s="2"/>
    </row>
    <row r="2448" spans="1:21" x14ac:dyDescent="0.3">
      <c r="A2448">
        <v>2447</v>
      </c>
      <c r="B2448" t="s">
        <v>3437</v>
      </c>
      <c r="C2448" t="str">
        <f t="shared" si="342"/>
        <v>EMP_2447</v>
      </c>
      <c r="D2448" t="s">
        <v>15</v>
      </c>
      <c r="E2448" t="str">
        <f t="shared" si="343"/>
        <v>EMP_2447Sales</v>
      </c>
      <c r="F2448" t="s">
        <v>7</v>
      </c>
      <c r="G2448" t="s">
        <v>13</v>
      </c>
      <c r="H2448">
        <v>27085</v>
      </c>
      <c r="I2448">
        <v>13493</v>
      </c>
      <c r="J2448">
        <v>58636</v>
      </c>
      <c r="K2448">
        <v>228718</v>
      </c>
      <c r="L2448" s="4" t="s">
        <v>3438</v>
      </c>
      <c r="M2448" s="4" t="str">
        <f t="shared" si="344"/>
        <v>10/30/2020</v>
      </c>
      <c r="N2448" s="1">
        <f t="shared" ca="1" si="345"/>
        <v>46064</v>
      </c>
      <c r="O2448" s="6" t="e">
        <f t="shared" ca="1" si="346"/>
        <v>#VALUE!</v>
      </c>
      <c r="P2448">
        <v>4</v>
      </c>
      <c r="Q2448">
        <f t="shared" si="347"/>
        <v>40578</v>
      </c>
      <c r="R2448" s="2">
        <f t="shared" si="348"/>
        <v>20289</v>
      </c>
      <c r="S2448" s="2" t="str">
        <f t="shared" si="349"/>
        <v xml:space="preserve"> Not Achieved</v>
      </c>
      <c r="T2448" s="2" t="str">
        <f t="shared" si="350"/>
        <v>poor</v>
      </c>
      <c r="U2448" s="2"/>
    </row>
    <row r="2449" spans="1:21" x14ac:dyDescent="0.3">
      <c r="A2449">
        <v>2448</v>
      </c>
      <c r="B2449" t="s">
        <v>3439</v>
      </c>
      <c r="C2449" t="str">
        <f t="shared" si="342"/>
        <v>EMP_2448</v>
      </c>
      <c r="D2449" t="s">
        <v>15</v>
      </c>
      <c r="E2449" t="str">
        <f t="shared" si="343"/>
        <v>EMP_2448Marketing</v>
      </c>
      <c r="F2449" t="s">
        <v>24</v>
      </c>
      <c r="G2449" t="s">
        <v>19</v>
      </c>
      <c r="H2449">
        <v>26299</v>
      </c>
      <c r="I2449">
        <v>8920</v>
      </c>
      <c r="J2449">
        <v>0</v>
      </c>
      <c r="K2449">
        <v>0</v>
      </c>
      <c r="L2449" s="4" t="s">
        <v>219</v>
      </c>
      <c r="M2449" s="4" t="str">
        <f t="shared" si="344"/>
        <v>4/27/2022</v>
      </c>
      <c r="N2449" s="1">
        <f t="shared" ca="1" si="345"/>
        <v>46064</v>
      </c>
      <c r="O2449" s="6" t="e">
        <f t="shared" ca="1" si="346"/>
        <v>#VALUE!</v>
      </c>
      <c r="P2449">
        <v>2</v>
      </c>
      <c r="Q2449">
        <f t="shared" si="347"/>
        <v>35219</v>
      </c>
      <c r="R2449" s="2">
        <f t="shared" si="348"/>
        <v>17609.5</v>
      </c>
      <c r="S2449" s="2" t="str">
        <f t="shared" si="349"/>
        <v xml:space="preserve"> Not Achieved</v>
      </c>
      <c r="T2449" s="2" t="str">
        <f t="shared" si="350"/>
        <v>poor</v>
      </c>
      <c r="U2449" s="2"/>
    </row>
    <row r="2450" spans="1:21" x14ac:dyDescent="0.3">
      <c r="A2450">
        <v>2449</v>
      </c>
      <c r="B2450" t="s">
        <v>3440</v>
      </c>
      <c r="C2450" t="str">
        <f t="shared" si="342"/>
        <v>EMP_2449</v>
      </c>
      <c r="D2450" t="s">
        <v>15</v>
      </c>
      <c r="E2450" t="str">
        <f t="shared" si="343"/>
        <v>EMP_2449Finance</v>
      </c>
      <c r="F2450" t="s">
        <v>18</v>
      </c>
      <c r="G2450" t="s">
        <v>13</v>
      </c>
      <c r="H2450">
        <v>55798</v>
      </c>
      <c r="I2450">
        <v>7453</v>
      </c>
      <c r="J2450">
        <v>0</v>
      </c>
      <c r="K2450">
        <v>0</v>
      </c>
      <c r="L2450" s="4" t="s">
        <v>3441</v>
      </c>
      <c r="M2450" s="4" t="str">
        <f t="shared" si="344"/>
        <v>9/30/2020</v>
      </c>
      <c r="N2450" s="1">
        <f t="shared" ca="1" si="345"/>
        <v>46064</v>
      </c>
      <c r="O2450" s="6" t="e">
        <f t="shared" ca="1" si="346"/>
        <v>#VALUE!</v>
      </c>
      <c r="P2450">
        <v>5</v>
      </c>
      <c r="Q2450">
        <f t="shared" si="347"/>
        <v>63251</v>
      </c>
      <c r="R2450" s="2">
        <f t="shared" si="348"/>
        <v>31625.5</v>
      </c>
      <c r="S2450" s="2" t="str">
        <f t="shared" si="349"/>
        <v xml:space="preserve"> Not Achieved</v>
      </c>
      <c r="T2450" s="2" t="str">
        <f t="shared" si="350"/>
        <v xml:space="preserve"> Excellent</v>
      </c>
      <c r="U2450" s="2"/>
    </row>
    <row r="2451" spans="1:21" x14ac:dyDescent="0.3">
      <c r="A2451">
        <v>2450</v>
      </c>
      <c r="B2451" t="s">
        <v>3442</v>
      </c>
      <c r="C2451" t="str">
        <f t="shared" si="342"/>
        <v>EMP_2450</v>
      </c>
      <c r="D2451" t="s">
        <v>11</v>
      </c>
      <c r="E2451" t="str">
        <f t="shared" si="343"/>
        <v>EMP_2450IT</v>
      </c>
      <c r="F2451" t="s">
        <v>21</v>
      </c>
      <c r="G2451" t="s">
        <v>13</v>
      </c>
      <c r="H2451">
        <v>42754</v>
      </c>
      <c r="I2451">
        <v>2430</v>
      </c>
      <c r="J2451">
        <v>0</v>
      </c>
      <c r="K2451">
        <v>0</v>
      </c>
      <c r="L2451" s="4" t="s">
        <v>952</v>
      </c>
      <c r="M2451" s="4" t="str">
        <f t="shared" si="344"/>
        <v>10/30/2024</v>
      </c>
      <c r="N2451" s="1">
        <f t="shared" ca="1" si="345"/>
        <v>46064</v>
      </c>
      <c r="O2451" s="6" t="e">
        <f t="shared" ca="1" si="346"/>
        <v>#VALUE!</v>
      </c>
      <c r="P2451">
        <v>4</v>
      </c>
      <c r="Q2451">
        <f t="shared" si="347"/>
        <v>45184</v>
      </c>
      <c r="R2451" s="2">
        <f t="shared" si="348"/>
        <v>22592</v>
      </c>
      <c r="S2451" s="2" t="str">
        <f t="shared" si="349"/>
        <v xml:space="preserve"> Not Achieved</v>
      </c>
      <c r="T2451" s="2" t="str">
        <f t="shared" si="350"/>
        <v>Good</v>
      </c>
      <c r="U2451" s="2"/>
    </row>
    <row r="2452" spans="1:21" x14ac:dyDescent="0.3">
      <c r="A2452">
        <v>2451</v>
      </c>
      <c r="B2452" t="s">
        <v>3443</v>
      </c>
      <c r="C2452" t="str">
        <f t="shared" si="342"/>
        <v>EMP_2451</v>
      </c>
      <c r="D2452" t="s">
        <v>11</v>
      </c>
      <c r="E2452" t="str">
        <f t="shared" si="343"/>
        <v>EMP_2451Marketing</v>
      </c>
      <c r="F2452" t="s">
        <v>24</v>
      </c>
      <c r="G2452" t="s">
        <v>22</v>
      </c>
      <c r="H2452">
        <v>42861</v>
      </c>
      <c r="I2452">
        <v>9277</v>
      </c>
      <c r="J2452">
        <v>0</v>
      </c>
      <c r="K2452">
        <v>0</v>
      </c>
      <c r="L2452" s="4" t="s">
        <v>1213</v>
      </c>
      <c r="M2452" s="4" t="str">
        <f t="shared" si="344"/>
        <v>11/13/2020</v>
      </c>
      <c r="N2452" s="1">
        <f t="shared" ca="1" si="345"/>
        <v>46064</v>
      </c>
      <c r="O2452" s="6" t="e">
        <f t="shared" ca="1" si="346"/>
        <v>#VALUE!</v>
      </c>
      <c r="P2452">
        <v>4</v>
      </c>
      <c r="Q2452">
        <f t="shared" si="347"/>
        <v>52138</v>
      </c>
      <c r="R2452" s="2">
        <f t="shared" si="348"/>
        <v>26069</v>
      </c>
      <c r="S2452" s="2" t="str">
        <f t="shared" si="349"/>
        <v xml:space="preserve"> Not Achieved</v>
      </c>
      <c r="T2452" s="2" t="str">
        <f t="shared" si="350"/>
        <v>Good</v>
      </c>
      <c r="U2452" s="2"/>
    </row>
    <row r="2453" spans="1:21" x14ac:dyDescent="0.3">
      <c r="A2453">
        <v>2452</v>
      </c>
      <c r="B2453" t="s">
        <v>3444</v>
      </c>
      <c r="C2453" t="str">
        <f t="shared" si="342"/>
        <v>EMP_2452</v>
      </c>
      <c r="D2453" t="s">
        <v>11</v>
      </c>
      <c r="E2453" t="str">
        <f t="shared" si="343"/>
        <v>EMP_2452IT</v>
      </c>
      <c r="F2453" t="s">
        <v>21</v>
      </c>
      <c r="G2453" t="s">
        <v>19</v>
      </c>
      <c r="H2453">
        <v>28357</v>
      </c>
      <c r="I2453">
        <v>14007</v>
      </c>
      <c r="J2453">
        <v>0</v>
      </c>
      <c r="K2453">
        <v>0</v>
      </c>
      <c r="L2453" s="4" t="s">
        <v>1528</v>
      </c>
      <c r="M2453" s="4" t="str">
        <f t="shared" si="344"/>
        <v>11/23/2021</v>
      </c>
      <c r="N2453" s="1">
        <f t="shared" ca="1" si="345"/>
        <v>46064</v>
      </c>
      <c r="O2453" s="6" t="e">
        <f t="shared" ca="1" si="346"/>
        <v>#VALUE!</v>
      </c>
      <c r="P2453">
        <v>5</v>
      </c>
      <c r="Q2453">
        <f t="shared" si="347"/>
        <v>42364</v>
      </c>
      <c r="R2453" s="2">
        <f t="shared" si="348"/>
        <v>21182</v>
      </c>
      <c r="S2453" s="2" t="str">
        <f t="shared" si="349"/>
        <v xml:space="preserve"> Not Achieved</v>
      </c>
      <c r="T2453" s="2" t="str">
        <f t="shared" si="350"/>
        <v>poor</v>
      </c>
      <c r="U2453" s="2"/>
    </row>
    <row r="2454" spans="1:21" x14ac:dyDescent="0.3">
      <c r="A2454">
        <v>2453</v>
      </c>
      <c r="B2454" t="s">
        <v>3445</v>
      </c>
      <c r="C2454" t="str">
        <f t="shared" si="342"/>
        <v>EMP_2453</v>
      </c>
      <c r="D2454" t="s">
        <v>15</v>
      </c>
      <c r="E2454" t="str">
        <f t="shared" si="343"/>
        <v>EMP_2453HR</v>
      </c>
      <c r="F2454" t="s">
        <v>12</v>
      </c>
      <c r="G2454" t="s">
        <v>19</v>
      </c>
      <c r="H2454">
        <v>44463</v>
      </c>
      <c r="I2454">
        <v>4761</v>
      </c>
      <c r="J2454">
        <v>0</v>
      </c>
      <c r="K2454">
        <v>0</v>
      </c>
      <c r="L2454" s="4" t="s">
        <v>2325</v>
      </c>
      <c r="M2454" s="4" t="str">
        <f t="shared" si="344"/>
        <v>11/18/2024</v>
      </c>
      <c r="N2454" s="1">
        <f t="shared" ca="1" si="345"/>
        <v>46064</v>
      </c>
      <c r="O2454" s="6" t="e">
        <f t="shared" ca="1" si="346"/>
        <v>#VALUE!</v>
      </c>
      <c r="P2454">
        <v>3</v>
      </c>
      <c r="Q2454">
        <f t="shared" si="347"/>
        <v>49224</v>
      </c>
      <c r="R2454" s="2">
        <f t="shared" si="348"/>
        <v>24612</v>
      </c>
      <c r="S2454" s="2" t="str">
        <f t="shared" si="349"/>
        <v xml:space="preserve"> Not Achieved</v>
      </c>
      <c r="T2454" s="2" t="str">
        <f t="shared" si="350"/>
        <v>Good</v>
      </c>
      <c r="U2454" s="2"/>
    </row>
    <row r="2455" spans="1:21" x14ac:dyDescent="0.3">
      <c r="A2455">
        <v>2454</v>
      </c>
      <c r="B2455" t="s">
        <v>3446</v>
      </c>
      <c r="C2455" t="str">
        <f t="shared" si="342"/>
        <v>EMP_2454</v>
      </c>
      <c r="D2455" t="s">
        <v>11</v>
      </c>
      <c r="E2455" t="str">
        <f t="shared" si="343"/>
        <v>EMP_2454Sales</v>
      </c>
      <c r="F2455" t="s">
        <v>7</v>
      </c>
      <c r="G2455" t="s">
        <v>22</v>
      </c>
      <c r="H2455">
        <v>48728</v>
      </c>
      <c r="I2455">
        <v>2736</v>
      </c>
      <c r="J2455">
        <v>158124</v>
      </c>
      <c r="K2455">
        <v>146279</v>
      </c>
      <c r="L2455" s="4" t="s">
        <v>3447</v>
      </c>
      <c r="M2455" s="4" t="str">
        <f t="shared" si="344"/>
        <v>8/17/2018</v>
      </c>
      <c r="N2455" s="1">
        <f t="shared" ca="1" si="345"/>
        <v>46064</v>
      </c>
      <c r="O2455" s="6" t="e">
        <f t="shared" ca="1" si="346"/>
        <v>#VALUE!</v>
      </c>
      <c r="P2455">
        <v>2</v>
      </c>
      <c r="Q2455">
        <f t="shared" si="347"/>
        <v>51464</v>
      </c>
      <c r="R2455" s="2">
        <f t="shared" si="348"/>
        <v>25732</v>
      </c>
      <c r="S2455" s="2" t="str">
        <f t="shared" si="349"/>
        <v>Achieved</v>
      </c>
      <c r="T2455" s="2" t="str">
        <f t="shared" si="350"/>
        <v>Good</v>
      </c>
      <c r="U2455" s="2"/>
    </row>
    <row r="2456" spans="1:21" x14ac:dyDescent="0.3">
      <c r="A2456">
        <v>2455</v>
      </c>
      <c r="B2456" t="s">
        <v>3448</v>
      </c>
      <c r="C2456" t="str">
        <f t="shared" si="342"/>
        <v>EMP_2455</v>
      </c>
      <c r="D2456" t="s">
        <v>15</v>
      </c>
      <c r="E2456" t="str">
        <f t="shared" si="343"/>
        <v>EMP_2455Sales</v>
      </c>
      <c r="F2456" t="s">
        <v>7</v>
      </c>
      <c r="G2456" t="s">
        <v>13</v>
      </c>
      <c r="H2456">
        <v>71390</v>
      </c>
      <c r="I2456">
        <v>8580</v>
      </c>
      <c r="J2456">
        <v>272563</v>
      </c>
      <c r="K2456">
        <v>151902</v>
      </c>
      <c r="L2456" s="4" t="s">
        <v>3449</v>
      </c>
      <c r="M2456" s="4" t="str">
        <f t="shared" si="344"/>
        <v>5/13/2021</v>
      </c>
      <c r="N2456" s="1">
        <f t="shared" ca="1" si="345"/>
        <v>46064</v>
      </c>
      <c r="O2456" s="6" t="e">
        <f t="shared" ca="1" si="346"/>
        <v>#VALUE!</v>
      </c>
      <c r="P2456">
        <v>4</v>
      </c>
      <c r="Q2456">
        <f t="shared" si="347"/>
        <v>79970</v>
      </c>
      <c r="R2456" s="2">
        <f t="shared" si="348"/>
        <v>39985</v>
      </c>
      <c r="S2456" s="2" t="str">
        <f t="shared" si="349"/>
        <v>Achieved</v>
      </c>
      <c r="T2456" s="2" t="str">
        <f t="shared" si="350"/>
        <v xml:space="preserve"> Excellent</v>
      </c>
      <c r="U2456" s="2"/>
    </row>
    <row r="2457" spans="1:21" x14ac:dyDescent="0.3">
      <c r="A2457">
        <v>2456</v>
      </c>
      <c r="B2457" t="s">
        <v>3450</v>
      </c>
      <c r="C2457" t="str">
        <f t="shared" si="342"/>
        <v>EMP_2456</v>
      </c>
      <c r="D2457" t="s">
        <v>11</v>
      </c>
      <c r="E2457" t="str">
        <f t="shared" si="343"/>
        <v>EMP_2456HR</v>
      </c>
      <c r="F2457" t="s">
        <v>12</v>
      </c>
      <c r="G2457" t="s">
        <v>22</v>
      </c>
      <c r="H2457">
        <v>31850</v>
      </c>
      <c r="I2457">
        <v>6030</v>
      </c>
      <c r="J2457">
        <v>0</v>
      </c>
      <c r="K2457">
        <v>0</v>
      </c>
      <c r="L2457" s="4" t="s">
        <v>3451</v>
      </c>
      <c r="M2457" s="4" t="str">
        <f t="shared" si="344"/>
        <v>3/24/2022</v>
      </c>
      <c r="N2457" s="1">
        <f t="shared" ca="1" si="345"/>
        <v>46064</v>
      </c>
      <c r="O2457" s="6" t="e">
        <f t="shared" ca="1" si="346"/>
        <v>#VALUE!</v>
      </c>
      <c r="P2457">
        <v>2</v>
      </c>
      <c r="Q2457">
        <f t="shared" si="347"/>
        <v>37880</v>
      </c>
      <c r="R2457" s="2">
        <f t="shared" si="348"/>
        <v>18940</v>
      </c>
      <c r="S2457" s="2" t="str">
        <f t="shared" si="349"/>
        <v xml:space="preserve"> Not Achieved</v>
      </c>
      <c r="T2457" s="2" t="str">
        <f t="shared" si="350"/>
        <v>Average</v>
      </c>
      <c r="U2457" s="2"/>
    </row>
    <row r="2458" spans="1:21" x14ac:dyDescent="0.3">
      <c r="A2458">
        <v>2457</v>
      </c>
      <c r="B2458" t="s">
        <v>3452</v>
      </c>
      <c r="C2458" t="str">
        <f t="shared" si="342"/>
        <v>EMP_2457</v>
      </c>
      <c r="D2458" t="s">
        <v>11</v>
      </c>
      <c r="E2458" t="str">
        <f t="shared" si="343"/>
        <v>EMP_2457Finance</v>
      </c>
      <c r="F2458" t="s">
        <v>18</v>
      </c>
      <c r="G2458" t="s">
        <v>19</v>
      </c>
      <c r="H2458">
        <v>79877</v>
      </c>
      <c r="I2458">
        <v>14155</v>
      </c>
      <c r="J2458">
        <v>0</v>
      </c>
      <c r="K2458">
        <v>0</v>
      </c>
      <c r="L2458" s="4" t="s">
        <v>918</v>
      </c>
      <c r="M2458" s="4" t="str">
        <f t="shared" si="344"/>
        <v>8/16/2020</v>
      </c>
      <c r="N2458" s="1">
        <f t="shared" ca="1" si="345"/>
        <v>46064</v>
      </c>
      <c r="O2458" s="6" t="e">
        <f t="shared" ca="1" si="346"/>
        <v>#VALUE!</v>
      </c>
      <c r="P2458">
        <v>2</v>
      </c>
      <c r="Q2458">
        <f t="shared" si="347"/>
        <v>94032</v>
      </c>
      <c r="R2458" s="2">
        <f t="shared" si="348"/>
        <v>47016</v>
      </c>
      <c r="S2458" s="2" t="str">
        <f t="shared" si="349"/>
        <v xml:space="preserve"> Not Achieved</v>
      </c>
      <c r="T2458" s="2" t="str">
        <f t="shared" si="350"/>
        <v xml:space="preserve"> Excellent</v>
      </c>
      <c r="U2458" s="2"/>
    </row>
    <row r="2459" spans="1:21" x14ac:dyDescent="0.3">
      <c r="A2459">
        <v>2458</v>
      </c>
      <c r="B2459" t="s">
        <v>3453</v>
      </c>
      <c r="C2459" t="str">
        <f t="shared" si="342"/>
        <v>EMP_2458</v>
      </c>
      <c r="D2459" t="s">
        <v>15</v>
      </c>
      <c r="E2459" t="str">
        <f t="shared" si="343"/>
        <v>EMP_2458HR</v>
      </c>
      <c r="F2459" t="s">
        <v>12</v>
      </c>
      <c r="G2459" t="s">
        <v>13</v>
      </c>
      <c r="H2459">
        <v>39917</v>
      </c>
      <c r="I2459">
        <v>10156</v>
      </c>
      <c r="J2459">
        <v>0</v>
      </c>
      <c r="K2459">
        <v>0</v>
      </c>
      <c r="L2459" s="4">
        <v>44174</v>
      </c>
      <c r="M2459" s="4" t="str">
        <f t="shared" si="344"/>
        <v>2020</v>
      </c>
      <c r="N2459" s="1">
        <f t="shared" ca="1" si="345"/>
        <v>46064</v>
      </c>
      <c r="O2459" s="6">
        <f t="shared" ca="1" si="346"/>
        <v>5</v>
      </c>
      <c r="P2459">
        <v>2</v>
      </c>
      <c r="Q2459">
        <f t="shared" si="347"/>
        <v>50073</v>
      </c>
      <c r="R2459" s="2">
        <f t="shared" si="348"/>
        <v>25036.5</v>
      </c>
      <c r="S2459" s="2" t="str">
        <f t="shared" si="349"/>
        <v xml:space="preserve"> Not Achieved</v>
      </c>
      <c r="T2459" s="2" t="str">
        <f t="shared" si="350"/>
        <v>Average</v>
      </c>
      <c r="U2459" s="2"/>
    </row>
    <row r="2460" spans="1:21" x14ac:dyDescent="0.3">
      <c r="A2460">
        <v>2459</v>
      </c>
      <c r="B2460" t="s">
        <v>3454</v>
      </c>
      <c r="C2460" t="str">
        <f t="shared" si="342"/>
        <v>EMP_2459</v>
      </c>
      <c r="D2460" t="s">
        <v>15</v>
      </c>
      <c r="E2460" t="str">
        <f t="shared" si="343"/>
        <v>EMP_2459Finance</v>
      </c>
      <c r="F2460" t="s">
        <v>18</v>
      </c>
      <c r="G2460" t="s">
        <v>22</v>
      </c>
      <c r="H2460">
        <v>54185</v>
      </c>
      <c r="I2460">
        <v>7558</v>
      </c>
      <c r="J2460">
        <v>0</v>
      </c>
      <c r="K2460">
        <v>0</v>
      </c>
      <c r="L2460" s="4">
        <v>44719</v>
      </c>
      <c r="M2460" s="4" t="str">
        <f t="shared" si="344"/>
        <v>2022</v>
      </c>
      <c r="N2460" s="1">
        <f t="shared" ca="1" si="345"/>
        <v>46064</v>
      </c>
      <c r="O2460" s="6">
        <f t="shared" ca="1" si="346"/>
        <v>3</v>
      </c>
      <c r="P2460">
        <v>1</v>
      </c>
      <c r="Q2460">
        <f t="shared" si="347"/>
        <v>61743</v>
      </c>
      <c r="R2460" s="2">
        <f t="shared" si="348"/>
        <v>30871.5</v>
      </c>
      <c r="S2460" s="2" t="str">
        <f t="shared" si="349"/>
        <v xml:space="preserve"> Not Achieved</v>
      </c>
      <c r="T2460" s="2" t="str">
        <f t="shared" si="350"/>
        <v xml:space="preserve"> Excellent</v>
      </c>
      <c r="U2460" s="2"/>
    </row>
    <row r="2461" spans="1:21" x14ac:dyDescent="0.3">
      <c r="A2461">
        <v>2460</v>
      </c>
      <c r="B2461" t="s">
        <v>3455</v>
      </c>
      <c r="C2461" t="str">
        <f t="shared" si="342"/>
        <v>EMP_2460</v>
      </c>
      <c r="D2461" t="s">
        <v>11</v>
      </c>
      <c r="E2461" t="str">
        <f t="shared" si="343"/>
        <v>EMP_2460Marketing</v>
      </c>
      <c r="F2461" t="s">
        <v>24</v>
      </c>
      <c r="G2461" t="s">
        <v>16</v>
      </c>
      <c r="H2461">
        <v>30327</v>
      </c>
      <c r="I2461">
        <v>10889</v>
      </c>
      <c r="J2461">
        <v>0</v>
      </c>
      <c r="K2461">
        <v>0</v>
      </c>
      <c r="L2461" s="4" t="s">
        <v>3272</v>
      </c>
      <c r="M2461" s="4" t="str">
        <f t="shared" si="344"/>
        <v>2/18/2024</v>
      </c>
      <c r="N2461" s="1">
        <f t="shared" ca="1" si="345"/>
        <v>46064</v>
      </c>
      <c r="O2461" s="6" t="e">
        <f t="shared" ca="1" si="346"/>
        <v>#VALUE!</v>
      </c>
      <c r="P2461">
        <v>1</v>
      </c>
      <c r="Q2461">
        <f t="shared" si="347"/>
        <v>41216</v>
      </c>
      <c r="R2461" s="2">
        <f t="shared" si="348"/>
        <v>20608</v>
      </c>
      <c r="S2461" s="2" t="str">
        <f t="shared" si="349"/>
        <v xml:space="preserve"> Not Achieved</v>
      </c>
      <c r="T2461" s="2" t="str">
        <f t="shared" si="350"/>
        <v>Average</v>
      </c>
      <c r="U2461" s="2"/>
    </row>
    <row r="2462" spans="1:21" x14ac:dyDescent="0.3">
      <c r="A2462">
        <v>2461</v>
      </c>
      <c r="B2462" t="s">
        <v>3456</v>
      </c>
      <c r="C2462" t="str">
        <f t="shared" si="342"/>
        <v>EMP_2461</v>
      </c>
      <c r="D2462" t="s">
        <v>11</v>
      </c>
      <c r="E2462" t="str">
        <f t="shared" si="343"/>
        <v>EMP_2461Sales</v>
      </c>
      <c r="F2462" t="s">
        <v>7</v>
      </c>
      <c r="G2462" t="s">
        <v>16</v>
      </c>
      <c r="H2462">
        <v>30843</v>
      </c>
      <c r="I2462">
        <v>12560</v>
      </c>
      <c r="J2462">
        <v>67135</v>
      </c>
      <c r="K2462">
        <v>91361</v>
      </c>
      <c r="L2462" s="4" t="s">
        <v>290</v>
      </c>
      <c r="M2462" s="4" t="str">
        <f t="shared" si="344"/>
        <v>10/13/2018</v>
      </c>
      <c r="N2462" s="1">
        <f t="shared" ca="1" si="345"/>
        <v>46064</v>
      </c>
      <c r="O2462" s="6" t="e">
        <f t="shared" ca="1" si="346"/>
        <v>#VALUE!</v>
      </c>
      <c r="P2462">
        <v>5</v>
      </c>
      <c r="Q2462">
        <f t="shared" si="347"/>
        <v>43403</v>
      </c>
      <c r="R2462" s="2">
        <f t="shared" si="348"/>
        <v>21701.5</v>
      </c>
      <c r="S2462" s="2" t="str">
        <f t="shared" si="349"/>
        <v xml:space="preserve"> Not Achieved</v>
      </c>
      <c r="T2462" s="2" t="str">
        <f t="shared" si="350"/>
        <v>Average</v>
      </c>
      <c r="U2462" s="2"/>
    </row>
    <row r="2463" spans="1:21" x14ac:dyDescent="0.3">
      <c r="A2463">
        <v>2462</v>
      </c>
      <c r="B2463" t="s">
        <v>3457</v>
      </c>
      <c r="C2463" t="str">
        <f t="shared" si="342"/>
        <v>EMP_2462</v>
      </c>
      <c r="D2463" t="s">
        <v>11</v>
      </c>
      <c r="E2463" t="str">
        <f t="shared" si="343"/>
        <v>EMP_2462IT</v>
      </c>
      <c r="F2463" t="s">
        <v>21</v>
      </c>
      <c r="G2463" t="s">
        <v>19</v>
      </c>
      <c r="H2463">
        <v>53688</v>
      </c>
      <c r="I2463">
        <v>7426</v>
      </c>
      <c r="J2463">
        <v>0</v>
      </c>
      <c r="K2463">
        <v>0</v>
      </c>
      <c r="L2463" s="4">
        <v>45211</v>
      </c>
      <c r="M2463" s="4" t="str">
        <f t="shared" si="344"/>
        <v>2023</v>
      </c>
      <c r="N2463" s="1">
        <f t="shared" ca="1" si="345"/>
        <v>46064</v>
      </c>
      <c r="O2463" s="6">
        <f t="shared" ca="1" si="346"/>
        <v>2</v>
      </c>
      <c r="P2463">
        <v>3</v>
      </c>
      <c r="Q2463">
        <f t="shared" si="347"/>
        <v>61114</v>
      </c>
      <c r="R2463" s="2">
        <f t="shared" si="348"/>
        <v>30557</v>
      </c>
      <c r="S2463" s="2" t="str">
        <f t="shared" si="349"/>
        <v xml:space="preserve"> Not Achieved</v>
      </c>
      <c r="T2463" s="2" t="str">
        <f t="shared" si="350"/>
        <v xml:space="preserve"> Excellent</v>
      </c>
      <c r="U2463" s="2"/>
    </row>
    <row r="2464" spans="1:21" x14ac:dyDescent="0.3">
      <c r="A2464">
        <v>2463</v>
      </c>
      <c r="B2464" t="s">
        <v>3458</v>
      </c>
      <c r="C2464" t="str">
        <f t="shared" si="342"/>
        <v>EMP_2463</v>
      </c>
      <c r="D2464" t="s">
        <v>11</v>
      </c>
      <c r="E2464" t="str">
        <f t="shared" si="343"/>
        <v>EMP_2463Finance</v>
      </c>
      <c r="F2464" t="s">
        <v>18</v>
      </c>
      <c r="G2464" t="s">
        <v>19</v>
      </c>
      <c r="H2464">
        <v>49323</v>
      </c>
      <c r="I2464">
        <v>12605</v>
      </c>
      <c r="J2464">
        <v>0</v>
      </c>
      <c r="K2464">
        <v>0</v>
      </c>
      <c r="L2464" s="4">
        <v>43405</v>
      </c>
      <c r="M2464" s="4" t="str">
        <f t="shared" si="344"/>
        <v>2018</v>
      </c>
      <c r="N2464" s="1">
        <f t="shared" ca="1" si="345"/>
        <v>46064</v>
      </c>
      <c r="O2464" s="6">
        <f t="shared" ca="1" si="346"/>
        <v>7</v>
      </c>
      <c r="P2464">
        <v>3</v>
      </c>
      <c r="Q2464">
        <f t="shared" si="347"/>
        <v>61928</v>
      </c>
      <c r="R2464" s="2">
        <f t="shared" si="348"/>
        <v>30964</v>
      </c>
      <c r="S2464" s="2" t="str">
        <f t="shared" si="349"/>
        <v xml:space="preserve"> Not Achieved</v>
      </c>
      <c r="T2464" s="2" t="str">
        <f t="shared" si="350"/>
        <v>Good</v>
      </c>
      <c r="U2464" s="2"/>
    </row>
    <row r="2465" spans="1:21" x14ac:dyDescent="0.3">
      <c r="A2465">
        <v>2464</v>
      </c>
      <c r="B2465" t="s">
        <v>3459</v>
      </c>
      <c r="C2465" t="str">
        <f t="shared" si="342"/>
        <v>EMP_2464</v>
      </c>
      <c r="D2465" t="s">
        <v>11</v>
      </c>
      <c r="E2465" t="str">
        <f t="shared" si="343"/>
        <v>EMP_2464IT</v>
      </c>
      <c r="F2465" t="s">
        <v>21</v>
      </c>
      <c r="G2465" t="s">
        <v>25</v>
      </c>
      <c r="H2465">
        <v>59397</v>
      </c>
      <c r="I2465">
        <v>14547</v>
      </c>
      <c r="J2465">
        <v>0</v>
      </c>
      <c r="K2465">
        <v>0</v>
      </c>
      <c r="L2465" s="4" t="s">
        <v>1238</v>
      </c>
      <c r="M2465" s="4" t="str">
        <f t="shared" si="344"/>
        <v>5/29/2018</v>
      </c>
      <c r="N2465" s="1">
        <f t="shared" ca="1" si="345"/>
        <v>46064</v>
      </c>
      <c r="O2465" s="6" t="e">
        <f t="shared" ca="1" si="346"/>
        <v>#VALUE!</v>
      </c>
      <c r="P2465">
        <v>3</v>
      </c>
      <c r="Q2465">
        <f t="shared" si="347"/>
        <v>73944</v>
      </c>
      <c r="R2465" s="2">
        <f t="shared" si="348"/>
        <v>36972</v>
      </c>
      <c r="S2465" s="2" t="str">
        <f t="shared" si="349"/>
        <v xml:space="preserve"> Not Achieved</v>
      </c>
      <c r="T2465" s="2" t="str">
        <f t="shared" si="350"/>
        <v xml:space="preserve"> Excellent</v>
      </c>
      <c r="U2465" s="2"/>
    </row>
    <row r="2466" spans="1:21" x14ac:dyDescent="0.3">
      <c r="A2466">
        <v>2465</v>
      </c>
      <c r="B2466" t="s">
        <v>3460</v>
      </c>
      <c r="C2466" t="str">
        <f t="shared" si="342"/>
        <v>EMP_2465</v>
      </c>
      <c r="D2466" t="s">
        <v>15</v>
      </c>
      <c r="E2466" t="str">
        <f t="shared" si="343"/>
        <v>EMP_2465Sales</v>
      </c>
      <c r="F2466" t="s">
        <v>7</v>
      </c>
      <c r="G2466" t="s">
        <v>16</v>
      </c>
      <c r="H2466">
        <v>25821</v>
      </c>
      <c r="I2466">
        <v>7215</v>
      </c>
      <c r="J2466">
        <v>284864</v>
      </c>
      <c r="K2466">
        <v>140784</v>
      </c>
      <c r="L2466" s="4">
        <v>43839</v>
      </c>
      <c r="M2466" s="4" t="str">
        <f t="shared" si="344"/>
        <v>2020</v>
      </c>
      <c r="N2466" s="1">
        <f t="shared" ca="1" si="345"/>
        <v>46064</v>
      </c>
      <c r="O2466" s="6">
        <f t="shared" ca="1" si="346"/>
        <v>6</v>
      </c>
      <c r="P2466">
        <v>5</v>
      </c>
      <c r="Q2466">
        <f t="shared" si="347"/>
        <v>33036</v>
      </c>
      <c r="R2466" s="2">
        <f t="shared" si="348"/>
        <v>16518</v>
      </c>
      <c r="S2466" s="2" t="str">
        <f t="shared" si="349"/>
        <v>Achieved</v>
      </c>
      <c r="T2466" s="2" t="str">
        <f t="shared" si="350"/>
        <v>poor</v>
      </c>
      <c r="U2466" s="2"/>
    </row>
    <row r="2467" spans="1:21" x14ac:dyDescent="0.3">
      <c r="A2467">
        <v>2466</v>
      </c>
      <c r="B2467" t="s">
        <v>3461</v>
      </c>
      <c r="C2467" t="str">
        <f t="shared" si="342"/>
        <v>EMP_2466</v>
      </c>
      <c r="D2467" t="s">
        <v>11</v>
      </c>
      <c r="E2467" t="str">
        <f t="shared" si="343"/>
        <v>EMP_2466Marketing</v>
      </c>
      <c r="F2467" t="s">
        <v>24</v>
      </c>
      <c r="G2467" t="s">
        <v>25</v>
      </c>
      <c r="H2467">
        <v>60070</v>
      </c>
      <c r="I2467">
        <v>14272</v>
      </c>
      <c r="J2467">
        <v>0</v>
      </c>
      <c r="K2467">
        <v>0</v>
      </c>
      <c r="L2467" s="4" t="s">
        <v>2216</v>
      </c>
      <c r="M2467" s="4" t="str">
        <f t="shared" si="344"/>
        <v>6/30/2021</v>
      </c>
      <c r="N2467" s="1">
        <f t="shared" ca="1" si="345"/>
        <v>46064</v>
      </c>
      <c r="O2467" s="6" t="e">
        <f t="shared" ca="1" si="346"/>
        <v>#VALUE!</v>
      </c>
      <c r="P2467">
        <v>1</v>
      </c>
      <c r="Q2467">
        <f t="shared" si="347"/>
        <v>74342</v>
      </c>
      <c r="R2467" s="2">
        <f t="shared" si="348"/>
        <v>37171</v>
      </c>
      <c r="S2467" s="2" t="str">
        <f t="shared" si="349"/>
        <v xml:space="preserve"> Not Achieved</v>
      </c>
      <c r="T2467" s="2" t="str">
        <f t="shared" si="350"/>
        <v xml:space="preserve"> Excellent</v>
      </c>
      <c r="U2467" s="2"/>
    </row>
    <row r="2468" spans="1:21" x14ac:dyDescent="0.3">
      <c r="A2468">
        <v>2467</v>
      </c>
      <c r="B2468" t="s">
        <v>3462</v>
      </c>
      <c r="C2468" t="str">
        <f t="shared" si="342"/>
        <v>EMP_2467</v>
      </c>
      <c r="D2468" t="s">
        <v>15</v>
      </c>
      <c r="E2468" t="str">
        <f t="shared" si="343"/>
        <v>EMP_2467Finance</v>
      </c>
      <c r="F2468" t="s">
        <v>18</v>
      </c>
      <c r="G2468" t="s">
        <v>19</v>
      </c>
      <c r="H2468">
        <v>73107</v>
      </c>
      <c r="I2468">
        <v>9220</v>
      </c>
      <c r="J2468">
        <v>0</v>
      </c>
      <c r="K2468">
        <v>0</v>
      </c>
      <c r="L2468" s="4">
        <v>44839</v>
      </c>
      <c r="M2468" s="4" t="str">
        <f t="shared" si="344"/>
        <v>2022</v>
      </c>
      <c r="N2468" s="1">
        <f t="shared" ca="1" si="345"/>
        <v>46064</v>
      </c>
      <c r="O2468" s="6">
        <f t="shared" ca="1" si="346"/>
        <v>3</v>
      </c>
      <c r="P2468">
        <v>1</v>
      </c>
      <c r="Q2468">
        <f t="shared" si="347"/>
        <v>82327</v>
      </c>
      <c r="R2468" s="2">
        <f t="shared" si="348"/>
        <v>41163.5</v>
      </c>
      <c r="S2468" s="2" t="str">
        <f t="shared" si="349"/>
        <v xml:space="preserve"> Not Achieved</v>
      </c>
      <c r="T2468" s="2" t="str">
        <f t="shared" si="350"/>
        <v xml:space="preserve"> Excellent</v>
      </c>
      <c r="U2468" s="2"/>
    </row>
    <row r="2469" spans="1:21" x14ac:dyDescent="0.3">
      <c r="A2469">
        <v>2468</v>
      </c>
      <c r="B2469" t="s">
        <v>3463</v>
      </c>
      <c r="C2469" t="str">
        <f t="shared" si="342"/>
        <v>EMP_2468</v>
      </c>
      <c r="D2469" t="s">
        <v>11</v>
      </c>
      <c r="E2469" t="str">
        <f t="shared" si="343"/>
        <v>EMP_2468Marketing</v>
      </c>
      <c r="F2469" t="s">
        <v>24</v>
      </c>
      <c r="G2469" t="s">
        <v>13</v>
      </c>
      <c r="H2469">
        <v>21287</v>
      </c>
      <c r="I2469">
        <v>7741</v>
      </c>
      <c r="J2469">
        <v>0</v>
      </c>
      <c r="K2469">
        <v>0</v>
      </c>
      <c r="L2469" s="4">
        <v>44353</v>
      </c>
      <c r="M2469" s="4" t="str">
        <f t="shared" si="344"/>
        <v>2021</v>
      </c>
      <c r="N2469" s="1">
        <f t="shared" ca="1" si="345"/>
        <v>46064</v>
      </c>
      <c r="O2469" s="6">
        <f t="shared" ca="1" si="346"/>
        <v>4</v>
      </c>
      <c r="P2469">
        <v>5</v>
      </c>
      <c r="Q2469">
        <f t="shared" si="347"/>
        <v>29028</v>
      </c>
      <c r="R2469" s="2">
        <f t="shared" si="348"/>
        <v>14514</v>
      </c>
      <c r="S2469" s="2" t="str">
        <f t="shared" si="349"/>
        <v xml:space="preserve"> Not Achieved</v>
      </c>
      <c r="T2469" s="2" t="str">
        <f t="shared" si="350"/>
        <v>poor</v>
      </c>
      <c r="U2469" s="2"/>
    </row>
    <row r="2470" spans="1:21" x14ac:dyDescent="0.3">
      <c r="A2470">
        <v>2469</v>
      </c>
      <c r="B2470" t="s">
        <v>3464</v>
      </c>
      <c r="C2470" t="str">
        <f t="shared" si="342"/>
        <v>EMP_2469</v>
      </c>
      <c r="D2470" t="s">
        <v>15</v>
      </c>
      <c r="E2470" t="str">
        <f t="shared" si="343"/>
        <v>EMP_2469Finance</v>
      </c>
      <c r="F2470" t="s">
        <v>18</v>
      </c>
      <c r="G2470" t="s">
        <v>25</v>
      </c>
      <c r="H2470">
        <v>50356</v>
      </c>
      <c r="I2470">
        <v>9429</v>
      </c>
      <c r="J2470">
        <v>0</v>
      </c>
      <c r="K2470">
        <v>0</v>
      </c>
      <c r="L2470" s="4" t="s">
        <v>3159</v>
      </c>
      <c r="M2470" s="4" t="str">
        <f t="shared" si="344"/>
        <v>2/21/2019</v>
      </c>
      <c r="N2470" s="1">
        <f t="shared" ca="1" si="345"/>
        <v>46064</v>
      </c>
      <c r="O2470" s="6" t="e">
        <f t="shared" ca="1" si="346"/>
        <v>#VALUE!</v>
      </c>
      <c r="P2470">
        <v>5</v>
      </c>
      <c r="Q2470">
        <f t="shared" si="347"/>
        <v>59785</v>
      </c>
      <c r="R2470" s="2">
        <f t="shared" si="348"/>
        <v>29892.5</v>
      </c>
      <c r="S2470" s="2" t="str">
        <f t="shared" si="349"/>
        <v xml:space="preserve"> Not Achieved</v>
      </c>
      <c r="T2470" s="2" t="str">
        <f t="shared" si="350"/>
        <v xml:space="preserve"> Excellent</v>
      </c>
      <c r="U2470" s="2"/>
    </row>
    <row r="2471" spans="1:21" x14ac:dyDescent="0.3">
      <c r="A2471">
        <v>2470</v>
      </c>
      <c r="B2471" t="s">
        <v>3465</v>
      </c>
      <c r="C2471" t="str">
        <f t="shared" si="342"/>
        <v>EMP_2470</v>
      </c>
      <c r="D2471" t="s">
        <v>15</v>
      </c>
      <c r="E2471" t="str">
        <f t="shared" si="343"/>
        <v>EMP_2470Marketing</v>
      </c>
      <c r="F2471" t="s">
        <v>24</v>
      </c>
      <c r="G2471" t="s">
        <v>13</v>
      </c>
      <c r="H2471">
        <v>66398</v>
      </c>
      <c r="I2471">
        <v>12556</v>
      </c>
      <c r="J2471">
        <v>0</v>
      </c>
      <c r="K2471">
        <v>0</v>
      </c>
      <c r="L2471" s="4" t="s">
        <v>151</v>
      </c>
      <c r="M2471" s="4" t="str">
        <f t="shared" si="344"/>
        <v>10/20/2023</v>
      </c>
      <c r="N2471" s="1">
        <f t="shared" ca="1" si="345"/>
        <v>46064</v>
      </c>
      <c r="O2471" s="6" t="e">
        <f t="shared" ca="1" si="346"/>
        <v>#VALUE!</v>
      </c>
      <c r="P2471">
        <v>5</v>
      </c>
      <c r="Q2471">
        <f t="shared" si="347"/>
        <v>78954</v>
      </c>
      <c r="R2471" s="2">
        <f t="shared" si="348"/>
        <v>39477</v>
      </c>
      <c r="S2471" s="2" t="str">
        <f t="shared" si="349"/>
        <v xml:space="preserve"> Not Achieved</v>
      </c>
      <c r="T2471" s="2" t="str">
        <f t="shared" si="350"/>
        <v xml:space="preserve"> Excellent</v>
      </c>
      <c r="U2471" s="2"/>
    </row>
    <row r="2472" spans="1:21" x14ac:dyDescent="0.3">
      <c r="A2472">
        <v>2471</v>
      </c>
      <c r="B2472" t="s">
        <v>3466</v>
      </c>
      <c r="C2472" t="str">
        <f t="shared" si="342"/>
        <v>EMP_2471</v>
      </c>
      <c r="D2472" t="s">
        <v>11</v>
      </c>
      <c r="E2472" t="str">
        <f t="shared" si="343"/>
        <v>EMP_2471Marketing</v>
      </c>
      <c r="F2472" t="s">
        <v>24</v>
      </c>
      <c r="G2472" t="s">
        <v>13</v>
      </c>
      <c r="H2472">
        <v>51023</v>
      </c>
      <c r="I2472">
        <v>12705</v>
      </c>
      <c r="J2472">
        <v>0</v>
      </c>
      <c r="K2472">
        <v>0</v>
      </c>
      <c r="L2472" s="4">
        <v>43161</v>
      </c>
      <c r="M2472" s="4" t="str">
        <f t="shared" si="344"/>
        <v>2018</v>
      </c>
      <c r="N2472" s="1">
        <f t="shared" ca="1" si="345"/>
        <v>46064</v>
      </c>
      <c r="O2472" s="6">
        <f t="shared" ca="1" si="346"/>
        <v>7</v>
      </c>
      <c r="P2472">
        <v>5</v>
      </c>
      <c r="Q2472">
        <f t="shared" si="347"/>
        <v>63728</v>
      </c>
      <c r="R2472" s="2">
        <f t="shared" si="348"/>
        <v>31864</v>
      </c>
      <c r="S2472" s="2" t="str">
        <f t="shared" si="349"/>
        <v xml:space="preserve"> Not Achieved</v>
      </c>
      <c r="T2472" s="2" t="str">
        <f t="shared" si="350"/>
        <v xml:space="preserve"> Excellent</v>
      </c>
      <c r="U2472" s="2"/>
    </row>
    <row r="2473" spans="1:21" x14ac:dyDescent="0.3">
      <c r="A2473">
        <v>2472</v>
      </c>
      <c r="B2473" t="s">
        <v>3467</v>
      </c>
      <c r="C2473" t="str">
        <f t="shared" si="342"/>
        <v>EMP_2472</v>
      </c>
      <c r="D2473" t="s">
        <v>11</v>
      </c>
      <c r="E2473" t="str">
        <f t="shared" si="343"/>
        <v>EMP_2472HR</v>
      </c>
      <c r="F2473" t="s">
        <v>12</v>
      </c>
      <c r="G2473" t="s">
        <v>22</v>
      </c>
      <c r="H2473">
        <v>20847</v>
      </c>
      <c r="I2473">
        <v>13603</v>
      </c>
      <c r="J2473">
        <v>0</v>
      </c>
      <c r="K2473">
        <v>0</v>
      </c>
      <c r="L2473" s="4">
        <v>44298</v>
      </c>
      <c r="M2473" s="4" t="str">
        <f t="shared" si="344"/>
        <v>2021</v>
      </c>
      <c r="N2473" s="1">
        <f t="shared" ca="1" si="345"/>
        <v>46064</v>
      </c>
      <c r="O2473" s="6">
        <f t="shared" ca="1" si="346"/>
        <v>4</v>
      </c>
      <c r="P2473">
        <v>1</v>
      </c>
      <c r="Q2473">
        <f t="shared" si="347"/>
        <v>34450</v>
      </c>
      <c r="R2473" s="2">
        <f t="shared" si="348"/>
        <v>17225</v>
      </c>
      <c r="S2473" s="2" t="str">
        <f t="shared" si="349"/>
        <v xml:space="preserve"> Not Achieved</v>
      </c>
      <c r="T2473" s="2" t="str">
        <f t="shared" si="350"/>
        <v>poor</v>
      </c>
      <c r="U2473" s="2"/>
    </row>
    <row r="2474" spans="1:21" x14ac:dyDescent="0.3">
      <c r="A2474">
        <v>2473</v>
      </c>
      <c r="B2474" t="s">
        <v>3468</v>
      </c>
      <c r="C2474" t="str">
        <f t="shared" si="342"/>
        <v>EMP_2473</v>
      </c>
      <c r="D2474" t="s">
        <v>11</v>
      </c>
      <c r="E2474" t="str">
        <f t="shared" si="343"/>
        <v>EMP_2473Sales</v>
      </c>
      <c r="F2474" t="s">
        <v>7</v>
      </c>
      <c r="G2474" t="s">
        <v>25</v>
      </c>
      <c r="H2474">
        <v>72361</v>
      </c>
      <c r="I2474">
        <v>10458</v>
      </c>
      <c r="J2474">
        <v>146434</v>
      </c>
      <c r="K2474">
        <v>150763</v>
      </c>
      <c r="L2474" s="4">
        <v>44874</v>
      </c>
      <c r="M2474" s="4" t="str">
        <f t="shared" si="344"/>
        <v>2022</v>
      </c>
      <c r="N2474" s="1">
        <f t="shared" ca="1" si="345"/>
        <v>46064</v>
      </c>
      <c r="O2474" s="6">
        <f t="shared" ca="1" si="346"/>
        <v>3</v>
      </c>
      <c r="P2474">
        <v>4</v>
      </c>
      <c r="Q2474">
        <f t="shared" si="347"/>
        <v>82819</v>
      </c>
      <c r="R2474" s="2">
        <f t="shared" si="348"/>
        <v>41409.5</v>
      </c>
      <c r="S2474" s="2" t="str">
        <f t="shared" si="349"/>
        <v xml:space="preserve"> Not Achieved</v>
      </c>
      <c r="T2474" s="2" t="str">
        <f t="shared" si="350"/>
        <v xml:space="preserve"> Excellent</v>
      </c>
      <c r="U2474" s="2"/>
    </row>
    <row r="2475" spans="1:21" x14ac:dyDescent="0.3">
      <c r="A2475">
        <v>2474</v>
      </c>
      <c r="B2475" t="s">
        <v>3469</v>
      </c>
      <c r="C2475" t="str">
        <f t="shared" si="342"/>
        <v>EMP_2474</v>
      </c>
      <c r="D2475" t="s">
        <v>15</v>
      </c>
      <c r="E2475" t="str">
        <f t="shared" si="343"/>
        <v>EMP_2474HR</v>
      </c>
      <c r="F2475" t="s">
        <v>12</v>
      </c>
      <c r="G2475" t="s">
        <v>25</v>
      </c>
      <c r="H2475">
        <v>74482</v>
      </c>
      <c r="I2475">
        <v>13317</v>
      </c>
      <c r="J2475">
        <v>0</v>
      </c>
      <c r="K2475">
        <v>0</v>
      </c>
      <c r="L2475" s="4">
        <v>43619</v>
      </c>
      <c r="M2475" s="4" t="str">
        <f t="shared" si="344"/>
        <v>2019</v>
      </c>
      <c r="N2475" s="1">
        <f t="shared" ca="1" si="345"/>
        <v>46064</v>
      </c>
      <c r="O2475" s="6">
        <f t="shared" ca="1" si="346"/>
        <v>6</v>
      </c>
      <c r="P2475">
        <v>2</v>
      </c>
      <c r="Q2475">
        <f t="shared" si="347"/>
        <v>87799</v>
      </c>
      <c r="R2475" s="2">
        <f t="shared" si="348"/>
        <v>43899.5</v>
      </c>
      <c r="S2475" s="2" t="str">
        <f t="shared" si="349"/>
        <v xml:space="preserve"> Not Achieved</v>
      </c>
      <c r="T2475" s="2" t="str">
        <f t="shared" si="350"/>
        <v xml:space="preserve"> Excellent</v>
      </c>
      <c r="U2475" s="2"/>
    </row>
    <row r="2476" spans="1:21" x14ac:dyDescent="0.3">
      <c r="A2476">
        <v>2475</v>
      </c>
      <c r="B2476" t="s">
        <v>3470</v>
      </c>
      <c r="C2476" t="str">
        <f t="shared" si="342"/>
        <v>EMP_2475</v>
      </c>
      <c r="D2476" t="s">
        <v>15</v>
      </c>
      <c r="E2476" t="str">
        <f t="shared" si="343"/>
        <v>EMP_2475HR</v>
      </c>
      <c r="F2476" t="s">
        <v>12</v>
      </c>
      <c r="G2476" t="s">
        <v>16</v>
      </c>
      <c r="H2476">
        <v>55290</v>
      </c>
      <c r="I2476">
        <v>2242</v>
      </c>
      <c r="J2476">
        <v>0</v>
      </c>
      <c r="K2476">
        <v>0</v>
      </c>
      <c r="L2476" s="4" t="s">
        <v>3471</v>
      </c>
      <c r="M2476" s="4" t="str">
        <f t="shared" si="344"/>
        <v>10/21/2024</v>
      </c>
      <c r="N2476" s="1">
        <f t="shared" ca="1" si="345"/>
        <v>46064</v>
      </c>
      <c r="O2476" s="6" t="e">
        <f t="shared" ca="1" si="346"/>
        <v>#VALUE!</v>
      </c>
      <c r="P2476">
        <v>5</v>
      </c>
      <c r="Q2476">
        <f t="shared" si="347"/>
        <v>57532</v>
      </c>
      <c r="R2476" s="2">
        <f t="shared" si="348"/>
        <v>28766</v>
      </c>
      <c r="S2476" s="2" t="str">
        <f t="shared" si="349"/>
        <v xml:space="preserve"> Not Achieved</v>
      </c>
      <c r="T2476" s="2" t="str">
        <f t="shared" si="350"/>
        <v xml:space="preserve"> Excellent</v>
      </c>
      <c r="U2476" s="2"/>
    </row>
    <row r="2477" spans="1:21" x14ac:dyDescent="0.3">
      <c r="A2477">
        <v>2476</v>
      </c>
      <c r="B2477" t="s">
        <v>3472</v>
      </c>
      <c r="C2477" t="str">
        <f t="shared" si="342"/>
        <v>EMP_2476</v>
      </c>
      <c r="D2477" t="s">
        <v>15</v>
      </c>
      <c r="E2477" t="str">
        <f t="shared" si="343"/>
        <v>EMP_2476Sales</v>
      </c>
      <c r="F2477" t="s">
        <v>7</v>
      </c>
      <c r="G2477" t="s">
        <v>19</v>
      </c>
      <c r="H2477">
        <v>61242</v>
      </c>
      <c r="I2477">
        <v>12150</v>
      </c>
      <c r="J2477">
        <v>262776</v>
      </c>
      <c r="K2477">
        <v>85740</v>
      </c>
      <c r="L2477" s="4" t="s">
        <v>129</v>
      </c>
      <c r="M2477" s="4" t="str">
        <f t="shared" si="344"/>
        <v>8/19/2023</v>
      </c>
      <c r="N2477" s="1">
        <f t="shared" ca="1" si="345"/>
        <v>46064</v>
      </c>
      <c r="O2477" s="6" t="e">
        <f t="shared" ca="1" si="346"/>
        <v>#VALUE!</v>
      </c>
      <c r="P2477">
        <v>3</v>
      </c>
      <c r="Q2477">
        <f t="shared" si="347"/>
        <v>73392</v>
      </c>
      <c r="R2477" s="2">
        <f t="shared" si="348"/>
        <v>36696</v>
      </c>
      <c r="S2477" s="2" t="str">
        <f t="shared" si="349"/>
        <v>Achieved</v>
      </c>
      <c r="T2477" s="2" t="str">
        <f t="shared" si="350"/>
        <v xml:space="preserve"> Excellent</v>
      </c>
      <c r="U2477" s="2"/>
    </row>
    <row r="2478" spans="1:21" x14ac:dyDescent="0.3">
      <c r="A2478">
        <v>2477</v>
      </c>
      <c r="B2478" t="s">
        <v>3473</v>
      </c>
      <c r="C2478" t="str">
        <f t="shared" si="342"/>
        <v>EMP_2477</v>
      </c>
      <c r="D2478" t="s">
        <v>15</v>
      </c>
      <c r="E2478" t="str">
        <f t="shared" si="343"/>
        <v>EMP_2477IT</v>
      </c>
      <c r="F2478" t="s">
        <v>21</v>
      </c>
      <c r="G2478" t="s">
        <v>25</v>
      </c>
      <c r="H2478">
        <v>45235</v>
      </c>
      <c r="I2478">
        <v>4223</v>
      </c>
      <c r="J2478">
        <v>0</v>
      </c>
      <c r="K2478">
        <v>0</v>
      </c>
      <c r="L2478" s="4">
        <v>45173</v>
      </c>
      <c r="M2478" s="4" t="str">
        <f t="shared" si="344"/>
        <v>2023</v>
      </c>
      <c r="N2478" s="1">
        <f t="shared" ca="1" si="345"/>
        <v>46064</v>
      </c>
      <c r="O2478" s="6">
        <f t="shared" ca="1" si="346"/>
        <v>2</v>
      </c>
      <c r="P2478">
        <v>5</v>
      </c>
      <c r="Q2478">
        <f t="shared" si="347"/>
        <v>49458</v>
      </c>
      <c r="R2478" s="2">
        <f t="shared" si="348"/>
        <v>24729</v>
      </c>
      <c r="S2478" s="2" t="str">
        <f t="shared" si="349"/>
        <v xml:space="preserve"> Not Achieved</v>
      </c>
      <c r="T2478" s="2" t="str">
        <f t="shared" si="350"/>
        <v>Good</v>
      </c>
      <c r="U2478" s="2"/>
    </row>
    <row r="2479" spans="1:21" x14ac:dyDescent="0.3">
      <c r="A2479">
        <v>2478</v>
      </c>
      <c r="B2479" t="s">
        <v>3474</v>
      </c>
      <c r="C2479" t="str">
        <f t="shared" si="342"/>
        <v>EMP_2478</v>
      </c>
      <c r="D2479" t="s">
        <v>15</v>
      </c>
      <c r="E2479" t="str">
        <f t="shared" si="343"/>
        <v>EMP_2478HR</v>
      </c>
      <c r="F2479" t="s">
        <v>12</v>
      </c>
      <c r="G2479" t="s">
        <v>25</v>
      </c>
      <c r="H2479">
        <v>68901</v>
      </c>
      <c r="I2479">
        <v>11671</v>
      </c>
      <c r="J2479">
        <v>0</v>
      </c>
      <c r="K2479">
        <v>0</v>
      </c>
      <c r="L2479" s="4">
        <v>43873</v>
      </c>
      <c r="M2479" s="4" t="str">
        <f t="shared" si="344"/>
        <v>2020</v>
      </c>
      <c r="N2479" s="1">
        <f t="shared" ca="1" si="345"/>
        <v>46064</v>
      </c>
      <c r="O2479" s="6">
        <f t="shared" ca="1" si="346"/>
        <v>5</v>
      </c>
      <c r="P2479">
        <v>2</v>
      </c>
      <c r="Q2479">
        <f t="shared" si="347"/>
        <v>80572</v>
      </c>
      <c r="R2479" s="2">
        <f t="shared" si="348"/>
        <v>40286</v>
      </c>
      <c r="S2479" s="2" t="str">
        <f t="shared" si="349"/>
        <v xml:space="preserve"> Not Achieved</v>
      </c>
      <c r="T2479" s="2" t="str">
        <f t="shared" si="350"/>
        <v xml:space="preserve"> Excellent</v>
      </c>
      <c r="U2479" s="2"/>
    </row>
    <row r="2480" spans="1:21" x14ac:dyDescent="0.3">
      <c r="A2480">
        <v>2479</v>
      </c>
      <c r="B2480" t="s">
        <v>3475</v>
      </c>
      <c r="C2480" t="str">
        <f t="shared" si="342"/>
        <v>EMP_2479</v>
      </c>
      <c r="D2480" t="s">
        <v>11</v>
      </c>
      <c r="E2480" t="str">
        <f t="shared" si="343"/>
        <v>EMP_2479Finance</v>
      </c>
      <c r="F2480" t="s">
        <v>18</v>
      </c>
      <c r="G2480" t="s">
        <v>13</v>
      </c>
      <c r="H2480">
        <v>52748</v>
      </c>
      <c r="I2480">
        <v>7487</v>
      </c>
      <c r="J2480">
        <v>0</v>
      </c>
      <c r="K2480">
        <v>0</v>
      </c>
      <c r="L2480" s="4">
        <v>45601</v>
      </c>
      <c r="M2480" s="4" t="str">
        <f t="shared" si="344"/>
        <v>2024</v>
      </c>
      <c r="N2480" s="1">
        <f t="shared" ca="1" si="345"/>
        <v>46064</v>
      </c>
      <c r="O2480" s="6">
        <f t="shared" ca="1" si="346"/>
        <v>1</v>
      </c>
      <c r="P2480">
        <v>3</v>
      </c>
      <c r="Q2480">
        <f t="shared" si="347"/>
        <v>60235</v>
      </c>
      <c r="R2480" s="2">
        <f t="shared" si="348"/>
        <v>30117.5</v>
      </c>
      <c r="S2480" s="2" t="str">
        <f t="shared" si="349"/>
        <v xml:space="preserve"> Not Achieved</v>
      </c>
      <c r="T2480" s="2" t="str">
        <f t="shared" si="350"/>
        <v xml:space="preserve"> Excellent</v>
      </c>
      <c r="U2480" s="2"/>
    </row>
    <row r="2481" spans="1:21" x14ac:dyDescent="0.3">
      <c r="A2481">
        <v>2480</v>
      </c>
      <c r="B2481" t="s">
        <v>3476</v>
      </c>
      <c r="C2481" t="str">
        <f t="shared" si="342"/>
        <v>EMP_2480</v>
      </c>
      <c r="D2481" t="s">
        <v>11</v>
      </c>
      <c r="E2481" t="str">
        <f t="shared" si="343"/>
        <v>EMP_2480Marketing</v>
      </c>
      <c r="F2481" t="s">
        <v>24</v>
      </c>
      <c r="G2481" t="s">
        <v>25</v>
      </c>
      <c r="H2481">
        <v>35766</v>
      </c>
      <c r="I2481">
        <v>13093</v>
      </c>
      <c r="J2481">
        <v>0</v>
      </c>
      <c r="K2481">
        <v>0</v>
      </c>
      <c r="L2481" s="4" t="s">
        <v>3477</v>
      </c>
      <c r="M2481" s="4" t="str">
        <f t="shared" si="344"/>
        <v>3/23/2018</v>
      </c>
      <c r="N2481" s="1">
        <f t="shared" ca="1" si="345"/>
        <v>46064</v>
      </c>
      <c r="O2481" s="6" t="e">
        <f t="shared" ca="1" si="346"/>
        <v>#VALUE!</v>
      </c>
      <c r="P2481">
        <v>2</v>
      </c>
      <c r="Q2481">
        <f t="shared" si="347"/>
        <v>48859</v>
      </c>
      <c r="R2481" s="2">
        <f t="shared" si="348"/>
        <v>24429.5</v>
      </c>
      <c r="S2481" s="2" t="str">
        <f t="shared" si="349"/>
        <v xml:space="preserve"> Not Achieved</v>
      </c>
      <c r="T2481" s="2" t="str">
        <f t="shared" si="350"/>
        <v>Average</v>
      </c>
      <c r="U2481" s="2"/>
    </row>
    <row r="2482" spans="1:21" x14ac:dyDescent="0.3">
      <c r="A2482">
        <v>2481</v>
      </c>
      <c r="B2482" t="s">
        <v>3478</v>
      </c>
      <c r="C2482" t="str">
        <f t="shared" si="342"/>
        <v>EMP_2481</v>
      </c>
      <c r="D2482" t="s">
        <v>15</v>
      </c>
      <c r="E2482" t="str">
        <f t="shared" si="343"/>
        <v>EMP_2481IT</v>
      </c>
      <c r="F2482" t="s">
        <v>21</v>
      </c>
      <c r="G2482" t="s">
        <v>19</v>
      </c>
      <c r="H2482">
        <v>53896</v>
      </c>
      <c r="I2482">
        <v>14894</v>
      </c>
      <c r="J2482">
        <v>0</v>
      </c>
      <c r="K2482">
        <v>0</v>
      </c>
      <c r="L2482" s="4">
        <v>43900</v>
      </c>
      <c r="M2482" s="4" t="str">
        <f t="shared" si="344"/>
        <v>2020</v>
      </c>
      <c r="N2482" s="1">
        <f t="shared" ca="1" si="345"/>
        <v>46064</v>
      </c>
      <c r="O2482" s="6">
        <f t="shared" ca="1" si="346"/>
        <v>5</v>
      </c>
      <c r="P2482">
        <v>4</v>
      </c>
      <c r="Q2482">
        <f t="shared" si="347"/>
        <v>68790</v>
      </c>
      <c r="R2482" s="2">
        <f t="shared" si="348"/>
        <v>34395</v>
      </c>
      <c r="S2482" s="2" t="str">
        <f t="shared" si="349"/>
        <v xml:space="preserve"> Not Achieved</v>
      </c>
      <c r="T2482" s="2" t="str">
        <f t="shared" si="350"/>
        <v xml:space="preserve"> Excellent</v>
      </c>
      <c r="U2482" s="2"/>
    </row>
    <row r="2483" spans="1:21" x14ac:dyDescent="0.3">
      <c r="A2483">
        <v>2482</v>
      </c>
      <c r="B2483" t="s">
        <v>3479</v>
      </c>
      <c r="C2483" t="str">
        <f t="shared" si="342"/>
        <v>EMP_2482</v>
      </c>
      <c r="D2483" t="s">
        <v>11</v>
      </c>
      <c r="E2483" t="str">
        <f t="shared" si="343"/>
        <v>EMP_2482Sales</v>
      </c>
      <c r="F2483" t="s">
        <v>7</v>
      </c>
      <c r="G2483" t="s">
        <v>19</v>
      </c>
      <c r="H2483">
        <v>76995</v>
      </c>
      <c r="I2483">
        <v>2488</v>
      </c>
      <c r="J2483">
        <v>150601</v>
      </c>
      <c r="K2483">
        <v>137237</v>
      </c>
      <c r="L2483" s="4">
        <v>43686</v>
      </c>
      <c r="M2483" s="4" t="str">
        <f t="shared" si="344"/>
        <v>2019</v>
      </c>
      <c r="N2483" s="1">
        <f t="shared" ca="1" si="345"/>
        <v>46064</v>
      </c>
      <c r="O2483" s="6">
        <f t="shared" ca="1" si="346"/>
        <v>6</v>
      </c>
      <c r="P2483">
        <v>1</v>
      </c>
      <c r="Q2483">
        <f t="shared" si="347"/>
        <v>79483</v>
      </c>
      <c r="R2483" s="2">
        <f t="shared" si="348"/>
        <v>39741.5</v>
      </c>
      <c r="S2483" s="2" t="str">
        <f t="shared" si="349"/>
        <v>Achieved</v>
      </c>
      <c r="T2483" s="2" t="str">
        <f t="shared" si="350"/>
        <v xml:space="preserve"> Excellent</v>
      </c>
      <c r="U2483" s="2"/>
    </row>
    <row r="2484" spans="1:21" x14ac:dyDescent="0.3">
      <c r="A2484">
        <v>2483</v>
      </c>
      <c r="B2484" t="s">
        <v>3480</v>
      </c>
      <c r="C2484" t="str">
        <f t="shared" si="342"/>
        <v>EMP_2483</v>
      </c>
      <c r="D2484" t="s">
        <v>11</v>
      </c>
      <c r="E2484" t="str">
        <f t="shared" si="343"/>
        <v>EMP_2483Marketing</v>
      </c>
      <c r="F2484" t="s">
        <v>24</v>
      </c>
      <c r="G2484" t="s">
        <v>13</v>
      </c>
      <c r="H2484">
        <v>36476</v>
      </c>
      <c r="I2484">
        <v>14922</v>
      </c>
      <c r="J2484">
        <v>0</v>
      </c>
      <c r="K2484">
        <v>0</v>
      </c>
      <c r="L2484" s="4" t="s">
        <v>2746</v>
      </c>
      <c r="M2484" s="4" t="str">
        <f t="shared" si="344"/>
        <v>6/25/2022</v>
      </c>
      <c r="N2484" s="1">
        <f t="shared" ca="1" si="345"/>
        <v>46064</v>
      </c>
      <c r="O2484" s="6" t="e">
        <f t="shared" ca="1" si="346"/>
        <v>#VALUE!</v>
      </c>
      <c r="P2484">
        <v>4</v>
      </c>
      <c r="Q2484">
        <f t="shared" si="347"/>
        <v>51398</v>
      </c>
      <c r="R2484" s="2">
        <f t="shared" si="348"/>
        <v>25699</v>
      </c>
      <c r="S2484" s="2" t="str">
        <f t="shared" si="349"/>
        <v xml:space="preserve"> Not Achieved</v>
      </c>
      <c r="T2484" s="2" t="str">
        <f t="shared" si="350"/>
        <v>Average</v>
      </c>
      <c r="U2484" s="2"/>
    </row>
    <row r="2485" spans="1:21" x14ac:dyDescent="0.3">
      <c r="A2485">
        <v>2484</v>
      </c>
      <c r="B2485" t="s">
        <v>3481</v>
      </c>
      <c r="C2485" t="str">
        <f t="shared" si="342"/>
        <v>EMP_2484</v>
      </c>
      <c r="D2485" t="s">
        <v>15</v>
      </c>
      <c r="E2485" t="str">
        <f t="shared" si="343"/>
        <v>EMP_2484Sales</v>
      </c>
      <c r="F2485" t="s">
        <v>7</v>
      </c>
      <c r="G2485" t="s">
        <v>13</v>
      </c>
      <c r="H2485">
        <v>32544</v>
      </c>
      <c r="I2485">
        <v>14740</v>
      </c>
      <c r="J2485">
        <v>95251</v>
      </c>
      <c r="K2485">
        <v>247353</v>
      </c>
      <c r="L2485" s="4">
        <v>43375</v>
      </c>
      <c r="M2485" s="4" t="str">
        <f t="shared" si="344"/>
        <v>2018</v>
      </c>
      <c r="N2485" s="1">
        <f t="shared" ca="1" si="345"/>
        <v>46064</v>
      </c>
      <c r="O2485" s="6">
        <f t="shared" ca="1" si="346"/>
        <v>7</v>
      </c>
      <c r="P2485">
        <v>3</v>
      </c>
      <c r="Q2485">
        <f t="shared" si="347"/>
        <v>47284</v>
      </c>
      <c r="R2485" s="2">
        <f t="shared" si="348"/>
        <v>23642</v>
      </c>
      <c r="S2485" s="2" t="str">
        <f t="shared" si="349"/>
        <v xml:space="preserve"> Not Achieved</v>
      </c>
      <c r="T2485" s="2" t="str">
        <f t="shared" si="350"/>
        <v>Average</v>
      </c>
      <c r="U2485" s="2"/>
    </row>
    <row r="2486" spans="1:21" x14ac:dyDescent="0.3">
      <c r="A2486">
        <v>2485</v>
      </c>
      <c r="B2486" t="s">
        <v>3482</v>
      </c>
      <c r="C2486" t="str">
        <f t="shared" si="342"/>
        <v>EMP_2485</v>
      </c>
      <c r="D2486" t="s">
        <v>11</v>
      </c>
      <c r="E2486" t="str">
        <f t="shared" si="343"/>
        <v>EMP_2485IT</v>
      </c>
      <c r="F2486" t="s">
        <v>21</v>
      </c>
      <c r="G2486" t="s">
        <v>22</v>
      </c>
      <c r="H2486">
        <v>45026</v>
      </c>
      <c r="I2486">
        <v>13947</v>
      </c>
      <c r="J2486">
        <v>0</v>
      </c>
      <c r="K2486">
        <v>0</v>
      </c>
      <c r="L2486" s="4" t="s">
        <v>3483</v>
      </c>
      <c r="M2486" s="4" t="str">
        <f t="shared" si="344"/>
        <v>8/13/2023</v>
      </c>
      <c r="N2486" s="1">
        <f t="shared" ca="1" si="345"/>
        <v>46064</v>
      </c>
      <c r="O2486" s="6" t="e">
        <f t="shared" ca="1" si="346"/>
        <v>#VALUE!</v>
      </c>
      <c r="P2486">
        <v>3</v>
      </c>
      <c r="Q2486">
        <f t="shared" si="347"/>
        <v>58973</v>
      </c>
      <c r="R2486" s="2">
        <f t="shared" si="348"/>
        <v>29486.5</v>
      </c>
      <c r="S2486" s="2" t="str">
        <f t="shared" si="349"/>
        <v xml:space="preserve"> Not Achieved</v>
      </c>
      <c r="T2486" s="2" t="str">
        <f t="shared" si="350"/>
        <v>Good</v>
      </c>
      <c r="U2486" s="2"/>
    </row>
    <row r="2487" spans="1:21" x14ac:dyDescent="0.3">
      <c r="A2487">
        <v>2486</v>
      </c>
      <c r="B2487" t="s">
        <v>3484</v>
      </c>
      <c r="C2487" t="str">
        <f t="shared" si="342"/>
        <v>EMP_2486</v>
      </c>
      <c r="D2487" t="s">
        <v>11</v>
      </c>
      <c r="E2487" t="str">
        <f t="shared" si="343"/>
        <v>EMP_2486IT</v>
      </c>
      <c r="F2487" t="s">
        <v>21</v>
      </c>
      <c r="G2487" t="s">
        <v>25</v>
      </c>
      <c r="H2487">
        <v>40681</v>
      </c>
      <c r="I2487">
        <v>3936</v>
      </c>
      <c r="J2487">
        <v>0</v>
      </c>
      <c r="K2487">
        <v>0</v>
      </c>
      <c r="L2487" s="4" t="s">
        <v>3485</v>
      </c>
      <c r="M2487" s="4" t="str">
        <f t="shared" si="344"/>
        <v>9/23/2022</v>
      </c>
      <c r="N2487" s="1">
        <f t="shared" ca="1" si="345"/>
        <v>46064</v>
      </c>
      <c r="O2487" s="6" t="e">
        <f t="shared" ca="1" si="346"/>
        <v>#VALUE!</v>
      </c>
      <c r="P2487">
        <v>3</v>
      </c>
      <c r="Q2487">
        <f t="shared" si="347"/>
        <v>44617</v>
      </c>
      <c r="R2487" s="2">
        <f t="shared" si="348"/>
        <v>22308.5</v>
      </c>
      <c r="S2487" s="2" t="str">
        <f t="shared" si="349"/>
        <v xml:space="preserve"> Not Achieved</v>
      </c>
      <c r="T2487" s="2" t="str">
        <f t="shared" si="350"/>
        <v>Good</v>
      </c>
      <c r="U2487" s="2"/>
    </row>
    <row r="2488" spans="1:21" x14ac:dyDescent="0.3">
      <c r="A2488">
        <v>2487</v>
      </c>
      <c r="B2488" t="s">
        <v>3486</v>
      </c>
      <c r="C2488" t="str">
        <f t="shared" si="342"/>
        <v>EMP_2487</v>
      </c>
      <c r="D2488" t="s">
        <v>11</v>
      </c>
      <c r="E2488" t="str">
        <f t="shared" si="343"/>
        <v>EMP_2487Marketing</v>
      </c>
      <c r="F2488" t="s">
        <v>24</v>
      </c>
      <c r="G2488" t="s">
        <v>13</v>
      </c>
      <c r="H2488">
        <v>45850</v>
      </c>
      <c r="I2488">
        <v>11945</v>
      </c>
      <c r="J2488">
        <v>0</v>
      </c>
      <c r="K2488">
        <v>0</v>
      </c>
      <c r="L2488" s="4">
        <v>44601</v>
      </c>
      <c r="M2488" s="4" t="str">
        <f t="shared" si="344"/>
        <v>2022</v>
      </c>
      <c r="N2488" s="1">
        <f t="shared" ca="1" si="345"/>
        <v>46064</v>
      </c>
      <c r="O2488" s="6">
        <f t="shared" ca="1" si="346"/>
        <v>4</v>
      </c>
      <c r="P2488">
        <v>4</v>
      </c>
      <c r="Q2488">
        <f t="shared" si="347"/>
        <v>57795</v>
      </c>
      <c r="R2488" s="2">
        <f t="shared" si="348"/>
        <v>28897.5</v>
      </c>
      <c r="S2488" s="2" t="str">
        <f t="shared" si="349"/>
        <v xml:space="preserve"> Not Achieved</v>
      </c>
      <c r="T2488" s="2" t="str">
        <f t="shared" si="350"/>
        <v>Good</v>
      </c>
      <c r="U2488" s="2"/>
    </row>
    <row r="2489" spans="1:21" x14ac:dyDescent="0.3">
      <c r="A2489">
        <v>2488</v>
      </c>
      <c r="B2489" t="s">
        <v>3487</v>
      </c>
      <c r="C2489" t="str">
        <f t="shared" si="342"/>
        <v>EMP_2488</v>
      </c>
      <c r="D2489" t="s">
        <v>11</v>
      </c>
      <c r="E2489" t="str">
        <f t="shared" si="343"/>
        <v>EMP_2488Finance</v>
      </c>
      <c r="F2489" t="s">
        <v>18</v>
      </c>
      <c r="G2489" t="s">
        <v>13</v>
      </c>
      <c r="H2489">
        <v>31294</v>
      </c>
      <c r="I2489">
        <v>2737</v>
      </c>
      <c r="J2489">
        <v>0</v>
      </c>
      <c r="K2489">
        <v>0</v>
      </c>
      <c r="L2489" s="4">
        <v>45177</v>
      </c>
      <c r="M2489" s="4" t="str">
        <f t="shared" si="344"/>
        <v>2023</v>
      </c>
      <c r="N2489" s="1">
        <f t="shared" ca="1" si="345"/>
        <v>46064</v>
      </c>
      <c r="O2489" s="6">
        <f t="shared" ca="1" si="346"/>
        <v>2</v>
      </c>
      <c r="P2489">
        <v>3</v>
      </c>
      <c r="Q2489">
        <f t="shared" si="347"/>
        <v>34031</v>
      </c>
      <c r="R2489" s="2">
        <f t="shared" si="348"/>
        <v>17015.5</v>
      </c>
      <c r="S2489" s="2" t="str">
        <f t="shared" si="349"/>
        <v xml:space="preserve"> Not Achieved</v>
      </c>
      <c r="T2489" s="2" t="str">
        <f t="shared" si="350"/>
        <v>Average</v>
      </c>
      <c r="U2489" s="2"/>
    </row>
    <row r="2490" spans="1:21" x14ac:dyDescent="0.3">
      <c r="A2490">
        <v>2489</v>
      </c>
      <c r="B2490" t="s">
        <v>3488</v>
      </c>
      <c r="C2490" t="str">
        <f t="shared" si="342"/>
        <v>EMP_2489</v>
      </c>
      <c r="D2490" t="s">
        <v>11</v>
      </c>
      <c r="E2490" t="str">
        <f t="shared" si="343"/>
        <v>EMP_2489Finance</v>
      </c>
      <c r="F2490" t="s">
        <v>18</v>
      </c>
      <c r="G2490" t="s">
        <v>25</v>
      </c>
      <c r="H2490">
        <v>43522</v>
      </c>
      <c r="I2490">
        <v>7141</v>
      </c>
      <c r="J2490">
        <v>0</v>
      </c>
      <c r="K2490">
        <v>0</v>
      </c>
      <c r="L2490" s="4" t="s">
        <v>1775</v>
      </c>
      <c r="M2490" s="4" t="str">
        <f t="shared" si="344"/>
        <v>3/21/2021</v>
      </c>
      <c r="N2490" s="1">
        <f t="shared" ca="1" si="345"/>
        <v>46064</v>
      </c>
      <c r="O2490" s="6" t="e">
        <f t="shared" ca="1" si="346"/>
        <v>#VALUE!</v>
      </c>
      <c r="P2490">
        <v>4</v>
      </c>
      <c r="Q2490">
        <f t="shared" si="347"/>
        <v>50663</v>
      </c>
      <c r="R2490" s="2">
        <f t="shared" si="348"/>
        <v>25331.5</v>
      </c>
      <c r="S2490" s="2" t="str">
        <f t="shared" si="349"/>
        <v xml:space="preserve"> Not Achieved</v>
      </c>
      <c r="T2490" s="2" t="str">
        <f t="shared" si="350"/>
        <v>Good</v>
      </c>
      <c r="U2490" s="2"/>
    </row>
    <row r="2491" spans="1:21" x14ac:dyDescent="0.3">
      <c r="A2491">
        <v>2490</v>
      </c>
      <c r="B2491" t="s">
        <v>3489</v>
      </c>
      <c r="C2491" t="str">
        <f t="shared" si="342"/>
        <v>EMP_2490</v>
      </c>
      <c r="D2491" t="s">
        <v>11</v>
      </c>
      <c r="E2491" t="str">
        <f t="shared" si="343"/>
        <v>EMP_2490HR</v>
      </c>
      <c r="F2491" t="s">
        <v>12</v>
      </c>
      <c r="G2491" t="s">
        <v>22</v>
      </c>
      <c r="H2491">
        <v>47643</v>
      </c>
      <c r="I2491">
        <v>9818</v>
      </c>
      <c r="J2491">
        <v>0</v>
      </c>
      <c r="K2491">
        <v>0</v>
      </c>
      <c r="L2491" s="4" t="s">
        <v>2866</v>
      </c>
      <c r="M2491" s="4" t="str">
        <f t="shared" si="344"/>
        <v>3/22/2021</v>
      </c>
      <c r="N2491" s="1">
        <f t="shared" ca="1" si="345"/>
        <v>46064</v>
      </c>
      <c r="O2491" s="6" t="e">
        <f t="shared" ca="1" si="346"/>
        <v>#VALUE!</v>
      </c>
      <c r="P2491">
        <v>2</v>
      </c>
      <c r="Q2491">
        <f t="shared" si="347"/>
        <v>57461</v>
      </c>
      <c r="R2491" s="2">
        <f t="shared" si="348"/>
        <v>28730.5</v>
      </c>
      <c r="S2491" s="2" t="str">
        <f t="shared" si="349"/>
        <v xml:space="preserve"> Not Achieved</v>
      </c>
      <c r="T2491" s="2" t="str">
        <f t="shared" si="350"/>
        <v>Good</v>
      </c>
      <c r="U2491" s="2"/>
    </row>
    <row r="2492" spans="1:21" x14ac:dyDescent="0.3">
      <c r="A2492">
        <v>2491</v>
      </c>
      <c r="B2492" t="s">
        <v>3490</v>
      </c>
      <c r="C2492" t="str">
        <f t="shared" si="342"/>
        <v>EMP_2491</v>
      </c>
      <c r="D2492" t="s">
        <v>15</v>
      </c>
      <c r="E2492" t="str">
        <f t="shared" si="343"/>
        <v>EMP_2491IT</v>
      </c>
      <c r="F2492" t="s">
        <v>21</v>
      </c>
      <c r="G2492" t="s">
        <v>13</v>
      </c>
      <c r="H2492">
        <v>57602</v>
      </c>
      <c r="I2492">
        <v>11094</v>
      </c>
      <c r="J2492">
        <v>0</v>
      </c>
      <c r="K2492">
        <v>0</v>
      </c>
      <c r="L2492" s="4" t="s">
        <v>2194</v>
      </c>
      <c r="M2492" s="4" t="str">
        <f t="shared" si="344"/>
        <v>5/30/2022</v>
      </c>
      <c r="N2492" s="1">
        <f t="shared" ca="1" si="345"/>
        <v>46064</v>
      </c>
      <c r="O2492" s="6" t="e">
        <f t="shared" ca="1" si="346"/>
        <v>#VALUE!</v>
      </c>
      <c r="P2492">
        <v>3</v>
      </c>
      <c r="Q2492">
        <f t="shared" si="347"/>
        <v>68696</v>
      </c>
      <c r="R2492" s="2">
        <f t="shared" si="348"/>
        <v>34348</v>
      </c>
      <c r="S2492" s="2" t="str">
        <f t="shared" si="349"/>
        <v xml:space="preserve"> Not Achieved</v>
      </c>
      <c r="T2492" s="2" t="str">
        <f t="shared" si="350"/>
        <v xml:space="preserve"> Excellent</v>
      </c>
      <c r="U2492" s="2"/>
    </row>
    <row r="2493" spans="1:21" x14ac:dyDescent="0.3">
      <c r="A2493">
        <v>2492</v>
      </c>
      <c r="B2493" t="s">
        <v>3491</v>
      </c>
      <c r="C2493" t="str">
        <f t="shared" si="342"/>
        <v>EMP_2492</v>
      </c>
      <c r="D2493" t="s">
        <v>15</v>
      </c>
      <c r="E2493" t="str">
        <f t="shared" si="343"/>
        <v>EMP_2492Finance</v>
      </c>
      <c r="F2493" t="s">
        <v>18</v>
      </c>
      <c r="G2493" t="s">
        <v>19</v>
      </c>
      <c r="H2493">
        <v>46614</v>
      </c>
      <c r="I2493">
        <v>2109</v>
      </c>
      <c r="J2493">
        <v>0</v>
      </c>
      <c r="K2493">
        <v>0</v>
      </c>
      <c r="L2493" s="4">
        <v>43102</v>
      </c>
      <c r="M2493" s="4" t="str">
        <f t="shared" si="344"/>
        <v>2018</v>
      </c>
      <c r="N2493" s="1">
        <f t="shared" ca="1" si="345"/>
        <v>46064</v>
      </c>
      <c r="O2493" s="6">
        <f t="shared" ca="1" si="346"/>
        <v>8</v>
      </c>
      <c r="P2493">
        <v>2</v>
      </c>
      <c r="Q2493">
        <f t="shared" si="347"/>
        <v>48723</v>
      </c>
      <c r="R2493" s="2">
        <f t="shared" si="348"/>
        <v>24361.5</v>
      </c>
      <c r="S2493" s="2" t="str">
        <f t="shared" si="349"/>
        <v xml:space="preserve"> Not Achieved</v>
      </c>
      <c r="T2493" s="2" t="str">
        <f t="shared" si="350"/>
        <v>Good</v>
      </c>
      <c r="U2493" s="2"/>
    </row>
    <row r="2494" spans="1:21" x14ac:dyDescent="0.3">
      <c r="A2494">
        <v>2493</v>
      </c>
      <c r="B2494" t="s">
        <v>3492</v>
      </c>
      <c r="C2494" t="str">
        <f t="shared" si="342"/>
        <v>EMP_2493</v>
      </c>
      <c r="D2494" t="s">
        <v>11</v>
      </c>
      <c r="E2494" t="str">
        <f t="shared" si="343"/>
        <v>EMP_2493Finance</v>
      </c>
      <c r="F2494" t="s">
        <v>18</v>
      </c>
      <c r="G2494" t="s">
        <v>13</v>
      </c>
      <c r="H2494">
        <v>58273</v>
      </c>
      <c r="I2494">
        <v>12654</v>
      </c>
      <c r="J2494">
        <v>0</v>
      </c>
      <c r="K2494">
        <v>0</v>
      </c>
      <c r="L2494" s="4" t="s">
        <v>3493</v>
      </c>
      <c r="M2494" s="4" t="str">
        <f t="shared" si="344"/>
        <v>9/19/2023</v>
      </c>
      <c r="N2494" s="1">
        <f t="shared" ca="1" si="345"/>
        <v>46064</v>
      </c>
      <c r="O2494" s="6" t="e">
        <f t="shared" ca="1" si="346"/>
        <v>#VALUE!</v>
      </c>
      <c r="P2494">
        <v>2</v>
      </c>
      <c r="Q2494">
        <f t="shared" si="347"/>
        <v>70927</v>
      </c>
      <c r="R2494" s="2">
        <f t="shared" si="348"/>
        <v>35463.5</v>
      </c>
      <c r="S2494" s="2" t="str">
        <f t="shared" si="349"/>
        <v xml:space="preserve"> Not Achieved</v>
      </c>
      <c r="T2494" s="2" t="str">
        <f t="shared" si="350"/>
        <v xml:space="preserve"> Excellent</v>
      </c>
      <c r="U2494" s="2"/>
    </row>
    <row r="2495" spans="1:21" x14ac:dyDescent="0.3">
      <c r="A2495">
        <v>2494</v>
      </c>
      <c r="B2495" t="s">
        <v>3494</v>
      </c>
      <c r="C2495" t="str">
        <f t="shared" si="342"/>
        <v>EMP_2494</v>
      </c>
      <c r="D2495" t="s">
        <v>11</v>
      </c>
      <c r="E2495" t="str">
        <f t="shared" si="343"/>
        <v>EMP_2494Marketing</v>
      </c>
      <c r="F2495" t="s">
        <v>24</v>
      </c>
      <c r="G2495" t="s">
        <v>13</v>
      </c>
      <c r="H2495">
        <v>39064</v>
      </c>
      <c r="I2495">
        <v>13816</v>
      </c>
      <c r="J2495">
        <v>0</v>
      </c>
      <c r="K2495">
        <v>0</v>
      </c>
      <c r="L2495" s="4" t="s">
        <v>1818</v>
      </c>
      <c r="M2495" s="4" t="str">
        <f t="shared" si="344"/>
        <v>1/14/2022</v>
      </c>
      <c r="N2495" s="1">
        <f t="shared" ca="1" si="345"/>
        <v>46064</v>
      </c>
      <c r="O2495" s="6" t="e">
        <f t="shared" ca="1" si="346"/>
        <v>#VALUE!</v>
      </c>
      <c r="P2495">
        <v>2</v>
      </c>
      <c r="Q2495">
        <f t="shared" si="347"/>
        <v>52880</v>
      </c>
      <c r="R2495" s="2">
        <f t="shared" si="348"/>
        <v>26440</v>
      </c>
      <c r="S2495" s="2" t="str">
        <f t="shared" si="349"/>
        <v xml:space="preserve"> Not Achieved</v>
      </c>
      <c r="T2495" s="2" t="str">
        <f t="shared" si="350"/>
        <v>Average</v>
      </c>
      <c r="U2495" s="2"/>
    </row>
    <row r="2496" spans="1:21" x14ac:dyDescent="0.3">
      <c r="A2496">
        <v>2495</v>
      </c>
      <c r="B2496" t="s">
        <v>3495</v>
      </c>
      <c r="C2496" t="str">
        <f t="shared" si="342"/>
        <v>EMP_2495</v>
      </c>
      <c r="D2496" t="s">
        <v>15</v>
      </c>
      <c r="E2496" t="str">
        <f t="shared" si="343"/>
        <v>EMP_2495IT</v>
      </c>
      <c r="F2496" t="s">
        <v>21</v>
      </c>
      <c r="G2496" t="s">
        <v>19</v>
      </c>
      <c r="H2496">
        <v>50668</v>
      </c>
      <c r="I2496">
        <v>10755</v>
      </c>
      <c r="J2496">
        <v>0</v>
      </c>
      <c r="K2496">
        <v>0</v>
      </c>
      <c r="L2496" s="4" t="s">
        <v>2304</v>
      </c>
      <c r="M2496" s="4" t="str">
        <f t="shared" si="344"/>
        <v>11/20/2021</v>
      </c>
      <c r="N2496" s="1">
        <f t="shared" ca="1" si="345"/>
        <v>46064</v>
      </c>
      <c r="O2496" s="6" t="e">
        <f t="shared" ca="1" si="346"/>
        <v>#VALUE!</v>
      </c>
      <c r="P2496">
        <v>4</v>
      </c>
      <c r="Q2496">
        <f t="shared" si="347"/>
        <v>61423</v>
      </c>
      <c r="R2496" s="2">
        <f t="shared" si="348"/>
        <v>30711.5</v>
      </c>
      <c r="S2496" s="2" t="str">
        <f t="shared" si="349"/>
        <v xml:space="preserve"> Not Achieved</v>
      </c>
      <c r="T2496" s="2" t="str">
        <f t="shared" si="350"/>
        <v xml:space="preserve"> Excellent</v>
      </c>
      <c r="U2496" s="2"/>
    </row>
    <row r="2497" spans="1:21" x14ac:dyDescent="0.3">
      <c r="A2497">
        <v>2496</v>
      </c>
      <c r="B2497" t="s">
        <v>3496</v>
      </c>
      <c r="C2497" t="str">
        <f t="shared" si="342"/>
        <v>EMP_2496</v>
      </c>
      <c r="D2497" t="s">
        <v>15</v>
      </c>
      <c r="E2497" t="str">
        <f t="shared" si="343"/>
        <v>EMP_2496Finance</v>
      </c>
      <c r="F2497" t="s">
        <v>18</v>
      </c>
      <c r="G2497" t="s">
        <v>22</v>
      </c>
      <c r="H2497">
        <v>57478</v>
      </c>
      <c r="I2497">
        <v>10919</v>
      </c>
      <c r="J2497">
        <v>0</v>
      </c>
      <c r="K2497">
        <v>0</v>
      </c>
      <c r="L2497" s="4">
        <v>45448</v>
      </c>
      <c r="M2497" s="4" t="str">
        <f t="shared" si="344"/>
        <v>2024</v>
      </c>
      <c r="N2497" s="1">
        <f t="shared" ca="1" si="345"/>
        <v>46064</v>
      </c>
      <c r="O2497" s="6">
        <f t="shared" ca="1" si="346"/>
        <v>1</v>
      </c>
      <c r="P2497">
        <v>2</v>
      </c>
      <c r="Q2497">
        <f t="shared" si="347"/>
        <v>68397</v>
      </c>
      <c r="R2497" s="2">
        <f t="shared" si="348"/>
        <v>34198.5</v>
      </c>
      <c r="S2497" s="2" t="str">
        <f t="shared" si="349"/>
        <v xml:space="preserve"> Not Achieved</v>
      </c>
      <c r="T2497" s="2" t="str">
        <f t="shared" si="350"/>
        <v xml:space="preserve"> Excellent</v>
      </c>
      <c r="U2497" s="2"/>
    </row>
    <row r="2498" spans="1:21" x14ac:dyDescent="0.3">
      <c r="A2498">
        <v>2497</v>
      </c>
      <c r="B2498" t="s">
        <v>3497</v>
      </c>
      <c r="C2498" t="str">
        <f t="shared" si="342"/>
        <v>EMP_2497</v>
      </c>
      <c r="D2498" t="s">
        <v>11</v>
      </c>
      <c r="E2498" t="str">
        <f t="shared" si="343"/>
        <v>EMP_2497Finance</v>
      </c>
      <c r="F2498" t="s">
        <v>18</v>
      </c>
      <c r="G2498" t="s">
        <v>19</v>
      </c>
      <c r="H2498">
        <v>24323</v>
      </c>
      <c r="I2498">
        <v>3459</v>
      </c>
      <c r="J2498">
        <v>0</v>
      </c>
      <c r="K2498">
        <v>0</v>
      </c>
      <c r="L2498" s="4">
        <v>45299</v>
      </c>
      <c r="M2498" s="4" t="str">
        <f t="shared" si="344"/>
        <v>2024</v>
      </c>
      <c r="N2498" s="1">
        <f t="shared" ca="1" si="345"/>
        <v>46064</v>
      </c>
      <c r="O2498" s="6">
        <f t="shared" ca="1" si="346"/>
        <v>2</v>
      </c>
      <c r="P2498">
        <v>5</v>
      </c>
      <c r="Q2498">
        <f t="shared" si="347"/>
        <v>27782</v>
      </c>
      <c r="R2498" s="2">
        <f t="shared" si="348"/>
        <v>13891</v>
      </c>
      <c r="S2498" s="2" t="str">
        <f t="shared" si="349"/>
        <v xml:space="preserve"> Not Achieved</v>
      </c>
      <c r="T2498" s="2" t="str">
        <f t="shared" si="350"/>
        <v>poor</v>
      </c>
      <c r="U2498" s="2"/>
    </row>
    <row r="2499" spans="1:21" x14ac:dyDescent="0.3">
      <c r="A2499">
        <v>2498</v>
      </c>
      <c r="B2499" t="s">
        <v>3498</v>
      </c>
      <c r="C2499" t="str">
        <f t="shared" ref="C2499:C2562" si="351">UPPER(B2499)</f>
        <v>EMP_2498</v>
      </c>
      <c r="D2499" t="s">
        <v>15</v>
      </c>
      <c r="E2499" t="str">
        <f t="shared" ref="E2499:E2562" si="352">_xlfn.CONCAT(C2499,F2499)</f>
        <v>EMP_2498Marketing</v>
      </c>
      <c r="F2499" t="s">
        <v>24</v>
      </c>
      <c r="G2499" t="s">
        <v>25</v>
      </c>
      <c r="H2499">
        <v>26408</v>
      </c>
      <c r="I2499">
        <v>4097</v>
      </c>
      <c r="J2499">
        <v>0</v>
      </c>
      <c r="K2499">
        <v>0</v>
      </c>
      <c r="L2499" s="4" t="s">
        <v>2091</v>
      </c>
      <c r="M2499" s="4" t="str">
        <f t="shared" ref="M2499:M2562" si="353">TEXT(L2499,"yyyy")</f>
        <v>8/15/2022</v>
      </c>
      <c r="N2499" s="1">
        <f t="shared" ref="N2499:N2562" ca="1" si="354">TODAY()</f>
        <v>46064</v>
      </c>
      <c r="O2499" s="6" t="e">
        <f t="shared" ref="O2499:O2562" ca="1" si="355">DATEDIF(L2499, TODAY(), "y")</f>
        <v>#VALUE!</v>
      </c>
      <c r="P2499">
        <v>2</v>
      </c>
      <c r="Q2499">
        <f t="shared" ref="Q2499:Q2562" si="356">SUM(H2499,I2499)</f>
        <v>30505</v>
      </c>
      <c r="R2499" s="2">
        <f t="shared" ref="R2499:R2562" si="357">AVERAGE(H2499,I2499)</f>
        <v>15252.5</v>
      </c>
      <c r="S2499" s="2" t="str">
        <f t="shared" ref="S2499:S2562" si="358">IF(J2499&gt;K2499,"Achieved"," Not Achieved")</f>
        <v xml:space="preserve"> Not Achieved</v>
      </c>
      <c r="T2499" s="2" t="str">
        <f t="shared" ref="T2499:T2562" si="359">_xlfn.IFS(H2499&gt;=50000," Excellent",H2499&gt;=40000,"Good",H2499&gt;=30000,"Average",H2499&lt;30000,"poor")</f>
        <v>poor</v>
      </c>
      <c r="U2499" s="2"/>
    </row>
    <row r="2500" spans="1:21" x14ac:dyDescent="0.3">
      <c r="A2500">
        <v>2499</v>
      </c>
      <c r="B2500" t="s">
        <v>3499</v>
      </c>
      <c r="C2500" t="str">
        <f t="shared" si="351"/>
        <v>EMP_2499</v>
      </c>
      <c r="D2500" t="s">
        <v>11</v>
      </c>
      <c r="E2500" t="str">
        <f t="shared" si="352"/>
        <v>EMP_2499Marketing</v>
      </c>
      <c r="F2500" t="s">
        <v>24</v>
      </c>
      <c r="G2500" t="s">
        <v>19</v>
      </c>
      <c r="H2500">
        <v>38742</v>
      </c>
      <c r="I2500">
        <v>13962</v>
      </c>
      <c r="J2500">
        <v>0</v>
      </c>
      <c r="K2500">
        <v>0</v>
      </c>
      <c r="L2500" s="4" t="s">
        <v>1704</v>
      </c>
      <c r="M2500" s="4" t="str">
        <f t="shared" si="353"/>
        <v>12/24/2021</v>
      </c>
      <c r="N2500" s="1">
        <f t="shared" ca="1" si="354"/>
        <v>46064</v>
      </c>
      <c r="O2500" s="6" t="e">
        <f t="shared" ca="1" si="355"/>
        <v>#VALUE!</v>
      </c>
      <c r="P2500">
        <v>2</v>
      </c>
      <c r="Q2500">
        <f t="shared" si="356"/>
        <v>52704</v>
      </c>
      <c r="R2500" s="2">
        <f t="shared" si="357"/>
        <v>26352</v>
      </c>
      <c r="S2500" s="2" t="str">
        <f t="shared" si="358"/>
        <v xml:space="preserve"> Not Achieved</v>
      </c>
      <c r="T2500" s="2" t="str">
        <f t="shared" si="359"/>
        <v>Average</v>
      </c>
      <c r="U2500" s="2"/>
    </row>
    <row r="2501" spans="1:21" x14ac:dyDescent="0.3">
      <c r="A2501">
        <v>2500</v>
      </c>
      <c r="B2501" t="s">
        <v>3500</v>
      </c>
      <c r="C2501" t="str">
        <f t="shared" si="351"/>
        <v>EMP_2500</v>
      </c>
      <c r="D2501" t="s">
        <v>11</v>
      </c>
      <c r="E2501" t="str">
        <f t="shared" si="352"/>
        <v>EMP_2500Sales</v>
      </c>
      <c r="F2501" t="s">
        <v>7</v>
      </c>
      <c r="G2501" t="s">
        <v>22</v>
      </c>
      <c r="H2501">
        <v>63383</v>
      </c>
      <c r="I2501">
        <v>2109</v>
      </c>
      <c r="J2501">
        <v>167845</v>
      </c>
      <c r="K2501">
        <v>197035</v>
      </c>
      <c r="L2501" s="4" t="s">
        <v>3332</v>
      </c>
      <c r="M2501" s="4" t="str">
        <f t="shared" si="353"/>
        <v>9/17/2019</v>
      </c>
      <c r="N2501" s="1">
        <f t="shared" ca="1" si="354"/>
        <v>46064</v>
      </c>
      <c r="O2501" s="6" t="e">
        <f t="shared" ca="1" si="355"/>
        <v>#VALUE!</v>
      </c>
      <c r="P2501">
        <v>1</v>
      </c>
      <c r="Q2501">
        <f t="shared" si="356"/>
        <v>65492</v>
      </c>
      <c r="R2501" s="2">
        <f t="shared" si="357"/>
        <v>32746</v>
      </c>
      <c r="S2501" s="2" t="str">
        <f t="shared" si="358"/>
        <v xml:space="preserve"> Not Achieved</v>
      </c>
      <c r="T2501" s="2" t="str">
        <f t="shared" si="359"/>
        <v xml:space="preserve"> Excellent</v>
      </c>
      <c r="U2501" s="2"/>
    </row>
    <row r="2502" spans="1:21" x14ac:dyDescent="0.3">
      <c r="A2502">
        <v>2501</v>
      </c>
      <c r="B2502" t="s">
        <v>3501</v>
      </c>
      <c r="C2502" t="str">
        <f t="shared" si="351"/>
        <v>EMP_2501</v>
      </c>
      <c r="D2502" t="s">
        <v>15</v>
      </c>
      <c r="E2502" t="str">
        <f t="shared" si="352"/>
        <v>EMP_2501Marketing</v>
      </c>
      <c r="F2502" t="s">
        <v>24</v>
      </c>
      <c r="G2502" t="s">
        <v>13</v>
      </c>
      <c r="H2502">
        <v>25028</v>
      </c>
      <c r="I2502">
        <v>2044</v>
      </c>
      <c r="J2502">
        <v>0</v>
      </c>
      <c r="K2502">
        <v>0</v>
      </c>
      <c r="L2502" s="4">
        <v>44289</v>
      </c>
      <c r="M2502" s="4" t="str">
        <f t="shared" si="353"/>
        <v>2021</v>
      </c>
      <c r="N2502" s="1">
        <f t="shared" ca="1" si="354"/>
        <v>46064</v>
      </c>
      <c r="O2502" s="6">
        <f t="shared" ca="1" si="355"/>
        <v>4</v>
      </c>
      <c r="P2502">
        <v>5</v>
      </c>
      <c r="Q2502">
        <f t="shared" si="356"/>
        <v>27072</v>
      </c>
      <c r="R2502" s="2">
        <f t="shared" si="357"/>
        <v>13536</v>
      </c>
      <c r="S2502" s="2" t="str">
        <f t="shared" si="358"/>
        <v xml:space="preserve"> Not Achieved</v>
      </c>
      <c r="T2502" s="2" t="str">
        <f t="shared" si="359"/>
        <v>poor</v>
      </c>
      <c r="U2502" s="2"/>
    </row>
    <row r="2503" spans="1:21" x14ac:dyDescent="0.3">
      <c r="A2503">
        <v>2502</v>
      </c>
      <c r="B2503" t="s">
        <v>3502</v>
      </c>
      <c r="C2503" t="str">
        <f t="shared" si="351"/>
        <v>EMP_2502</v>
      </c>
      <c r="D2503" t="s">
        <v>11</v>
      </c>
      <c r="E2503" t="str">
        <f t="shared" si="352"/>
        <v>EMP_2502Marketing</v>
      </c>
      <c r="F2503" t="s">
        <v>24</v>
      </c>
      <c r="G2503" t="s">
        <v>13</v>
      </c>
      <c r="H2503">
        <v>21577</v>
      </c>
      <c r="I2503">
        <v>14296</v>
      </c>
      <c r="J2503">
        <v>0</v>
      </c>
      <c r="K2503">
        <v>0</v>
      </c>
      <c r="L2503" s="4" t="s">
        <v>975</v>
      </c>
      <c r="M2503" s="4" t="str">
        <f t="shared" si="353"/>
        <v>3/14/2024</v>
      </c>
      <c r="N2503" s="1">
        <f t="shared" ca="1" si="354"/>
        <v>46064</v>
      </c>
      <c r="O2503" s="6" t="e">
        <f t="shared" ca="1" si="355"/>
        <v>#VALUE!</v>
      </c>
      <c r="P2503">
        <v>5</v>
      </c>
      <c r="Q2503">
        <f t="shared" si="356"/>
        <v>35873</v>
      </c>
      <c r="R2503" s="2">
        <f t="shared" si="357"/>
        <v>17936.5</v>
      </c>
      <c r="S2503" s="2" t="str">
        <f t="shared" si="358"/>
        <v xml:space="preserve"> Not Achieved</v>
      </c>
      <c r="T2503" s="2" t="str">
        <f t="shared" si="359"/>
        <v>poor</v>
      </c>
      <c r="U2503" s="2"/>
    </row>
    <row r="2504" spans="1:21" x14ac:dyDescent="0.3">
      <c r="A2504">
        <v>2503</v>
      </c>
      <c r="B2504" t="s">
        <v>3503</v>
      </c>
      <c r="C2504" t="str">
        <f t="shared" si="351"/>
        <v>EMP_2503</v>
      </c>
      <c r="D2504" t="s">
        <v>11</v>
      </c>
      <c r="E2504" t="str">
        <f t="shared" si="352"/>
        <v>EMP_2503HR</v>
      </c>
      <c r="F2504" t="s">
        <v>12</v>
      </c>
      <c r="G2504" t="s">
        <v>19</v>
      </c>
      <c r="H2504">
        <v>40671</v>
      </c>
      <c r="I2504">
        <v>4029</v>
      </c>
      <c r="J2504">
        <v>0</v>
      </c>
      <c r="K2504">
        <v>0</v>
      </c>
      <c r="L2504" s="4" t="s">
        <v>1580</v>
      </c>
      <c r="M2504" s="4" t="str">
        <f t="shared" si="353"/>
        <v>9/28/2022</v>
      </c>
      <c r="N2504" s="1">
        <f t="shared" ca="1" si="354"/>
        <v>46064</v>
      </c>
      <c r="O2504" s="6" t="e">
        <f t="shared" ca="1" si="355"/>
        <v>#VALUE!</v>
      </c>
      <c r="P2504">
        <v>3</v>
      </c>
      <c r="Q2504">
        <f t="shared" si="356"/>
        <v>44700</v>
      </c>
      <c r="R2504" s="2">
        <f t="shared" si="357"/>
        <v>22350</v>
      </c>
      <c r="S2504" s="2" t="str">
        <f t="shared" si="358"/>
        <v xml:space="preserve"> Not Achieved</v>
      </c>
      <c r="T2504" s="2" t="str">
        <f t="shared" si="359"/>
        <v>Good</v>
      </c>
      <c r="U2504" s="2"/>
    </row>
    <row r="2505" spans="1:21" x14ac:dyDescent="0.3">
      <c r="A2505">
        <v>2504</v>
      </c>
      <c r="B2505" t="s">
        <v>3504</v>
      </c>
      <c r="C2505" t="str">
        <f t="shared" si="351"/>
        <v>EMP_2504</v>
      </c>
      <c r="D2505" t="s">
        <v>11</v>
      </c>
      <c r="E2505" t="str">
        <f t="shared" si="352"/>
        <v>EMP_2504Finance</v>
      </c>
      <c r="F2505" t="s">
        <v>18</v>
      </c>
      <c r="G2505" t="s">
        <v>13</v>
      </c>
      <c r="H2505">
        <v>50330</v>
      </c>
      <c r="I2505">
        <v>2301</v>
      </c>
      <c r="J2505">
        <v>0</v>
      </c>
      <c r="K2505">
        <v>0</v>
      </c>
      <c r="L2505" s="4" t="s">
        <v>2209</v>
      </c>
      <c r="M2505" s="4" t="str">
        <f t="shared" si="353"/>
        <v>1/25/2024</v>
      </c>
      <c r="N2505" s="1">
        <f t="shared" ca="1" si="354"/>
        <v>46064</v>
      </c>
      <c r="O2505" s="6" t="e">
        <f t="shared" ca="1" si="355"/>
        <v>#VALUE!</v>
      </c>
      <c r="P2505">
        <v>1</v>
      </c>
      <c r="Q2505">
        <f t="shared" si="356"/>
        <v>52631</v>
      </c>
      <c r="R2505" s="2">
        <f t="shared" si="357"/>
        <v>26315.5</v>
      </c>
      <c r="S2505" s="2" t="str">
        <f t="shared" si="358"/>
        <v xml:space="preserve"> Not Achieved</v>
      </c>
      <c r="T2505" s="2" t="str">
        <f t="shared" si="359"/>
        <v xml:space="preserve"> Excellent</v>
      </c>
      <c r="U2505" s="2"/>
    </row>
    <row r="2506" spans="1:21" x14ac:dyDescent="0.3">
      <c r="A2506">
        <v>2505</v>
      </c>
      <c r="B2506" t="s">
        <v>3505</v>
      </c>
      <c r="C2506" t="str">
        <f t="shared" si="351"/>
        <v>EMP_2505</v>
      </c>
      <c r="D2506" t="s">
        <v>15</v>
      </c>
      <c r="E2506" t="str">
        <f t="shared" si="352"/>
        <v>EMP_2505HR</v>
      </c>
      <c r="F2506" t="s">
        <v>12</v>
      </c>
      <c r="G2506" t="s">
        <v>13</v>
      </c>
      <c r="H2506">
        <v>62430</v>
      </c>
      <c r="I2506">
        <v>5588</v>
      </c>
      <c r="J2506">
        <v>0</v>
      </c>
      <c r="K2506">
        <v>0</v>
      </c>
      <c r="L2506" s="4" t="s">
        <v>3506</v>
      </c>
      <c r="M2506" s="4" t="str">
        <f t="shared" si="353"/>
        <v>9/21/2021</v>
      </c>
      <c r="N2506" s="1">
        <f t="shared" ca="1" si="354"/>
        <v>46064</v>
      </c>
      <c r="O2506" s="6" t="e">
        <f t="shared" ca="1" si="355"/>
        <v>#VALUE!</v>
      </c>
      <c r="P2506">
        <v>1</v>
      </c>
      <c r="Q2506">
        <f t="shared" si="356"/>
        <v>68018</v>
      </c>
      <c r="R2506" s="2">
        <f t="shared" si="357"/>
        <v>34009</v>
      </c>
      <c r="S2506" s="2" t="str">
        <f t="shared" si="358"/>
        <v xml:space="preserve"> Not Achieved</v>
      </c>
      <c r="T2506" s="2" t="str">
        <f t="shared" si="359"/>
        <v xml:space="preserve"> Excellent</v>
      </c>
      <c r="U2506" s="2"/>
    </row>
    <row r="2507" spans="1:21" x14ac:dyDescent="0.3">
      <c r="A2507">
        <v>2506</v>
      </c>
      <c r="B2507" t="s">
        <v>3507</v>
      </c>
      <c r="C2507" t="str">
        <f t="shared" si="351"/>
        <v>EMP_2506</v>
      </c>
      <c r="D2507" t="s">
        <v>11</v>
      </c>
      <c r="E2507" t="str">
        <f t="shared" si="352"/>
        <v>EMP_2506Marketing</v>
      </c>
      <c r="F2507" t="s">
        <v>24</v>
      </c>
      <c r="G2507" t="s">
        <v>19</v>
      </c>
      <c r="H2507">
        <v>41255</v>
      </c>
      <c r="I2507">
        <v>10863</v>
      </c>
      <c r="J2507">
        <v>0</v>
      </c>
      <c r="K2507">
        <v>0</v>
      </c>
      <c r="L2507" s="4" t="s">
        <v>1850</v>
      </c>
      <c r="M2507" s="4" t="str">
        <f t="shared" si="353"/>
        <v>11/30/2018</v>
      </c>
      <c r="N2507" s="1">
        <f t="shared" ca="1" si="354"/>
        <v>46064</v>
      </c>
      <c r="O2507" s="6" t="e">
        <f t="shared" ca="1" si="355"/>
        <v>#VALUE!</v>
      </c>
      <c r="P2507">
        <v>2</v>
      </c>
      <c r="Q2507">
        <f t="shared" si="356"/>
        <v>52118</v>
      </c>
      <c r="R2507" s="2">
        <f t="shared" si="357"/>
        <v>26059</v>
      </c>
      <c r="S2507" s="2" t="str">
        <f t="shared" si="358"/>
        <v xml:space="preserve"> Not Achieved</v>
      </c>
      <c r="T2507" s="2" t="str">
        <f t="shared" si="359"/>
        <v>Good</v>
      </c>
      <c r="U2507" s="2"/>
    </row>
    <row r="2508" spans="1:21" x14ac:dyDescent="0.3">
      <c r="A2508">
        <v>2507</v>
      </c>
      <c r="B2508" t="s">
        <v>3508</v>
      </c>
      <c r="C2508" t="str">
        <f t="shared" si="351"/>
        <v>EMP_2507</v>
      </c>
      <c r="D2508" t="s">
        <v>11</v>
      </c>
      <c r="E2508" t="str">
        <f t="shared" si="352"/>
        <v>EMP_2507Finance</v>
      </c>
      <c r="F2508" t="s">
        <v>18</v>
      </c>
      <c r="G2508" t="s">
        <v>16</v>
      </c>
      <c r="H2508">
        <v>30899</v>
      </c>
      <c r="I2508">
        <v>5081</v>
      </c>
      <c r="J2508">
        <v>0</v>
      </c>
      <c r="K2508">
        <v>0</v>
      </c>
      <c r="L2508" s="4" t="s">
        <v>3509</v>
      </c>
      <c r="M2508" s="4" t="str">
        <f t="shared" si="353"/>
        <v>9/15/2022</v>
      </c>
      <c r="N2508" s="1">
        <f t="shared" ca="1" si="354"/>
        <v>46064</v>
      </c>
      <c r="O2508" s="6" t="e">
        <f t="shared" ca="1" si="355"/>
        <v>#VALUE!</v>
      </c>
      <c r="P2508">
        <v>4</v>
      </c>
      <c r="Q2508">
        <f t="shared" si="356"/>
        <v>35980</v>
      </c>
      <c r="R2508" s="2">
        <f t="shared" si="357"/>
        <v>17990</v>
      </c>
      <c r="S2508" s="2" t="str">
        <f t="shared" si="358"/>
        <v xml:space="preserve"> Not Achieved</v>
      </c>
      <c r="T2508" s="2" t="str">
        <f t="shared" si="359"/>
        <v>Average</v>
      </c>
      <c r="U2508" s="2"/>
    </row>
    <row r="2509" spans="1:21" x14ac:dyDescent="0.3">
      <c r="A2509">
        <v>2508</v>
      </c>
      <c r="B2509" t="s">
        <v>3510</v>
      </c>
      <c r="C2509" t="str">
        <f t="shared" si="351"/>
        <v>EMP_2508</v>
      </c>
      <c r="D2509" t="s">
        <v>11</v>
      </c>
      <c r="E2509" t="str">
        <f t="shared" si="352"/>
        <v>EMP_2508HR</v>
      </c>
      <c r="F2509" t="s">
        <v>12</v>
      </c>
      <c r="G2509" t="s">
        <v>25</v>
      </c>
      <c r="H2509">
        <v>71392</v>
      </c>
      <c r="I2509">
        <v>12110</v>
      </c>
      <c r="J2509">
        <v>0</v>
      </c>
      <c r="K2509">
        <v>0</v>
      </c>
      <c r="L2509" s="4" t="s">
        <v>3511</v>
      </c>
      <c r="M2509" s="4" t="str">
        <f t="shared" si="353"/>
        <v>7/19/2024</v>
      </c>
      <c r="N2509" s="1">
        <f t="shared" ca="1" si="354"/>
        <v>46064</v>
      </c>
      <c r="O2509" s="6" t="e">
        <f t="shared" ca="1" si="355"/>
        <v>#VALUE!</v>
      </c>
      <c r="P2509">
        <v>4</v>
      </c>
      <c r="Q2509">
        <f t="shared" si="356"/>
        <v>83502</v>
      </c>
      <c r="R2509" s="2">
        <f t="shared" si="357"/>
        <v>41751</v>
      </c>
      <c r="S2509" s="2" t="str">
        <f t="shared" si="358"/>
        <v xml:space="preserve"> Not Achieved</v>
      </c>
      <c r="T2509" s="2" t="str">
        <f t="shared" si="359"/>
        <v xml:space="preserve"> Excellent</v>
      </c>
      <c r="U2509" s="2"/>
    </row>
    <row r="2510" spans="1:21" x14ac:dyDescent="0.3">
      <c r="A2510">
        <v>2509</v>
      </c>
      <c r="B2510" t="s">
        <v>3512</v>
      </c>
      <c r="C2510" t="str">
        <f t="shared" si="351"/>
        <v>EMP_2509</v>
      </c>
      <c r="D2510" t="s">
        <v>11</v>
      </c>
      <c r="E2510" t="str">
        <f t="shared" si="352"/>
        <v>EMP_2509HR</v>
      </c>
      <c r="F2510" t="s">
        <v>12</v>
      </c>
      <c r="G2510" t="s">
        <v>22</v>
      </c>
      <c r="H2510">
        <v>67276</v>
      </c>
      <c r="I2510">
        <v>2888</v>
      </c>
      <c r="J2510">
        <v>0</v>
      </c>
      <c r="K2510">
        <v>0</v>
      </c>
      <c r="L2510" s="4" t="s">
        <v>3513</v>
      </c>
      <c r="M2510" s="4" t="str">
        <f t="shared" si="353"/>
        <v>3/13/2021</v>
      </c>
      <c r="N2510" s="1">
        <f t="shared" ca="1" si="354"/>
        <v>46064</v>
      </c>
      <c r="O2510" s="6" t="e">
        <f t="shared" ca="1" si="355"/>
        <v>#VALUE!</v>
      </c>
      <c r="P2510">
        <v>1</v>
      </c>
      <c r="Q2510">
        <f t="shared" si="356"/>
        <v>70164</v>
      </c>
      <c r="R2510" s="2">
        <f t="shared" si="357"/>
        <v>35082</v>
      </c>
      <c r="S2510" s="2" t="str">
        <f t="shared" si="358"/>
        <v xml:space="preserve"> Not Achieved</v>
      </c>
      <c r="T2510" s="2" t="str">
        <f t="shared" si="359"/>
        <v xml:space="preserve"> Excellent</v>
      </c>
      <c r="U2510" s="2"/>
    </row>
    <row r="2511" spans="1:21" x14ac:dyDescent="0.3">
      <c r="A2511">
        <v>2510</v>
      </c>
      <c r="B2511" t="s">
        <v>3514</v>
      </c>
      <c r="C2511" t="str">
        <f t="shared" si="351"/>
        <v>EMP_2510</v>
      </c>
      <c r="D2511" t="s">
        <v>11</v>
      </c>
      <c r="E2511" t="str">
        <f t="shared" si="352"/>
        <v>EMP_2510Marketing</v>
      </c>
      <c r="F2511" t="s">
        <v>24</v>
      </c>
      <c r="G2511" t="s">
        <v>13</v>
      </c>
      <c r="H2511">
        <v>74715</v>
      </c>
      <c r="I2511">
        <v>8956</v>
      </c>
      <c r="J2511">
        <v>0</v>
      </c>
      <c r="K2511">
        <v>0</v>
      </c>
      <c r="L2511" s="4" t="s">
        <v>3515</v>
      </c>
      <c r="M2511" s="4" t="str">
        <f t="shared" si="353"/>
        <v>5/25/2019</v>
      </c>
      <c r="N2511" s="1">
        <f t="shared" ca="1" si="354"/>
        <v>46064</v>
      </c>
      <c r="O2511" s="6" t="e">
        <f t="shared" ca="1" si="355"/>
        <v>#VALUE!</v>
      </c>
      <c r="P2511">
        <v>1</v>
      </c>
      <c r="Q2511">
        <f t="shared" si="356"/>
        <v>83671</v>
      </c>
      <c r="R2511" s="2">
        <f t="shared" si="357"/>
        <v>41835.5</v>
      </c>
      <c r="S2511" s="2" t="str">
        <f t="shared" si="358"/>
        <v xml:space="preserve"> Not Achieved</v>
      </c>
      <c r="T2511" s="2" t="str">
        <f t="shared" si="359"/>
        <v xml:space="preserve"> Excellent</v>
      </c>
      <c r="U2511" s="2"/>
    </row>
    <row r="2512" spans="1:21" x14ac:dyDescent="0.3">
      <c r="A2512">
        <v>2511</v>
      </c>
      <c r="B2512" t="s">
        <v>3516</v>
      </c>
      <c r="C2512" t="str">
        <f t="shared" si="351"/>
        <v>EMP_2511</v>
      </c>
      <c r="D2512" t="s">
        <v>11</v>
      </c>
      <c r="E2512" t="str">
        <f t="shared" si="352"/>
        <v>EMP_2511Marketing</v>
      </c>
      <c r="F2512" t="s">
        <v>24</v>
      </c>
      <c r="G2512" t="s">
        <v>13</v>
      </c>
      <c r="H2512">
        <v>48769</v>
      </c>
      <c r="I2512">
        <v>2515</v>
      </c>
      <c r="J2512">
        <v>0</v>
      </c>
      <c r="K2512">
        <v>0</v>
      </c>
      <c r="L2512" s="4" t="s">
        <v>3517</v>
      </c>
      <c r="M2512" s="4" t="str">
        <f t="shared" si="353"/>
        <v>9/20/2022</v>
      </c>
      <c r="N2512" s="1">
        <f t="shared" ca="1" si="354"/>
        <v>46064</v>
      </c>
      <c r="O2512" s="6" t="e">
        <f t="shared" ca="1" si="355"/>
        <v>#VALUE!</v>
      </c>
      <c r="P2512">
        <v>2</v>
      </c>
      <c r="Q2512">
        <f t="shared" si="356"/>
        <v>51284</v>
      </c>
      <c r="R2512" s="2">
        <f t="shared" si="357"/>
        <v>25642</v>
      </c>
      <c r="S2512" s="2" t="str">
        <f t="shared" si="358"/>
        <v xml:space="preserve"> Not Achieved</v>
      </c>
      <c r="T2512" s="2" t="str">
        <f t="shared" si="359"/>
        <v>Good</v>
      </c>
      <c r="U2512" s="2"/>
    </row>
    <row r="2513" spans="1:21" x14ac:dyDescent="0.3">
      <c r="A2513">
        <v>2512</v>
      </c>
      <c r="B2513" t="s">
        <v>3518</v>
      </c>
      <c r="C2513" t="str">
        <f t="shared" si="351"/>
        <v>EMP_2512</v>
      </c>
      <c r="D2513" t="s">
        <v>11</v>
      </c>
      <c r="E2513" t="str">
        <f t="shared" si="352"/>
        <v>EMP_2512Sales</v>
      </c>
      <c r="F2513" t="s">
        <v>7</v>
      </c>
      <c r="G2513" t="s">
        <v>16</v>
      </c>
      <c r="H2513">
        <v>32000</v>
      </c>
      <c r="I2513">
        <v>8384</v>
      </c>
      <c r="J2513">
        <v>114321</v>
      </c>
      <c r="K2513">
        <v>131624</v>
      </c>
      <c r="L2513" s="4" t="s">
        <v>691</v>
      </c>
      <c r="M2513" s="4" t="str">
        <f t="shared" si="353"/>
        <v>2/20/2024</v>
      </c>
      <c r="N2513" s="1">
        <f t="shared" ca="1" si="354"/>
        <v>46064</v>
      </c>
      <c r="O2513" s="6" t="e">
        <f t="shared" ca="1" si="355"/>
        <v>#VALUE!</v>
      </c>
      <c r="P2513">
        <v>1</v>
      </c>
      <c r="Q2513">
        <f t="shared" si="356"/>
        <v>40384</v>
      </c>
      <c r="R2513" s="2">
        <f t="shared" si="357"/>
        <v>20192</v>
      </c>
      <c r="S2513" s="2" t="str">
        <f t="shared" si="358"/>
        <v xml:space="preserve"> Not Achieved</v>
      </c>
      <c r="T2513" s="2" t="str">
        <f t="shared" si="359"/>
        <v>Average</v>
      </c>
      <c r="U2513" s="2"/>
    </row>
    <row r="2514" spans="1:21" x14ac:dyDescent="0.3">
      <c r="A2514">
        <v>2513</v>
      </c>
      <c r="B2514" t="s">
        <v>3519</v>
      </c>
      <c r="C2514" t="str">
        <f t="shared" si="351"/>
        <v>EMP_2513</v>
      </c>
      <c r="D2514" t="s">
        <v>15</v>
      </c>
      <c r="E2514" t="str">
        <f t="shared" si="352"/>
        <v>EMP_2513Sales</v>
      </c>
      <c r="F2514" t="s">
        <v>7</v>
      </c>
      <c r="G2514" t="s">
        <v>22</v>
      </c>
      <c r="H2514">
        <v>43621</v>
      </c>
      <c r="I2514">
        <v>8182</v>
      </c>
      <c r="J2514">
        <v>105132</v>
      </c>
      <c r="K2514">
        <v>218359</v>
      </c>
      <c r="L2514" s="4" t="s">
        <v>2375</v>
      </c>
      <c r="M2514" s="4" t="str">
        <f t="shared" si="353"/>
        <v>9/25/2020</v>
      </c>
      <c r="N2514" s="1">
        <f t="shared" ca="1" si="354"/>
        <v>46064</v>
      </c>
      <c r="O2514" s="6" t="e">
        <f t="shared" ca="1" si="355"/>
        <v>#VALUE!</v>
      </c>
      <c r="P2514">
        <v>2</v>
      </c>
      <c r="Q2514">
        <f t="shared" si="356"/>
        <v>51803</v>
      </c>
      <c r="R2514" s="2">
        <f t="shared" si="357"/>
        <v>25901.5</v>
      </c>
      <c r="S2514" s="2" t="str">
        <f t="shared" si="358"/>
        <v xml:space="preserve"> Not Achieved</v>
      </c>
      <c r="T2514" s="2" t="str">
        <f t="shared" si="359"/>
        <v>Good</v>
      </c>
      <c r="U2514" s="2"/>
    </row>
    <row r="2515" spans="1:21" x14ac:dyDescent="0.3">
      <c r="A2515">
        <v>2514</v>
      </c>
      <c r="B2515" t="s">
        <v>3520</v>
      </c>
      <c r="C2515" t="str">
        <f t="shared" si="351"/>
        <v>EMP_2514</v>
      </c>
      <c r="D2515" t="s">
        <v>11</v>
      </c>
      <c r="E2515" t="str">
        <f t="shared" si="352"/>
        <v>EMP_2514Marketing</v>
      </c>
      <c r="F2515" t="s">
        <v>24</v>
      </c>
      <c r="G2515" t="s">
        <v>13</v>
      </c>
      <c r="H2515">
        <v>78669</v>
      </c>
      <c r="I2515">
        <v>12726</v>
      </c>
      <c r="J2515">
        <v>0</v>
      </c>
      <c r="K2515">
        <v>0</v>
      </c>
      <c r="L2515" s="4">
        <v>45049</v>
      </c>
      <c r="M2515" s="4" t="str">
        <f t="shared" si="353"/>
        <v>2023</v>
      </c>
      <c r="N2515" s="1">
        <f t="shared" ca="1" si="354"/>
        <v>46064</v>
      </c>
      <c r="O2515" s="6">
        <f t="shared" ca="1" si="355"/>
        <v>2</v>
      </c>
      <c r="P2515">
        <v>1</v>
      </c>
      <c r="Q2515">
        <f t="shared" si="356"/>
        <v>91395</v>
      </c>
      <c r="R2515" s="2">
        <f t="shared" si="357"/>
        <v>45697.5</v>
      </c>
      <c r="S2515" s="2" t="str">
        <f t="shared" si="358"/>
        <v xml:space="preserve"> Not Achieved</v>
      </c>
      <c r="T2515" s="2" t="str">
        <f t="shared" si="359"/>
        <v xml:space="preserve"> Excellent</v>
      </c>
      <c r="U2515" s="2"/>
    </row>
    <row r="2516" spans="1:21" x14ac:dyDescent="0.3">
      <c r="A2516">
        <v>2515</v>
      </c>
      <c r="B2516" t="s">
        <v>3521</v>
      </c>
      <c r="C2516" t="str">
        <f t="shared" si="351"/>
        <v>EMP_2515</v>
      </c>
      <c r="D2516" t="s">
        <v>11</v>
      </c>
      <c r="E2516" t="str">
        <f t="shared" si="352"/>
        <v>EMP_2515HR</v>
      </c>
      <c r="F2516" t="s">
        <v>12</v>
      </c>
      <c r="G2516" t="s">
        <v>19</v>
      </c>
      <c r="H2516">
        <v>79715</v>
      </c>
      <c r="I2516">
        <v>14825</v>
      </c>
      <c r="J2516">
        <v>0</v>
      </c>
      <c r="K2516">
        <v>0</v>
      </c>
      <c r="L2516" s="4" t="s">
        <v>3522</v>
      </c>
      <c r="M2516" s="4" t="str">
        <f t="shared" si="353"/>
        <v>7/13/2021</v>
      </c>
      <c r="N2516" s="1">
        <f t="shared" ca="1" si="354"/>
        <v>46064</v>
      </c>
      <c r="O2516" s="6" t="e">
        <f t="shared" ca="1" si="355"/>
        <v>#VALUE!</v>
      </c>
      <c r="P2516">
        <v>4</v>
      </c>
      <c r="Q2516">
        <f t="shared" si="356"/>
        <v>94540</v>
      </c>
      <c r="R2516" s="2">
        <f t="shared" si="357"/>
        <v>47270</v>
      </c>
      <c r="S2516" s="2" t="str">
        <f t="shared" si="358"/>
        <v xml:space="preserve"> Not Achieved</v>
      </c>
      <c r="T2516" s="2" t="str">
        <f t="shared" si="359"/>
        <v xml:space="preserve"> Excellent</v>
      </c>
      <c r="U2516" s="2"/>
    </row>
    <row r="2517" spans="1:21" x14ac:dyDescent="0.3">
      <c r="A2517">
        <v>2516</v>
      </c>
      <c r="B2517" t="s">
        <v>3523</v>
      </c>
      <c r="C2517" t="str">
        <f t="shared" si="351"/>
        <v>EMP_2516</v>
      </c>
      <c r="D2517" t="s">
        <v>15</v>
      </c>
      <c r="E2517" t="str">
        <f t="shared" si="352"/>
        <v>EMP_2516HR</v>
      </c>
      <c r="F2517" t="s">
        <v>12</v>
      </c>
      <c r="G2517" t="s">
        <v>22</v>
      </c>
      <c r="H2517">
        <v>47384</v>
      </c>
      <c r="I2517">
        <v>6386</v>
      </c>
      <c r="J2517">
        <v>0</v>
      </c>
      <c r="K2517">
        <v>0</v>
      </c>
      <c r="L2517" s="4" t="s">
        <v>3524</v>
      </c>
      <c r="M2517" s="4" t="str">
        <f t="shared" si="353"/>
        <v>2/20/2018</v>
      </c>
      <c r="N2517" s="1">
        <f t="shared" ca="1" si="354"/>
        <v>46064</v>
      </c>
      <c r="O2517" s="6" t="e">
        <f t="shared" ca="1" si="355"/>
        <v>#VALUE!</v>
      </c>
      <c r="P2517">
        <v>1</v>
      </c>
      <c r="Q2517">
        <f t="shared" si="356"/>
        <v>53770</v>
      </c>
      <c r="R2517" s="2">
        <f t="shared" si="357"/>
        <v>26885</v>
      </c>
      <c r="S2517" s="2" t="str">
        <f t="shared" si="358"/>
        <v xml:space="preserve"> Not Achieved</v>
      </c>
      <c r="T2517" s="2" t="str">
        <f t="shared" si="359"/>
        <v>Good</v>
      </c>
      <c r="U2517" s="2"/>
    </row>
    <row r="2518" spans="1:21" x14ac:dyDescent="0.3">
      <c r="A2518">
        <v>2517</v>
      </c>
      <c r="B2518" t="s">
        <v>3525</v>
      </c>
      <c r="C2518" t="str">
        <f t="shared" si="351"/>
        <v>EMP_2517</v>
      </c>
      <c r="D2518" t="s">
        <v>11</v>
      </c>
      <c r="E2518" t="str">
        <f t="shared" si="352"/>
        <v>EMP_2517Finance</v>
      </c>
      <c r="F2518" t="s">
        <v>18</v>
      </c>
      <c r="G2518" t="s">
        <v>13</v>
      </c>
      <c r="H2518">
        <v>27984</v>
      </c>
      <c r="I2518">
        <v>2733</v>
      </c>
      <c r="J2518">
        <v>0</v>
      </c>
      <c r="K2518">
        <v>0</v>
      </c>
      <c r="L2518" s="4" t="s">
        <v>2809</v>
      </c>
      <c r="M2518" s="4" t="str">
        <f t="shared" si="353"/>
        <v>4/19/2019</v>
      </c>
      <c r="N2518" s="1">
        <f t="shared" ca="1" si="354"/>
        <v>46064</v>
      </c>
      <c r="O2518" s="6" t="e">
        <f t="shared" ca="1" si="355"/>
        <v>#VALUE!</v>
      </c>
      <c r="P2518">
        <v>4</v>
      </c>
      <c r="Q2518">
        <f t="shared" si="356"/>
        <v>30717</v>
      </c>
      <c r="R2518" s="2">
        <f t="shared" si="357"/>
        <v>15358.5</v>
      </c>
      <c r="S2518" s="2" t="str">
        <f t="shared" si="358"/>
        <v xml:space="preserve"> Not Achieved</v>
      </c>
      <c r="T2518" s="2" t="str">
        <f t="shared" si="359"/>
        <v>poor</v>
      </c>
      <c r="U2518" s="2"/>
    </row>
    <row r="2519" spans="1:21" x14ac:dyDescent="0.3">
      <c r="A2519">
        <v>2518</v>
      </c>
      <c r="B2519" t="s">
        <v>3526</v>
      </c>
      <c r="C2519" t="str">
        <f t="shared" si="351"/>
        <v>EMP_2518</v>
      </c>
      <c r="D2519" t="s">
        <v>11</v>
      </c>
      <c r="E2519" t="str">
        <f t="shared" si="352"/>
        <v>EMP_2518Finance</v>
      </c>
      <c r="F2519" t="s">
        <v>18</v>
      </c>
      <c r="G2519" t="s">
        <v>13</v>
      </c>
      <c r="H2519">
        <v>41033</v>
      </c>
      <c r="I2519">
        <v>5728</v>
      </c>
      <c r="J2519">
        <v>0</v>
      </c>
      <c r="K2519">
        <v>0</v>
      </c>
      <c r="L2519" s="4" t="s">
        <v>3527</v>
      </c>
      <c r="M2519" s="4" t="str">
        <f t="shared" si="353"/>
        <v>10/16/2024</v>
      </c>
      <c r="N2519" s="1">
        <f t="shared" ca="1" si="354"/>
        <v>46064</v>
      </c>
      <c r="O2519" s="6" t="e">
        <f t="shared" ca="1" si="355"/>
        <v>#VALUE!</v>
      </c>
      <c r="P2519">
        <v>3</v>
      </c>
      <c r="Q2519">
        <f t="shared" si="356"/>
        <v>46761</v>
      </c>
      <c r="R2519" s="2">
        <f t="shared" si="357"/>
        <v>23380.5</v>
      </c>
      <c r="S2519" s="2" t="str">
        <f t="shared" si="358"/>
        <v xml:space="preserve"> Not Achieved</v>
      </c>
      <c r="T2519" s="2" t="str">
        <f t="shared" si="359"/>
        <v>Good</v>
      </c>
      <c r="U2519" s="2"/>
    </row>
    <row r="2520" spans="1:21" x14ac:dyDescent="0.3">
      <c r="A2520">
        <v>2519</v>
      </c>
      <c r="B2520" t="s">
        <v>3528</v>
      </c>
      <c r="C2520" t="str">
        <f t="shared" si="351"/>
        <v>EMP_2519</v>
      </c>
      <c r="D2520" t="s">
        <v>11</v>
      </c>
      <c r="E2520" t="str">
        <f t="shared" si="352"/>
        <v>EMP_2519HR</v>
      </c>
      <c r="F2520" t="s">
        <v>12</v>
      </c>
      <c r="G2520" t="s">
        <v>13</v>
      </c>
      <c r="H2520">
        <v>78336</v>
      </c>
      <c r="I2520">
        <v>11364</v>
      </c>
      <c r="J2520">
        <v>0</v>
      </c>
      <c r="K2520">
        <v>0</v>
      </c>
      <c r="L2520" s="4" t="s">
        <v>2661</v>
      </c>
      <c r="M2520" s="4" t="str">
        <f t="shared" si="353"/>
        <v>5/14/2022</v>
      </c>
      <c r="N2520" s="1">
        <f t="shared" ca="1" si="354"/>
        <v>46064</v>
      </c>
      <c r="O2520" s="6" t="e">
        <f t="shared" ca="1" si="355"/>
        <v>#VALUE!</v>
      </c>
      <c r="P2520">
        <v>1</v>
      </c>
      <c r="Q2520">
        <f t="shared" si="356"/>
        <v>89700</v>
      </c>
      <c r="R2520" s="2">
        <f t="shared" si="357"/>
        <v>44850</v>
      </c>
      <c r="S2520" s="2" t="str">
        <f t="shared" si="358"/>
        <v xml:space="preserve"> Not Achieved</v>
      </c>
      <c r="T2520" s="2" t="str">
        <f t="shared" si="359"/>
        <v xml:space="preserve"> Excellent</v>
      </c>
      <c r="U2520" s="2"/>
    </row>
    <row r="2521" spans="1:21" x14ac:dyDescent="0.3">
      <c r="A2521">
        <v>2520</v>
      </c>
      <c r="B2521" t="s">
        <v>3529</v>
      </c>
      <c r="C2521" t="str">
        <f t="shared" si="351"/>
        <v>EMP_2520</v>
      </c>
      <c r="D2521" t="s">
        <v>15</v>
      </c>
      <c r="E2521" t="str">
        <f t="shared" si="352"/>
        <v>EMP_2520IT</v>
      </c>
      <c r="F2521" t="s">
        <v>21</v>
      </c>
      <c r="G2521" t="s">
        <v>25</v>
      </c>
      <c r="H2521">
        <v>65028</v>
      </c>
      <c r="I2521">
        <v>14102</v>
      </c>
      <c r="J2521">
        <v>0</v>
      </c>
      <c r="K2521">
        <v>0</v>
      </c>
      <c r="L2521" s="4" t="s">
        <v>2932</v>
      </c>
      <c r="M2521" s="4" t="str">
        <f t="shared" si="353"/>
        <v>11/16/2019</v>
      </c>
      <c r="N2521" s="1">
        <f t="shared" ca="1" si="354"/>
        <v>46064</v>
      </c>
      <c r="O2521" s="6" t="e">
        <f t="shared" ca="1" si="355"/>
        <v>#VALUE!</v>
      </c>
      <c r="P2521">
        <v>4</v>
      </c>
      <c r="Q2521">
        <f t="shared" si="356"/>
        <v>79130</v>
      </c>
      <c r="R2521" s="2">
        <f t="shared" si="357"/>
        <v>39565</v>
      </c>
      <c r="S2521" s="2" t="str">
        <f t="shared" si="358"/>
        <v xml:space="preserve"> Not Achieved</v>
      </c>
      <c r="T2521" s="2" t="str">
        <f t="shared" si="359"/>
        <v xml:space="preserve"> Excellent</v>
      </c>
      <c r="U2521" s="2"/>
    </row>
    <row r="2522" spans="1:21" x14ac:dyDescent="0.3">
      <c r="A2522">
        <v>2521</v>
      </c>
      <c r="B2522" t="s">
        <v>3530</v>
      </c>
      <c r="C2522" t="str">
        <f t="shared" si="351"/>
        <v>EMP_2521</v>
      </c>
      <c r="D2522" t="s">
        <v>15</v>
      </c>
      <c r="E2522" t="str">
        <f t="shared" si="352"/>
        <v>EMP_2521IT</v>
      </c>
      <c r="F2522" t="s">
        <v>21</v>
      </c>
      <c r="G2522" t="s">
        <v>16</v>
      </c>
      <c r="H2522">
        <v>23220</v>
      </c>
      <c r="I2522">
        <v>12931</v>
      </c>
      <c r="J2522">
        <v>0</v>
      </c>
      <c r="K2522">
        <v>0</v>
      </c>
      <c r="L2522" s="4">
        <v>43164</v>
      </c>
      <c r="M2522" s="4" t="str">
        <f t="shared" si="353"/>
        <v>2018</v>
      </c>
      <c r="N2522" s="1">
        <f t="shared" ca="1" si="354"/>
        <v>46064</v>
      </c>
      <c r="O2522" s="6">
        <f t="shared" ca="1" si="355"/>
        <v>7</v>
      </c>
      <c r="P2522">
        <v>3</v>
      </c>
      <c r="Q2522">
        <f t="shared" si="356"/>
        <v>36151</v>
      </c>
      <c r="R2522" s="2">
        <f t="shared" si="357"/>
        <v>18075.5</v>
      </c>
      <c r="S2522" s="2" t="str">
        <f t="shared" si="358"/>
        <v xml:space="preserve"> Not Achieved</v>
      </c>
      <c r="T2522" s="2" t="str">
        <f t="shared" si="359"/>
        <v>poor</v>
      </c>
      <c r="U2522" s="2"/>
    </row>
    <row r="2523" spans="1:21" x14ac:dyDescent="0.3">
      <c r="A2523">
        <v>2522</v>
      </c>
      <c r="B2523" t="s">
        <v>3531</v>
      </c>
      <c r="C2523" t="str">
        <f t="shared" si="351"/>
        <v>EMP_2522</v>
      </c>
      <c r="D2523" t="s">
        <v>15</v>
      </c>
      <c r="E2523" t="str">
        <f t="shared" si="352"/>
        <v>EMP_2522HR</v>
      </c>
      <c r="F2523" t="s">
        <v>12</v>
      </c>
      <c r="G2523" t="s">
        <v>16</v>
      </c>
      <c r="H2523">
        <v>32908</v>
      </c>
      <c r="I2523">
        <v>12876</v>
      </c>
      <c r="J2523">
        <v>0</v>
      </c>
      <c r="K2523">
        <v>0</v>
      </c>
      <c r="L2523" s="4" t="s">
        <v>1366</v>
      </c>
      <c r="M2523" s="4" t="str">
        <f t="shared" si="353"/>
        <v>6/21/2022</v>
      </c>
      <c r="N2523" s="1">
        <f t="shared" ca="1" si="354"/>
        <v>46064</v>
      </c>
      <c r="O2523" s="6" t="e">
        <f t="shared" ca="1" si="355"/>
        <v>#VALUE!</v>
      </c>
      <c r="P2523">
        <v>1</v>
      </c>
      <c r="Q2523">
        <f t="shared" si="356"/>
        <v>45784</v>
      </c>
      <c r="R2523" s="2">
        <f t="shared" si="357"/>
        <v>22892</v>
      </c>
      <c r="S2523" s="2" t="str">
        <f t="shared" si="358"/>
        <v xml:space="preserve"> Not Achieved</v>
      </c>
      <c r="T2523" s="2" t="str">
        <f t="shared" si="359"/>
        <v>Average</v>
      </c>
      <c r="U2523" s="2"/>
    </row>
    <row r="2524" spans="1:21" x14ac:dyDescent="0.3">
      <c r="A2524">
        <v>2523</v>
      </c>
      <c r="B2524" t="s">
        <v>3532</v>
      </c>
      <c r="C2524" t="str">
        <f t="shared" si="351"/>
        <v>EMP_2523</v>
      </c>
      <c r="D2524" t="s">
        <v>15</v>
      </c>
      <c r="E2524" t="str">
        <f t="shared" si="352"/>
        <v>EMP_2523HR</v>
      </c>
      <c r="F2524" t="s">
        <v>12</v>
      </c>
      <c r="G2524" t="s">
        <v>19</v>
      </c>
      <c r="H2524">
        <v>32792</v>
      </c>
      <c r="I2524">
        <v>13414</v>
      </c>
      <c r="J2524">
        <v>0</v>
      </c>
      <c r="K2524">
        <v>0</v>
      </c>
      <c r="L2524" s="4" t="s">
        <v>559</v>
      </c>
      <c r="M2524" s="4" t="str">
        <f t="shared" si="353"/>
        <v>12/28/2018</v>
      </c>
      <c r="N2524" s="1">
        <f t="shared" ca="1" si="354"/>
        <v>46064</v>
      </c>
      <c r="O2524" s="6" t="e">
        <f t="shared" ca="1" si="355"/>
        <v>#VALUE!</v>
      </c>
      <c r="P2524">
        <v>4</v>
      </c>
      <c r="Q2524">
        <f t="shared" si="356"/>
        <v>46206</v>
      </c>
      <c r="R2524" s="2">
        <f t="shared" si="357"/>
        <v>23103</v>
      </c>
      <c r="S2524" s="2" t="str">
        <f t="shared" si="358"/>
        <v xml:space="preserve"> Not Achieved</v>
      </c>
      <c r="T2524" s="2" t="str">
        <f t="shared" si="359"/>
        <v>Average</v>
      </c>
      <c r="U2524" s="2"/>
    </row>
    <row r="2525" spans="1:21" x14ac:dyDescent="0.3">
      <c r="A2525">
        <v>2524</v>
      </c>
      <c r="B2525" t="s">
        <v>3533</v>
      </c>
      <c r="C2525" t="str">
        <f t="shared" si="351"/>
        <v>EMP_2524</v>
      </c>
      <c r="D2525" t="s">
        <v>15</v>
      </c>
      <c r="E2525" t="str">
        <f t="shared" si="352"/>
        <v>EMP_2524Finance</v>
      </c>
      <c r="F2525" t="s">
        <v>18</v>
      </c>
      <c r="G2525" t="s">
        <v>22</v>
      </c>
      <c r="H2525">
        <v>63945</v>
      </c>
      <c r="I2525">
        <v>8222</v>
      </c>
      <c r="J2525">
        <v>0</v>
      </c>
      <c r="K2525">
        <v>0</v>
      </c>
      <c r="L2525" s="4" t="s">
        <v>608</v>
      </c>
      <c r="M2525" s="4" t="str">
        <f t="shared" si="353"/>
        <v>5/29/2024</v>
      </c>
      <c r="N2525" s="1">
        <f t="shared" ca="1" si="354"/>
        <v>46064</v>
      </c>
      <c r="O2525" s="6" t="e">
        <f t="shared" ca="1" si="355"/>
        <v>#VALUE!</v>
      </c>
      <c r="P2525">
        <v>2</v>
      </c>
      <c r="Q2525">
        <f t="shared" si="356"/>
        <v>72167</v>
      </c>
      <c r="R2525" s="2">
        <f t="shared" si="357"/>
        <v>36083.5</v>
      </c>
      <c r="S2525" s="2" t="str">
        <f t="shared" si="358"/>
        <v xml:space="preserve"> Not Achieved</v>
      </c>
      <c r="T2525" s="2" t="str">
        <f t="shared" si="359"/>
        <v xml:space="preserve"> Excellent</v>
      </c>
      <c r="U2525" s="2"/>
    </row>
    <row r="2526" spans="1:21" x14ac:dyDescent="0.3">
      <c r="A2526">
        <v>2525</v>
      </c>
      <c r="B2526" t="s">
        <v>3534</v>
      </c>
      <c r="C2526" t="str">
        <f t="shared" si="351"/>
        <v>EMP_2525</v>
      </c>
      <c r="D2526" t="s">
        <v>11</v>
      </c>
      <c r="E2526" t="str">
        <f t="shared" si="352"/>
        <v>EMP_2525IT</v>
      </c>
      <c r="F2526" t="s">
        <v>21</v>
      </c>
      <c r="G2526" t="s">
        <v>13</v>
      </c>
      <c r="H2526">
        <v>49032</v>
      </c>
      <c r="I2526">
        <v>2624</v>
      </c>
      <c r="J2526">
        <v>0</v>
      </c>
      <c r="K2526">
        <v>0</v>
      </c>
      <c r="L2526" s="4">
        <v>43871</v>
      </c>
      <c r="M2526" s="4" t="str">
        <f t="shared" si="353"/>
        <v>2020</v>
      </c>
      <c r="N2526" s="1">
        <f t="shared" ca="1" si="354"/>
        <v>46064</v>
      </c>
      <c r="O2526" s="6">
        <f t="shared" ca="1" si="355"/>
        <v>6</v>
      </c>
      <c r="P2526">
        <v>1</v>
      </c>
      <c r="Q2526">
        <f t="shared" si="356"/>
        <v>51656</v>
      </c>
      <c r="R2526" s="2">
        <f t="shared" si="357"/>
        <v>25828</v>
      </c>
      <c r="S2526" s="2" t="str">
        <f t="shared" si="358"/>
        <v xml:space="preserve"> Not Achieved</v>
      </c>
      <c r="T2526" s="2" t="str">
        <f t="shared" si="359"/>
        <v>Good</v>
      </c>
      <c r="U2526" s="2"/>
    </row>
    <row r="2527" spans="1:21" x14ac:dyDescent="0.3">
      <c r="A2527">
        <v>2526</v>
      </c>
      <c r="B2527" t="s">
        <v>3535</v>
      </c>
      <c r="C2527" t="str">
        <f t="shared" si="351"/>
        <v>EMP_2526</v>
      </c>
      <c r="D2527" t="s">
        <v>11</v>
      </c>
      <c r="E2527" t="str">
        <f t="shared" si="352"/>
        <v>EMP_2526IT</v>
      </c>
      <c r="F2527" t="s">
        <v>21</v>
      </c>
      <c r="G2527" t="s">
        <v>16</v>
      </c>
      <c r="H2527">
        <v>47753</v>
      </c>
      <c r="I2527">
        <v>9952</v>
      </c>
      <c r="J2527">
        <v>0</v>
      </c>
      <c r="K2527">
        <v>0</v>
      </c>
      <c r="L2527" s="4" t="s">
        <v>3536</v>
      </c>
      <c r="M2527" s="4" t="str">
        <f t="shared" si="353"/>
        <v>8/23/2020</v>
      </c>
      <c r="N2527" s="1">
        <f t="shared" ca="1" si="354"/>
        <v>46064</v>
      </c>
      <c r="O2527" s="6" t="e">
        <f t="shared" ca="1" si="355"/>
        <v>#VALUE!</v>
      </c>
      <c r="P2527">
        <v>5</v>
      </c>
      <c r="Q2527">
        <f t="shared" si="356"/>
        <v>57705</v>
      </c>
      <c r="R2527" s="2">
        <f t="shared" si="357"/>
        <v>28852.5</v>
      </c>
      <c r="S2527" s="2" t="str">
        <f t="shared" si="358"/>
        <v xml:space="preserve"> Not Achieved</v>
      </c>
      <c r="T2527" s="2" t="str">
        <f t="shared" si="359"/>
        <v>Good</v>
      </c>
      <c r="U2527" s="2"/>
    </row>
    <row r="2528" spans="1:21" x14ac:dyDescent="0.3">
      <c r="A2528">
        <v>2527</v>
      </c>
      <c r="B2528" t="s">
        <v>3537</v>
      </c>
      <c r="C2528" t="str">
        <f t="shared" si="351"/>
        <v>EMP_2527</v>
      </c>
      <c r="D2528" t="s">
        <v>15</v>
      </c>
      <c r="E2528" t="str">
        <f t="shared" si="352"/>
        <v>EMP_2527Sales</v>
      </c>
      <c r="F2528" t="s">
        <v>7</v>
      </c>
      <c r="G2528" t="s">
        <v>13</v>
      </c>
      <c r="H2528">
        <v>59881</v>
      </c>
      <c r="I2528">
        <v>13544</v>
      </c>
      <c r="J2528">
        <v>238955</v>
      </c>
      <c r="K2528">
        <v>106562</v>
      </c>
      <c r="L2528" s="4">
        <v>44359</v>
      </c>
      <c r="M2528" s="4" t="str">
        <f t="shared" si="353"/>
        <v>2021</v>
      </c>
      <c r="N2528" s="1">
        <f t="shared" ca="1" si="354"/>
        <v>46064</v>
      </c>
      <c r="O2528" s="6">
        <f t="shared" ca="1" si="355"/>
        <v>4</v>
      </c>
      <c r="P2528">
        <v>5</v>
      </c>
      <c r="Q2528">
        <f t="shared" si="356"/>
        <v>73425</v>
      </c>
      <c r="R2528" s="2">
        <f t="shared" si="357"/>
        <v>36712.5</v>
      </c>
      <c r="S2528" s="2" t="str">
        <f t="shared" si="358"/>
        <v>Achieved</v>
      </c>
      <c r="T2528" s="2" t="str">
        <f t="shared" si="359"/>
        <v xml:space="preserve"> Excellent</v>
      </c>
      <c r="U2528" s="2"/>
    </row>
    <row r="2529" spans="1:21" x14ac:dyDescent="0.3">
      <c r="A2529">
        <v>2528</v>
      </c>
      <c r="B2529" t="s">
        <v>3538</v>
      </c>
      <c r="C2529" t="str">
        <f t="shared" si="351"/>
        <v>EMP_2528</v>
      </c>
      <c r="D2529" t="s">
        <v>11</v>
      </c>
      <c r="E2529" t="str">
        <f t="shared" si="352"/>
        <v>EMP_2528IT</v>
      </c>
      <c r="F2529" t="s">
        <v>21</v>
      </c>
      <c r="G2529" t="s">
        <v>22</v>
      </c>
      <c r="H2529">
        <v>76474</v>
      </c>
      <c r="I2529">
        <v>10640</v>
      </c>
      <c r="J2529">
        <v>0</v>
      </c>
      <c r="K2529">
        <v>0</v>
      </c>
      <c r="L2529" s="4" t="s">
        <v>3539</v>
      </c>
      <c r="M2529" s="4" t="str">
        <f t="shared" si="353"/>
        <v>7/16/2021</v>
      </c>
      <c r="N2529" s="1">
        <f t="shared" ca="1" si="354"/>
        <v>46064</v>
      </c>
      <c r="O2529" s="6" t="e">
        <f t="shared" ca="1" si="355"/>
        <v>#VALUE!</v>
      </c>
      <c r="P2529">
        <v>1</v>
      </c>
      <c r="Q2529">
        <f t="shared" si="356"/>
        <v>87114</v>
      </c>
      <c r="R2529" s="2">
        <f t="shared" si="357"/>
        <v>43557</v>
      </c>
      <c r="S2529" s="2" t="str">
        <f t="shared" si="358"/>
        <v xml:space="preserve"> Not Achieved</v>
      </c>
      <c r="T2529" s="2" t="str">
        <f t="shared" si="359"/>
        <v xml:space="preserve"> Excellent</v>
      </c>
      <c r="U2529" s="2"/>
    </row>
    <row r="2530" spans="1:21" x14ac:dyDescent="0.3">
      <c r="A2530">
        <v>2529</v>
      </c>
      <c r="B2530" t="s">
        <v>3540</v>
      </c>
      <c r="C2530" t="str">
        <f t="shared" si="351"/>
        <v>EMP_2529</v>
      </c>
      <c r="D2530" t="s">
        <v>15</v>
      </c>
      <c r="E2530" t="str">
        <f t="shared" si="352"/>
        <v>EMP_2529Sales</v>
      </c>
      <c r="F2530" t="s">
        <v>7</v>
      </c>
      <c r="G2530" t="s">
        <v>25</v>
      </c>
      <c r="H2530">
        <v>23212</v>
      </c>
      <c r="I2530">
        <v>8448</v>
      </c>
      <c r="J2530">
        <v>91912</v>
      </c>
      <c r="K2530">
        <v>244758</v>
      </c>
      <c r="L2530" s="4">
        <v>45602</v>
      </c>
      <c r="M2530" s="4" t="str">
        <f t="shared" si="353"/>
        <v>2024</v>
      </c>
      <c r="N2530" s="1">
        <f t="shared" ca="1" si="354"/>
        <v>46064</v>
      </c>
      <c r="O2530" s="6">
        <f t="shared" ca="1" si="355"/>
        <v>1</v>
      </c>
      <c r="P2530">
        <v>2</v>
      </c>
      <c r="Q2530">
        <f t="shared" si="356"/>
        <v>31660</v>
      </c>
      <c r="R2530" s="2">
        <f t="shared" si="357"/>
        <v>15830</v>
      </c>
      <c r="S2530" s="2" t="str">
        <f t="shared" si="358"/>
        <v xml:space="preserve"> Not Achieved</v>
      </c>
      <c r="T2530" s="2" t="str">
        <f t="shared" si="359"/>
        <v>poor</v>
      </c>
      <c r="U2530" s="2"/>
    </row>
    <row r="2531" spans="1:21" x14ac:dyDescent="0.3">
      <c r="A2531">
        <v>2530</v>
      </c>
      <c r="B2531" t="s">
        <v>3541</v>
      </c>
      <c r="C2531" t="str">
        <f t="shared" si="351"/>
        <v>EMP_2530</v>
      </c>
      <c r="D2531" t="s">
        <v>15</v>
      </c>
      <c r="E2531" t="str">
        <f t="shared" si="352"/>
        <v>EMP_2530Finance</v>
      </c>
      <c r="F2531" t="s">
        <v>18</v>
      </c>
      <c r="G2531" t="s">
        <v>22</v>
      </c>
      <c r="H2531">
        <v>54102</v>
      </c>
      <c r="I2531">
        <v>7130</v>
      </c>
      <c r="J2531">
        <v>0</v>
      </c>
      <c r="K2531">
        <v>0</v>
      </c>
      <c r="L2531" s="4" t="s">
        <v>3542</v>
      </c>
      <c r="M2531" s="4" t="str">
        <f t="shared" si="353"/>
        <v>1/31/2021</v>
      </c>
      <c r="N2531" s="1">
        <f t="shared" ca="1" si="354"/>
        <v>46064</v>
      </c>
      <c r="O2531" s="6" t="e">
        <f t="shared" ca="1" si="355"/>
        <v>#VALUE!</v>
      </c>
      <c r="P2531">
        <v>1</v>
      </c>
      <c r="Q2531">
        <f t="shared" si="356"/>
        <v>61232</v>
      </c>
      <c r="R2531" s="2">
        <f t="shared" si="357"/>
        <v>30616</v>
      </c>
      <c r="S2531" s="2" t="str">
        <f t="shared" si="358"/>
        <v xml:space="preserve"> Not Achieved</v>
      </c>
      <c r="T2531" s="2" t="str">
        <f t="shared" si="359"/>
        <v xml:space="preserve"> Excellent</v>
      </c>
      <c r="U2531" s="2"/>
    </row>
    <row r="2532" spans="1:21" x14ac:dyDescent="0.3">
      <c r="A2532">
        <v>2531</v>
      </c>
      <c r="B2532" t="s">
        <v>3543</v>
      </c>
      <c r="C2532" t="str">
        <f t="shared" si="351"/>
        <v>EMP_2531</v>
      </c>
      <c r="D2532" t="s">
        <v>15</v>
      </c>
      <c r="E2532" t="str">
        <f t="shared" si="352"/>
        <v>EMP_2531Finance</v>
      </c>
      <c r="F2532" t="s">
        <v>18</v>
      </c>
      <c r="G2532" t="s">
        <v>13</v>
      </c>
      <c r="H2532">
        <v>30964</v>
      </c>
      <c r="I2532">
        <v>5838</v>
      </c>
      <c r="J2532">
        <v>0</v>
      </c>
      <c r="K2532">
        <v>0</v>
      </c>
      <c r="L2532" s="4">
        <v>44684</v>
      </c>
      <c r="M2532" s="4" t="str">
        <f t="shared" si="353"/>
        <v>2022</v>
      </c>
      <c r="N2532" s="1">
        <f t="shared" ca="1" si="354"/>
        <v>46064</v>
      </c>
      <c r="O2532" s="6">
        <f t="shared" ca="1" si="355"/>
        <v>3</v>
      </c>
      <c r="P2532">
        <v>5</v>
      </c>
      <c r="Q2532">
        <f t="shared" si="356"/>
        <v>36802</v>
      </c>
      <c r="R2532" s="2">
        <f t="shared" si="357"/>
        <v>18401</v>
      </c>
      <c r="S2532" s="2" t="str">
        <f t="shared" si="358"/>
        <v xml:space="preserve"> Not Achieved</v>
      </c>
      <c r="T2532" s="2" t="str">
        <f t="shared" si="359"/>
        <v>Average</v>
      </c>
      <c r="U2532" s="2"/>
    </row>
    <row r="2533" spans="1:21" x14ac:dyDescent="0.3">
      <c r="A2533">
        <v>2532</v>
      </c>
      <c r="B2533" t="s">
        <v>3544</v>
      </c>
      <c r="C2533" t="str">
        <f t="shared" si="351"/>
        <v>EMP_2532</v>
      </c>
      <c r="D2533" t="s">
        <v>11</v>
      </c>
      <c r="E2533" t="str">
        <f t="shared" si="352"/>
        <v>EMP_2532IT</v>
      </c>
      <c r="F2533" t="s">
        <v>21</v>
      </c>
      <c r="G2533" t="s">
        <v>22</v>
      </c>
      <c r="H2533">
        <v>69273</v>
      </c>
      <c r="I2533">
        <v>8556</v>
      </c>
      <c r="J2533">
        <v>0</v>
      </c>
      <c r="K2533">
        <v>0</v>
      </c>
      <c r="L2533" s="4">
        <v>44389</v>
      </c>
      <c r="M2533" s="4" t="str">
        <f t="shared" si="353"/>
        <v>2021</v>
      </c>
      <c r="N2533" s="1">
        <f t="shared" ca="1" si="354"/>
        <v>46064</v>
      </c>
      <c r="O2533" s="6">
        <f t="shared" ca="1" si="355"/>
        <v>4</v>
      </c>
      <c r="P2533">
        <v>2</v>
      </c>
      <c r="Q2533">
        <f t="shared" si="356"/>
        <v>77829</v>
      </c>
      <c r="R2533" s="2">
        <f t="shared" si="357"/>
        <v>38914.5</v>
      </c>
      <c r="S2533" s="2" t="str">
        <f t="shared" si="358"/>
        <v xml:space="preserve"> Not Achieved</v>
      </c>
      <c r="T2533" s="2" t="str">
        <f t="shared" si="359"/>
        <v xml:space="preserve"> Excellent</v>
      </c>
      <c r="U2533" s="2"/>
    </row>
    <row r="2534" spans="1:21" x14ac:dyDescent="0.3">
      <c r="A2534">
        <v>2533</v>
      </c>
      <c r="B2534" t="s">
        <v>3545</v>
      </c>
      <c r="C2534" t="str">
        <f t="shared" si="351"/>
        <v>EMP_2533</v>
      </c>
      <c r="D2534" t="s">
        <v>15</v>
      </c>
      <c r="E2534" t="str">
        <f t="shared" si="352"/>
        <v>EMP_2533Sales</v>
      </c>
      <c r="F2534" t="s">
        <v>7</v>
      </c>
      <c r="G2534" t="s">
        <v>22</v>
      </c>
      <c r="H2534">
        <v>77056</v>
      </c>
      <c r="I2534">
        <v>8655</v>
      </c>
      <c r="J2534">
        <v>74595</v>
      </c>
      <c r="K2534">
        <v>211137</v>
      </c>
      <c r="L2534" s="4">
        <v>45445</v>
      </c>
      <c r="M2534" s="4" t="str">
        <f t="shared" si="353"/>
        <v>2024</v>
      </c>
      <c r="N2534" s="1">
        <f t="shared" ca="1" si="354"/>
        <v>46064</v>
      </c>
      <c r="O2534" s="6">
        <f t="shared" ca="1" si="355"/>
        <v>1</v>
      </c>
      <c r="P2534">
        <v>1</v>
      </c>
      <c r="Q2534">
        <f t="shared" si="356"/>
        <v>85711</v>
      </c>
      <c r="R2534" s="2">
        <f t="shared" si="357"/>
        <v>42855.5</v>
      </c>
      <c r="S2534" s="2" t="str">
        <f t="shared" si="358"/>
        <v xml:space="preserve"> Not Achieved</v>
      </c>
      <c r="T2534" s="2" t="str">
        <f t="shared" si="359"/>
        <v xml:space="preserve"> Excellent</v>
      </c>
      <c r="U2534" s="2"/>
    </row>
    <row r="2535" spans="1:21" x14ac:dyDescent="0.3">
      <c r="A2535">
        <v>2534</v>
      </c>
      <c r="B2535" t="s">
        <v>3546</v>
      </c>
      <c r="C2535" t="str">
        <f t="shared" si="351"/>
        <v>EMP_2534</v>
      </c>
      <c r="D2535" t="s">
        <v>11</v>
      </c>
      <c r="E2535" t="str">
        <f t="shared" si="352"/>
        <v>EMP_2534Finance</v>
      </c>
      <c r="F2535" t="s">
        <v>18</v>
      </c>
      <c r="G2535" t="s">
        <v>19</v>
      </c>
      <c r="H2535">
        <v>54766</v>
      </c>
      <c r="I2535">
        <v>6390</v>
      </c>
      <c r="J2535">
        <v>0</v>
      </c>
      <c r="K2535">
        <v>0</v>
      </c>
      <c r="L2535" s="4" t="s">
        <v>3033</v>
      </c>
      <c r="M2535" s="4" t="str">
        <f t="shared" si="353"/>
        <v>1/30/2020</v>
      </c>
      <c r="N2535" s="1">
        <f t="shared" ca="1" si="354"/>
        <v>46064</v>
      </c>
      <c r="O2535" s="6" t="e">
        <f t="shared" ca="1" si="355"/>
        <v>#VALUE!</v>
      </c>
      <c r="P2535">
        <v>3</v>
      </c>
      <c r="Q2535">
        <f t="shared" si="356"/>
        <v>61156</v>
      </c>
      <c r="R2535" s="2">
        <f t="shared" si="357"/>
        <v>30578</v>
      </c>
      <c r="S2535" s="2" t="str">
        <f t="shared" si="358"/>
        <v xml:space="preserve"> Not Achieved</v>
      </c>
      <c r="T2535" s="2" t="str">
        <f t="shared" si="359"/>
        <v xml:space="preserve"> Excellent</v>
      </c>
      <c r="U2535" s="2"/>
    </row>
    <row r="2536" spans="1:21" x14ac:dyDescent="0.3">
      <c r="A2536">
        <v>2535</v>
      </c>
      <c r="B2536" t="s">
        <v>3547</v>
      </c>
      <c r="C2536" t="str">
        <f t="shared" si="351"/>
        <v>EMP_2535</v>
      </c>
      <c r="D2536" t="s">
        <v>11</v>
      </c>
      <c r="E2536" t="str">
        <f t="shared" si="352"/>
        <v>EMP_2535Finance</v>
      </c>
      <c r="F2536" t="s">
        <v>18</v>
      </c>
      <c r="G2536" t="s">
        <v>19</v>
      </c>
      <c r="H2536">
        <v>59653</v>
      </c>
      <c r="I2536">
        <v>5965</v>
      </c>
      <c r="J2536">
        <v>0</v>
      </c>
      <c r="K2536">
        <v>0</v>
      </c>
      <c r="L2536" s="4" t="s">
        <v>1645</v>
      </c>
      <c r="M2536" s="4" t="str">
        <f t="shared" si="353"/>
        <v>10/16/2019</v>
      </c>
      <c r="N2536" s="1">
        <f t="shared" ca="1" si="354"/>
        <v>46064</v>
      </c>
      <c r="O2536" s="6" t="e">
        <f t="shared" ca="1" si="355"/>
        <v>#VALUE!</v>
      </c>
      <c r="P2536">
        <v>3</v>
      </c>
      <c r="Q2536">
        <f t="shared" si="356"/>
        <v>65618</v>
      </c>
      <c r="R2536" s="2">
        <f t="shared" si="357"/>
        <v>32809</v>
      </c>
      <c r="S2536" s="2" t="str">
        <f t="shared" si="358"/>
        <v xml:space="preserve"> Not Achieved</v>
      </c>
      <c r="T2536" s="2" t="str">
        <f t="shared" si="359"/>
        <v xml:space="preserve"> Excellent</v>
      </c>
      <c r="U2536" s="2"/>
    </row>
    <row r="2537" spans="1:21" x14ac:dyDescent="0.3">
      <c r="A2537">
        <v>2536</v>
      </c>
      <c r="B2537" t="s">
        <v>3548</v>
      </c>
      <c r="C2537" t="str">
        <f t="shared" si="351"/>
        <v>EMP_2536</v>
      </c>
      <c r="D2537" t="s">
        <v>15</v>
      </c>
      <c r="E2537" t="str">
        <f t="shared" si="352"/>
        <v>EMP_2536HR</v>
      </c>
      <c r="F2537" t="s">
        <v>12</v>
      </c>
      <c r="G2537" t="s">
        <v>13</v>
      </c>
      <c r="H2537">
        <v>40894</v>
      </c>
      <c r="I2537">
        <v>9437</v>
      </c>
      <c r="J2537">
        <v>0</v>
      </c>
      <c r="K2537">
        <v>0</v>
      </c>
      <c r="L2537" s="4" t="s">
        <v>2716</v>
      </c>
      <c r="M2537" s="4" t="str">
        <f t="shared" si="353"/>
        <v>11/25/2024</v>
      </c>
      <c r="N2537" s="1">
        <f t="shared" ca="1" si="354"/>
        <v>46064</v>
      </c>
      <c r="O2537" s="6" t="e">
        <f t="shared" ca="1" si="355"/>
        <v>#VALUE!</v>
      </c>
      <c r="P2537">
        <v>5</v>
      </c>
      <c r="Q2537">
        <f t="shared" si="356"/>
        <v>50331</v>
      </c>
      <c r="R2537" s="2">
        <f t="shared" si="357"/>
        <v>25165.5</v>
      </c>
      <c r="S2537" s="2" t="str">
        <f t="shared" si="358"/>
        <v xml:space="preserve"> Not Achieved</v>
      </c>
      <c r="T2537" s="2" t="str">
        <f t="shared" si="359"/>
        <v>Good</v>
      </c>
      <c r="U2537" s="2"/>
    </row>
    <row r="2538" spans="1:21" x14ac:dyDescent="0.3">
      <c r="A2538">
        <v>2537</v>
      </c>
      <c r="B2538" t="s">
        <v>3549</v>
      </c>
      <c r="C2538" t="str">
        <f t="shared" si="351"/>
        <v>EMP_2537</v>
      </c>
      <c r="D2538" t="s">
        <v>11</v>
      </c>
      <c r="E2538" t="str">
        <f t="shared" si="352"/>
        <v>EMP_2537Finance</v>
      </c>
      <c r="F2538" t="s">
        <v>18</v>
      </c>
      <c r="G2538" t="s">
        <v>22</v>
      </c>
      <c r="H2538">
        <v>41968</v>
      </c>
      <c r="I2538">
        <v>14786</v>
      </c>
      <c r="J2538">
        <v>0</v>
      </c>
      <c r="K2538">
        <v>0</v>
      </c>
      <c r="L2538" s="4" t="s">
        <v>3550</v>
      </c>
      <c r="M2538" s="4" t="str">
        <f t="shared" si="353"/>
        <v>12/14/2020</v>
      </c>
      <c r="N2538" s="1">
        <f t="shared" ca="1" si="354"/>
        <v>46064</v>
      </c>
      <c r="O2538" s="6" t="e">
        <f t="shared" ca="1" si="355"/>
        <v>#VALUE!</v>
      </c>
      <c r="P2538">
        <v>3</v>
      </c>
      <c r="Q2538">
        <f t="shared" si="356"/>
        <v>56754</v>
      </c>
      <c r="R2538" s="2">
        <f t="shared" si="357"/>
        <v>28377</v>
      </c>
      <c r="S2538" s="2" t="str">
        <f t="shared" si="358"/>
        <v xml:space="preserve"> Not Achieved</v>
      </c>
      <c r="T2538" s="2" t="str">
        <f t="shared" si="359"/>
        <v>Good</v>
      </c>
      <c r="U2538" s="2"/>
    </row>
    <row r="2539" spans="1:21" x14ac:dyDescent="0.3">
      <c r="A2539">
        <v>2538</v>
      </c>
      <c r="B2539" t="s">
        <v>3551</v>
      </c>
      <c r="C2539" t="str">
        <f t="shared" si="351"/>
        <v>EMP_2538</v>
      </c>
      <c r="D2539" t="s">
        <v>15</v>
      </c>
      <c r="E2539" t="str">
        <f t="shared" si="352"/>
        <v>EMP_2538Sales</v>
      </c>
      <c r="F2539" t="s">
        <v>7</v>
      </c>
      <c r="G2539" t="s">
        <v>19</v>
      </c>
      <c r="H2539">
        <v>78266</v>
      </c>
      <c r="I2539">
        <v>10264</v>
      </c>
      <c r="J2539">
        <v>272677</v>
      </c>
      <c r="K2539">
        <v>202705</v>
      </c>
      <c r="L2539" s="4">
        <v>43775</v>
      </c>
      <c r="M2539" s="4" t="str">
        <f t="shared" si="353"/>
        <v>2019</v>
      </c>
      <c r="N2539" s="1">
        <f t="shared" ca="1" si="354"/>
        <v>46064</v>
      </c>
      <c r="O2539" s="6">
        <f t="shared" ca="1" si="355"/>
        <v>6</v>
      </c>
      <c r="P2539">
        <v>5</v>
      </c>
      <c r="Q2539">
        <f t="shared" si="356"/>
        <v>88530</v>
      </c>
      <c r="R2539" s="2">
        <f t="shared" si="357"/>
        <v>44265</v>
      </c>
      <c r="S2539" s="2" t="str">
        <f t="shared" si="358"/>
        <v>Achieved</v>
      </c>
      <c r="T2539" s="2" t="str">
        <f t="shared" si="359"/>
        <v xml:space="preserve"> Excellent</v>
      </c>
      <c r="U2539" s="2"/>
    </row>
    <row r="2540" spans="1:21" x14ac:dyDescent="0.3">
      <c r="A2540">
        <v>2539</v>
      </c>
      <c r="B2540" t="s">
        <v>3552</v>
      </c>
      <c r="C2540" t="str">
        <f t="shared" si="351"/>
        <v>EMP_2539</v>
      </c>
      <c r="D2540" t="s">
        <v>15</v>
      </c>
      <c r="E2540" t="str">
        <f t="shared" si="352"/>
        <v>EMP_2539Finance</v>
      </c>
      <c r="F2540" t="s">
        <v>18</v>
      </c>
      <c r="G2540" t="s">
        <v>25</v>
      </c>
      <c r="H2540">
        <v>41075</v>
      </c>
      <c r="I2540">
        <v>8998</v>
      </c>
      <c r="J2540">
        <v>0</v>
      </c>
      <c r="K2540">
        <v>0</v>
      </c>
      <c r="L2540" s="4">
        <v>43533</v>
      </c>
      <c r="M2540" s="4" t="str">
        <f t="shared" si="353"/>
        <v>2019</v>
      </c>
      <c r="N2540" s="1">
        <f t="shared" ca="1" si="354"/>
        <v>46064</v>
      </c>
      <c r="O2540" s="6">
        <f t="shared" ca="1" si="355"/>
        <v>6</v>
      </c>
      <c r="P2540">
        <v>3</v>
      </c>
      <c r="Q2540">
        <f t="shared" si="356"/>
        <v>50073</v>
      </c>
      <c r="R2540" s="2">
        <f t="shared" si="357"/>
        <v>25036.5</v>
      </c>
      <c r="S2540" s="2" t="str">
        <f t="shared" si="358"/>
        <v xml:space="preserve"> Not Achieved</v>
      </c>
      <c r="T2540" s="2" t="str">
        <f t="shared" si="359"/>
        <v>Good</v>
      </c>
      <c r="U2540" s="2"/>
    </row>
    <row r="2541" spans="1:21" x14ac:dyDescent="0.3">
      <c r="A2541">
        <v>2540</v>
      </c>
      <c r="B2541" t="s">
        <v>3553</v>
      </c>
      <c r="C2541" t="str">
        <f t="shared" si="351"/>
        <v>EMP_2540</v>
      </c>
      <c r="D2541" t="s">
        <v>11</v>
      </c>
      <c r="E2541" t="str">
        <f t="shared" si="352"/>
        <v>EMP_2540IT</v>
      </c>
      <c r="F2541" t="s">
        <v>21</v>
      </c>
      <c r="G2541" t="s">
        <v>25</v>
      </c>
      <c r="H2541">
        <v>38799</v>
      </c>
      <c r="I2541">
        <v>10879</v>
      </c>
      <c r="J2541">
        <v>0</v>
      </c>
      <c r="K2541">
        <v>0</v>
      </c>
      <c r="L2541" s="4" t="s">
        <v>561</v>
      </c>
      <c r="M2541" s="4" t="str">
        <f t="shared" si="353"/>
        <v>2/16/2022</v>
      </c>
      <c r="N2541" s="1">
        <f t="shared" ca="1" si="354"/>
        <v>46064</v>
      </c>
      <c r="O2541" s="6" t="e">
        <f t="shared" ca="1" si="355"/>
        <v>#VALUE!</v>
      </c>
      <c r="P2541">
        <v>5</v>
      </c>
      <c r="Q2541">
        <f t="shared" si="356"/>
        <v>49678</v>
      </c>
      <c r="R2541" s="2">
        <f t="shared" si="357"/>
        <v>24839</v>
      </c>
      <c r="S2541" s="2" t="str">
        <f t="shared" si="358"/>
        <v xml:space="preserve"> Not Achieved</v>
      </c>
      <c r="T2541" s="2" t="str">
        <f t="shared" si="359"/>
        <v>Average</v>
      </c>
      <c r="U2541" s="2"/>
    </row>
    <row r="2542" spans="1:21" x14ac:dyDescent="0.3">
      <c r="A2542">
        <v>2541</v>
      </c>
      <c r="B2542" t="s">
        <v>3554</v>
      </c>
      <c r="C2542" t="str">
        <f t="shared" si="351"/>
        <v>EMP_2541</v>
      </c>
      <c r="D2542" t="s">
        <v>15</v>
      </c>
      <c r="E2542" t="str">
        <f t="shared" si="352"/>
        <v>EMP_2541HR</v>
      </c>
      <c r="F2542" t="s">
        <v>12</v>
      </c>
      <c r="G2542" t="s">
        <v>25</v>
      </c>
      <c r="H2542">
        <v>37256</v>
      </c>
      <c r="I2542">
        <v>11303</v>
      </c>
      <c r="J2542">
        <v>0</v>
      </c>
      <c r="K2542">
        <v>0</v>
      </c>
      <c r="L2542" s="4" t="s">
        <v>3555</v>
      </c>
      <c r="M2542" s="4" t="str">
        <f t="shared" si="353"/>
        <v>2/21/2018</v>
      </c>
      <c r="N2542" s="1">
        <f t="shared" ca="1" si="354"/>
        <v>46064</v>
      </c>
      <c r="O2542" s="6" t="e">
        <f t="shared" ca="1" si="355"/>
        <v>#VALUE!</v>
      </c>
      <c r="P2542">
        <v>4</v>
      </c>
      <c r="Q2542">
        <f t="shared" si="356"/>
        <v>48559</v>
      </c>
      <c r="R2542" s="2">
        <f t="shared" si="357"/>
        <v>24279.5</v>
      </c>
      <c r="S2542" s="2" t="str">
        <f t="shared" si="358"/>
        <v xml:space="preserve"> Not Achieved</v>
      </c>
      <c r="T2542" s="2" t="str">
        <f t="shared" si="359"/>
        <v>Average</v>
      </c>
      <c r="U2542" s="2"/>
    </row>
    <row r="2543" spans="1:21" x14ac:dyDescent="0.3">
      <c r="A2543">
        <v>2542</v>
      </c>
      <c r="B2543" t="s">
        <v>3556</v>
      </c>
      <c r="C2543" t="str">
        <f t="shared" si="351"/>
        <v>EMP_2542</v>
      </c>
      <c r="D2543" t="s">
        <v>11</v>
      </c>
      <c r="E2543" t="str">
        <f t="shared" si="352"/>
        <v>EMP_2542IT</v>
      </c>
      <c r="F2543" t="s">
        <v>21</v>
      </c>
      <c r="G2543" t="s">
        <v>19</v>
      </c>
      <c r="H2543">
        <v>46518</v>
      </c>
      <c r="I2543">
        <v>5154</v>
      </c>
      <c r="J2543">
        <v>0</v>
      </c>
      <c r="K2543">
        <v>0</v>
      </c>
      <c r="L2543" s="4">
        <v>43138</v>
      </c>
      <c r="M2543" s="4" t="str">
        <f t="shared" si="353"/>
        <v>2018</v>
      </c>
      <c r="N2543" s="1">
        <f t="shared" ca="1" si="354"/>
        <v>46064</v>
      </c>
      <c r="O2543" s="6">
        <f t="shared" ca="1" si="355"/>
        <v>8</v>
      </c>
      <c r="P2543">
        <v>3</v>
      </c>
      <c r="Q2543">
        <f t="shared" si="356"/>
        <v>51672</v>
      </c>
      <c r="R2543" s="2">
        <f t="shared" si="357"/>
        <v>25836</v>
      </c>
      <c r="S2543" s="2" t="str">
        <f t="shared" si="358"/>
        <v xml:space="preserve"> Not Achieved</v>
      </c>
      <c r="T2543" s="2" t="str">
        <f t="shared" si="359"/>
        <v>Good</v>
      </c>
      <c r="U2543" s="2"/>
    </row>
    <row r="2544" spans="1:21" x14ac:dyDescent="0.3">
      <c r="A2544">
        <v>2543</v>
      </c>
      <c r="B2544" t="s">
        <v>3557</v>
      </c>
      <c r="C2544" t="str">
        <f t="shared" si="351"/>
        <v>EMP_2543</v>
      </c>
      <c r="D2544" t="s">
        <v>15</v>
      </c>
      <c r="E2544" t="str">
        <f t="shared" si="352"/>
        <v>EMP_2543Marketing</v>
      </c>
      <c r="F2544" t="s">
        <v>24</v>
      </c>
      <c r="G2544" t="s">
        <v>25</v>
      </c>
      <c r="H2544">
        <v>64261</v>
      </c>
      <c r="I2544">
        <v>7288</v>
      </c>
      <c r="J2544">
        <v>0</v>
      </c>
      <c r="K2544">
        <v>0</v>
      </c>
      <c r="L2544" s="4">
        <v>43376</v>
      </c>
      <c r="M2544" s="4" t="str">
        <f t="shared" si="353"/>
        <v>2018</v>
      </c>
      <c r="N2544" s="1">
        <f t="shared" ca="1" si="354"/>
        <v>46064</v>
      </c>
      <c r="O2544" s="6">
        <f t="shared" ca="1" si="355"/>
        <v>7</v>
      </c>
      <c r="P2544">
        <v>3</v>
      </c>
      <c r="Q2544">
        <f t="shared" si="356"/>
        <v>71549</v>
      </c>
      <c r="R2544" s="2">
        <f t="shared" si="357"/>
        <v>35774.5</v>
      </c>
      <c r="S2544" s="2" t="str">
        <f t="shared" si="358"/>
        <v xml:space="preserve"> Not Achieved</v>
      </c>
      <c r="T2544" s="2" t="str">
        <f t="shared" si="359"/>
        <v xml:space="preserve"> Excellent</v>
      </c>
      <c r="U2544" s="2"/>
    </row>
    <row r="2545" spans="1:21" x14ac:dyDescent="0.3">
      <c r="A2545">
        <v>2544</v>
      </c>
      <c r="B2545" t="s">
        <v>3558</v>
      </c>
      <c r="C2545" t="str">
        <f t="shared" si="351"/>
        <v>EMP_2544</v>
      </c>
      <c r="D2545" t="s">
        <v>15</v>
      </c>
      <c r="E2545" t="str">
        <f t="shared" si="352"/>
        <v>EMP_2544IT</v>
      </c>
      <c r="F2545" t="s">
        <v>21</v>
      </c>
      <c r="G2545" t="s">
        <v>16</v>
      </c>
      <c r="H2545">
        <v>45185</v>
      </c>
      <c r="I2545">
        <v>10755</v>
      </c>
      <c r="J2545">
        <v>0</v>
      </c>
      <c r="K2545">
        <v>0</v>
      </c>
      <c r="L2545" s="4" t="s">
        <v>2359</v>
      </c>
      <c r="M2545" s="4" t="str">
        <f t="shared" si="353"/>
        <v>12/29/2019</v>
      </c>
      <c r="N2545" s="1">
        <f t="shared" ca="1" si="354"/>
        <v>46064</v>
      </c>
      <c r="O2545" s="6" t="e">
        <f t="shared" ca="1" si="355"/>
        <v>#VALUE!</v>
      </c>
      <c r="P2545">
        <v>5</v>
      </c>
      <c r="Q2545">
        <f t="shared" si="356"/>
        <v>55940</v>
      </c>
      <c r="R2545" s="2">
        <f t="shared" si="357"/>
        <v>27970</v>
      </c>
      <c r="S2545" s="2" t="str">
        <f t="shared" si="358"/>
        <v xml:space="preserve"> Not Achieved</v>
      </c>
      <c r="T2545" s="2" t="str">
        <f t="shared" si="359"/>
        <v>Good</v>
      </c>
      <c r="U2545" s="2"/>
    </row>
    <row r="2546" spans="1:21" x14ac:dyDescent="0.3">
      <c r="A2546">
        <v>2545</v>
      </c>
      <c r="B2546" t="s">
        <v>3559</v>
      </c>
      <c r="C2546" t="str">
        <f t="shared" si="351"/>
        <v>EMP_2545</v>
      </c>
      <c r="D2546" t="s">
        <v>11</v>
      </c>
      <c r="E2546" t="str">
        <f t="shared" si="352"/>
        <v>EMP_2545Sales</v>
      </c>
      <c r="F2546" t="s">
        <v>7</v>
      </c>
      <c r="G2546" t="s">
        <v>22</v>
      </c>
      <c r="H2546">
        <v>75011</v>
      </c>
      <c r="I2546">
        <v>6412</v>
      </c>
      <c r="J2546">
        <v>202542</v>
      </c>
      <c r="K2546">
        <v>203827</v>
      </c>
      <c r="L2546" s="4" t="s">
        <v>1127</v>
      </c>
      <c r="M2546" s="4" t="str">
        <f t="shared" si="353"/>
        <v>5/19/2024</v>
      </c>
      <c r="N2546" s="1">
        <f t="shared" ca="1" si="354"/>
        <v>46064</v>
      </c>
      <c r="O2546" s="6" t="e">
        <f t="shared" ca="1" si="355"/>
        <v>#VALUE!</v>
      </c>
      <c r="P2546">
        <v>5</v>
      </c>
      <c r="Q2546">
        <f t="shared" si="356"/>
        <v>81423</v>
      </c>
      <c r="R2546" s="2">
        <f t="shared" si="357"/>
        <v>40711.5</v>
      </c>
      <c r="S2546" s="2" t="str">
        <f t="shared" si="358"/>
        <v xml:space="preserve"> Not Achieved</v>
      </c>
      <c r="T2546" s="2" t="str">
        <f t="shared" si="359"/>
        <v xml:space="preserve"> Excellent</v>
      </c>
      <c r="U2546" s="2"/>
    </row>
    <row r="2547" spans="1:21" x14ac:dyDescent="0.3">
      <c r="A2547">
        <v>2546</v>
      </c>
      <c r="B2547" t="s">
        <v>3560</v>
      </c>
      <c r="C2547" t="str">
        <f t="shared" si="351"/>
        <v>EMP_2546</v>
      </c>
      <c r="D2547" t="s">
        <v>11</v>
      </c>
      <c r="E2547" t="str">
        <f t="shared" si="352"/>
        <v>EMP_2546Marketing</v>
      </c>
      <c r="F2547" t="s">
        <v>24</v>
      </c>
      <c r="G2547" t="s">
        <v>19</v>
      </c>
      <c r="H2547">
        <v>61238</v>
      </c>
      <c r="I2547">
        <v>10364</v>
      </c>
      <c r="J2547">
        <v>0</v>
      </c>
      <c r="K2547">
        <v>0</v>
      </c>
      <c r="L2547" s="4" t="s">
        <v>3561</v>
      </c>
      <c r="M2547" s="4" t="str">
        <f t="shared" si="353"/>
        <v>6/28/2023</v>
      </c>
      <c r="N2547" s="1">
        <f t="shared" ca="1" si="354"/>
        <v>46064</v>
      </c>
      <c r="O2547" s="6" t="e">
        <f t="shared" ca="1" si="355"/>
        <v>#VALUE!</v>
      </c>
      <c r="P2547">
        <v>2</v>
      </c>
      <c r="Q2547">
        <f t="shared" si="356"/>
        <v>71602</v>
      </c>
      <c r="R2547" s="2">
        <f t="shared" si="357"/>
        <v>35801</v>
      </c>
      <c r="S2547" s="2" t="str">
        <f t="shared" si="358"/>
        <v xml:space="preserve"> Not Achieved</v>
      </c>
      <c r="T2547" s="2" t="str">
        <f t="shared" si="359"/>
        <v xml:space="preserve"> Excellent</v>
      </c>
      <c r="U2547" s="2"/>
    </row>
    <row r="2548" spans="1:21" x14ac:dyDescent="0.3">
      <c r="A2548">
        <v>2547</v>
      </c>
      <c r="B2548" t="s">
        <v>3562</v>
      </c>
      <c r="C2548" t="str">
        <f t="shared" si="351"/>
        <v>EMP_2547</v>
      </c>
      <c r="D2548" t="s">
        <v>15</v>
      </c>
      <c r="E2548" t="str">
        <f t="shared" si="352"/>
        <v>EMP_2547Sales</v>
      </c>
      <c r="F2548" t="s">
        <v>7</v>
      </c>
      <c r="G2548" t="s">
        <v>22</v>
      </c>
      <c r="H2548">
        <v>79028</v>
      </c>
      <c r="I2548">
        <v>4920</v>
      </c>
      <c r="J2548">
        <v>172219</v>
      </c>
      <c r="K2548">
        <v>148395</v>
      </c>
      <c r="L2548" s="4" t="s">
        <v>215</v>
      </c>
      <c r="M2548" s="4" t="str">
        <f t="shared" si="353"/>
        <v>9/23/2020</v>
      </c>
      <c r="N2548" s="1">
        <f t="shared" ca="1" si="354"/>
        <v>46064</v>
      </c>
      <c r="O2548" s="6" t="e">
        <f t="shared" ca="1" si="355"/>
        <v>#VALUE!</v>
      </c>
      <c r="P2548">
        <v>2</v>
      </c>
      <c r="Q2548">
        <f t="shared" si="356"/>
        <v>83948</v>
      </c>
      <c r="R2548" s="2">
        <f t="shared" si="357"/>
        <v>41974</v>
      </c>
      <c r="S2548" s="2" t="str">
        <f t="shared" si="358"/>
        <v>Achieved</v>
      </c>
      <c r="T2548" s="2" t="str">
        <f t="shared" si="359"/>
        <v xml:space="preserve"> Excellent</v>
      </c>
      <c r="U2548" s="2"/>
    </row>
    <row r="2549" spans="1:21" x14ac:dyDescent="0.3">
      <c r="A2549">
        <v>2548</v>
      </c>
      <c r="B2549" t="s">
        <v>3563</v>
      </c>
      <c r="C2549" t="str">
        <f t="shared" si="351"/>
        <v>EMP_2548</v>
      </c>
      <c r="D2549" t="s">
        <v>11</v>
      </c>
      <c r="E2549" t="str">
        <f t="shared" si="352"/>
        <v>EMP_2548IT</v>
      </c>
      <c r="F2549" t="s">
        <v>21</v>
      </c>
      <c r="G2549" t="s">
        <v>22</v>
      </c>
      <c r="H2549">
        <v>49088</v>
      </c>
      <c r="I2549">
        <v>13139</v>
      </c>
      <c r="J2549">
        <v>0</v>
      </c>
      <c r="K2549">
        <v>0</v>
      </c>
      <c r="L2549" s="4">
        <v>43286</v>
      </c>
      <c r="M2549" s="4" t="str">
        <f t="shared" si="353"/>
        <v>2018</v>
      </c>
      <c r="N2549" s="1">
        <f t="shared" ca="1" si="354"/>
        <v>46064</v>
      </c>
      <c r="O2549" s="6">
        <f t="shared" ca="1" si="355"/>
        <v>7</v>
      </c>
      <c r="P2549">
        <v>5</v>
      </c>
      <c r="Q2549">
        <f t="shared" si="356"/>
        <v>62227</v>
      </c>
      <c r="R2549" s="2">
        <f t="shared" si="357"/>
        <v>31113.5</v>
      </c>
      <c r="S2549" s="2" t="str">
        <f t="shared" si="358"/>
        <v xml:space="preserve"> Not Achieved</v>
      </c>
      <c r="T2549" s="2" t="str">
        <f t="shared" si="359"/>
        <v>Good</v>
      </c>
      <c r="U2549" s="2"/>
    </row>
    <row r="2550" spans="1:21" x14ac:dyDescent="0.3">
      <c r="A2550">
        <v>2549</v>
      </c>
      <c r="B2550" t="s">
        <v>3564</v>
      </c>
      <c r="C2550" t="str">
        <f t="shared" si="351"/>
        <v>EMP_2549</v>
      </c>
      <c r="D2550" t="s">
        <v>11</v>
      </c>
      <c r="E2550" t="str">
        <f t="shared" si="352"/>
        <v>EMP_2549Marketing</v>
      </c>
      <c r="F2550" t="s">
        <v>24</v>
      </c>
      <c r="G2550" t="s">
        <v>13</v>
      </c>
      <c r="H2550">
        <v>76759</v>
      </c>
      <c r="I2550">
        <v>10615</v>
      </c>
      <c r="J2550">
        <v>0</v>
      </c>
      <c r="K2550">
        <v>0</v>
      </c>
      <c r="L2550" s="4" t="s">
        <v>3018</v>
      </c>
      <c r="M2550" s="4" t="str">
        <f t="shared" si="353"/>
        <v>6/16/2020</v>
      </c>
      <c r="N2550" s="1">
        <f t="shared" ca="1" si="354"/>
        <v>46064</v>
      </c>
      <c r="O2550" s="6" t="e">
        <f t="shared" ca="1" si="355"/>
        <v>#VALUE!</v>
      </c>
      <c r="P2550">
        <v>5</v>
      </c>
      <c r="Q2550">
        <f t="shared" si="356"/>
        <v>87374</v>
      </c>
      <c r="R2550" s="2">
        <f t="shared" si="357"/>
        <v>43687</v>
      </c>
      <c r="S2550" s="2" t="str">
        <f t="shared" si="358"/>
        <v xml:space="preserve"> Not Achieved</v>
      </c>
      <c r="T2550" s="2" t="str">
        <f t="shared" si="359"/>
        <v xml:space="preserve"> Excellent</v>
      </c>
      <c r="U2550" s="2"/>
    </row>
    <row r="2551" spans="1:21" x14ac:dyDescent="0.3">
      <c r="A2551">
        <v>2550</v>
      </c>
      <c r="B2551" t="s">
        <v>3565</v>
      </c>
      <c r="C2551" t="str">
        <f t="shared" si="351"/>
        <v>EMP_2550</v>
      </c>
      <c r="D2551" t="s">
        <v>15</v>
      </c>
      <c r="E2551" t="str">
        <f t="shared" si="352"/>
        <v>EMP_2550Sales</v>
      </c>
      <c r="F2551" t="s">
        <v>7</v>
      </c>
      <c r="G2551" t="s">
        <v>13</v>
      </c>
      <c r="H2551">
        <v>76106</v>
      </c>
      <c r="I2551">
        <v>2782</v>
      </c>
      <c r="J2551">
        <v>86643</v>
      </c>
      <c r="K2551">
        <v>132119</v>
      </c>
      <c r="L2551" s="4" t="s">
        <v>483</v>
      </c>
      <c r="M2551" s="4" t="str">
        <f t="shared" si="353"/>
        <v>9/29/2022</v>
      </c>
      <c r="N2551" s="1">
        <f t="shared" ca="1" si="354"/>
        <v>46064</v>
      </c>
      <c r="O2551" s="6" t="e">
        <f t="shared" ca="1" si="355"/>
        <v>#VALUE!</v>
      </c>
      <c r="P2551">
        <v>2</v>
      </c>
      <c r="Q2551">
        <f t="shared" si="356"/>
        <v>78888</v>
      </c>
      <c r="R2551" s="2">
        <f t="shared" si="357"/>
        <v>39444</v>
      </c>
      <c r="S2551" s="2" t="str">
        <f t="shared" si="358"/>
        <v xml:space="preserve"> Not Achieved</v>
      </c>
      <c r="T2551" s="2" t="str">
        <f t="shared" si="359"/>
        <v xml:space="preserve"> Excellent</v>
      </c>
      <c r="U2551" s="2"/>
    </row>
    <row r="2552" spans="1:21" x14ac:dyDescent="0.3">
      <c r="A2552">
        <v>2551</v>
      </c>
      <c r="B2552" t="s">
        <v>3566</v>
      </c>
      <c r="C2552" t="str">
        <f t="shared" si="351"/>
        <v>EMP_2551</v>
      </c>
      <c r="D2552" t="s">
        <v>15</v>
      </c>
      <c r="E2552" t="str">
        <f t="shared" si="352"/>
        <v>EMP_2551Finance</v>
      </c>
      <c r="F2552" t="s">
        <v>18</v>
      </c>
      <c r="G2552" t="s">
        <v>16</v>
      </c>
      <c r="H2552">
        <v>41375</v>
      </c>
      <c r="I2552">
        <v>12840</v>
      </c>
      <c r="J2552">
        <v>0</v>
      </c>
      <c r="K2552">
        <v>0</v>
      </c>
      <c r="L2552" s="4" t="s">
        <v>383</v>
      </c>
      <c r="M2552" s="4" t="str">
        <f t="shared" si="353"/>
        <v>9/16/2024</v>
      </c>
      <c r="N2552" s="1">
        <f t="shared" ca="1" si="354"/>
        <v>46064</v>
      </c>
      <c r="O2552" s="6" t="e">
        <f t="shared" ca="1" si="355"/>
        <v>#VALUE!</v>
      </c>
      <c r="P2552">
        <v>3</v>
      </c>
      <c r="Q2552">
        <f t="shared" si="356"/>
        <v>54215</v>
      </c>
      <c r="R2552" s="2">
        <f t="shared" si="357"/>
        <v>27107.5</v>
      </c>
      <c r="S2552" s="2" t="str">
        <f t="shared" si="358"/>
        <v xml:space="preserve"> Not Achieved</v>
      </c>
      <c r="T2552" s="2" t="str">
        <f t="shared" si="359"/>
        <v>Good</v>
      </c>
      <c r="U2552" s="2"/>
    </row>
    <row r="2553" spans="1:21" x14ac:dyDescent="0.3">
      <c r="A2553">
        <v>2552</v>
      </c>
      <c r="B2553" t="s">
        <v>3567</v>
      </c>
      <c r="C2553" t="str">
        <f t="shared" si="351"/>
        <v>EMP_2552</v>
      </c>
      <c r="D2553" t="s">
        <v>11</v>
      </c>
      <c r="E2553" t="str">
        <f t="shared" si="352"/>
        <v>EMP_2552Sales</v>
      </c>
      <c r="F2553" t="s">
        <v>7</v>
      </c>
      <c r="G2553" t="s">
        <v>16</v>
      </c>
      <c r="H2553">
        <v>68874</v>
      </c>
      <c r="I2553">
        <v>14981</v>
      </c>
      <c r="J2553">
        <v>287723</v>
      </c>
      <c r="K2553">
        <v>198464</v>
      </c>
      <c r="L2553" s="4" t="s">
        <v>3568</v>
      </c>
      <c r="M2553" s="4" t="str">
        <f t="shared" si="353"/>
        <v>1/14/2021</v>
      </c>
      <c r="N2553" s="1">
        <f t="shared" ca="1" si="354"/>
        <v>46064</v>
      </c>
      <c r="O2553" s="6" t="e">
        <f t="shared" ca="1" si="355"/>
        <v>#VALUE!</v>
      </c>
      <c r="P2553">
        <v>1</v>
      </c>
      <c r="Q2553">
        <f t="shared" si="356"/>
        <v>83855</v>
      </c>
      <c r="R2553" s="2">
        <f t="shared" si="357"/>
        <v>41927.5</v>
      </c>
      <c r="S2553" s="2" t="str">
        <f t="shared" si="358"/>
        <v>Achieved</v>
      </c>
      <c r="T2553" s="2" t="str">
        <f t="shared" si="359"/>
        <v xml:space="preserve"> Excellent</v>
      </c>
      <c r="U2553" s="2"/>
    </row>
    <row r="2554" spans="1:21" x14ac:dyDescent="0.3">
      <c r="A2554">
        <v>2553</v>
      </c>
      <c r="B2554" t="s">
        <v>3569</v>
      </c>
      <c r="C2554" t="str">
        <f t="shared" si="351"/>
        <v>EMP_2553</v>
      </c>
      <c r="D2554" t="s">
        <v>11</v>
      </c>
      <c r="E2554" t="str">
        <f t="shared" si="352"/>
        <v>EMP_2553Finance</v>
      </c>
      <c r="F2554" t="s">
        <v>18</v>
      </c>
      <c r="G2554" t="s">
        <v>25</v>
      </c>
      <c r="H2554">
        <v>31461</v>
      </c>
      <c r="I2554">
        <v>9073</v>
      </c>
      <c r="J2554">
        <v>0</v>
      </c>
      <c r="K2554">
        <v>0</v>
      </c>
      <c r="L2554" s="4" t="s">
        <v>3570</v>
      </c>
      <c r="M2554" s="4" t="str">
        <f t="shared" si="353"/>
        <v>12/14/2021</v>
      </c>
      <c r="N2554" s="1">
        <f t="shared" ca="1" si="354"/>
        <v>46064</v>
      </c>
      <c r="O2554" s="6" t="e">
        <f t="shared" ca="1" si="355"/>
        <v>#VALUE!</v>
      </c>
      <c r="P2554">
        <v>2</v>
      </c>
      <c r="Q2554">
        <f t="shared" si="356"/>
        <v>40534</v>
      </c>
      <c r="R2554" s="2">
        <f t="shared" si="357"/>
        <v>20267</v>
      </c>
      <c r="S2554" s="2" t="str">
        <f t="shared" si="358"/>
        <v xml:space="preserve"> Not Achieved</v>
      </c>
      <c r="T2554" s="2" t="str">
        <f t="shared" si="359"/>
        <v>Average</v>
      </c>
      <c r="U2554" s="2"/>
    </row>
    <row r="2555" spans="1:21" x14ac:dyDescent="0.3">
      <c r="A2555">
        <v>2554</v>
      </c>
      <c r="B2555" t="s">
        <v>3571</v>
      </c>
      <c r="C2555" t="str">
        <f t="shared" si="351"/>
        <v>EMP_2554</v>
      </c>
      <c r="D2555" t="s">
        <v>15</v>
      </c>
      <c r="E2555" t="str">
        <f t="shared" si="352"/>
        <v>EMP_2554HR</v>
      </c>
      <c r="F2555" t="s">
        <v>12</v>
      </c>
      <c r="G2555" t="s">
        <v>13</v>
      </c>
      <c r="H2555">
        <v>48559</v>
      </c>
      <c r="I2555">
        <v>13267</v>
      </c>
      <c r="J2555">
        <v>0</v>
      </c>
      <c r="K2555">
        <v>0</v>
      </c>
      <c r="L2555" s="4" t="s">
        <v>3572</v>
      </c>
      <c r="M2555" s="4" t="str">
        <f t="shared" si="353"/>
        <v>12/31/2024</v>
      </c>
      <c r="N2555" s="1">
        <f t="shared" ca="1" si="354"/>
        <v>46064</v>
      </c>
      <c r="O2555" s="6" t="e">
        <f t="shared" ca="1" si="355"/>
        <v>#VALUE!</v>
      </c>
      <c r="P2555">
        <v>2</v>
      </c>
      <c r="Q2555">
        <f t="shared" si="356"/>
        <v>61826</v>
      </c>
      <c r="R2555" s="2">
        <f t="shared" si="357"/>
        <v>30913</v>
      </c>
      <c r="S2555" s="2" t="str">
        <f t="shared" si="358"/>
        <v xml:space="preserve"> Not Achieved</v>
      </c>
      <c r="T2555" s="2" t="str">
        <f t="shared" si="359"/>
        <v>Good</v>
      </c>
      <c r="U2555" s="2"/>
    </row>
    <row r="2556" spans="1:21" x14ac:dyDescent="0.3">
      <c r="A2556">
        <v>2555</v>
      </c>
      <c r="B2556" t="s">
        <v>3573</v>
      </c>
      <c r="C2556" t="str">
        <f t="shared" si="351"/>
        <v>EMP_2555</v>
      </c>
      <c r="D2556" t="s">
        <v>15</v>
      </c>
      <c r="E2556" t="str">
        <f t="shared" si="352"/>
        <v>EMP_2555Finance</v>
      </c>
      <c r="F2556" t="s">
        <v>18</v>
      </c>
      <c r="G2556" t="s">
        <v>13</v>
      </c>
      <c r="H2556">
        <v>31028</v>
      </c>
      <c r="I2556">
        <v>6531</v>
      </c>
      <c r="J2556">
        <v>0</v>
      </c>
      <c r="K2556">
        <v>0</v>
      </c>
      <c r="L2556" s="4" t="s">
        <v>1331</v>
      </c>
      <c r="M2556" s="4" t="str">
        <f t="shared" si="353"/>
        <v>4/21/2024</v>
      </c>
      <c r="N2556" s="1">
        <f t="shared" ca="1" si="354"/>
        <v>46064</v>
      </c>
      <c r="O2556" s="6" t="e">
        <f t="shared" ca="1" si="355"/>
        <v>#VALUE!</v>
      </c>
      <c r="P2556">
        <v>2</v>
      </c>
      <c r="Q2556">
        <f t="shared" si="356"/>
        <v>37559</v>
      </c>
      <c r="R2556" s="2">
        <f t="shared" si="357"/>
        <v>18779.5</v>
      </c>
      <c r="S2556" s="2" t="str">
        <f t="shared" si="358"/>
        <v xml:space="preserve"> Not Achieved</v>
      </c>
      <c r="T2556" s="2" t="str">
        <f t="shared" si="359"/>
        <v>Average</v>
      </c>
      <c r="U2556" s="2"/>
    </row>
    <row r="2557" spans="1:21" x14ac:dyDescent="0.3">
      <c r="A2557">
        <v>2556</v>
      </c>
      <c r="B2557" t="s">
        <v>3574</v>
      </c>
      <c r="C2557" t="str">
        <f t="shared" si="351"/>
        <v>EMP_2556</v>
      </c>
      <c r="D2557" t="s">
        <v>15</v>
      </c>
      <c r="E2557" t="str">
        <f t="shared" si="352"/>
        <v>EMP_2556Sales</v>
      </c>
      <c r="F2557" t="s">
        <v>7</v>
      </c>
      <c r="G2557" t="s">
        <v>19</v>
      </c>
      <c r="H2557">
        <v>58093</v>
      </c>
      <c r="I2557">
        <v>2444</v>
      </c>
      <c r="J2557">
        <v>248925</v>
      </c>
      <c r="K2557">
        <v>244725</v>
      </c>
      <c r="L2557" s="4" t="s">
        <v>3575</v>
      </c>
      <c r="M2557" s="4" t="str">
        <f t="shared" si="353"/>
        <v>7/30/2024</v>
      </c>
      <c r="N2557" s="1">
        <f t="shared" ca="1" si="354"/>
        <v>46064</v>
      </c>
      <c r="O2557" s="6" t="e">
        <f t="shared" ca="1" si="355"/>
        <v>#VALUE!</v>
      </c>
      <c r="P2557">
        <v>3</v>
      </c>
      <c r="Q2557">
        <f t="shared" si="356"/>
        <v>60537</v>
      </c>
      <c r="R2557" s="2">
        <f t="shared" si="357"/>
        <v>30268.5</v>
      </c>
      <c r="S2557" s="2" t="str">
        <f t="shared" si="358"/>
        <v>Achieved</v>
      </c>
      <c r="T2557" s="2" t="str">
        <f t="shared" si="359"/>
        <v xml:space="preserve"> Excellent</v>
      </c>
      <c r="U2557" s="2"/>
    </row>
    <row r="2558" spans="1:21" x14ac:dyDescent="0.3">
      <c r="A2558">
        <v>2557</v>
      </c>
      <c r="B2558" t="s">
        <v>3576</v>
      </c>
      <c r="C2558" t="str">
        <f t="shared" si="351"/>
        <v>EMP_2557</v>
      </c>
      <c r="D2558" t="s">
        <v>15</v>
      </c>
      <c r="E2558" t="str">
        <f t="shared" si="352"/>
        <v>EMP_2557Marketing</v>
      </c>
      <c r="F2558" t="s">
        <v>24</v>
      </c>
      <c r="G2558" t="s">
        <v>16</v>
      </c>
      <c r="H2558">
        <v>47794</v>
      </c>
      <c r="I2558">
        <v>11161</v>
      </c>
      <c r="J2558">
        <v>0</v>
      </c>
      <c r="K2558">
        <v>0</v>
      </c>
      <c r="L2558" s="4" t="s">
        <v>2997</v>
      </c>
      <c r="M2558" s="4" t="str">
        <f t="shared" si="353"/>
        <v>1/17/2018</v>
      </c>
      <c r="N2558" s="1">
        <f t="shared" ca="1" si="354"/>
        <v>46064</v>
      </c>
      <c r="O2558" s="6" t="e">
        <f t="shared" ca="1" si="355"/>
        <v>#VALUE!</v>
      </c>
      <c r="P2558">
        <v>1</v>
      </c>
      <c r="Q2558">
        <f t="shared" si="356"/>
        <v>58955</v>
      </c>
      <c r="R2558" s="2">
        <f t="shared" si="357"/>
        <v>29477.5</v>
      </c>
      <c r="S2558" s="2" t="str">
        <f t="shared" si="358"/>
        <v xml:space="preserve"> Not Achieved</v>
      </c>
      <c r="T2558" s="2" t="str">
        <f t="shared" si="359"/>
        <v>Good</v>
      </c>
      <c r="U2558" s="2"/>
    </row>
    <row r="2559" spans="1:21" x14ac:dyDescent="0.3">
      <c r="A2559">
        <v>2558</v>
      </c>
      <c r="B2559" t="s">
        <v>3577</v>
      </c>
      <c r="C2559" t="str">
        <f t="shared" si="351"/>
        <v>EMP_2558</v>
      </c>
      <c r="D2559" t="s">
        <v>15</v>
      </c>
      <c r="E2559" t="str">
        <f t="shared" si="352"/>
        <v>EMP_2558Sales</v>
      </c>
      <c r="F2559" t="s">
        <v>7</v>
      </c>
      <c r="G2559" t="s">
        <v>16</v>
      </c>
      <c r="H2559">
        <v>38155</v>
      </c>
      <c r="I2559">
        <v>7548</v>
      </c>
      <c r="J2559">
        <v>80414</v>
      </c>
      <c r="K2559">
        <v>221996</v>
      </c>
      <c r="L2559" s="4" t="s">
        <v>3578</v>
      </c>
      <c r="M2559" s="4" t="str">
        <f t="shared" si="353"/>
        <v>1/24/2022</v>
      </c>
      <c r="N2559" s="1">
        <f t="shared" ca="1" si="354"/>
        <v>46064</v>
      </c>
      <c r="O2559" s="6" t="e">
        <f t="shared" ca="1" si="355"/>
        <v>#VALUE!</v>
      </c>
      <c r="P2559">
        <v>2</v>
      </c>
      <c r="Q2559">
        <f t="shared" si="356"/>
        <v>45703</v>
      </c>
      <c r="R2559" s="2">
        <f t="shared" si="357"/>
        <v>22851.5</v>
      </c>
      <c r="S2559" s="2" t="str">
        <f t="shared" si="358"/>
        <v xml:space="preserve"> Not Achieved</v>
      </c>
      <c r="T2559" s="2" t="str">
        <f t="shared" si="359"/>
        <v>Average</v>
      </c>
      <c r="U2559" s="2"/>
    </row>
    <row r="2560" spans="1:21" x14ac:dyDescent="0.3">
      <c r="A2560">
        <v>2559</v>
      </c>
      <c r="B2560" t="s">
        <v>3579</v>
      </c>
      <c r="C2560" t="str">
        <f t="shared" si="351"/>
        <v>EMP_2559</v>
      </c>
      <c r="D2560" t="s">
        <v>15</v>
      </c>
      <c r="E2560" t="str">
        <f t="shared" si="352"/>
        <v>EMP_2559Marketing</v>
      </c>
      <c r="F2560" t="s">
        <v>24</v>
      </c>
      <c r="G2560" t="s">
        <v>16</v>
      </c>
      <c r="H2560">
        <v>23245</v>
      </c>
      <c r="I2560">
        <v>11737</v>
      </c>
      <c r="J2560">
        <v>0</v>
      </c>
      <c r="K2560">
        <v>0</v>
      </c>
      <c r="L2560" s="4">
        <v>45261</v>
      </c>
      <c r="M2560" s="4" t="str">
        <f t="shared" si="353"/>
        <v>2023</v>
      </c>
      <c r="N2560" s="1">
        <f t="shared" ca="1" si="354"/>
        <v>46064</v>
      </c>
      <c r="O2560" s="6">
        <f t="shared" ca="1" si="355"/>
        <v>2</v>
      </c>
      <c r="P2560">
        <v>4</v>
      </c>
      <c r="Q2560">
        <f t="shared" si="356"/>
        <v>34982</v>
      </c>
      <c r="R2560" s="2">
        <f t="shared" si="357"/>
        <v>17491</v>
      </c>
      <c r="S2560" s="2" t="str">
        <f t="shared" si="358"/>
        <v xml:space="preserve"> Not Achieved</v>
      </c>
      <c r="T2560" s="2" t="str">
        <f t="shared" si="359"/>
        <v>poor</v>
      </c>
      <c r="U2560" s="2"/>
    </row>
    <row r="2561" spans="1:21" x14ac:dyDescent="0.3">
      <c r="A2561">
        <v>2560</v>
      </c>
      <c r="B2561" t="s">
        <v>3580</v>
      </c>
      <c r="C2561" t="str">
        <f t="shared" si="351"/>
        <v>EMP_2560</v>
      </c>
      <c r="D2561" t="s">
        <v>15</v>
      </c>
      <c r="E2561" t="str">
        <f t="shared" si="352"/>
        <v>EMP_2560Sales</v>
      </c>
      <c r="F2561" t="s">
        <v>7</v>
      </c>
      <c r="G2561" t="s">
        <v>22</v>
      </c>
      <c r="H2561">
        <v>49170</v>
      </c>
      <c r="I2561">
        <v>4612</v>
      </c>
      <c r="J2561">
        <v>196211</v>
      </c>
      <c r="K2561">
        <v>136324</v>
      </c>
      <c r="L2561" s="4">
        <v>45171</v>
      </c>
      <c r="M2561" s="4" t="str">
        <f t="shared" si="353"/>
        <v>2023</v>
      </c>
      <c r="N2561" s="1">
        <f t="shared" ca="1" si="354"/>
        <v>46064</v>
      </c>
      <c r="O2561" s="6">
        <f t="shared" ca="1" si="355"/>
        <v>2</v>
      </c>
      <c r="P2561">
        <v>5</v>
      </c>
      <c r="Q2561">
        <f t="shared" si="356"/>
        <v>53782</v>
      </c>
      <c r="R2561" s="2">
        <f t="shared" si="357"/>
        <v>26891</v>
      </c>
      <c r="S2561" s="2" t="str">
        <f t="shared" si="358"/>
        <v>Achieved</v>
      </c>
      <c r="T2561" s="2" t="str">
        <f t="shared" si="359"/>
        <v>Good</v>
      </c>
      <c r="U2561" s="2"/>
    </row>
    <row r="2562" spans="1:21" x14ac:dyDescent="0.3">
      <c r="A2562">
        <v>2561</v>
      </c>
      <c r="B2562" t="s">
        <v>3581</v>
      </c>
      <c r="C2562" t="str">
        <f t="shared" si="351"/>
        <v>EMP_2561</v>
      </c>
      <c r="D2562" t="s">
        <v>11</v>
      </c>
      <c r="E2562" t="str">
        <f t="shared" si="352"/>
        <v>EMP_2561IT</v>
      </c>
      <c r="F2562" t="s">
        <v>21</v>
      </c>
      <c r="G2562" t="s">
        <v>16</v>
      </c>
      <c r="H2562">
        <v>50025</v>
      </c>
      <c r="I2562">
        <v>5936</v>
      </c>
      <c r="J2562">
        <v>0</v>
      </c>
      <c r="K2562">
        <v>0</v>
      </c>
      <c r="L2562" s="4" t="s">
        <v>1842</v>
      </c>
      <c r="M2562" s="4" t="str">
        <f t="shared" si="353"/>
        <v>6/24/2022</v>
      </c>
      <c r="N2562" s="1">
        <f t="shared" ca="1" si="354"/>
        <v>46064</v>
      </c>
      <c r="O2562" s="6" t="e">
        <f t="shared" ca="1" si="355"/>
        <v>#VALUE!</v>
      </c>
      <c r="P2562">
        <v>3</v>
      </c>
      <c r="Q2562">
        <f t="shared" si="356"/>
        <v>55961</v>
      </c>
      <c r="R2562" s="2">
        <f t="shared" si="357"/>
        <v>27980.5</v>
      </c>
      <c r="S2562" s="2" t="str">
        <f t="shared" si="358"/>
        <v xml:space="preserve"> Not Achieved</v>
      </c>
      <c r="T2562" s="2" t="str">
        <f t="shared" si="359"/>
        <v xml:space="preserve"> Excellent</v>
      </c>
      <c r="U2562" s="2"/>
    </row>
    <row r="2563" spans="1:21" x14ac:dyDescent="0.3">
      <c r="A2563">
        <v>2562</v>
      </c>
      <c r="B2563" t="s">
        <v>3582</v>
      </c>
      <c r="C2563" t="str">
        <f t="shared" ref="C2563:C2626" si="360">UPPER(B2563)</f>
        <v>EMP_2562</v>
      </c>
      <c r="D2563" t="s">
        <v>15</v>
      </c>
      <c r="E2563" t="str">
        <f t="shared" ref="E2563:E2626" si="361">_xlfn.CONCAT(C2563,F2563)</f>
        <v>EMP_2562HR</v>
      </c>
      <c r="F2563" t="s">
        <v>12</v>
      </c>
      <c r="G2563" t="s">
        <v>22</v>
      </c>
      <c r="H2563">
        <v>72898</v>
      </c>
      <c r="I2563">
        <v>13459</v>
      </c>
      <c r="J2563">
        <v>0</v>
      </c>
      <c r="K2563">
        <v>0</v>
      </c>
      <c r="L2563" s="4">
        <v>45056</v>
      </c>
      <c r="M2563" s="4" t="str">
        <f t="shared" ref="M2563:M2626" si="362">TEXT(L2563,"yyyy")</f>
        <v>2023</v>
      </c>
      <c r="N2563" s="1">
        <f t="shared" ref="N2563:N2626" ca="1" si="363">TODAY()</f>
        <v>46064</v>
      </c>
      <c r="O2563" s="6">
        <f t="shared" ref="O2563:O2626" ca="1" si="364">DATEDIF(L2563, TODAY(), "y")</f>
        <v>2</v>
      </c>
      <c r="P2563">
        <v>2</v>
      </c>
      <c r="Q2563">
        <f t="shared" ref="Q2563:Q2626" si="365">SUM(H2563,I2563)</f>
        <v>86357</v>
      </c>
      <c r="R2563" s="2">
        <f t="shared" ref="R2563:R2626" si="366">AVERAGE(H2563,I2563)</f>
        <v>43178.5</v>
      </c>
      <c r="S2563" s="2" t="str">
        <f t="shared" ref="S2563:S2626" si="367">IF(J2563&gt;K2563,"Achieved"," Not Achieved")</f>
        <v xml:space="preserve"> Not Achieved</v>
      </c>
      <c r="T2563" s="2" t="str">
        <f t="shared" ref="T2563:T2626" si="368">_xlfn.IFS(H2563&gt;=50000," Excellent",H2563&gt;=40000,"Good",H2563&gt;=30000,"Average",H2563&lt;30000,"poor")</f>
        <v xml:space="preserve"> Excellent</v>
      </c>
      <c r="U2563" s="2"/>
    </row>
    <row r="2564" spans="1:21" x14ac:dyDescent="0.3">
      <c r="A2564">
        <v>2563</v>
      </c>
      <c r="B2564" t="s">
        <v>3583</v>
      </c>
      <c r="C2564" t="str">
        <f t="shared" si="360"/>
        <v>EMP_2563</v>
      </c>
      <c r="D2564" t="s">
        <v>15</v>
      </c>
      <c r="E2564" t="str">
        <f t="shared" si="361"/>
        <v>EMP_2563IT</v>
      </c>
      <c r="F2564" t="s">
        <v>21</v>
      </c>
      <c r="G2564" t="s">
        <v>22</v>
      </c>
      <c r="H2564">
        <v>77311</v>
      </c>
      <c r="I2564">
        <v>4579</v>
      </c>
      <c r="J2564">
        <v>0</v>
      </c>
      <c r="K2564">
        <v>0</v>
      </c>
      <c r="L2564" s="4">
        <v>44317</v>
      </c>
      <c r="M2564" s="4" t="str">
        <f t="shared" si="362"/>
        <v>2021</v>
      </c>
      <c r="N2564" s="1">
        <f t="shared" ca="1" si="363"/>
        <v>46064</v>
      </c>
      <c r="O2564" s="6">
        <f t="shared" ca="1" si="364"/>
        <v>4</v>
      </c>
      <c r="P2564">
        <v>4</v>
      </c>
      <c r="Q2564">
        <f t="shared" si="365"/>
        <v>81890</v>
      </c>
      <c r="R2564" s="2">
        <f t="shared" si="366"/>
        <v>40945</v>
      </c>
      <c r="S2564" s="2" t="str">
        <f t="shared" si="367"/>
        <v xml:space="preserve"> Not Achieved</v>
      </c>
      <c r="T2564" s="2" t="str">
        <f t="shared" si="368"/>
        <v xml:space="preserve"> Excellent</v>
      </c>
      <c r="U2564" s="2"/>
    </row>
    <row r="2565" spans="1:21" x14ac:dyDescent="0.3">
      <c r="A2565">
        <v>2564</v>
      </c>
      <c r="B2565" t="s">
        <v>3584</v>
      </c>
      <c r="C2565" t="str">
        <f t="shared" si="360"/>
        <v>EMP_2564</v>
      </c>
      <c r="D2565" t="s">
        <v>15</v>
      </c>
      <c r="E2565" t="str">
        <f t="shared" si="361"/>
        <v>EMP_2564Sales</v>
      </c>
      <c r="F2565" t="s">
        <v>7</v>
      </c>
      <c r="G2565" t="s">
        <v>19</v>
      </c>
      <c r="H2565">
        <v>43812</v>
      </c>
      <c r="I2565">
        <v>2266</v>
      </c>
      <c r="J2565">
        <v>150091</v>
      </c>
      <c r="K2565">
        <v>111584</v>
      </c>
      <c r="L2565" s="4">
        <v>44418</v>
      </c>
      <c r="M2565" s="4" t="str">
        <f t="shared" si="362"/>
        <v>2021</v>
      </c>
      <c r="N2565" s="1">
        <f t="shared" ca="1" si="363"/>
        <v>46064</v>
      </c>
      <c r="O2565" s="6">
        <f t="shared" ca="1" si="364"/>
        <v>4</v>
      </c>
      <c r="P2565">
        <v>4</v>
      </c>
      <c r="Q2565">
        <f t="shared" si="365"/>
        <v>46078</v>
      </c>
      <c r="R2565" s="2">
        <f t="shared" si="366"/>
        <v>23039</v>
      </c>
      <c r="S2565" s="2" t="str">
        <f t="shared" si="367"/>
        <v>Achieved</v>
      </c>
      <c r="T2565" s="2" t="str">
        <f t="shared" si="368"/>
        <v>Good</v>
      </c>
      <c r="U2565" s="2"/>
    </row>
    <row r="2566" spans="1:21" x14ac:dyDescent="0.3">
      <c r="A2566">
        <v>2565</v>
      </c>
      <c r="B2566" t="s">
        <v>3585</v>
      </c>
      <c r="C2566" t="str">
        <f t="shared" si="360"/>
        <v>EMP_2565</v>
      </c>
      <c r="D2566" t="s">
        <v>11</v>
      </c>
      <c r="E2566" t="str">
        <f t="shared" si="361"/>
        <v>EMP_2565HR</v>
      </c>
      <c r="F2566" t="s">
        <v>12</v>
      </c>
      <c r="G2566" t="s">
        <v>25</v>
      </c>
      <c r="H2566">
        <v>29796</v>
      </c>
      <c r="I2566">
        <v>6120</v>
      </c>
      <c r="J2566">
        <v>0</v>
      </c>
      <c r="K2566">
        <v>0</v>
      </c>
      <c r="L2566" s="4" t="s">
        <v>3586</v>
      </c>
      <c r="M2566" s="4" t="str">
        <f t="shared" si="362"/>
        <v>10/22/2024</v>
      </c>
      <c r="N2566" s="1">
        <f t="shared" ca="1" si="363"/>
        <v>46064</v>
      </c>
      <c r="O2566" s="6" t="e">
        <f t="shared" ca="1" si="364"/>
        <v>#VALUE!</v>
      </c>
      <c r="P2566">
        <v>4</v>
      </c>
      <c r="Q2566">
        <f t="shared" si="365"/>
        <v>35916</v>
      </c>
      <c r="R2566" s="2">
        <f t="shared" si="366"/>
        <v>17958</v>
      </c>
      <c r="S2566" s="2" t="str">
        <f t="shared" si="367"/>
        <v xml:space="preserve"> Not Achieved</v>
      </c>
      <c r="T2566" s="2" t="str">
        <f t="shared" si="368"/>
        <v>poor</v>
      </c>
      <c r="U2566" s="2"/>
    </row>
    <row r="2567" spans="1:21" x14ac:dyDescent="0.3">
      <c r="A2567">
        <v>2566</v>
      </c>
      <c r="B2567" t="s">
        <v>3587</v>
      </c>
      <c r="C2567" t="str">
        <f t="shared" si="360"/>
        <v>EMP_2566</v>
      </c>
      <c r="D2567" t="s">
        <v>15</v>
      </c>
      <c r="E2567" t="str">
        <f t="shared" si="361"/>
        <v>EMP_2566Marketing</v>
      </c>
      <c r="F2567" t="s">
        <v>24</v>
      </c>
      <c r="G2567" t="s">
        <v>25</v>
      </c>
      <c r="H2567">
        <v>50948</v>
      </c>
      <c r="I2567">
        <v>8337</v>
      </c>
      <c r="J2567">
        <v>0</v>
      </c>
      <c r="K2567">
        <v>0</v>
      </c>
      <c r="L2567" s="4" t="s">
        <v>3135</v>
      </c>
      <c r="M2567" s="4" t="str">
        <f t="shared" si="362"/>
        <v>4/30/2019</v>
      </c>
      <c r="N2567" s="1">
        <f t="shared" ca="1" si="363"/>
        <v>46064</v>
      </c>
      <c r="O2567" s="6" t="e">
        <f t="shared" ca="1" si="364"/>
        <v>#VALUE!</v>
      </c>
      <c r="P2567">
        <v>3</v>
      </c>
      <c r="Q2567">
        <f t="shared" si="365"/>
        <v>59285</v>
      </c>
      <c r="R2567" s="2">
        <f t="shared" si="366"/>
        <v>29642.5</v>
      </c>
      <c r="S2567" s="2" t="str">
        <f t="shared" si="367"/>
        <v xml:space="preserve"> Not Achieved</v>
      </c>
      <c r="T2567" s="2" t="str">
        <f t="shared" si="368"/>
        <v xml:space="preserve"> Excellent</v>
      </c>
      <c r="U2567" s="2"/>
    </row>
    <row r="2568" spans="1:21" x14ac:dyDescent="0.3">
      <c r="A2568">
        <v>2567</v>
      </c>
      <c r="B2568" t="s">
        <v>3588</v>
      </c>
      <c r="C2568" t="str">
        <f t="shared" si="360"/>
        <v>EMP_2567</v>
      </c>
      <c r="D2568" t="s">
        <v>15</v>
      </c>
      <c r="E2568" t="str">
        <f t="shared" si="361"/>
        <v>EMP_2567IT</v>
      </c>
      <c r="F2568" t="s">
        <v>21</v>
      </c>
      <c r="G2568" t="s">
        <v>22</v>
      </c>
      <c r="H2568">
        <v>47617</v>
      </c>
      <c r="I2568">
        <v>13226</v>
      </c>
      <c r="J2568">
        <v>0</v>
      </c>
      <c r="K2568">
        <v>0</v>
      </c>
      <c r="L2568" s="4">
        <v>44838</v>
      </c>
      <c r="M2568" s="4" t="str">
        <f t="shared" si="362"/>
        <v>2022</v>
      </c>
      <c r="N2568" s="1">
        <f t="shared" ca="1" si="363"/>
        <v>46064</v>
      </c>
      <c r="O2568" s="6">
        <f t="shared" ca="1" si="364"/>
        <v>3</v>
      </c>
      <c r="P2568">
        <v>3</v>
      </c>
      <c r="Q2568">
        <f t="shared" si="365"/>
        <v>60843</v>
      </c>
      <c r="R2568" s="2">
        <f t="shared" si="366"/>
        <v>30421.5</v>
      </c>
      <c r="S2568" s="2" t="str">
        <f t="shared" si="367"/>
        <v xml:space="preserve"> Not Achieved</v>
      </c>
      <c r="T2568" s="2" t="str">
        <f t="shared" si="368"/>
        <v>Good</v>
      </c>
      <c r="U2568" s="2"/>
    </row>
    <row r="2569" spans="1:21" x14ac:dyDescent="0.3">
      <c r="A2569">
        <v>2568</v>
      </c>
      <c r="B2569" t="s">
        <v>3589</v>
      </c>
      <c r="C2569" t="str">
        <f t="shared" si="360"/>
        <v>EMP_2568</v>
      </c>
      <c r="D2569" t="s">
        <v>11</v>
      </c>
      <c r="E2569" t="str">
        <f t="shared" si="361"/>
        <v>EMP_2568Sales</v>
      </c>
      <c r="F2569" t="s">
        <v>7</v>
      </c>
      <c r="G2569" t="s">
        <v>19</v>
      </c>
      <c r="H2569">
        <v>78209</v>
      </c>
      <c r="I2569">
        <v>12824</v>
      </c>
      <c r="J2569">
        <v>201124</v>
      </c>
      <c r="K2569">
        <v>114616</v>
      </c>
      <c r="L2569" s="4" t="s">
        <v>3590</v>
      </c>
      <c r="M2569" s="4" t="str">
        <f t="shared" si="362"/>
        <v>7/15/2018</v>
      </c>
      <c r="N2569" s="1">
        <f t="shared" ca="1" si="363"/>
        <v>46064</v>
      </c>
      <c r="O2569" s="6" t="e">
        <f t="shared" ca="1" si="364"/>
        <v>#VALUE!</v>
      </c>
      <c r="P2569">
        <v>3</v>
      </c>
      <c r="Q2569">
        <f t="shared" si="365"/>
        <v>91033</v>
      </c>
      <c r="R2569" s="2">
        <f t="shared" si="366"/>
        <v>45516.5</v>
      </c>
      <c r="S2569" s="2" t="str">
        <f t="shared" si="367"/>
        <v>Achieved</v>
      </c>
      <c r="T2569" s="2" t="str">
        <f t="shared" si="368"/>
        <v xml:space="preserve"> Excellent</v>
      </c>
      <c r="U2569" s="2"/>
    </row>
    <row r="2570" spans="1:21" x14ac:dyDescent="0.3">
      <c r="A2570">
        <v>2569</v>
      </c>
      <c r="B2570" t="s">
        <v>3591</v>
      </c>
      <c r="C2570" t="str">
        <f t="shared" si="360"/>
        <v>EMP_2569</v>
      </c>
      <c r="D2570" t="s">
        <v>15</v>
      </c>
      <c r="E2570" t="str">
        <f t="shared" si="361"/>
        <v>EMP_2569IT</v>
      </c>
      <c r="F2570" t="s">
        <v>21</v>
      </c>
      <c r="G2570" t="s">
        <v>16</v>
      </c>
      <c r="H2570">
        <v>26244</v>
      </c>
      <c r="I2570">
        <v>13535</v>
      </c>
      <c r="J2570">
        <v>0</v>
      </c>
      <c r="K2570">
        <v>0</v>
      </c>
      <c r="L2570" s="4" t="s">
        <v>1105</v>
      </c>
      <c r="M2570" s="4" t="str">
        <f t="shared" si="362"/>
        <v>2/22/2021</v>
      </c>
      <c r="N2570" s="1">
        <f t="shared" ca="1" si="363"/>
        <v>46064</v>
      </c>
      <c r="O2570" s="6" t="e">
        <f t="shared" ca="1" si="364"/>
        <v>#VALUE!</v>
      </c>
      <c r="P2570">
        <v>5</v>
      </c>
      <c r="Q2570">
        <f t="shared" si="365"/>
        <v>39779</v>
      </c>
      <c r="R2570" s="2">
        <f t="shared" si="366"/>
        <v>19889.5</v>
      </c>
      <c r="S2570" s="2" t="str">
        <f t="shared" si="367"/>
        <v xml:space="preserve"> Not Achieved</v>
      </c>
      <c r="T2570" s="2" t="str">
        <f t="shared" si="368"/>
        <v>poor</v>
      </c>
      <c r="U2570" s="2"/>
    </row>
    <row r="2571" spans="1:21" x14ac:dyDescent="0.3">
      <c r="A2571">
        <v>2570</v>
      </c>
      <c r="B2571" t="s">
        <v>3592</v>
      </c>
      <c r="C2571" t="str">
        <f t="shared" si="360"/>
        <v>EMP_2570</v>
      </c>
      <c r="D2571" t="s">
        <v>15</v>
      </c>
      <c r="E2571" t="str">
        <f t="shared" si="361"/>
        <v>EMP_2570Finance</v>
      </c>
      <c r="F2571" t="s">
        <v>18</v>
      </c>
      <c r="G2571" t="s">
        <v>13</v>
      </c>
      <c r="H2571">
        <v>54101</v>
      </c>
      <c r="I2571">
        <v>5779</v>
      </c>
      <c r="J2571">
        <v>0</v>
      </c>
      <c r="K2571">
        <v>0</v>
      </c>
      <c r="L2571" s="4" t="s">
        <v>3593</v>
      </c>
      <c r="M2571" s="4" t="str">
        <f t="shared" si="362"/>
        <v>1/15/2024</v>
      </c>
      <c r="N2571" s="1">
        <f t="shared" ca="1" si="363"/>
        <v>46064</v>
      </c>
      <c r="O2571" s="6" t="e">
        <f t="shared" ca="1" si="364"/>
        <v>#VALUE!</v>
      </c>
      <c r="P2571">
        <v>3</v>
      </c>
      <c r="Q2571">
        <f t="shared" si="365"/>
        <v>59880</v>
      </c>
      <c r="R2571" s="2">
        <f t="shared" si="366"/>
        <v>29940</v>
      </c>
      <c r="S2571" s="2" t="str">
        <f t="shared" si="367"/>
        <v xml:space="preserve"> Not Achieved</v>
      </c>
      <c r="T2571" s="2" t="str">
        <f t="shared" si="368"/>
        <v xml:space="preserve"> Excellent</v>
      </c>
      <c r="U2571" s="2"/>
    </row>
    <row r="2572" spans="1:21" x14ac:dyDescent="0.3">
      <c r="A2572">
        <v>2571</v>
      </c>
      <c r="B2572" t="s">
        <v>3594</v>
      </c>
      <c r="C2572" t="str">
        <f t="shared" si="360"/>
        <v>EMP_2571</v>
      </c>
      <c r="D2572" t="s">
        <v>11</v>
      </c>
      <c r="E2572" t="str">
        <f t="shared" si="361"/>
        <v>EMP_2571IT</v>
      </c>
      <c r="F2572" t="s">
        <v>21</v>
      </c>
      <c r="G2572" t="s">
        <v>22</v>
      </c>
      <c r="H2572">
        <v>51858</v>
      </c>
      <c r="I2572">
        <v>13202</v>
      </c>
      <c r="J2572">
        <v>0</v>
      </c>
      <c r="K2572">
        <v>0</v>
      </c>
      <c r="L2572" s="4" t="s">
        <v>2464</v>
      </c>
      <c r="M2572" s="4" t="str">
        <f t="shared" si="362"/>
        <v>4/22/2021</v>
      </c>
      <c r="N2572" s="1">
        <f t="shared" ca="1" si="363"/>
        <v>46064</v>
      </c>
      <c r="O2572" s="6" t="e">
        <f t="shared" ca="1" si="364"/>
        <v>#VALUE!</v>
      </c>
      <c r="P2572">
        <v>2</v>
      </c>
      <c r="Q2572">
        <f t="shared" si="365"/>
        <v>65060</v>
      </c>
      <c r="R2572" s="2">
        <f t="shared" si="366"/>
        <v>32530</v>
      </c>
      <c r="S2572" s="2" t="str">
        <f t="shared" si="367"/>
        <v xml:space="preserve"> Not Achieved</v>
      </c>
      <c r="T2572" s="2" t="str">
        <f t="shared" si="368"/>
        <v xml:space="preserve"> Excellent</v>
      </c>
      <c r="U2572" s="2"/>
    </row>
    <row r="2573" spans="1:21" x14ac:dyDescent="0.3">
      <c r="A2573">
        <v>2572</v>
      </c>
      <c r="B2573" t="s">
        <v>3595</v>
      </c>
      <c r="C2573" t="str">
        <f t="shared" si="360"/>
        <v>EMP_2572</v>
      </c>
      <c r="D2573" t="s">
        <v>15</v>
      </c>
      <c r="E2573" t="str">
        <f t="shared" si="361"/>
        <v>EMP_2572HR</v>
      </c>
      <c r="F2573" t="s">
        <v>12</v>
      </c>
      <c r="G2573" t="s">
        <v>19</v>
      </c>
      <c r="H2573">
        <v>40931</v>
      </c>
      <c r="I2573">
        <v>2141</v>
      </c>
      <c r="J2573">
        <v>0</v>
      </c>
      <c r="K2573">
        <v>0</v>
      </c>
      <c r="L2573" s="4">
        <v>43898</v>
      </c>
      <c r="M2573" s="4" t="str">
        <f t="shared" si="362"/>
        <v>2020</v>
      </c>
      <c r="N2573" s="1">
        <f t="shared" ca="1" si="363"/>
        <v>46064</v>
      </c>
      <c r="O2573" s="6">
        <f t="shared" ca="1" si="364"/>
        <v>5</v>
      </c>
      <c r="P2573">
        <v>5</v>
      </c>
      <c r="Q2573">
        <f t="shared" si="365"/>
        <v>43072</v>
      </c>
      <c r="R2573" s="2">
        <f t="shared" si="366"/>
        <v>21536</v>
      </c>
      <c r="S2573" s="2" t="str">
        <f t="shared" si="367"/>
        <v xml:space="preserve"> Not Achieved</v>
      </c>
      <c r="T2573" s="2" t="str">
        <f t="shared" si="368"/>
        <v>Good</v>
      </c>
      <c r="U2573" s="2"/>
    </row>
    <row r="2574" spans="1:21" x14ac:dyDescent="0.3">
      <c r="A2574">
        <v>2573</v>
      </c>
      <c r="B2574" t="s">
        <v>3596</v>
      </c>
      <c r="C2574" t="str">
        <f t="shared" si="360"/>
        <v>EMP_2573</v>
      </c>
      <c r="D2574" t="s">
        <v>11</v>
      </c>
      <c r="E2574" t="str">
        <f t="shared" si="361"/>
        <v>EMP_2573IT</v>
      </c>
      <c r="F2574" t="s">
        <v>21</v>
      </c>
      <c r="G2574" t="s">
        <v>25</v>
      </c>
      <c r="H2574">
        <v>67004</v>
      </c>
      <c r="I2574">
        <v>11996</v>
      </c>
      <c r="J2574">
        <v>0</v>
      </c>
      <c r="K2574">
        <v>0</v>
      </c>
      <c r="L2574" s="4">
        <v>45206</v>
      </c>
      <c r="M2574" s="4" t="str">
        <f t="shared" si="362"/>
        <v>2023</v>
      </c>
      <c r="N2574" s="1">
        <f t="shared" ca="1" si="363"/>
        <v>46064</v>
      </c>
      <c r="O2574" s="6">
        <f t="shared" ca="1" si="364"/>
        <v>2</v>
      </c>
      <c r="P2574">
        <v>3</v>
      </c>
      <c r="Q2574">
        <f t="shared" si="365"/>
        <v>79000</v>
      </c>
      <c r="R2574" s="2">
        <f t="shared" si="366"/>
        <v>39500</v>
      </c>
      <c r="S2574" s="2" t="str">
        <f t="shared" si="367"/>
        <v xml:space="preserve"> Not Achieved</v>
      </c>
      <c r="T2574" s="2" t="str">
        <f t="shared" si="368"/>
        <v xml:space="preserve"> Excellent</v>
      </c>
      <c r="U2574" s="2"/>
    </row>
    <row r="2575" spans="1:21" x14ac:dyDescent="0.3">
      <c r="A2575">
        <v>2574</v>
      </c>
      <c r="B2575" t="s">
        <v>3597</v>
      </c>
      <c r="C2575" t="str">
        <f t="shared" si="360"/>
        <v>EMP_2574</v>
      </c>
      <c r="D2575" t="s">
        <v>15</v>
      </c>
      <c r="E2575" t="str">
        <f t="shared" si="361"/>
        <v>EMP_2574IT</v>
      </c>
      <c r="F2575" t="s">
        <v>21</v>
      </c>
      <c r="G2575" t="s">
        <v>25</v>
      </c>
      <c r="H2575">
        <v>27783</v>
      </c>
      <c r="I2575">
        <v>8291</v>
      </c>
      <c r="J2575">
        <v>0</v>
      </c>
      <c r="K2575">
        <v>0</v>
      </c>
      <c r="L2575" s="4" t="s">
        <v>421</v>
      </c>
      <c r="M2575" s="4" t="str">
        <f t="shared" si="362"/>
        <v>11/15/2019</v>
      </c>
      <c r="N2575" s="1">
        <f t="shared" ca="1" si="363"/>
        <v>46064</v>
      </c>
      <c r="O2575" s="6" t="e">
        <f t="shared" ca="1" si="364"/>
        <v>#VALUE!</v>
      </c>
      <c r="P2575">
        <v>1</v>
      </c>
      <c r="Q2575">
        <f t="shared" si="365"/>
        <v>36074</v>
      </c>
      <c r="R2575" s="2">
        <f t="shared" si="366"/>
        <v>18037</v>
      </c>
      <c r="S2575" s="2" t="str">
        <f t="shared" si="367"/>
        <v xml:space="preserve"> Not Achieved</v>
      </c>
      <c r="T2575" s="2" t="str">
        <f t="shared" si="368"/>
        <v>poor</v>
      </c>
      <c r="U2575" s="2"/>
    </row>
    <row r="2576" spans="1:21" x14ac:dyDescent="0.3">
      <c r="A2576">
        <v>2575</v>
      </c>
      <c r="B2576" t="s">
        <v>3598</v>
      </c>
      <c r="C2576" t="str">
        <f t="shared" si="360"/>
        <v>EMP_2575</v>
      </c>
      <c r="D2576" t="s">
        <v>15</v>
      </c>
      <c r="E2576" t="str">
        <f t="shared" si="361"/>
        <v>EMP_2575IT</v>
      </c>
      <c r="F2576" t="s">
        <v>21</v>
      </c>
      <c r="G2576" t="s">
        <v>22</v>
      </c>
      <c r="H2576">
        <v>65551</v>
      </c>
      <c r="I2576">
        <v>14958</v>
      </c>
      <c r="J2576">
        <v>0</v>
      </c>
      <c r="K2576">
        <v>0</v>
      </c>
      <c r="L2576" s="4" t="s">
        <v>1788</v>
      </c>
      <c r="M2576" s="4" t="str">
        <f t="shared" si="362"/>
        <v>5/14/2023</v>
      </c>
      <c r="N2576" s="1">
        <f t="shared" ca="1" si="363"/>
        <v>46064</v>
      </c>
      <c r="O2576" s="6" t="e">
        <f t="shared" ca="1" si="364"/>
        <v>#VALUE!</v>
      </c>
      <c r="P2576">
        <v>2</v>
      </c>
      <c r="Q2576">
        <f t="shared" si="365"/>
        <v>80509</v>
      </c>
      <c r="R2576" s="2">
        <f t="shared" si="366"/>
        <v>40254.5</v>
      </c>
      <c r="S2576" s="2" t="str">
        <f t="shared" si="367"/>
        <v xml:space="preserve"> Not Achieved</v>
      </c>
      <c r="T2576" s="2" t="str">
        <f t="shared" si="368"/>
        <v xml:space="preserve"> Excellent</v>
      </c>
      <c r="U2576" s="2"/>
    </row>
    <row r="2577" spans="1:21" x14ac:dyDescent="0.3">
      <c r="A2577">
        <v>2576</v>
      </c>
      <c r="B2577" t="s">
        <v>3599</v>
      </c>
      <c r="C2577" t="str">
        <f t="shared" si="360"/>
        <v>EMP_2576</v>
      </c>
      <c r="D2577" t="s">
        <v>11</v>
      </c>
      <c r="E2577" t="str">
        <f t="shared" si="361"/>
        <v>EMP_2576Sales</v>
      </c>
      <c r="F2577" t="s">
        <v>7</v>
      </c>
      <c r="G2577" t="s">
        <v>25</v>
      </c>
      <c r="H2577">
        <v>62171</v>
      </c>
      <c r="I2577">
        <v>12824</v>
      </c>
      <c r="J2577">
        <v>120396</v>
      </c>
      <c r="K2577">
        <v>82255</v>
      </c>
      <c r="L2577" s="4" t="s">
        <v>2932</v>
      </c>
      <c r="M2577" s="4" t="str">
        <f t="shared" si="362"/>
        <v>11/16/2019</v>
      </c>
      <c r="N2577" s="1">
        <f t="shared" ca="1" si="363"/>
        <v>46064</v>
      </c>
      <c r="O2577" s="6" t="e">
        <f t="shared" ca="1" si="364"/>
        <v>#VALUE!</v>
      </c>
      <c r="P2577">
        <v>1</v>
      </c>
      <c r="Q2577">
        <f t="shared" si="365"/>
        <v>74995</v>
      </c>
      <c r="R2577" s="2">
        <f t="shared" si="366"/>
        <v>37497.5</v>
      </c>
      <c r="S2577" s="2" t="str">
        <f t="shared" si="367"/>
        <v>Achieved</v>
      </c>
      <c r="T2577" s="2" t="str">
        <f t="shared" si="368"/>
        <v xml:space="preserve"> Excellent</v>
      </c>
      <c r="U2577" s="2"/>
    </row>
    <row r="2578" spans="1:21" x14ac:dyDescent="0.3">
      <c r="A2578">
        <v>2577</v>
      </c>
      <c r="B2578" t="s">
        <v>3600</v>
      </c>
      <c r="C2578" t="str">
        <f t="shared" si="360"/>
        <v>EMP_2577</v>
      </c>
      <c r="D2578" t="s">
        <v>15</v>
      </c>
      <c r="E2578" t="str">
        <f t="shared" si="361"/>
        <v>EMP_2577Sales</v>
      </c>
      <c r="F2578" t="s">
        <v>7</v>
      </c>
      <c r="G2578" t="s">
        <v>13</v>
      </c>
      <c r="H2578">
        <v>40093</v>
      </c>
      <c r="I2578">
        <v>8818</v>
      </c>
      <c r="J2578">
        <v>134923</v>
      </c>
      <c r="K2578">
        <v>228261</v>
      </c>
      <c r="L2578" s="4">
        <v>43594</v>
      </c>
      <c r="M2578" s="4" t="str">
        <f t="shared" si="362"/>
        <v>2019</v>
      </c>
      <c r="N2578" s="1">
        <f t="shared" ca="1" si="363"/>
        <v>46064</v>
      </c>
      <c r="O2578" s="6">
        <f t="shared" ca="1" si="364"/>
        <v>6</v>
      </c>
      <c r="P2578">
        <v>3</v>
      </c>
      <c r="Q2578">
        <f t="shared" si="365"/>
        <v>48911</v>
      </c>
      <c r="R2578" s="2">
        <f t="shared" si="366"/>
        <v>24455.5</v>
      </c>
      <c r="S2578" s="2" t="str">
        <f t="shared" si="367"/>
        <v xml:space="preserve"> Not Achieved</v>
      </c>
      <c r="T2578" s="2" t="str">
        <f t="shared" si="368"/>
        <v>Good</v>
      </c>
      <c r="U2578" s="2"/>
    </row>
    <row r="2579" spans="1:21" x14ac:dyDescent="0.3">
      <c r="A2579">
        <v>2578</v>
      </c>
      <c r="B2579" t="s">
        <v>3601</v>
      </c>
      <c r="C2579" t="str">
        <f t="shared" si="360"/>
        <v>EMP_2578</v>
      </c>
      <c r="D2579" t="s">
        <v>15</v>
      </c>
      <c r="E2579" t="str">
        <f t="shared" si="361"/>
        <v>EMP_2578IT</v>
      </c>
      <c r="F2579" t="s">
        <v>21</v>
      </c>
      <c r="G2579" t="s">
        <v>25</v>
      </c>
      <c r="H2579">
        <v>59205</v>
      </c>
      <c r="I2579">
        <v>10541</v>
      </c>
      <c r="J2579">
        <v>0</v>
      </c>
      <c r="K2579">
        <v>0</v>
      </c>
      <c r="L2579" s="4" t="s">
        <v>3602</v>
      </c>
      <c r="M2579" s="4" t="str">
        <f t="shared" si="362"/>
        <v>11/19/2019</v>
      </c>
      <c r="N2579" s="1">
        <f t="shared" ca="1" si="363"/>
        <v>46064</v>
      </c>
      <c r="O2579" s="6" t="e">
        <f t="shared" ca="1" si="364"/>
        <v>#VALUE!</v>
      </c>
      <c r="P2579">
        <v>3</v>
      </c>
      <c r="Q2579">
        <f t="shared" si="365"/>
        <v>69746</v>
      </c>
      <c r="R2579" s="2">
        <f t="shared" si="366"/>
        <v>34873</v>
      </c>
      <c r="S2579" s="2" t="str">
        <f t="shared" si="367"/>
        <v xml:space="preserve"> Not Achieved</v>
      </c>
      <c r="T2579" s="2" t="str">
        <f t="shared" si="368"/>
        <v xml:space="preserve"> Excellent</v>
      </c>
      <c r="U2579" s="2"/>
    </row>
    <row r="2580" spans="1:21" x14ac:dyDescent="0.3">
      <c r="A2580">
        <v>2579</v>
      </c>
      <c r="B2580" t="s">
        <v>3603</v>
      </c>
      <c r="C2580" t="str">
        <f t="shared" si="360"/>
        <v>EMP_2579</v>
      </c>
      <c r="D2580" t="s">
        <v>11</v>
      </c>
      <c r="E2580" t="str">
        <f t="shared" si="361"/>
        <v>EMP_2579HR</v>
      </c>
      <c r="F2580" t="s">
        <v>12</v>
      </c>
      <c r="G2580" t="s">
        <v>25</v>
      </c>
      <c r="H2580">
        <v>48495</v>
      </c>
      <c r="I2580">
        <v>3349</v>
      </c>
      <c r="J2580">
        <v>0</v>
      </c>
      <c r="K2580">
        <v>0</v>
      </c>
      <c r="L2580" s="4">
        <v>43899</v>
      </c>
      <c r="M2580" s="4" t="str">
        <f t="shared" si="362"/>
        <v>2020</v>
      </c>
      <c r="N2580" s="1">
        <f t="shared" ca="1" si="363"/>
        <v>46064</v>
      </c>
      <c r="O2580" s="6">
        <f t="shared" ca="1" si="364"/>
        <v>5</v>
      </c>
      <c r="P2580">
        <v>5</v>
      </c>
      <c r="Q2580">
        <f t="shared" si="365"/>
        <v>51844</v>
      </c>
      <c r="R2580" s="2">
        <f t="shared" si="366"/>
        <v>25922</v>
      </c>
      <c r="S2580" s="2" t="str">
        <f t="shared" si="367"/>
        <v xml:space="preserve"> Not Achieved</v>
      </c>
      <c r="T2580" s="2" t="str">
        <f t="shared" si="368"/>
        <v>Good</v>
      </c>
      <c r="U2580" s="2"/>
    </row>
    <row r="2581" spans="1:21" x14ac:dyDescent="0.3">
      <c r="A2581">
        <v>2580</v>
      </c>
      <c r="B2581" t="s">
        <v>3604</v>
      </c>
      <c r="C2581" t="str">
        <f t="shared" si="360"/>
        <v>EMP_2580</v>
      </c>
      <c r="D2581" t="s">
        <v>15</v>
      </c>
      <c r="E2581" t="str">
        <f t="shared" si="361"/>
        <v>EMP_2580Marketing</v>
      </c>
      <c r="F2581" t="s">
        <v>24</v>
      </c>
      <c r="G2581" t="s">
        <v>13</v>
      </c>
      <c r="H2581">
        <v>56444</v>
      </c>
      <c r="I2581">
        <v>11027</v>
      </c>
      <c r="J2581">
        <v>0</v>
      </c>
      <c r="K2581">
        <v>0</v>
      </c>
      <c r="L2581" s="4" t="s">
        <v>3605</v>
      </c>
      <c r="M2581" s="4" t="str">
        <f t="shared" si="362"/>
        <v>7/14/2018</v>
      </c>
      <c r="N2581" s="1">
        <f t="shared" ca="1" si="363"/>
        <v>46064</v>
      </c>
      <c r="O2581" s="6" t="e">
        <f t="shared" ca="1" si="364"/>
        <v>#VALUE!</v>
      </c>
      <c r="P2581">
        <v>2</v>
      </c>
      <c r="Q2581">
        <f t="shared" si="365"/>
        <v>67471</v>
      </c>
      <c r="R2581" s="2">
        <f t="shared" si="366"/>
        <v>33735.5</v>
      </c>
      <c r="S2581" s="2" t="str">
        <f t="shared" si="367"/>
        <v xml:space="preserve"> Not Achieved</v>
      </c>
      <c r="T2581" s="2" t="str">
        <f t="shared" si="368"/>
        <v xml:space="preserve"> Excellent</v>
      </c>
      <c r="U2581" s="2"/>
    </row>
    <row r="2582" spans="1:21" x14ac:dyDescent="0.3">
      <c r="A2582">
        <v>2581</v>
      </c>
      <c r="B2582" t="s">
        <v>3606</v>
      </c>
      <c r="C2582" t="str">
        <f t="shared" si="360"/>
        <v>EMP_2581</v>
      </c>
      <c r="D2582" t="s">
        <v>11</v>
      </c>
      <c r="E2582" t="str">
        <f t="shared" si="361"/>
        <v>EMP_2581Marketing</v>
      </c>
      <c r="F2582" t="s">
        <v>24</v>
      </c>
      <c r="G2582" t="s">
        <v>16</v>
      </c>
      <c r="H2582">
        <v>38135</v>
      </c>
      <c r="I2582">
        <v>2473</v>
      </c>
      <c r="J2582">
        <v>0</v>
      </c>
      <c r="K2582">
        <v>0</v>
      </c>
      <c r="L2582" s="4" t="s">
        <v>1379</v>
      </c>
      <c r="M2582" s="4" t="str">
        <f t="shared" si="362"/>
        <v>2/19/2019</v>
      </c>
      <c r="N2582" s="1">
        <f t="shared" ca="1" si="363"/>
        <v>46064</v>
      </c>
      <c r="O2582" s="6" t="e">
        <f t="shared" ca="1" si="364"/>
        <v>#VALUE!</v>
      </c>
      <c r="P2582">
        <v>5</v>
      </c>
      <c r="Q2582">
        <f t="shared" si="365"/>
        <v>40608</v>
      </c>
      <c r="R2582" s="2">
        <f t="shared" si="366"/>
        <v>20304</v>
      </c>
      <c r="S2582" s="2" t="str">
        <f t="shared" si="367"/>
        <v xml:space="preserve"> Not Achieved</v>
      </c>
      <c r="T2582" s="2" t="str">
        <f t="shared" si="368"/>
        <v>Average</v>
      </c>
      <c r="U2582" s="2"/>
    </row>
    <row r="2583" spans="1:21" x14ac:dyDescent="0.3">
      <c r="A2583">
        <v>2582</v>
      </c>
      <c r="B2583" t="s">
        <v>3607</v>
      </c>
      <c r="C2583" t="str">
        <f t="shared" si="360"/>
        <v>EMP_2582</v>
      </c>
      <c r="D2583" t="s">
        <v>11</v>
      </c>
      <c r="E2583" t="str">
        <f t="shared" si="361"/>
        <v>EMP_2582HR</v>
      </c>
      <c r="F2583" t="s">
        <v>12</v>
      </c>
      <c r="G2583" t="s">
        <v>22</v>
      </c>
      <c r="H2583">
        <v>57443</v>
      </c>
      <c r="I2583">
        <v>7241</v>
      </c>
      <c r="J2583">
        <v>0</v>
      </c>
      <c r="K2583">
        <v>0</v>
      </c>
      <c r="L2583" s="4">
        <v>45201</v>
      </c>
      <c r="M2583" s="4" t="str">
        <f t="shared" si="362"/>
        <v>2023</v>
      </c>
      <c r="N2583" s="1">
        <f t="shared" ca="1" si="363"/>
        <v>46064</v>
      </c>
      <c r="O2583" s="6">
        <f t="shared" ca="1" si="364"/>
        <v>2</v>
      </c>
      <c r="P2583">
        <v>4</v>
      </c>
      <c r="Q2583">
        <f t="shared" si="365"/>
        <v>64684</v>
      </c>
      <c r="R2583" s="2">
        <f t="shared" si="366"/>
        <v>32342</v>
      </c>
      <c r="S2583" s="2" t="str">
        <f t="shared" si="367"/>
        <v xml:space="preserve"> Not Achieved</v>
      </c>
      <c r="T2583" s="2" t="str">
        <f t="shared" si="368"/>
        <v xml:space="preserve"> Excellent</v>
      </c>
      <c r="U2583" s="2"/>
    </row>
    <row r="2584" spans="1:21" x14ac:dyDescent="0.3">
      <c r="A2584">
        <v>2583</v>
      </c>
      <c r="B2584" t="s">
        <v>3608</v>
      </c>
      <c r="C2584" t="str">
        <f t="shared" si="360"/>
        <v>EMP_2583</v>
      </c>
      <c r="D2584" t="s">
        <v>11</v>
      </c>
      <c r="E2584" t="str">
        <f t="shared" si="361"/>
        <v>EMP_2583HR</v>
      </c>
      <c r="F2584" t="s">
        <v>12</v>
      </c>
      <c r="G2584" t="s">
        <v>25</v>
      </c>
      <c r="H2584">
        <v>58327</v>
      </c>
      <c r="I2584">
        <v>2319</v>
      </c>
      <c r="J2584">
        <v>0</v>
      </c>
      <c r="K2584">
        <v>0</v>
      </c>
      <c r="L2584" s="4">
        <v>44078</v>
      </c>
      <c r="M2584" s="4" t="str">
        <f t="shared" si="362"/>
        <v>2020</v>
      </c>
      <c r="N2584" s="1">
        <f t="shared" ca="1" si="363"/>
        <v>46064</v>
      </c>
      <c r="O2584" s="6">
        <f t="shared" ca="1" si="364"/>
        <v>5</v>
      </c>
      <c r="P2584">
        <v>4</v>
      </c>
      <c r="Q2584">
        <f t="shared" si="365"/>
        <v>60646</v>
      </c>
      <c r="R2584" s="2">
        <f t="shared" si="366"/>
        <v>30323</v>
      </c>
      <c r="S2584" s="2" t="str">
        <f t="shared" si="367"/>
        <v xml:space="preserve"> Not Achieved</v>
      </c>
      <c r="T2584" s="2" t="str">
        <f t="shared" si="368"/>
        <v xml:space="preserve"> Excellent</v>
      </c>
      <c r="U2584" s="2"/>
    </row>
    <row r="2585" spans="1:21" x14ac:dyDescent="0.3">
      <c r="A2585">
        <v>2584</v>
      </c>
      <c r="B2585" t="s">
        <v>3609</v>
      </c>
      <c r="C2585" t="str">
        <f t="shared" si="360"/>
        <v>EMP_2584</v>
      </c>
      <c r="D2585" t="s">
        <v>11</v>
      </c>
      <c r="E2585" t="str">
        <f t="shared" si="361"/>
        <v>EMP_2584Marketing</v>
      </c>
      <c r="F2585" t="s">
        <v>24</v>
      </c>
      <c r="G2585" t="s">
        <v>19</v>
      </c>
      <c r="H2585">
        <v>29645</v>
      </c>
      <c r="I2585">
        <v>13802</v>
      </c>
      <c r="J2585">
        <v>0</v>
      </c>
      <c r="K2585">
        <v>0</v>
      </c>
      <c r="L2585" s="4" t="s">
        <v>874</v>
      </c>
      <c r="M2585" s="4" t="str">
        <f t="shared" si="362"/>
        <v>8/21/2020</v>
      </c>
      <c r="N2585" s="1">
        <f t="shared" ca="1" si="363"/>
        <v>46064</v>
      </c>
      <c r="O2585" s="6" t="e">
        <f t="shared" ca="1" si="364"/>
        <v>#VALUE!</v>
      </c>
      <c r="P2585">
        <v>2</v>
      </c>
      <c r="Q2585">
        <f t="shared" si="365"/>
        <v>43447</v>
      </c>
      <c r="R2585" s="2">
        <f t="shared" si="366"/>
        <v>21723.5</v>
      </c>
      <c r="S2585" s="2" t="str">
        <f t="shared" si="367"/>
        <v xml:space="preserve"> Not Achieved</v>
      </c>
      <c r="T2585" s="2" t="str">
        <f t="shared" si="368"/>
        <v>poor</v>
      </c>
      <c r="U2585" s="2"/>
    </row>
    <row r="2586" spans="1:21" x14ac:dyDescent="0.3">
      <c r="A2586">
        <v>2585</v>
      </c>
      <c r="B2586" t="s">
        <v>3610</v>
      </c>
      <c r="C2586" t="str">
        <f t="shared" si="360"/>
        <v>EMP_2585</v>
      </c>
      <c r="D2586" t="s">
        <v>11</v>
      </c>
      <c r="E2586" t="str">
        <f t="shared" si="361"/>
        <v>EMP_2585Marketing</v>
      </c>
      <c r="F2586" t="s">
        <v>24</v>
      </c>
      <c r="G2586" t="s">
        <v>13</v>
      </c>
      <c r="H2586">
        <v>71727</v>
      </c>
      <c r="I2586">
        <v>3580</v>
      </c>
      <c r="J2586">
        <v>0</v>
      </c>
      <c r="K2586">
        <v>0</v>
      </c>
      <c r="L2586" s="4" t="s">
        <v>3611</v>
      </c>
      <c r="M2586" s="4" t="str">
        <f t="shared" si="362"/>
        <v>8/18/2022</v>
      </c>
      <c r="N2586" s="1">
        <f t="shared" ca="1" si="363"/>
        <v>46064</v>
      </c>
      <c r="O2586" s="6" t="e">
        <f t="shared" ca="1" si="364"/>
        <v>#VALUE!</v>
      </c>
      <c r="P2586">
        <v>5</v>
      </c>
      <c r="Q2586">
        <f t="shared" si="365"/>
        <v>75307</v>
      </c>
      <c r="R2586" s="2">
        <f t="shared" si="366"/>
        <v>37653.5</v>
      </c>
      <c r="S2586" s="2" t="str">
        <f t="shared" si="367"/>
        <v xml:space="preserve"> Not Achieved</v>
      </c>
      <c r="T2586" s="2" t="str">
        <f t="shared" si="368"/>
        <v xml:space="preserve"> Excellent</v>
      </c>
      <c r="U2586" s="2"/>
    </row>
    <row r="2587" spans="1:21" x14ac:dyDescent="0.3">
      <c r="A2587">
        <v>2586</v>
      </c>
      <c r="B2587" t="s">
        <v>3612</v>
      </c>
      <c r="C2587" t="str">
        <f t="shared" si="360"/>
        <v>EMP_2586</v>
      </c>
      <c r="D2587" t="s">
        <v>11</v>
      </c>
      <c r="E2587" t="str">
        <f t="shared" si="361"/>
        <v>EMP_2586HR</v>
      </c>
      <c r="F2587" t="s">
        <v>12</v>
      </c>
      <c r="G2587" t="s">
        <v>16</v>
      </c>
      <c r="H2587">
        <v>70476</v>
      </c>
      <c r="I2587">
        <v>13551</v>
      </c>
      <c r="J2587">
        <v>0</v>
      </c>
      <c r="K2587">
        <v>0</v>
      </c>
      <c r="L2587" s="4" t="s">
        <v>3400</v>
      </c>
      <c r="M2587" s="4" t="str">
        <f t="shared" si="362"/>
        <v>11/27/2024</v>
      </c>
      <c r="N2587" s="1">
        <f t="shared" ca="1" si="363"/>
        <v>46064</v>
      </c>
      <c r="O2587" s="6" t="e">
        <f t="shared" ca="1" si="364"/>
        <v>#VALUE!</v>
      </c>
      <c r="P2587">
        <v>5</v>
      </c>
      <c r="Q2587">
        <f t="shared" si="365"/>
        <v>84027</v>
      </c>
      <c r="R2587" s="2">
        <f t="shared" si="366"/>
        <v>42013.5</v>
      </c>
      <c r="S2587" s="2" t="str">
        <f t="shared" si="367"/>
        <v xml:space="preserve"> Not Achieved</v>
      </c>
      <c r="T2587" s="2" t="str">
        <f t="shared" si="368"/>
        <v xml:space="preserve"> Excellent</v>
      </c>
      <c r="U2587" s="2"/>
    </row>
    <row r="2588" spans="1:21" x14ac:dyDescent="0.3">
      <c r="A2588">
        <v>2587</v>
      </c>
      <c r="B2588" t="s">
        <v>3613</v>
      </c>
      <c r="C2588" t="str">
        <f t="shared" si="360"/>
        <v>EMP_2587</v>
      </c>
      <c r="D2588" t="s">
        <v>11</v>
      </c>
      <c r="E2588" t="str">
        <f t="shared" si="361"/>
        <v>EMP_2587IT</v>
      </c>
      <c r="F2588" t="s">
        <v>21</v>
      </c>
      <c r="G2588" t="s">
        <v>25</v>
      </c>
      <c r="H2588">
        <v>58433</v>
      </c>
      <c r="I2588">
        <v>11143</v>
      </c>
      <c r="J2588">
        <v>0</v>
      </c>
      <c r="K2588">
        <v>0</v>
      </c>
      <c r="L2588" s="4">
        <v>45569</v>
      </c>
      <c r="M2588" s="4" t="str">
        <f t="shared" si="362"/>
        <v>2024</v>
      </c>
      <c r="N2588" s="1">
        <f t="shared" ca="1" si="363"/>
        <v>46064</v>
      </c>
      <c r="O2588" s="6">
        <f t="shared" ca="1" si="364"/>
        <v>1</v>
      </c>
      <c r="P2588">
        <v>5</v>
      </c>
      <c r="Q2588">
        <f t="shared" si="365"/>
        <v>69576</v>
      </c>
      <c r="R2588" s="2">
        <f t="shared" si="366"/>
        <v>34788</v>
      </c>
      <c r="S2588" s="2" t="str">
        <f t="shared" si="367"/>
        <v xml:space="preserve"> Not Achieved</v>
      </c>
      <c r="T2588" s="2" t="str">
        <f t="shared" si="368"/>
        <v xml:space="preserve"> Excellent</v>
      </c>
      <c r="U2588" s="2"/>
    </row>
    <row r="2589" spans="1:21" x14ac:dyDescent="0.3">
      <c r="A2589">
        <v>2588</v>
      </c>
      <c r="B2589" t="s">
        <v>3614</v>
      </c>
      <c r="C2589" t="str">
        <f t="shared" si="360"/>
        <v>EMP_2588</v>
      </c>
      <c r="D2589" t="s">
        <v>11</v>
      </c>
      <c r="E2589" t="str">
        <f t="shared" si="361"/>
        <v>EMP_2588Marketing</v>
      </c>
      <c r="F2589" t="s">
        <v>24</v>
      </c>
      <c r="G2589" t="s">
        <v>13</v>
      </c>
      <c r="H2589">
        <v>73440</v>
      </c>
      <c r="I2589">
        <v>10310</v>
      </c>
      <c r="J2589">
        <v>0</v>
      </c>
      <c r="K2589">
        <v>0</v>
      </c>
      <c r="L2589" s="4" t="s">
        <v>3615</v>
      </c>
      <c r="M2589" s="4" t="str">
        <f t="shared" si="362"/>
        <v>4/24/2021</v>
      </c>
      <c r="N2589" s="1">
        <f t="shared" ca="1" si="363"/>
        <v>46064</v>
      </c>
      <c r="O2589" s="6" t="e">
        <f t="shared" ca="1" si="364"/>
        <v>#VALUE!</v>
      </c>
      <c r="P2589">
        <v>1</v>
      </c>
      <c r="Q2589">
        <f t="shared" si="365"/>
        <v>83750</v>
      </c>
      <c r="R2589" s="2">
        <f t="shared" si="366"/>
        <v>41875</v>
      </c>
      <c r="S2589" s="2" t="str">
        <f t="shared" si="367"/>
        <v xml:space="preserve"> Not Achieved</v>
      </c>
      <c r="T2589" s="2" t="str">
        <f t="shared" si="368"/>
        <v xml:space="preserve"> Excellent</v>
      </c>
      <c r="U2589" s="2"/>
    </row>
    <row r="2590" spans="1:21" x14ac:dyDescent="0.3">
      <c r="A2590">
        <v>2589</v>
      </c>
      <c r="B2590" t="s">
        <v>3616</v>
      </c>
      <c r="C2590" t="str">
        <f t="shared" si="360"/>
        <v>EMP_2589</v>
      </c>
      <c r="D2590" t="s">
        <v>15</v>
      </c>
      <c r="E2590" t="str">
        <f t="shared" si="361"/>
        <v>EMP_2589Sales</v>
      </c>
      <c r="F2590" t="s">
        <v>7</v>
      </c>
      <c r="G2590" t="s">
        <v>13</v>
      </c>
      <c r="H2590">
        <v>73185</v>
      </c>
      <c r="I2590">
        <v>11886</v>
      </c>
      <c r="J2590">
        <v>267904</v>
      </c>
      <c r="K2590">
        <v>141839</v>
      </c>
      <c r="L2590" s="4">
        <v>43962</v>
      </c>
      <c r="M2590" s="4" t="str">
        <f t="shared" si="362"/>
        <v>2020</v>
      </c>
      <c r="N2590" s="1">
        <f t="shared" ca="1" si="363"/>
        <v>46064</v>
      </c>
      <c r="O2590" s="6">
        <f t="shared" ca="1" si="364"/>
        <v>5</v>
      </c>
      <c r="P2590">
        <v>3</v>
      </c>
      <c r="Q2590">
        <f t="shared" si="365"/>
        <v>85071</v>
      </c>
      <c r="R2590" s="2">
        <f t="shared" si="366"/>
        <v>42535.5</v>
      </c>
      <c r="S2590" s="2" t="str">
        <f t="shared" si="367"/>
        <v>Achieved</v>
      </c>
      <c r="T2590" s="2" t="str">
        <f t="shared" si="368"/>
        <v xml:space="preserve"> Excellent</v>
      </c>
      <c r="U2590" s="2"/>
    </row>
    <row r="2591" spans="1:21" x14ac:dyDescent="0.3">
      <c r="A2591">
        <v>2590</v>
      </c>
      <c r="B2591" t="s">
        <v>3617</v>
      </c>
      <c r="C2591" t="str">
        <f t="shared" si="360"/>
        <v>EMP_2590</v>
      </c>
      <c r="D2591" t="s">
        <v>11</v>
      </c>
      <c r="E2591" t="str">
        <f t="shared" si="361"/>
        <v>EMP_2590Finance</v>
      </c>
      <c r="F2591" t="s">
        <v>18</v>
      </c>
      <c r="G2591" t="s">
        <v>16</v>
      </c>
      <c r="H2591">
        <v>41466</v>
      </c>
      <c r="I2591">
        <v>6119</v>
      </c>
      <c r="J2591">
        <v>0</v>
      </c>
      <c r="K2591">
        <v>0</v>
      </c>
      <c r="L2591" s="4">
        <v>44082</v>
      </c>
      <c r="M2591" s="4" t="str">
        <f t="shared" si="362"/>
        <v>2020</v>
      </c>
      <c r="N2591" s="1">
        <f t="shared" ca="1" si="363"/>
        <v>46064</v>
      </c>
      <c r="O2591" s="6">
        <f t="shared" ca="1" si="364"/>
        <v>5</v>
      </c>
      <c r="P2591">
        <v>1</v>
      </c>
      <c r="Q2591">
        <f t="shared" si="365"/>
        <v>47585</v>
      </c>
      <c r="R2591" s="2">
        <f t="shared" si="366"/>
        <v>23792.5</v>
      </c>
      <c r="S2591" s="2" t="str">
        <f t="shared" si="367"/>
        <v xml:space="preserve"> Not Achieved</v>
      </c>
      <c r="T2591" s="2" t="str">
        <f t="shared" si="368"/>
        <v>Good</v>
      </c>
      <c r="U2591" s="2"/>
    </row>
    <row r="2592" spans="1:21" x14ac:dyDescent="0.3">
      <c r="A2592">
        <v>2591</v>
      </c>
      <c r="B2592" t="s">
        <v>3618</v>
      </c>
      <c r="C2592" t="str">
        <f t="shared" si="360"/>
        <v>EMP_2591</v>
      </c>
      <c r="D2592" t="s">
        <v>11</v>
      </c>
      <c r="E2592" t="str">
        <f t="shared" si="361"/>
        <v>EMP_2591Marketing</v>
      </c>
      <c r="F2592" t="s">
        <v>24</v>
      </c>
      <c r="G2592" t="s">
        <v>19</v>
      </c>
      <c r="H2592">
        <v>28280</v>
      </c>
      <c r="I2592">
        <v>6653</v>
      </c>
      <c r="J2592">
        <v>0</v>
      </c>
      <c r="K2592">
        <v>0</v>
      </c>
      <c r="L2592" s="4" t="s">
        <v>691</v>
      </c>
      <c r="M2592" s="4" t="str">
        <f t="shared" si="362"/>
        <v>2/20/2024</v>
      </c>
      <c r="N2592" s="1">
        <f t="shared" ca="1" si="363"/>
        <v>46064</v>
      </c>
      <c r="O2592" s="6" t="e">
        <f t="shared" ca="1" si="364"/>
        <v>#VALUE!</v>
      </c>
      <c r="P2592">
        <v>5</v>
      </c>
      <c r="Q2592">
        <f t="shared" si="365"/>
        <v>34933</v>
      </c>
      <c r="R2592" s="2">
        <f t="shared" si="366"/>
        <v>17466.5</v>
      </c>
      <c r="S2592" s="2" t="str">
        <f t="shared" si="367"/>
        <v xml:space="preserve"> Not Achieved</v>
      </c>
      <c r="T2592" s="2" t="str">
        <f t="shared" si="368"/>
        <v>poor</v>
      </c>
      <c r="U2592" s="2"/>
    </row>
    <row r="2593" spans="1:21" x14ac:dyDescent="0.3">
      <c r="A2593">
        <v>2592</v>
      </c>
      <c r="B2593" t="s">
        <v>3619</v>
      </c>
      <c r="C2593" t="str">
        <f t="shared" si="360"/>
        <v>EMP_2592</v>
      </c>
      <c r="D2593" t="s">
        <v>15</v>
      </c>
      <c r="E2593" t="str">
        <f t="shared" si="361"/>
        <v>EMP_2592Finance</v>
      </c>
      <c r="F2593" t="s">
        <v>18</v>
      </c>
      <c r="G2593" t="s">
        <v>25</v>
      </c>
      <c r="H2593">
        <v>73569</v>
      </c>
      <c r="I2593">
        <v>2803</v>
      </c>
      <c r="J2593">
        <v>0</v>
      </c>
      <c r="K2593">
        <v>0</v>
      </c>
      <c r="L2593" s="4" t="s">
        <v>2194</v>
      </c>
      <c r="M2593" s="4" t="str">
        <f t="shared" si="362"/>
        <v>5/30/2022</v>
      </c>
      <c r="N2593" s="1">
        <f t="shared" ca="1" si="363"/>
        <v>46064</v>
      </c>
      <c r="O2593" s="6" t="e">
        <f t="shared" ca="1" si="364"/>
        <v>#VALUE!</v>
      </c>
      <c r="P2593">
        <v>5</v>
      </c>
      <c r="Q2593">
        <f t="shared" si="365"/>
        <v>76372</v>
      </c>
      <c r="R2593" s="2">
        <f t="shared" si="366"/>
        <v>38186</v>
      </c>
      <c r="S2593" s="2" t="str">
        <f t="shared" si="367"/>
        <v xml:space="preserve"> Not Achieved</v>
      </c>
      <c r="T2593" s="2" t="str">
        <f t="shared" si="368"/>
        <v xml:space="preserve"> Excellent</v>
      </c>
      <c r="U2593" s="2"/>
    </row>
    <row r="2594" spans="1:21" x14ac:dyDescent="0.3">
      <c r="A2594">
        <v>2593</v>
      </c>
      <c r="B2594" t="s">
        <v>3620</v>
      </c>
      <c r="C2594" t="str">
        <f t="shared" si="360"/>
        <v>EMP_2593</v>
      </c>
      <c r="D2594" t="s">
        <v>15</v>
      </c>
      <c r="E2594" t="str">
        <f t="shared" si="361"/>
        <v>EMP_2593Marketing</v>
      </c>
      <c r="F2594" t="s">
        <v>24</v>
      </c>
      <c r="G2594" t="s">
        <v>16</v>
      </c>
      <c r="H2594">
        <v>67927</v>
      </c>
      <c r="I2594">
        <v>13645</v>
      </c>
      <c r="J2594">
        <v>0</v>
      </c>
      <c r="K2594">
        <v>0</v>
      </c>
      <c r="L2594" s="4">
        <v>45423</v>
      </c>
      <c r="M2594" s="4" t="str">
        <f t="shared" si="362"/>
        <v>2024</v>
      </c>
      <c r="N2594" s="1">
        <f t="shared" ca="1" si="363"/>
        <v>46064</v>
      </c>
      <c r="O2594" s="6">
        <f t="shared" ca="1" si="364"/>
        <v>1</v>
      </c>
      <c r="P2594">
        <v>2</v>
      </c>
      <c r="Q2594">
        <f t="shared" si="365"/>
        <v>81572</v>
      </c>
      <c r="R2594" s="2">
        <f t="shared" si="366"/>
        <v>40786</v>
      </c>
      <c r="S2594" s="2" t="str">
        <f t="shared" si="367"/>
        <v xml:space="preserve"> Not Achieved</v>
      </c>
      <c r="T2594" s="2" t="str">
        <f t="shared" si="368"/>
        <v xml:space="preserve"> Excellent</v>
      </c>
      <c r="U2594" s="2"/>
    </row>
    <row r="2595" spans="1:21" x14ac:dyDescent="0.3">
      <c r="A2595">
        <v>2594</v>
      </c>
      <c r="B2595" t="s">
        <v>3621</v>
      </c>
      <c r="C2595" t="str">
        <f t="shared" si="360"/>
        <v>EMP_2594</v>
      </c>
      <c r="D2595" t="s">
        <v>11</v>
      </c>
      <c r="E2595" t="str">
        <f t="shared" si="361"/>
        <v>EMP_2594Finance</v>
      </c>
      <c r="F2595" t="s">
        <v>18</v>
      </c>
      <c r="G2595" t="s">
        <v>19</v>
      </c>
      <c r="H2595">
        <v>21831</v>
      </c>
      <c r="I2595">
        <v>8060</v>
      </c>
      <c r="J2595">
        <v>0</v>
      </c>
      <c r="K2595">
        <v>0</v>
      </c>
      <c r="L2595" s="4" t="s">
        <v>2407</v>
      </c>
      <c r="M2595" s="4" t="str">
        <f t="shared" si="362"/>
        <v>9/15/2018</v>
      </c>
      <c r="N2595" s="1">
        <f t="shared" ca="1" si="363"/>
        <v>46064</v>
      </c>
      <c r="O2595" s="6" t="e">
        <f t="shared" ca="1" si="364"/>
        <v>#VALUE!</v>
      </c>
      <c r="P2595">
        <v>5</v>
      </c>
      <c r="Q2595">
        <f t="shared" si="365"/>
        <v>29891</v>
      </c>
      <c r="R2595" s="2">
        <f t="shared" si="366"/>
        <v>14945.5</v>
      </c>
      <c r="S2595" s="2" t="str">
        <f t="shared" si="367"/>
        <v xml:space="preserve"> Not Achieved</v>
      </c>
      <c r="T2595" s="2" t="str">
        <f t="shared" si="368"/>
        <v>poor</v>
      </c>
      <c r="U2595" s="2"/>
    </row>
    <row r="2596" spans="1:21" x14ac:dyDescent="0.3">
      <c r="A2596">
        <v>2595</v>
      </c>
      <c r="B2596" t="s">
        <v>3622</v>
      </c>
      <c r="C2596" t="str">
        <f t="shared" si="360"/>
        <v>EMP_2595</v>
      </c>
      <c r="D2596" t="s">
        <v>11</v>
      </c>
      <c r="E2596" t="str">
        <f t="shared" si="361"/>
        <v>EMP_2595IT</v>
      </c>
      <c r="F2596" t="s">
        <v>21</v>
      </c>
      <c r="G2596" t="s">
        <v>13</v>
      </c>
      <c r="H2596">
        <v>63692</v>
      </c>
      <c r="I2596">
        <v>3705</v>
      </c>
      <c r="J2596">
        <v>0</v>
      </c>
      <c r="K2596">
        <v>0</v>
      </c>
      <c r="L2596" s="4" t="s">
        <v>1866</v>
      </c>
      <c r="M2596" s="4" t="str">
        <f t="shared" si="362"/>
        <v>9/29/2021</v>
      </c>
      <c r="N2596" s="1">
        <f t="shared" ca="1" si="363"/>
        <v>46064</v>
      </c>
      <c r="O2596" s="6" t="e">
        <f t="shared" ca="1" si="364"/>
        <v>#VALUE!</v>
      </c>
      <c r="P2596">
        <v>2</v>
      </c>
      <c r="Q2596">
        <f t="shared" si="365"/>
        <v>67397</v>
      </c>
      <c r="R2596" s="2">
        <f t="shared" si="366"/>
        <v>33698.5</v>
      </c>
      <c r="S2596" s="2" t="str">
        <f t="shared" si="367"/>
        <v xml:space="preserve"> Not Achieved</v>
      </c>
      <c r="T2596" s="2" t="str">
        <f t="shared" si="368"/>
        <v xml:space="preserve"> Excellent</v>
      </c>
      <c r="U2596" s="2"/>
    </row>
    <row r="2597" spans="1:21" x14ac:dyDescent="0.3">
      <c r="A2597">
        <v>2596</v>
      </c>
      <c r="B2597" t="s">
        <v>3623</v>
      </c>
      <c r="C2597" t="str">
        <f t="shared" si="360"/>
        <v>EMP_2596</v>
      </c>
      <c r="D2597" t="s">
        <v>11</v>
      </c>
      <c r="E2597" t="str">
        <f t="shared" si="361"/>
        <v>EMP_2596Finance</v>
      </c>
      <c r="F2597" t="s">
        <v>18</v>
      </c>
      <c r="G2597" t="s">
        <v>13</v>
      </c>
      <c r="H2597">
        <v>76933</v>
      </c>
      <c r="I2597">
        <v>12185</v>
      </c>
      <c r="J2597">
        <v>0</v>
      </c>
      <c r="K2597">
        <v>0</v>
      </c>
      <c r="L2597" s="4">
        <v>43805</v>
      </c>
      <c r="M2597" s="4" t="str">
        <f t="shared" si="362"/>
        <v>2019</v>
      </c>
      <c r="N2597" s="1">
        <f t="shared" ca="1" si="363"/>
        <v>46064</v>
      </c>
      <c r="O2597" s="6">
        <f t="shared" ca="1" si="364"/>
        <v>6</v>
      </c>
      <c r="P2597">
        <v>5</v>
      </c>
      <c r="Q2597">
        <f t="shared" si="365"/>
        <v>89118</v>
      </c>
      <c r="R2597" s="2">
        <f t="shared" si="366"/>
        <v>44559</v>
      </c>
      <c r="S2597" s="2" t="str">
        <f t="shared" si="367"/>
        <v xml:space="preserve"> Not Achieved</v>
      </c>
      <c r="T2597" s="2" t="str">
        <f t="shared" si="368"/>
        <v xml:space="preserve"> Excellent</v>
      </c>
      <c r="U2597" s="2"/>
    </row>
    <row r="2598" spans="1:21" x14ac:dyDescent="0.3">
      <c r="A2598">
        <v>2597</v>
      </c>
      <c r="B2598" t="s">
        <v>3624</v>
      </c>
      <c r="C2598" t="str">
        <f t="shared" si="360"/>
        <v>EMP_2597</v>
      </c>
      <c r="D2598" t="s">
        <v>11</v>
      </c>
      <c r="E2598" t="str">
        <f t="shared" si="361"/>
        <v>EMP_2597IT</v>
      </c>
      <c r="F2598" t="s">
        <v>21</v>
      </c>
      <c r="G2598" t="s">
        <v>25</v>
      </c>
      <c r="H2598">
        <v>43398</v>
      </c>
      <c r="I2598">
        <v>13710</v>
      </c>
      <c r="J2598">
        <v>0</v>
      </c>
      <c r="K2598">
        <v>0</v>
      </c>
      <c r="L2598" s="4">
        <v>44325</v>
      </c>
      <c r="M2598" s="4" t="str">
        <f t="shared" si="362"/>
        <v>2021</v>
      </c>
      <c r="N2598" s="1">
        <f t="shared" ca="1" si="363"/>
        <v>46064</v>
      </c>
      <c r="O2598" s="6">
        <f t="shared" ca="1" si="364"/>
        <v>4</v>
      </c>
      <c r="P2598">
        <v>3</v>
      </c>
      <c r="Q2598">
        <f t="shared" si="365"/>
        <v>57108</v>
      </c>
      <c r="R2598" s="2">
        <f t="shared" si="366"/>
        <v>28554</v>
      </c>
      <c r="S2598" s="2" t="str">
        <f t="shared" si="367"/>
        <v xml:space="preserve"> Not Achieved</v>
      </c>
      <c r="T2598" s="2" t="str">
        <f t="shared" si="368"/>
        <v>Good</v>
      </c>
      <c r="U2598" s="2"/>
    </row>
    <row r="2599" spans="1:21" x14ac:dyDescent="0.3">
      <c r="A2599">
        <v>2598</v>
      </c>
      <c r="B2599" t="s">
        <v>3625</v>
      </c>
      <c r="C2599" t="str">
        <f t="shared" si="360"/>
        <v>EMP_2598</v>
      </c>
      <c r="D2599" t="s">
        <v>11</v>
      </c>
      <c r="E2599" t="str">
        <f t="shared" si="361"/>
        <v>EMP_2598Sales</v>
      </c>
      <c r="F2599" t="s">
        <v>7</v>
      </c>
      <c r="G2599" t="s">
        <v>16</v>
      </c>
      <c r="H2599">
        <v>62285</v>
      </c>
      <c r="I2599">
        <v>3685</v>
      </c>
      <c r="J2599">
        <v>132539</v>
      </c>
      <c r="K2599">
        <v>82272</v>
      </c>
      <c r="L2599" s="4">
        <v>44869</v>
      </c>
      <c r="M2599" s="4" t="str">
        <f t="shared" si="362"/>
        <v>2022</v>
      </c>
      <c r="N2599" s="1">
        <f t="shared" ca="1" si="363"/>
        <v>46064</v>
      </c>
      <c r="O2599" s="6">
        <f t="shared" ca="1" si="364"/>
        <v>3</v>
      </c>
      <c r="P2599">
        <v>2</v>
      </c>
      <c r="Q2599">
        <f t="shared" si="365"/>
        <v>65970</v>
      </c>
      <c r="R2599" s="2">
        <f t="shared" si="366"/>
        <v>32985</v>
      </c>
      <c r="S2599" s="2" t="str">
        <f t="shared" si="367"/>
        <v>Achieved</v>
      </c>
      <c r="T2599" s="2" t="str">
        <f t="shared" si="368"/>
        <v xml:space="preserve"> Excellent</v>
      </c>
      <c r="U2599" s="2"/>
    </row>
    <row r="2600" spans="1:21" x14ac:dyDescent="0.3">
      <c r="A2600">
        <v>2599</v>
      </c>
      <c r="B2600" t="s">
        <v>3626</v>
      </c>
      <c r="C2600" t="str">
        <f t="shared" si="360"/>
        <v>EMP_2599</v>
      </c>
      <c r="D2600" t="s">
        <v>11</v>
      </c>
      <c r="E2600" t="str">
        <f t="shared" si="361"/>
        <v>EMP_2599Finance</v>
      </c>
      <c r="F2600" t="s">
        <v>18</v>
      </c>
      <c r="G2600" t="s">
        <v>16</v>
      </c>
      <c r="H2600">
        <v>64247</v>
      </c>
      <c r="I2600">
        <v>11047</v>
      </c>
      <c r="J2600">
        <v>0</v>
      </c>
      <c r="K2600">
        <v>0</v>
      </c>
      <c r="L2600" s="4" t="s">
        <v>3039</v>
      </c>
      <c r="M2600" s="4" t="str">
        <f t="shared" si="362"/>
        <v>5/14/2020</v>
      </c>
      <c r="N2600" s="1">
        <f t="shared" ca="1" si="363"/>
        <v>46064</v>
      </c>
      <c r="O2600" s="6" t="e">
        <f t="shared" ca="1" si="364"/>
        <v>#VALUE!</v>
      </c>
      <c r="P2600">
        <v>4</v>
      </c>
      <c r="Q2600">
        <f t="shared" si="365"/>
        <v>75294</v>
      </c>
      <c r="R2600" s="2">
        <f t="shared" si="366"/>
        <v>37647</v>
      </c>
      <c r="S2600" s="2" t="str">
        <f t="shared" si="367"/>
        <v xml:space="preserve"> Not Achieved</v>
      </c>
      <c r="T2600" s="2" t="str">
        <f t="shared" si="368"/>
        <v xml:space="preserve"> Excellent</v>
      </c>
      <c r="U2600" s="2"/>
    </row>
    <row r="2601" spans="1:21" x14ac:dyDescent="0.3">
      <c r="A2601">
        <v>2600</v>
      </c>
      <c r="B2601" t="s">
        <v>3627</v>
      </c>
      <c r="C2601" t="str">
        <f t="shared" si="360"/>
        <v>EMP_2600</v>
      </c>
      <c r="D2601" t="s">
        <v>15</v>
      </c>
      <c r="E2601" t="str">
        <f t="shared" si="361"/>
        <v>EMP_2600Marketing</v>
      </c>
      <c r="F2601" t="s">
        <v>24</v>
      </c>
      <c r="G2601" t="s">
        <v>19</v>
      </c>
      <c r="H2601">
        <v>27590</v>
      </c>
      <c r="I2601">
        <v>9152</v>
      </c>
      <c r="J2601">
        <v>0</v>
      </c>
      <c r="K2601">
        <v>0</v>
      </c>
      <c r="L2601" s="4">
        <v>43740</v>
      </c>
      <c r="M2601" s="4" t="str">
        <f t="shared" si="362"/>
        <v>2019</v>
      </c>
      <c r="N2601" s="1">
        <f t="shared" ca="1" si="363"/>
        <v>46064</v>
      </c>
      <c r="O2601" s="6">
        <f t="shared" ca="1" si="364"/>
        <v>6</v>
      </c>
      <c r="P2601">
        <v>1</v>
      </c>
      <c r="Q2601">
        <f t="shared" si="365"/>
        <v>36742</v>
      </c>
      <c r="R2601" s="2">
        <f t="shared" si="366"/>
        <v>18371</v>
      </c>
      <c r="S2601" s="2" t="str">
        <f t="shared" si="367"/>
        <v xml:space="preserve"> Not Achieved</v>
      </c>
      <c r="T2601" s="2" t="str">
        <f t="shared" si="368"/>
        <v>poor</v>
      </c>
      <c r="U2601" s="2"/>
    </row>
    <row r="2602" spans="1:21" x14ac:dyDescent="0.3">
      <c r="A2602">
        <v>2601</v>
      </c>
      <c r="B2602" t="s">
        <v>3628</v>
      </c>
      <c r="C2602" t="str">
        <f t="shared" si="360"/>
        <v>EMP_2601</v>
      </c>
      <c r="D2602" t="s">
        <v>15</v>
      </c>
      <c r="E2602" t="str">
        <f t="shared" si="361"/>
        <v>EMP_2601HR</v>
      </c>
      <c r="F2602" t="s">
        <v>12</v>
      </c>
      <c r="G2602" t="s">
        <v>13</v>
      </c>
      <c r="H2602">
        <v>29628</v>
      </c>
      <c r="I2602">
        <v>7173</v>
      </c>
      <c r="J2602">
        <v>0</v>
      </c>
      <c r="K2602">
        <v>0</v>
      </c>
      <c r="L2602" s="4" t="s">
        <v>2250</v>
      </c>
      <c r="M2602" s="4" t="str">
        <f t="shared" si="362"/>
        <v>12/25/2023</v>
      </c>
      <c r="N2602" s="1">
        <f t="shared" ca="1" si="363"/>
        <v>46064</v>
      </c>
      <c r="O2602" s="6" t="e">
        <f t="shared" ca="1" si="364"/>
        <v>#VALUE!</v>
      </c>
      <c r="P2602">
        <v>3</v>
      </c>
      <c r="Q2602">
        <f t="shared" si="365"/>
        <v>36801</v>
      </c>
      <c r="R2602" s="2">
        <f t="shared" si="366"/>
        <v>18400.5</v>
      </c>
      <c r="S2602" s="2" t="str">
        <f t="shared" si="367"/>
        <v xml:space="preserve"> Not Achieved</v>
      </c>
      <c r="T2602" s="2" t="str">
        <f t="shared" si="368"/>
        <v>poor</v>
      </c>
      <c r="U2602" s="2"/>
    </row>
    <row r="2603" spans="1:21" x14ac:dyDescent="0.3">
      <c r="A2603">
        <v>2602</v>
      </c>
      <c r="B2603" t="s">
        <v>3629</v>
      </c>
      <c r="C2603" t="str">
        <f t="shared" si="360"/>
        <v>EMP_2602</v>
      </c>
      <c r="D2603" t="s">
        <v>11</v>
      </c>
      <c r="E2603" t="str">
        <f t="shared" si="361"/>
        <v>EMP_2602IT</v>
      </c>
      <c r="F2603" t="s">
        <v>21</v>
      </c>
      <c r="G2603" t="s">
        <v>25</v>
      </c>
      <c r="H2603">
        <v>65705</v>
      </c>
      <c r="I2603">
        <v>10876</v>
      </c>
      <c r="J2603">
        <v>0</v>
      </c>
      <c r="K2603">
        <v>0</v>
      </c>
      <c r="L2603" s="4">
        <v>44445</v>
      </c>
      <c r="M2603" s="4" t="str">
        <f t="shared" si="362"/>
        <v>2021</v>
      </c>
      <c r="N2603" s="1">
        <f t="shared" ca="1" si="363"/>
        <v>46064</v>
      </c>
      <c r="O2603" s="6">
        <f t="shared" ca="1" si="364"/>
        <v>4</v>
      </c>
      <c r="P2603">
        <v>2</v>
      </c>
      <c r="Q2603">
        <f t="shared" si="365"/>
        <v>76581</v>
      </c>
      <c r="R2603" s="2">
        <f t="shared" si="366"/>
        <v>38290.5</v>
      </c>
      <c r="S2603" s="2" t="str">
        <f t="shared" si="367"/>
        <v xml:space="preserve"> Not Achieved</v>
      </c>
      <c r="T2603" s="2" t="str">
        <f t="shared" si="368"/>
        <v xml:space="preserve"> Excellent</v>
      </c>
      <c r="U2603" s="2"/>
    </row>
    <row r="2604" spans="1:21" x14ac:dyDescent="0.3">
      <c r="A2604">
        <v>2603</v>
      </c>
      <c r="B2604" t="s">
        <v>3630</v>
      </c>
      <c r="C2604" t="str">
        <f t="shared" si="360"/>
        <v>EMP_2603</v>
      </c>
      <c r="D2604" t="s">
        <v>15</v>
      </c>
      <c r="E2604" t="str">
        <f t="shared" si="361"/>
        <v>EMP_2603Finance</v>
      </c>
      <c r="F2604" t="s">
        <v>18</v>
      </c>
      <c r="G2604" t="s">
        <v>19</v>
      </c>
      <c r="H2604">
        <v>35833</v>
      </c>
      <c r="I2604">
        <v>3359</v>
      </c>
      <c r="J2604">
        <v>0</v>
      </c>
      <c r="K2604">
        <v>0</v>
      </c>
      <c r="L2604" s="4" t="s">
        <v>3568</v>
      </c>
      <c r="M2604" s="4" t="str">
        <f t="shared" si="362"/>
        <v>1/14/2021</v>
      </c>
      <c r="N2604" s="1">
        <f t="shared" ca="1" si="363"/>
        <v>46064</v>
      </c>
      <c r="O2604" s="6" t="e">
        <f t="shared" ca="1" si="364"/>
        <v>#VALUE!</v>
      </c>
      <c r="P2604">
        <v>5</v>
      </c>
      <c r="Q2604">
        <f t="shared" si="365"/>
        <v>39192</v>
      </c>
      <c r="R2604" s="2">
        <f t="shared" si="366"/>
        <v>19596</v>
      </c>
      <c r="S2604" s="2" t="str">
        <f t="shared" si="367"/>
        <v xml:space="preserve"> Not Achieved</v>
      </c>
      <c r="T2604" s="2" t="str">
        <f t="shared" si="368"/>
        <v>Average</v>
      </c>
      <c r="U2604" s="2"/>
    </row>
    <row r="2605" spans="1:21" x14ac:dyDescent="0.3">
      <c r="A2605">
        <v>2604</v>
      </c>
      <c r="B2605" t="s">
        <v>3631</v>
      </c>
      <c r="C2605" t="str">
        <f t="shared" si="360"/>
        <v>EMP_2604</v>
      </c>
      <c r="D2605" t="s">
        <v>11</v>
      </c>
      <c r="E2605" t="str">
        <f t="shared" si="361"/>
        <v>EMP_2604Marketing</v>
      </c>
      <c r="F2605" t="s">
        <v>24</v>
      </c>
      <c r="G2605" t="s">
        <v>22</v>
      </c>
      <c r="H2605">
        <v>39452</v>
      </c>
      <c r="I2605">
        <v>3785</v>
      </c>
      <c r="J2605">
        <v>0</v>
      </c>
      <c r="K2605">
        <v>0</v>
      </c>
      <c r="L2605" s="4" t="s">
        <v>3632</v>
      </c>
      <c r="M2605" s="4" t="str">
        <f t="shared" si="362"/>
        <v>6/20/2023</v>
      </c>
      <c r="N2605" s="1">
        <f t="shared" ca="1" si="363"/>
        <v>46064</v>
      </c>
      <c r="O2605" s="6" t="e">
        <f t="shared" ca="1" si="364"/>
        <v>#VALUE!</v>
      </c>
      <c r="P2605">
        <v>4</v>
      </c>
      <c r="Q2605">
        <f t="shared" si="365"/>
        <v>43237</v>
      </c>
      <c r="R2605" s="2">
        <f t="shared" si="366"/>
        <v>21618.5</v>
      </c>
      <c r="S2605" s="2" t="str">
        <f t="shared" si="367"/>
        <v xml:space="preserve"> Not Achieved</v>
      </c>
      <c r="T2605" s="2" t="str">
        <f t="shared" si="368"/>
        <v>Average</v>
      </c>
      <c r="U2605" s="2"/>
    </row>
    <row r="2606" spans="1:21" x14ac:dyDescent="0.3">
      <c r="A2606">
        <v>2605</v>
      </c>
      <c r="B2606" t="s">
        <v>3633</v>
      </c>
      <c r="C2606" t="str">
        <f t="shared" si="360"/>
        <v>EMP_2605</v>
      </c>
      <c r="D2606" t="s">
        <v>15</v>
      </c>
      <c r="E2606" t="str">
        <f t="shared" si="361"/>
        <v>EMP_2605Sales</v>
      </c>
      <c r="F2606" t="s">
        <v>7</v>
      </c>
      <c r="G2606" t="s">
        <v>16</v>
      </c>
      <c r="H2606">
        <v>48908</v>
      </c>
      <c r="I2606">
        <v>9075</v>
      </c>
      <c r="J2606">
        <v>78199</v>
      </c>
      <c r="K2606">
        <v>192606</v>
      </c>
      <c r="L2606" s="4">
        <v>45326</v>
      </c>
      <c r="M2606" s="4" t="str">
        <f t="shared" si="362"/>
        <v>2024</v>
      </c>
      <c r="N2606" s="1">
        <f t="shared" ca="1" si="363"/>
        <v>46064</v>
      </c>
      <c r="O2606" s="6">
        <f t="shared" ca="1" si="364"/>
        <v>2</v>
      </c>
      <c r="P2606">
        <v>1</v>
      </c>
      <c r="Q2606">
        <f t="shared" si="365"/>
        <v>57983</v>
      </c>
      <c r="R2606" s="2">
        <f t="shared" si="366"/>
        <v>28991.5</v>
      </c>
      <c r="S2606" s="2" t="str">
        <f t="shared" si="367"/>
        <v xml:space="preserve"> Not Achieved</v>
      </c>
      <c r="T2606" s="2" t="str">
        <f t="shared" si="368"/>
        <v>Good</v>
      </c>
      <c r="U2606" s="2"/>
    </row>
    <row r="2607" spans="1:21" x14ac:dyDescent="0.3">
      <c r="A2607">
        <v>2606</v>
      </c>
      <c r="B2607" t="s">
        <v>3634</v>
      </c>
      <c r="C2607" t="str">
        <f t="shared" si="360"/>
        <v>EMP_2606</v>
      </c>
      <c r="D2607" t="s">
        <v>15</v>
      </c>
      <c r="E2607" t="str">
        <f t="shared" si="361"/>
        <v>EMP_2606Sales</v>
      </c>
      <c r="F2607" t="s">
        <v>7</v>
      </c>
      <c r="G2607" t="s">
        <v>16</v>
      </c>
      <c r="H2607">
        <v>59805</v>
      </c>
      <c r="I2607">
        <v>2610</v>
      </c>
      <c r="J2607">
        <v>123501</v>
      </c>
      <c r="K2607">
        <v>147936</v>
      </c>
      <c r="L2607" s="4" t="s">
        <v>3425</v>
      </c>
      <c r="M2607" s="4" t="str">
        <f t="shared" si="362"/>
        <v>6/19/2021</v>
      </c>
      <c r="N2607" s="1">
        <f t="shared" ca="1" si="363"/>
        <v>46064</v>
      </c>
      <c r="O2607" s="6" t="e">
        <f t="shared" ca="1" si="364"/>
        <v>#VALUE!</v>
      </c>
      <c r="P2607">
        <v>4</v>
      </c>
      <c r="Q2607">
        <f t="shared" si="365"/>
        <v>62415</v>
      </c>
      <c r="R2607" s="2">
        <f t="shared" si="366"/>
        <v>31207.5</v>
      </c>
      <c r="S2607" s="2" t="str">
        <f t="shared" si="367"/>
        <v xml:space="preserve"> Not Achieved</v>
      </c>
      <c r="T2607" s="2" t="str">
        <f t="shared" si="368"/>
        <v xml:space="preserve"> Excellent</v>
      </c>
      <c r="U2607" s="2"/>
    </row>
    <row r="2608" spans="1:21" x14ac:dyDescent="0.3">
      <c r="A2608">
        <v>2607</v>
      </c>
      <c r="B2608" t="s">
        <v>3635</v>
      </c>
      <c r="C2608" t="str">
        <f t="shared" si="360"/>
        <v>EMP_2607</v>
      </c>
      <c r="D2608" t="s">
        <v>15</v>
      </c>
      <c r="E2608" t="str">
        <f t="shared" si="361"/>
        <v>EMP_2607Marketing</v>
      </c>
      <c r="F2608" t="s">
        <v>24</v>
      </c>
      <c r="G2608" t="s">
        <v>25</v>
      </c>
      <c r="H2608">
        <v>54080</v>
      </c>
      <c r="I2608">
        <v>12346</v>
      </c>
      <c r="J2608">
        <v>0</v>
      </c>
      <c r="K2608">
        <v>0</v>
      </c>
      <c r="L2608" s="4" t="s">
        <v>3636</v>
      </c>
      <c r="M2608" s="4" t="str">
        <f t="shared" si="362"/>
        <v>6/20/2020</v>
      </c>
      <c r="N2608" s="1">
        <f t="shared" ca="1" si="363"/>
        <v>46064</v>
      </c>
      <c r="O2608" s="6" t="e">
        <f t="shared" ca="1" si="364"/>
        <v>#VALUE!</v>
      </c>
      <c r="P2608">
        <v>1</v>
      </c>
      <c r="Q2608">
        <f t="shared" si="365"/>
        <v>66426</v>
      </c>
      <c r="R2608" s="2">
        <f t="shared" si="366"/>
        <v>33213</v>
      </c>
      <c r="S2608" s="2" t="str">
        <f t="shared" si="367"/>
        <v xml:space="preserve"> Not Achieved</v>
      </c>
      <c r="T2608" s="2" t="str">
        <f t="shared" si="368"/>
        <v xml:space="preserve"> Excellent</v>
      </c>
      <c r="U2608" s="2"/>
    </row>
    <row r="2609" spans="1:21" x14ac:dyDescent="0.3">
      <c r="A2609">
        <v>2608</v>
      </c>
      <c r="B2609" t="s">
        <v>3637</v>
      </c>
      <c r="C2609" t="str">
        <f t="shared" si="360"/>
        <v>EMP_2608</v>
      </c>
      <c r="D2609" t="s">
        <v>15</v>
      </c>
      <c r="E2609" t="str">
        <f t="shared" si="361"/>
        <v>EMP_2608HR</v>
      </c>
      <c r="F2609" t="s">
        <v>12</v>
      </c>
      <c r="G2609" t="s">
        <v>25</v>
      </c>
      <c r="H2609">
        <v>66747</v>
      </c>
      <c r="I2609">
        <v>6501</v>
      </c>
      <c r="J2609">
        <v>0</v>
      </c>
      <c r="K2609">
        <v>0</v>
      </c>
      <c r="L2609" s="4" t="s">
        <v>3638</v>
      </c>
      <c r="M2609" s="4" t="str">
        <f t="shared" si="362"/>
        <v>7/23/2019</v>
      </c>
      <c r="N2609" s="1">
        <f t="shared" ca="1" si="363"/>
        <v>46064</v>
      </c>
      <c r="O2609" s="6" t="e">
        <f t="shared" ca="1" si="364"/>
        <v>#VALUE!</v>
      </c>
      <c r="P2609">
        <v>4</v>
      </c>
      <c r="Q2609">
        <f t="shared" si="365"/>
        <v>73248</v>
      </c>
      <c r="R2609" s="2">
        <f t="shared" si="366"/>
        <v>36624</v>
      </c>
      <c r="S2609" s="2" t="str">
        <f t="shared" si="367"/>
        <v xml:space="preserve"> Not Achieved</v>
      </c>
      <c r="T2609" s="2" t="str">
        <f t="shared" si="368"/>
        <v xml:space="preserve"> Excellent</v>
      </c>
      <c r="U2609" s="2"/>
    </row>
    <row r="2610" spans="1:21" x14ac:dyDescent="0.3">
      <c r="A2610">
        <v>2609</v>
      </c>
      <c r="B2610" t="s">
        <v>3639</v>
      </c>
      <c r="C2610" t="str">
        <f t="shared" si="360"/>
        <v>EMP_2609</v>
      </c>
      <c r="D2610" t="s">
        <v>11</v>
      </c>
      <c r="E2610" t="str">
        <f t="shared" si="361"/>
        <v>EMP_2609Finance</v>
      </c>
      <c r="F2610" t="s">
        <v>18</v>
      </c>
      <c r="G2610" t="s">
        <v>19</v>
      </c>
      <c r="H2610">
        <v>20814</v>
      </c>
      <c r="I2610">
        <v>3470</v>
      </c>
      <c r="J2610">
        <v>0</v>
      </c>
      <c r="K2610">
        <v>0</v>
      </c>
      <c r="L2610" s="4">
        <v>44815</v>
      </c>
      <c r="M2610" s="4" t="str">
        <f t="shared" si="362"/>
        <v>2022</v>
      </c>
      <c r="N2610" s="1">
        <f t="shared" ca="1" si="363"/>
        <v>46064</v>
      </c>
      <c r="O2610" s="6">
        <f t="shared" ca="1" si="364"/>
        <v>3</v>
      </c>
      <c r="P2610">
        <v>2</v>
      </c>
      <c r="Q2610">
        <f t="shared" si="365"/>
        <v>24284</v>
      </c>
      <c r="R2610" s="2">
        <f t="shared" si="366"/>
        <v>12142</v>
      </c>
      <c r="S2610" s="2" t="str">
        <f t="shared" si="367"/>
        <v xml:space="preserve"> Not Achieved</v>
      </c>
      <c r="T2610" s="2" t="str">
        <f t="shared" si="368"/>
        <v>poor</v>
      </c>
      <c r="U2610" s="2"/>
    </row>
    <row r="2611" spans="1:21" x14ac:dyDescent="0.3">
      <c r="A2611">
        <v>2610</v>
      </c>
      <c r="B2611" t="s">
        <v>3640</v>
      </c>
      <c r="C2611" t="str">
        <f t="shared" si="360"/>
        <v>EMP_2610</v>
      </c>
      <c r="D2611" t="s">
        <v>11</v>
      </c>
      <c r="E2611" t="str">
        <f t="shared" si="361"/>
        <v>EMP_2610Finance</v>
      </c>
      <c r="F2611" t="s">
        <v>18</v>
      </c>
      <c r="G2611" t="s">
        <v>13</v>
      </c>
      <c r="H2611">
        <v>38273</v>
      </c>
      <c r="I2611">
        <v>13843</v>
      </c>
      <c r="J2611">
        <v>0</v>
      </c>
      <c r="K2611">
        <v>0</v>
      </c>
      <c r="L2611" s="4">
        <v>45112</v>
      </c>
      <c r="M2611" s="4" t="str">
        <f t="shared" si="362"/>
        <v>2023</v>
      </c>
      <c r="N2611" s="1">
        <f t="shared" ca="1" si="363"/>
        <v>46064</v>
      </c>
      <c r="O2611" s="6">
        <f t="shared" ca="1" si="364"/>
        <v>2</v>
      </c>
      <c r="P2611">
        <v>2</v>
      </c>
      <c r="Q2611">
        <f t="shared" si="365"/>
        <v>52116</v>
      </c>
      <c r="R2611" s="2">
        <f t="shared" si="366"/>
        <v>26058</v>
      </c>
      <c r="S2611" s="2" t="str">
        <f t="shared" si="367"/>
        <v xml:space="preserve"> Not Achieved</v>
      </c>
      <c r="T2611" s="2" t="str">
        <f t="shared" si="368"/>
        <v>Average</v>
      </c>
      <c r="U2611" s="2"/>
    </row>
    <row r="2612" spans="1:21" x14ac:dyDescent="0.3">
      <c r="A2612">
        <v>2611</v>
      </c>
      <c r="B2612" t="s">
        <v>3641</v>
      </c>
      <c r="C2612" t="str">
        <f t="shared" si="360"/>
        <v>EMP_2611</v>
      </c>
      <c r="D2612" t="s">
        <v>15</v>
      </c>
      <c r="E2612" t="str">
        <f t="shared" si="361"/>
        <v>EMP_2611Marketing</v>
      </c>
      <c r="F2612" t="s">
        <v>24</v>
      </c>
      <c r="G2612" t="s">
        <v>13</v>
      </c>
      <c r="H2612">
        <v>23871</v>
      </c>
      <c r="I2612">
        <v>11848</v>
      </c>
      <c r="J2612">
        <v>0</v>
      </c>
      <c r="K2612">
        <v>0</v>
      </c>
      <c r="L2612" s="4">
        <v>44318</v>
      </c>
      <c r="M2612" s="4" t="str">
        <f t="shared" si="362"/>
        <v>2021</v>
      </c>
      <c r="N2612" s="1">
        <f t="shared" ca="1" si="363"/>
        <v>46064</v>
      </c>
      <c r="O2612" s="6">
        <f t="shared" ca="1" si="364"/>
        <v>4</v>
      </c>
      <c r="P2612">
        <v>1</v>
      </c>
      <c r="Q2612">
        <f t="shared" si="365"/>
        <v>35719</v>
      </c>
      <c r="R2612" s="2">
        <f t="shared" si="366"/>
        <v>17859.5</v>
      </c>
      <c r="S2612" s="2" t="str">
        <f t="shared" si="367"/>
        <v xml:space="preserve"> Not Achieved</v>
      </c>
      <c r="T2612" s="2" t="str">
        <f t="shared" si="368"/>
        <v>poor</v>
      </c>
      <c r="U2612" s="2"/>
    </row>
    <row r="2613" spans="1:21" x14ac:dyDescent="0.3">
      <c r="A2613">
        <v>2612</v>
      </c>
      <c r="B2613" t="s">
        <v>3642</v>
      </c>
      <c r="C2613" t="str">
        <f t="shared" si="360"/>
        <v>EMP_2612</v>
      </c>
      <c r="D2613" t="s">
        <v>15</v>
      </c>
      <c r="E2613" t="str">
        <f t="shared" si="361"/>
        <v>EMP_2612IT</v>
      </c>
      <c r="F2613" t="s">
        <v>21</v>
      </c>
      <c r="G2613" t="s">
        <v>22</v>
      </c>
      <c r="H2613">
        <v>27144</v>
      </c>
      <c r="I2613">
        <v>8924</v>
      </c>
      <c r="J2613">
        <v>0</v>
      </c>
      <c r="K2613">
        <v>0</v>
      </c>
      <c r="L2613" s="4" t="s">
        <v>629</v>
      </c>
      <c r="M2613" s="4" t="str">
        <f t="shared" si="362"/>
        <v>3/21/2023</v>
      </c>
      <c r="N2613" s="1">
        <f t="shared" ca="1" si="363"/>
        <v>46064</v>
      </c>
      <c r="O2613" s="6" t="e">
        <f t="shared" ca="1" si="364"/>
        <v>#VALUE!</v>
      </c>
      <c r="P2613">
        <v>2</v>
      </c>
      <c r="Q2613">
        <f t="shared" si="365"/>
        <v>36068</v>
      </c>
      <c r="R2613" s="2">
        <f t="shared" si="366"/>
        <v>18034</v>
      </c>
      <c r="S2613" s="2" t="str">
        <f t="shared" si="367"/>
        <v xml:space="preserve"> Not Achieved</v>
      </c>
      <c r="T2613" s="2" t="str">
        <f t="shared" si="368"/>
        <v>poor</v>
      </c>
      <c r="U2613" s="2"/>
    </row>
    <row r="2614" spans="1:21" x14ac:dyDescent="0.3">
      <c r="A2614">
        <v>2613</v>
      </c>
      <c r="B2614" t="s">
        <v>3643</v>
      </c>
      <c r="C2614" t="str">
        <f t="shared" si="360"/>
        <v>EMP_2613</v>
      </c>
      <c r="D2614" t="s">
        <v>15</v>
      </c>
      <c r="E2614" t="str">
        <f t="shared" si="361"/>
        <v>EMP_2613Marketing</v>
      </c>
      <c r="F2614" t="s">
        <v>24</v>
      </c>
      <c r="G2614" t="s">
        <v>19</v>
      </c>
      <c r="H2614">
        <v>65523</v>
      </c>
      <c r="I2614">
        <v>2500</v>
      </c>
      <c r="J2614">
        <v>0</v>
      </c>
      <c r="K2614">
        <v>0</v>
      </c>
      <c r="L2614" s="4">
        <v>43477</v>
      </c>
      <c r="M2614" s="4" t="str">
        <f t="shared" si="362"/>
        <v>2019</v>
      </c>
      <c r="N2614" s="1">
        <f t="shared" ca="1" si="363"/>
        <v>46064</v>
      </c>
      <c r="O2614" s="6">
        <f t="shared" ca="1" si="364"/>
        <v>7</v>
      </c>
      <c r="P2614">
        <v>3</v>
      </c>
      <c r="Q2614">
        <f t="shared" si="365"/>
        <v>68023</v>
      </c>
      <c r="R2614" s="2">
        <f t="shared" si="366"/>
        <v>34011.5</v>
      </c>
      <c r="S2614" s="2" t="str">
        <f t="shared" si="367"/>
        <v xml:space="preserve"> Not Achieved</v>
      </c>
      <c r="T2614" s="2" t="str">
        <f t="shared" si="368"/>
        <v xml:space="preserve"> Excellent</v>
      </c>
      <c r="U2614" s="2"/>
    </row>
    <row r="2615" spans="1:21" x14ac:dyDescent="0.3">
      <c r="A2615">
        <v>2614</v>
      </c>
      <c r="B2615" t="s">
        <v>3644</v>
      </c>
      <c r="C2615" t="str">
        <f t="shared" si="360"/>
        <v>EMP_2614</v>
      </c>
      <c r="D2615" t="s">
        <v>15</v>
      </c>
      <c r="E2615" t="str">
        <f t="shared" si="361"/>
        <v>EMP_2614Sales</v>
      </c>
      <c r="F2615" t="s">
        <v>7</v>
      </c>
      <c r="G2615" t="s">
        <v>16</v>
      </c>
      <c r="H2615">
        <v>42984</v>
      </c>
      <c r="I2615">
        <v>13852</v>
      </c>
      <c r="J2615">
        <v>219757</v>
      </c>
      <c r="K2615">
        <v>129332</v>
      </c>
      <c r="L2615" s="4">
        <v>44808</v>
      </c>
      <c r="M2615" s="4" t="str">
        <f t="shared" si="362"/>
        <v>2022</v>
      </c>
      <c r="N2615" s="1">
        <f t="shared" ca="1" si="363"/>
        <v>46064</v>
      </c>
      <c r="O2615" s="6">
        <f t="shared" ca="1" si="364"/>
        <v>3</v>
      </c>
      <c r="P2615">
        <v>5</v>
      </c>
      <c r="Q2615">
        <f t="shared" si="365"/>
        <v>56836</v>
      </c>
      <c r="R2615" s="2">
        <f t="shared" si="366"/>
        <v>28418</v>
      </c>
      <c r="S2615" s="2" t="str">
        <f t="shared" si="367"/>
        <v>Achieved</v>
      </c>
      <c r="T2615" s="2" t="str">
        <f t="shared" si="368"/>
        <v>Good</v>
      </c>
      <c r="U2615" s="2"/>
    </row>
    <row r="2616" spans="1:21" x14ac:dyDescent="0.3">
      <c r="A2616">
        <v>2615</v>
      </c>
      <c r="B2616" t="s">
        <v>3645</v>
      </c>
      <c r="C2616" t="str">
        <f t="shared" si="360"/>
        <v>EMP_2615</v>
      </c>
      <c r="D2616" t="s">
        <v>11</v>
      </c>
      <c r="E2616" t="str">
        <f t="shared" si="361"/>
        <v>EMP_2615Sales</v>
      </c>
      <c r="F2616" t="s">
        <v>7</v>
      </c>
      <c r="G2616" t="s">
        <v>13</v>
      </c>
      <c r="H2616">
        <v>23343</v>
      </c>
      <c r="I2616">
        <v>10415</v>
      </c>
      <c r="J2616">
        <v>159675</v>
      </c>
      <c r="K2616">
        <v>202407</v>
      </c>
      <c r="L2616" s="4">
        <v>44840</v>
      </c>
      <c r="M2616" s="4" t="str">
        <f t="shared" si="362"/>
        <v>2022</v>
      </c>
      <c r="N2616" s="1">
        <f t="shared" ca="1" si="363"/>
        <v>46064</v>
      </c>
      <c r="O2616" s="6">
        <f t="shared" ca="1" si="364"/>
        <v>3</v>
      </c>
      <c r="P2616">
        <v>5</v>
      </c>
      <c r="Q2616">
        <f t="shared" si="365"/>
        <v>33758</v>
      </c>
      <c r="R2616" s="2">
        <f t="shared" si="366"/>
        <v>16879</v>
      </c>
      <c r="S2616" s="2" t="str">
        <f t="shared" si="367"/>
        <v xml:space="preserve"> Not Achieved</v>
      </c>
      <c r="T2616" s="2" t="str">
        <f t="shared" si="368"/>
        <v>poor</v>
      </c>
      <c r="U2616" s="2"/>
    </row>
    <row r="2617" spans="1:21" x14ac:dyDescent="0.3">
      <c r="A2617">
        <v>2616</v>
      </c>
      <c r="B2617" t="s">
        <v>3646</v>
      </c>
      <c r="C2617" t="str">
        <f t="shared" si="360"/>
        <v>EMP_2616</v>
      </c>
      <c r="D2617" t="s">
        <v>11</v>
      </c>
      <c r="E2617" t="str">
        <f t="shared" si="361"/>
        <v>EMP_2616Sales</v>
      </c>
      <c r="F2617" t="s">
        <v>7</v>
      </c>
      <c r="G2617" t="s">
        <v>13</v>
      </c>
      <c r="H2617">
        <v>65390</v>
      </c>
      <c r="I2617">
        <v>13061</v>
      </c>
      <c r="J2617">
        <v>58529</v>
      </c>
      <c r="K2617">
        <v>137277</v>
      </c>
      <c r="L2617" s="4" t="s">
        <v>135</v>
      </c>
      <c r="M2617" s="4" t="str">
        <f t="shared" si="362"/>
        <v>3/15/2020</v>
      </c>
      <c r="N2617" s="1">
        <f t="shared" ca="1" si="363"/>
        <v>46064</v>
      </c>
      <c r="O2617" s="6" t="e">
        <f t="shared" ca="1" si="364"/>
        <v>#VALUE!</v>
      </c>
      <c r="P2617">
        <v>1</v>
      </c>
      <c r="Q2617">
        <f t="shared" si="365"/>
        <v>78451</v>
      </c>
      <c r="R2617" s="2">
        <f t="shared" si="366"/>
        <v>39225.5</v>
      </c>
      <c r="S2617" s="2" t="str">
        <f t="shared" si="367"/>
        <v xml:space="preserve"> Not Achieved</v>
      </c>
      <c r="T2617" s="2" t="str">
        <f t="shared" si="368"/>
        <v xml:space="preserve"> Excellent</v>
      </c>
      <c r="U2617" s="2"/>
    </row>
    <row r="2618" spans="1:21" x14ac:dyDescent="0.3">
      <c r="A2618">
        <v>2617</v>
      </c>
      <c r="B2618" t="s">
        <v>3647</v>
      </c>
      <c r="C2618" t="str">
        <f t="shared" si="360"/>
        <v>EMP_2617</v>
      </c>
      <c r="D2618" t="s">
        <v>11</v>
      </c>
      <c r="E2618" t="str">
        <f t="shared" si="361"/>
        <v>EMP_2617Sales</v>
      </c>
      <c r="F2618" t="s">
        <v>7</v>
      </c>
      <c r="G2618" t="s">
        <v>25</v>
      </c>
      <c r="H2618">
        <v>64607</v>
      </c>
      <c r="I2618">
        <v>4940</v>
      </c>
      <c r="J2618">
        <v>259797</v>
      </c>
      <c r="K2618">
        <v>140082</v>
      </c>
      <c r="L2618" s="4">
        <v>43503</v>
      </c>
      <c r="M2618" s="4" t="str">
        <f t="shared" si="362"/>
        <v>2019</v>
      </c>
      <c r="N2618" s="1">
        <f t="shared" ca="1" si="363"/>
        <v>46064</v>
      </c>
      <c r="O2618" s="6">
        <f t="shared" ca="1" si="364"/>
        <v>7</v>
      </c>
      <c r="P2618">
        <v>1</v>
      </c>
      <c r="Q2618">
        <f t="shared" si="365"/>
        <v>69547</v>
      </c>
      <c r="R2618" s="2">
        <f t="shared" si="366"/>
        <v>34773.5</v>
      </c>
      <c r="S2618" s="2" t="str">
        <f t="shared" si="367"/>
        <v>Achieved</v>
      </c>
      <c r="T2618" s="2" t="str">
        <f t="shared" si="368"/>
        <v xml:space="preserve"> Excellent</v>
      </c>
      <c r="U2618" s="2"/>
    </row>
    <row r="2619" spans="1:21" x14ac:dyDescent="0.3">
      <c r="A2619">
        <v>2618</v>
      </c>
      <c r="B2619" t="s">
        <v>3648</v>
      </c>
      <c r="C2619" t="str">
        <f t="shared" si="360"/>
        <v>EMP_2618</v>
      </c>
      <c r="D2619" t="s">
        <v>11</v>
      </c>
      <c r="E2619" t="str">
        <f t="shared" si="361"/>
        <v>EMP_2618HR</v>
      </c>
      <c r="F2619" t="s">
        <v>12</v>
      </c>
      <c r="G2619" t="s">
        <v>22</v>
      </c>
      <c r="H2619">
        <v>22633</v>
      </c>
      <c r="I2619">
        <v>6573</v>
      </c>
      <c r="J2619">
        <v>0</v>
      </c>
      <c r="K2619">
        <v>0</v>
      </c>
      <c r="L2619" s="4" t="s">
        <v>347</v>
      </c>
      <c r="M2619" s="4" t="str">
        <f t="shared" si="362"/>
        <v>8/21/2024</v>
      </c>
      <c r="N2619" s="1">
        <f t="shared" ca="1" si="363"/>
        <v>46064</v>
      </c>
      <c r="O2619" s="6" t="e">
        <f t="shared" ca="1" si="364"/>
        <v>#VALUE!</v>
      </c>
      <c r="P2619">
        <v>3</v>
      </c>
      <c r="Q2619">
        <f t="shared" si="365"/>
        <v>29206</v>
      </c>
      <c r="R2619" s="2">
        <f t="shared" si="366"/>
        <v>14603</v>
      </c>
      <c r="S2619" s="2" t="str">
        <f t="shared" si="367"/>
        <v xml:space="preserve"> Not Achieved</v>
      </c>
      <c r="T2619" s="2" t="str">
        <f t="shared" si="368"/>
        <v>poor</v>
      </c>
      <c r="U2619" s="2"/>
    </row>
    <row r="2620" spans="1:21" x14ac:dyDescent="0.3">
      <c r="A2620">
        <v>2619</v>
      </c>
      <c r="B2620" t="s">
        <v>3649</v>
      </c>
      <c r="C2620" t="str">
        <f t="shared" si="360"/>
        <v>EMP_2619</v>
      </c>
      <c r="D2620" t="s">
        <v>11</v>
      </c>
      <c r="E2620" t="str">
        <f t="shared" si="361"/>
        <v>EMP_2619Marketing</v>
      </c>
      <c r="F2620" t="s">
        <v>24</v>
      </c>
      <c r="G2620" t="s">
        <v>25</v>
      </c>
      <c r="H2620">
        <v>30889</v>
      </c>
      <c r="I2620">
        <v>13927</v>
      </c>
      <c r="J2620">
        <v>0</v>
      </c>
      <c r="K2620">
        <v>0</v>
      </c>
      <c r="L2620" s="4">
        <v>45272</v>
      </c>
      <c r="M2620" s="4" t="str">
        <f t="shared" si="362"/>
        <v>2023</v>
      </c>
      <c r="N2620" s="1">
        <f t="shared" ca="1" si="363"/>
        <v>46064</v>
      </c>
      <c r="O2620" s="6">
        <f t="shared" ca="1" si="364"/>
        <v>2</v>
      </c>
      <c r="P2620">
        <v>4</v>
      </c>
      <c r="Q2620">
        <f t="shared" si="365"/>
        <v>44816</v>
      </c>
      <c r="R2620" s="2">
        <f t="shared" si="366"/>
        <v>22408</v>
      </c>
      <c r="S2620" s="2" t="str">
        <f t="shared" si="367"/>
        <v xml:space="preserve"> Not Achieved</v>
      </c>
      <c r="T2620" s="2" t="str">
        <f t="shared" si="368"/>
        <v>Average</v>
      </c>
      <c r="U2620" s="2"/>
    </row>
    <row r="2621" spans="1:21" x14ac:dyDescent="0.3">
      <c r="A2621">
        <v>2620</v>
      </c>
      <c r="B2621" t="s">
        <v>3650</v>
      </c>
      <c r="C2621" t="str">
        <f t="shared" si="360"/>
        <v>EMP_2620</v>
      </c>
      <c r="D2621" t="s">
        <v>11</v>
      </c>
      <c r="E2621" t="str">
        <f t="shared" si="361"/>
        <v>EMP_2620IT</v>
      </c>
      <c r="F2621" t="s">
        <v>21</v>
      </c>
      <c r="G2621" t="s">
        <v>16</v>
      </c>
      <c r="H2621">
        <v>78121</v>
      </c>
      <c r="I2621">
        <v>10405</v>
      </c>
      <c r="J2621">
        <v>0</v>
      </c>
      <c r="K2621">
        <v>0</v>
      </c>
      <c r="L2621" s="4" t="s">
        <v>2802</v>
      </c>
      <c r="M2621" s="4" t="str">
        <f t="shared" si="362"/>
        <v>5/16/2019</v>
      </c>
      <c r="N2621" s="1">
        <f t="shared" ca="1" si="363"/>
        <v>46064</v>
      </c>
      <c r="O2621" s="6" t="e">
        <f t="shared" ca="1" si="364"/>
        <v>#VALUE!</v>
      </c>
      <c r="P2621">
        <v>5</v>
      </c>
      <c r="Q2621">
        <f t="shared" si="365"/>
        <v>88526</v>
      </c>
      <c r="R2621" s="2">
        <f t="shared" si="366"/>
        <v>44263</v>
      </c>
      <c r="S2621" s="2" t="str">
        <f t="shared" si="367"/>
        <v xml:space="preserve"> Not Achieved</v>
      </c>
      <c r="T2621" s="2" t="str">
        <f t="shared" si="368"/>
        <v xml:space="preserve"> Excellent</v>
      </c>
      <c r="U2621" s="2"/>
    </row>
    <row r="2622" spans="1:21" x14ac:dyDescent="0.3">
      <c r="A2622">
        <v>2621</v>
      </c>
      <c r="B2622" t="s">
        <v>3651</v>
      </c>
      <c r="C2622" t="str">
        <f t="shared" si="360"/>
        <v>EMP_2621</v>
      </c>
      <c r="D2622" t="s">
        <v>11</v>
      </c>
      <c r="E2622" t="str">
        <f t="shared" si="361"/>
        <v>EMP_2621Finance</v>
      </c>
      <c r="F2622" t="s">
        <v>18</v>
      </c>
      <c r="G2622" t="s">
        <v>22</v>
      </c>
      <c r="H2622">
        <v>73602</v>
      </c>
      <c r="I2622">
        <v>2335</v>
      </c>
      <c r="J2622">
        <v>0</v>
      </c>
      <c r="K2622">
        <v>0</v>
      </c>
      <c r="L2622" s="4" t="s">
        <v>370</v>
      </c>
      <c r="M2622" s="4" t="str">
        <f t="shared" si="362"/>
        <v>11/26/2023</v>
      </c>
      <c r="N2622" s="1">
        <f t="shared" ca="1" si="363"/>
        <v>46064</v>
      </c>
      <c r="O2622" s="6" t="e">
        <f t="shared" ca="1" si="364"/>
        <v>#VALUE!</v>
      </c>
      <c r="P2622">
        <v>1</v>
      </c>
      <c r="Q2622">
        <f t="shared" si="365"/>
        <v>75937</v>
      </c>
      <c r="R2622" s="2">
        <f t="shared" si="366"/>
        <v>37968.5</v>
      </c>
      <c r="S2622" s="2" t="str">
        <f t="shared" si="367"/>
        <v xml:space="preserve"> Not Achieved</v>
      </c>
      <c r="T2622" s="2" t="str">
        <f t="shared" si="368"/>
        <v xml:space="preserve"> Excellent</v>
      </c>
      <c r="U2622" s="2"/>
    </row>
    <row r="2623" spans="1:21" x14ac:dyDescent="0.3">
      <c r="A2623">
        <v>2622</v>
      </c>
      <c r="B2623" t="s">
        <v>3652</v>
      </c>
      <c r="C2623" t="str">
        <f t="shared" si="360"/>
        <v>EMP_2622</v>
      </c>
      <c r="D2623" t="s">
        <v>11</v>
      </c>
      <c r="E2623" t="str">
        <f t="shared" si="361"/>
        <v>EMP_2622Finance</v>
      </c>
      <c r="F2623" t="s">
        <v>18</v>
      </c>
      <c r="G2623" t="s">
        <v>25</v>
      </c>
      <c r="H2623">
        <v>33977</v>
      </c>
      <c r="I2623">
        <v>3025</v>
      </c>
      <c r="J2623">
        <v>0</v>
      </c>
      <c r="K2623">
        <v>0</v>
      </c>
      <c r="L2623" s="4">
        <v>44200</v>
      </c>
      <c r="M2623" s="4" t="str">
        <f t="shared" si="362"/>
        <v>2021</v>
      </c>
      <c r="N2623" s="1">
        <f t="shared" ca="1" si="363"/>
        <v>46064</v>
      </c>
      <c r="O2623" s="6">
        <f t="shared" ca="1" si="364"/>
        <v>5</v>
      </c>
      <c r="P2623">
        <v>5</v>
      </c>
      <c r="Q2623">
        <f t="shared" si="365"/>
        <v>37002</v>
      </c>
      <c r="R2623" s="2">
        <f t="shared" si="366"/>
        <v>18501</v>
      </c>
      <c r="S2623" s="2" t="str">
        <f t="shared" si="367"/>
        <v xml:space="preserve"> Not Achieved</v>
      </c>
      <c r="T2623" s="2" t="str">
        <f t="shared" si="368"/>
        <v>Average</v>
      </c>
      <c r="U2623" s="2"/>
    </row>
    <row r="2624" spans="1:21" x14ac:dyDescent="0.3">
      <c r="A2624">
        <v>2623</v>
      </c>
      <c r="B2624" t="s">
        <v>3653</v>
      </c>
      <c r="C2624" t="str">
        <f t="shared" si="360"/>
        <v>EMP_2623</v>
      </c>
      <c r="D2624" t="s">
        <v>11</v>
      </c>
      <c r="E2624" t="str">
        <f t="shared" si="361"/>
        <v>EMP_2623Marketing</v>
      </c>
      <c r="F2624" t="s">
        <v>24</v>
      </c>
      <c r="G2624" t="s">
        <v>22</v>
      </c>
      <c r="H2624">
        <v>36053</v>
      </c>
      <c r="I2624">
        <v>14689</v>
      </c>
      <c r="J2624">
        <v>0</v>
      </c>
      <c r="K2624">
        <v>0</v>
      </c>
      <c r="L2624" s="4" t="s">
        <v>810</v>
      </c>
      <c r="M2624" s="4" t="str">
        <f t="shared" si="362"/>
        <v>10/31/2020</v>
      </c>
      <c r="N2624" s="1">
        <f t="shared" ca="1" si="363"/>
        <v>46064</v>
      </c>
      <c r="O2624" s="6" t="e">
        <f t="shared" ca="1" si="364"/>
        <v>#VALUE!</v>
      </c>
      <c r="P2624">
        <v>2</v>
      </c>
      <c r="Q2624">
        <f t="shared" si="365"/>
        <v>50742</v>
      </c>
      <c r="R2624" s="2">
        <f t="shared" si="366"/>
        <v>25371</v>
      </c>
      <c r="S2624" s="2" t="str">
        <f t="shared" si="367"/>
        <v xml:space="preserve"> Not Achieved</v>
      </c>
      <c r="T2624" s="2" t="str">
        <f t="shared" si="368"/>
        <v>Average</v>
      </c>
      <c r="U2624" s="2"/>
    </row>
    <row r="2625" spans="1:21" x14ac:dyDescent="0.3">
      <c r="A2625">
        <v>2624</v>
      </c>
      <c r="B2625" t="s">
        <v>3654</v>
      </c>
      <c r="C2625" t="str">
        <f t="shared" si="360"/>
        <v>EMP_2624</v>
      </c>
      <c r="D2625" t="s">
        <v>11</v>
      </c>
      <c r="E2625" t="str">
        <f t="shared" si="361"/>
        <v>EMP_2624Finance</v>
      </c>
      <c r="F2625" t="s">
        <v>18</v>
      </c>
      <c r="G2625" t="s">
        <v>16</v>
      </c>
      <c r="H2625">
        <v>78027</v>
      </c>
      <c r="I2625">
        <v>2385</v>
      </c>
      <c r="J2625">
        <v>0</v>
      </c>
      <c r="K2625">
        <v>0</v>
      </c>
      <c r="L2625" s="4">
        <v>44969</v>
      </c>
      <c r="M2625" s="4" t="str">
        <f t="shared" si="362"/>
        <v>2023</v>
      </c>
      <c r="N2625" s="1">
        <f t="shared" ca="1" si="363"/>
        <v>46064</v>
      </c>
      <c r="O2625" s="6">
        <f t="shared" ca="1" si="364"/>
        <v>2</v>
      </c>
      <c r="P2625">
        <v>1</v>
      </c>
      <c r="Q2625">
        <f t="shared" si="365"/>
        <v>80412</v>
      </c>
      <c r="R2625" s="2">
        <f t="shared" si="366"/>
        <v>40206</v>
      </c>
      <c r="S2625" s="2" t="str">
        <f t="shared" si="367"/>
        <v xml:space="preserve"> Not Achieved</v>
      </c>
      <c r="T2625" s="2" t="str">
        <f t="shared" si="368"/>
        <v xml:space="preserve"> Excellent</v>
      </c>
      <c r="U2625" s="2"/>
    </row>
    <row r="2626" spans="1:21" x14ac:dyDescent="0.3">
      <c r="A2626">
        <v>2625</v>
      </c>
      <c r="B2626" t="s">
        <v>3655</v>
      </c>
      <c r="C2626" t="str">
        <f t="shared" si="360"/>
        <v>EMP_2625</v>
      </c>
      <c r="D2626" t="s">
        <v>15</v>
      </c>
      <c r="E2626" t="str">
        <f t="shared" si="361"/>
        <v>EMP_2625Marketing</v>
      </c>
      <c r="F2626" t="s">
        <v>24</v>
      </c>
      <c r="G2626" t="s">
        <v>19</v>
      </c>
      <c r="H2626">
        <v>49097</v>
      </c>
      <c r="I2626">
        <v>4451</v>
      </c>
      <c r="J2626">
        <v>0</v>
      </c>
      <c r="K2626">
        <v>0</v>
      </c>
      <c r="L2626" s="4" t="s">
        <v>2049</v>
      </c>
      <c r="M2626" s="4" t="str">
        <f t="shared" si="362"/>
        <v>1/29/2019</v>
      </c>
      <c r="N2626" s="1">
        <f t="shared" ca="1" si="363"/>
        <v>46064</v>
      </c>
      <c r="O2626" s="6" t="e">
        <f t="shared" ca="1" si="364"/>
        <v>#VALUE!</v>
      </c>
      <c r="P2626">
        <v>1</v>
      </c>
      <c r="Q2626">
        <f t="shared" si="365"/>
        <v>53548</v>
      </c>
      <c r="R2626" s="2">
        <f t="shared" si="366"/>
        <v>26774</v>
      </c>
      <c r="S2626" s="2" t="str">
        <f t="shared" si="367"/>
        <v xml:space="preserve"> Not Achieved</v>
      </c>
      <c r="T2626" s="2" t="str">
        <f t="shared" si="368"/>
        <v>Good</v>
      </c>
      <c r="U2626" s="2"/>
    </row>
    <row r="2627" spans="1:21" x14ac:dyDescent="0.3">
      <c r="A2627">
        <v>2626</v>
      </c>
      <c r="B2627" t="s">
        <v>3656</v>
      </c>
      <c r="C2627" t="str">
        <f t="shared" ref="C2627:C2690" si="369">UPPER(B2627)</f>
        <v>EMP_2626</v>
      </c>
      <c r="D2627" t="s">
        <v>15</v>
      </c>
      <c r="E2627" t="str">
        <f t="shared" ref="E2627:E2690" si="370">_xlfn.CONCAT(C2627,F2627)</f>
        <v>EMP_2626IT</v>
      </c>
      <c r="F2627" t="s">
        <v>21</v>
      </c>
      <c r="G2627" t="s">
        <v>13</v>
      </c>
      <c r="H2627">
        <v>49211</v>
      </c>
      <c r="I2627">
        <v>4707</v>
      </c>
      <c r="J2627">
        <v>0</v>
      </c>
      <c r="K2627">
        <v>0</v>
      </c>
      <c r="L2627" s="4">
        <v>45293</v>
      </c>
      <c r="M2627" s="4" t="str">
        <f t="shared" ref="M2627:M2690" si="371">TEXT(L2627,"yyyy")</f>
        <v>2024</v>
      </c>
      <c r="N2627" s="1">
        <f t="shared" ref="N2627:N2690" ca="1" si="372">TODAY()</f>
        <v>46064</v>
      </c>
      <c r="O2627" s="6">
        <f t="shared" ref="O2627:O2690" ca="1" si="373">DATEDIF(L2627, TODAY(), "y")</f>
        <v>2</v>
      </c>
      <c r="P2627">
        <v>1</v>
      </c>
      <c r="Q2627">
        <f t="shared" ref="Q2627:Q2690" si="374">SUM(H2627,I2627)</f>
        <v>53918</v>
      </c>
      <c r="R2627" s="2">
        <f t="shared" ref="R2627:R2690" si="375">AVERAGE(H2627,I2627)</f>
        <v>26959</v>
      </c>
      <c r="S2627" s="2" t="str">
        <f t="shared" ref="S2627:S2690" si="376">IF(J2627&gt;K2627,"Achieved"," Not Achieved")</f>
        <v xml:space="preserve"> Not Achieved</v>
      </c>
      <c r="T2627" s="2" t="str">
        <f t="shared" ref="T2627:T2690" si="377">_xlfn.IFS(H2627&gt;=50000," Excellent",H2627&gt;=40000,"Good",H2627&gt;=30000,"Average",H2627&lt;30000,"poor")</f>
        <v>Good</v>
      </c>
      <c r="U2627" s="2"/>
    </row>
    <row r="2628" spans="1:21" x14ac:dyDescent="0.3">
      <c r="A2628">
        <v>2627</v>
      </c>
      <c r="B2628" t="s">
        <v>3657</v>
      </c>
      <c r="C2628" t="str">
        <f t="shared" si="369"/>
        <v>EMP_2627</v>
      </c>
      <c r="D2628" t="s">
        <v>11</v>
      </c>
      <c r="E2628" t="str">
        <f t="shared" si="370"/>
        <v>EMP_2627Marketing</v>
      </c>
      <c r="F2628" t="s">
        <v>24</v>
      </c>
      <c r="G2628" t="s">
        <v>25</v>
      </c>
      <c r="H2628">
        <v>77923</v>
      </c>
      <c r="I2628">
        <v>14954</v>
      </c>
      <c r="J2628">
        <v>0</v>
      </c>
      <c r="K2628">
        <v>0</v>
      </c>
      <c r="L2628" s="4">
        <v>43321</v>
      </c>
      <c r="M2628" s="4" t="str">
        <f t="shared" si="371"/>
        <v>2018</v>
      </c>
      <c r="N2628" s="1">
        <f t="shared" ca="1" si="372"/>
        <v>46064</v>
      </c>
      <c r="O2628" s="6">
        <f t="shared" ca="1" si="373"/>
        <v>7</v>
      </c>
      <c r="P2628">
        <v>3</v>
      </c>
      <c r="Q2628">
        <f t="shared" si="374"/>
        <v>92877</v>
      </c>
      <c r="R2628" s="2">
        <f t="shared" si="375"/>
        <v>46438.5</v>
      </c>
      <c r="S2628" s="2" t="str">
        <f t="shared" si="376"/>
        <v xml:space="preserve"> Not Achieved</v>
      </c>
      <c r="T2628" s="2" t="str">
        <f t="shared" si="377"/>
        <v xml:space="preserve"> Excellent</v>
      </c>
      <c r="U2628" s="2"/>
    </row>
    <row r="2629" spans="1:21" x14ac:dyDescent="0.3">
      <c r="A2629">
        <v>2628</v>
      </c>
      <c r="B2629" t="s">
        <v>3658</v>
      </c>
      <c r="C2629" t="str">
        <f t="shared" si="369"/>
        <v>EMP_2628</v>
      </c>
      <c r="D2629" t="s">
        <v>11</v>
      </c>
      <c r="E2629" t="str">
        <f t="shared" si="370"/>
        <v>EMP_2628Marketing</v>
      </c>
      <c r="F2629" t="s">
        <v>24</v>
      </c>
      <c r="G2629" t="s">
        <v>13</v>
      </c>
      <c r="H2629">
        <v>54001</v>
      </c>
      <c r="I2629">
        <v>8320</v>
      </c>
      <c r="J2629">
        <v>0</v>
      </c>
      <c r="K2629">
        <v>0</v>
      </c>
      <c r="L2629" s="4" t="s">
        <v>3659</v>
      </c>
      <c r="M2629" s="4" t="str">
        <f t="shared" si="371"/>
        <v>2/14/2023</v>
      </c>
      <c r="N2629" s="1">
        <f t="shared" ca="1" si="372"/>
        <v>46064</v>
      </c>
      <c r="O2629" s="6" t="e">
        <f t="shared" ca="1" si="373"/>
        <v>#VALUE!</v>
      </c>
      <c r="P2629">
        <v>3</v>
      </c>
      <c r="Q2629">
        <f t="shared" si="374"/>
        <v>62321</v>
      </c>
      <c r="R2629" s="2">
        <f t="shared" si="375"/>
        <v>31160.5</v>
      </c>
      <c r="S2629" s="2" t="str">
        <f t="shared" si="376"/>
        <v xml:space="preserve"> Not Achieved</v>
      </c>
      <c r="T2629" s="2" t="str">
        <f t="shared" si="377"/>
        <v xml:space="preserve"> Excellent</v>
      </c>
      <c r="U2629" s="2"/>
    </row>
    <row r="2630" spans="1:21" x14ac:dyDescent="0.3">
      <c r="A2630">
        <v>2629</v>
      </c>
      <c r="B2630" t="s">
        <v>3660</v>
      </c>
      <c r="C2630" t="str">
        <f t="shared" si="369"/>
        <v>EMP_2629</v>
      </c>
      <c r="D2630" t="s">
        <v>15</v>
      </c>
      <c r="E2630" t="str">
        <f t="shared" si="370"/>
        <v>EMP_2629Sales</v>
      </c>
      <c r="F2630" t="s">
        <v>7</v>
      </c>
      <c r="G2630" t="s">
        <v>25</v>
      </c>
      <c r="H2630">
        <v>26657</v>
      </c>
      <c r="I2630">
        <v>14856</v>
      </c>
      <c r="J2630">
        <v>168930</v>
      </c>
      <c r="K2630">
        <v>156524</v>
      </c>
      <c r="L2630" s="4" t="s">
        <v>438</v>
      </c>
      <c r="M2630" s="4" t="str">
        <f t="shared" si="371"/>
        <v>11/13/2018</v>
      </c>
      <c r="N2630" s="1">
        <f t="shared" ca="1" si="372"/>
        <v>46064</v>
      </c>
      <c r="O2630" s="6" t="e">
        <f t="shared" ca="1" si="373"/>
        <v>#VALUE!</v>
      </c>
      <c r="P2630">
        <v>2</v>
      </c>
      <c r="Q2630">
        <f t="shared" si="374"/>
        <v>41513</v>
      </c>
      <c r="R2630" s="2">
        <f t="shared" si="375"/>
        <v>20756.5</v>
      </c>
      <c r="S2630" s="2" t="str">
        <f t="shared" si="376"/>
        <v>Achieved</v>
      </c>
      <c r="T2630" s="2" t="str">
        <f t="shared" si="377"/>
        <v>poor</v>
      </c>
      <c r="U2630" s="2"/>
    </row>
    <row r="2631" spans="1:21" x14ac:dyDescent="0.3">
      <c r="A2631">
        <v>2630</v>
      </c>
      <c r="B2631" t="s">
        <v>3661</v>
      </c>
      <c r="C2631" t="str">
        <f t="shared" si="369"/>
        <v>EMP_2630</v>
      </c>
      <c r="D2631" t="s">
        <v>15</v>
      </c>
      <c r="E2631" t="str">
        <f t="shared" si="370"/>
        <v>EMP_2630Marketing</v>
      </c>
      <c r="F2631" t="s">
        <v>24</v>
      </c>
      <c r="G2631" t="s">
        <v>19</v>
      </c>
      <c r="H2631">
        <v>68906</v>
      </c>
      <c r="I2631">
        <v>3564</v>
      </c>
      <c r="J2631">
        <v>0</v>
      </c>
      <c r="K2631">
        <v>0</v>
      </c>
      <c r="L2631" s="4" t="s">
        <v>2404</v>
      </c>
      <c r="M2631" s="4" t="str">
        <f t="shared" si="371"/>
        <v>1/27/2018</v>
      </c>
      <c r="N2631" s="1">
        <f t="shared" ca="1" si="372"/>
        <v>46064</v>
      </c>
      <c r="O2631" s="6" t="e">
        <f t="shared" ca="1" si="373"/>
        <v>#VALUE!</v>
      </c>
      <c r="P2631">
        <v>4</v>
      </c>
      <c r="Q2631">
        <f t="shared" si="374"/>
        <v>72470</v>
      </c>
      <c r="R2631" s="2">
        <f t="shared" si="375"/>
        <v>36235</v>
      </c>
      <c r="S2631" s="2" t="str">
        <f t="shared" si="376"/>
        <v xml:space="preserve"> Not Achieved</v>
      </c>
      <c r="T2631" s="2" t="str">
        <f t="shared" si="377"/>
        <v xml:space="preserve"> Excellent</v>
      </c>
      <c r="U2631" s="2"/>
    </row>
    <row r="2632" spans="1:21" x14ac:dyDescent="0.3">
      <c r="A2632">
        <v>2631</v>
      </c>
      <c r="B2632" t="s">
        <v>3662</v>
      </c>
      <c r="C2632" t="str">
        <f t="shared" si="369"/>
        <v>EMP_2631</v>
      </c>
      <c r="D2632" t="s">
        <v>11</v>
      </c>
      <c r="E2632" t="str">
        <f t="shared" si="370"/>
        <v>EMP_2631HR</v>
      </c>
      <c r="F2632" t="s">
        <v>12</v>
      </c>
      <c r="G2632" t="s">
        <v>16</v>
      </c>
      <c r="H2632">
        <v>47050</v>
      </c>
      <c r="I2632">
        <v>5349</v>
      </c>
      <c r="J2632">
        <v>0</v>
      </c>
      <c r="K2632">
        <v>0</v>
      </c>
      <c r="L2632" s="4" t="s">
        <v>201</v>
      </c>
      <c r="M2632" s="4" t="str">
        <f t="shared" si="371"/>
        <v>3/30/2023</v>
      </c>
      <c r="N2632" s="1">
        <f t="shared" ca="1" si="372"/>
        <v>46064</v>
      </c>
      <c r="O2632" s="6" t="e">
        <f t="shared" ca="1" si="373"/>
        <v>#VALUE!</v>
      </c>
      <c r="P2632">
        <v>1</v>
      </c>
      <c r="Q2632">
        <f t="shared" si="374"/>
        <v>52399</v>
      </c>
      <c r="R2632" s="2">
        <f t="shared" si="375"/>
        <v>26199.5</v>
      </c>
      <c r="S2632" s="2" t="str">
        <f t="shared" si="376"/>
        <v xml:space="preserve"> Not Achieved</v>
      </c>
      <c r="T2632" s="2" t="str">
        <f t="shared" si="377"/>
        <v>Good</v>
      </c>
      <c r="U2632" s="2"/>
    </row>
    <row r="2633" spans="1:21" x14ac:dyDescent="0.3">
      <c r="A2633">
        <v>2632</v>
      </c>
      <c r="B2633" t="s">
        <v>3663</v>
      </c>
      <c r="C2633" t="str">
        <f t="shared" si="369"/>
        <v>EMP_2632</v>
      </c>
      <c r="D2633" t="s">
        <v>11</v>
      </c>
      <c r="E2633" t="str">
        <f t="shared" si="370"/>
        <v>EMP_2632HR</v>
      </c>
      <c r="F2633" t="s">
        <v>12</v>
      </c>
      <c r="G2633" t="s">
        <v>19</v>
      </c>
      <c r="H2633">
        <v>21362</v>
      </c>
      <c r="I2633">
        <v>11439</v>
      </c>
      <c r="J2633">
        <v>0</v>
      </c>
      <c r="K2633">
        <v>0</v>
      </c>
      <c r="L2633" s="4">
        <v>43740</v>
      </c>
      <c r="M2633" s="4" t="str">
        <f t="shared" si="371"/>
        <v>2019</v>
      </c>
      <c r="N2633" s="1">
        <f t="shared" ca="1" si="372"/>
        <v>46064</v>
      </c>
      <c r="O2633" s="6">
        <f t="shared" ca="1" si="373"/>
        <v>6</v>
      </c>
      <c r="P2633">
        <v>4</v>
      </c>
      <c r="Q2633">
        <f t="shared" si="374"/>
        <v>32801</v>
      </c>
      <c r="R2633" s="2">
        <f t="shared" si="375"/>
        <v>16400.5</v>
      </c>
      <c r="S2633" s="2" t="str">
        <f t="shared" si="376"/>
        <v xml:space="preserve"> Not Achieved</v>
      </c>
      <c r="T2633" s="2" t="str">
        <f t="shared" si="377"/>
        <v>poor</v>
      </c>
      <c r="U2633" s="2"/>
    </row>
    <row r="2634" spans="1:21" x14ac:dyDescent="0.3">
      <c r="A2634">
        <v>2633</v>
      </c>
      <c r="B2634" t="s">
        <v>3664</v>
      </c>
      <c r="C2634" t="str">
        <f t="shared" si="369"/>
        <v>EMP_2633</v>
      </c>
      <c r="D2634" t="s">
        <v>11</v>
      </c>
      <c r="E2634" t="str">
        <f t="shared" si="370"/>
        <v>EMP_2633Finance</v>
      </c>
      <c r="F2634" t="s">
        <v>18</v>
      </c>
      <c r="G2634" t="s">
        <v>19</v>
      </c>
      <c r="H2634">
        <v>37263</v>
      </c>
      <c r="I2634">
        <v>9163</v>
      </c>
      <c r="J2634">
        <v>0</v>
      </c>
      <c r="K2634">
        <v>0</v>
      </c>
      <c r="L2634" s="4">
        <v>43143</v>
      </c>
      <c r="M2634" s="4" t="str">
        <f t="shared" si="371"/>
        <v>2018</v>
      </c>
      <c r="N2634" s="1">
        <f t="shared" ca="1" si="372"/>
        <v>46064</v>
      </c>
      <c r="O2634" s="6">
        <f t="shared" ca="1" si="373"/>
        <v>7</v>
      </c>
      <c r="P2634">
        <v>4</v>
      </c>
      <c r="Q2634">
        <f t="shared" si="374"/>
        <v>46426</v>
      </c>
      <c r="R2634" s="2">
        <f t="shared" si="375"/>
        <v>23213</v>
      </c>
      <c r="S2634" s="2" t="str">
        <f t="shared" si="376"/>
        <v xml:space="preserve"> Not Achieved</v>
      </c>
      <c r="T2634" s="2" t="str">
        <f t="shared" si="377"/>
        <v>Average</v>
      </c>
      <c r="U2634" s="2"/>
    </row>
    <row r="2635" spans="1:21" x14ac:dyDescent="0.3">
      <c r="A2635">
        <v>2634</v>
      </c>
      <c r="B2635" t="s">
        <v>3665</v>
      </c>
      <c r="C2635" t="str">
        <f t="shared" si="369"/>
        <v>EMP_2634</v>
      </c>
      <c r="D2635" t="s">
        <v>11</v>
      </c>
      <c r="E2635" t="str">
        <f t="shared" si="370"/>
        <v>EMP_2634Sales</v>
      </c>
      <c r="F2635" t="s">
        <v>7</v>
      </c>
      <c r="G2635" t="s">
        <v>13</v>
      </c>
      <c r="H2635">
        <v>35607</v>
      </c>
      <c r="I2635">
        <v>8698</v>
      </c>
      <c r="J2635">
        <v>246362</v>
      </c>
      <c r="K2635">
        <v>111562</v>
      </c>
      <c r="L2635" s="4">
        <v>43228</v>
      </c>
      <c r="M2635" s="4" t="str">
        <f t="shared" si="371"/>
        <v>2018</v>
      </c>
      <c r="N2635" s="1">
        <f t="shared" ca="1" si="372"/>
        <v>46064</v>
      </c>
      <c r="O2635" s="6">
        <f t="shared" ca="1" si="373"/>
        <v>7</v>
      </c>
      <c r="P2635">
        <v>2</v>
      </c>
      <c r="Q2635">
        <f t="shared" si="374"/>
        <v>44305</v>
      </c>
      <c r="R2635" s="2">
        <f t="shared" si="375"/>
        <v>22152.5</v>
      </c>
      <c r="S2635" s="2" t="str">
        <f t="shared" si="376"/>
        <v>Achieved</v>
      </c>
      <c r="T2635" s="2" t="str">
        <f t="shared" si="377"/>
        <v>Average</v>
      </c>
      <c r="U2635" s="2"/>
    </row>
    <row r="2636" spans="1:21" x14ac:dyDescent="0.3">
      <c r="A2636">
        <v>2635</v>
      </c>
      <c r="B2636" t="s">
        <v>3666</v>
      </c>
      <c r="C2636" t="str">
        <f t="shared" si="369"/>
        <v>EMP_2635</v>
      </c>
      <c r="D2636" t="s">
        <v>11</v>
      </c>
      <c r="E2636" t="str">
        <f t="shared" si="370"/>
        <v>EMP_2635IT</v>
      </c>
      <c r="F2636" t="s">
        <v>21</v>
      </c>
      <c r="G2636" t="s">
        <v>25</v>
      </c>
      <c r="H2636">
        <v>79041</v>
      </c>
      <c r="I2636">
        <v>13813</v>
      </c>
      <c r="J2636">
        <v>0</v>
      </c>
      <c r="K2636">
        <v>0</v>
      </c>
      <c r="L2636" s="4">
        <v>44258</v>
      </c>
      <c r="M2636" s="4" t="str">
        <f t="shared" si="371"/>
        <v>2021</v>
      </c>
      <c r="N2636" s="1">
        <f t="shared" ca="1" si="372"/>
        <v>46064</v>
      </c>
      <c r="O2636" s="6">
        <f t="shared" ca="1" si="373"/>
        <v>4</v>
      </c>
      <c r="P2636">
        <v>5</v>
      </c>
      <c r="Q2636">
        <f t="shared" si="374"/>
        <v>92854</v>
      </c>
      <c r="R2636" s="2">
        <f t="shared" si="375"/>
        <v>46427</v>
      </c>
      <c r="S2636" s="2" t="str">
        <f t="shared" si="376"/>
        <v xml:space="preserve"> Not Achieved</v>
      </c>
      <c r="T2636" s="2" t="str">
        <f t="shared" si="377"/>
        <v xml:space="preserve"> Excellent</v>
      </c>
      <c r="U2636" s="2"/>
    </row>
    <row r="2637" spans="1:21" x14ac:dyDescent="0.3">
      <c r="A2637">
        <v>2636</v>
      </c>
      <c r="B2637" t="s">
        <v>3667</v>
      </c>
      <c r="C2637" t="str">
        <f t="shared" si="369"/>
        <v>EMP_2636</v>
      </c>
      <c r="D2637" t="s">
        <v>15</v>
      </c>
      <c r="E2637" t="str">
        <f t="shared" si="370"/>
        <v>EMP_2636Finance</v>
      </c>
      <c r="F2637" t="s">
        <v>18</v>
      </c>
      <c r="G2637" t="s">
        <v>13</v>
      </c>
      <c r="H2637">
        <v>68620</v>
      </c>
      <c r="I2637">
        <v>8451</v>
      </c>
      <c r="J2637">
        <v>0</v>
      </c>
      <c r="K2637">
        <v>0</v>
      </c>
      <c r="L2637" s="4">
        <v>45114</v>
      </c>
      <c r="M2637" s="4" t="str">
        <f t="shared" si="371"/>
        <v>2023</v>
      </c>
      <c r="N2637" s="1">
        <f t="shared" ca="1" si="372"/>
        <v>46064</v>
      </c>
      <c r="O2637" s="6">
        <f t="shared" ca="1" si="373"/>
        <v>2</v>
      </c>
      <c r="P2637">
        <v>4</v>
      </c>
      <c r="Q2637">
        <f t="shared" si="374"/>
        <v>77071</v>
      </c>
      <c r="R2637" s="2">
        <f t="shared" si="375"/>
        <v>38535.5</v>
      </c>
      <c r="S2637" s="2" t="str">
        <f t="shared" si="376"/>
        <v xml:space="preserve"> Not Achieved</v>
      </c>
      <c r="T2637" s="2" t="str">
        <f t="shared" si="377"/>
        <v xml:space="preserve"> Excellent</v>
      </c>
      <c r="U2637" s="2"/>
    </row>
    <row r="2638" spans="1:21" x14ac:dyDescent="0.3">
      <c r="A2638">
        <v>2637</v>
      </c>
      <c r="B2638" t="s">
        <v>3668</v>
      </c>
      <c r="C2638" t="str">
        <f t="shared" si="369"/>
        <v>EMP_2637</v>
      </c>
      <c r="D2638" t="s">
        <v>11</v>
      </c>
      <c r="E2638" t="str">
        <f t="shared" si="370"/>
        <v>EMP_2637IT</v>
      </c>
      <c r="F2638" t="s">
        <v>21</v>
      </c>
      <c r="G2638" t="s">
        <v>16</v>
      </c>
      <c r="H2638">
        <v>72469</v>
      </c>
      <c r="I2638">
        <v>9062</v>
      </c>
      <c r="J2638">
        <v>0</v>
      </c>
      <c r="K2638">
        <v>0</v>
      </c>
      <c r="L2638" s="4" t="s">
        <v>3669</v>
      </c>
      <c r="M2638" s="4" t="str">
        <f t="shared" si="371"/>
        <v>2/16/2018</v>
      </c>
      <c r="N2638" s="1">
        <f t="shared" ca="1" si="372"/>
        <v>46064</v>
      </c>
      <c r="O2638" s="6" t="e">
        <f t="shared" ca="1" si="373"/>
        <v>#VALUE!</v>
      </c>
      <c r="P2638">
        <v>4</v>
      </c>
      <c r="Q2638">
        <f t="shared" si="374"/>
        <v>81531</v>
      </c>
      <c r="R2638" s="2">
        <f t="shared" si="375"/>
        <v>40765.5</v>
      </c>
      <c r="S2638" s="2" t="str">
        <f t="shared" si="376"/>
        <v xml:space="preserve"> Not Achieved</v>
      </c>
      <c r="T2638" s="2" t="str">
        <f t="shared" si="377"/>
        <v xml:space="preserve"> Excellent</v>
      </c>
      <c r="U2638" s="2"/>
    </row>
    <row r="2639" spans="1:21" x14ac:dyDescent="0.3">
      <c r="A2639">
        <v>2638</v>
      </c>
      <c r="B2639" t="s">
        <v>3670</v>
      </c>
      <c r="C2639" t="str">
        <f t="shared" si="369"/>
        <v>EMP_2638</v>
      </c>
      <c r="D2639" t="s">
        <v>11</v>
      </c>
      <c r="E2639" t="str">
        <f t="shared" si="370"/>
        <v>EMP_2638Marketing</v>
      </c>
      <c r="F2639" t="s">
        <v>24</v>
      </c>
      <c r="G2639" t="s">
        <v>16</v>
      </c>
      <c r="H2639">
        <v>71999</v>
      </c>
      <c r="I2639">
        <v>8344</v>
      </c>
      <c r="J2639">
        <v>0</v>
      </c>
      <c r="K2639">
        <v>0</v>
      </c>
      <c r="L2639" s="4">
        <v>45604</v>
      </c>
      <c r="M2639" s="4" t="str">
        <f t="shared" si="371"/>
        <v>2024</v>
      </c>
      <c r="N2639" s="1">
        <f t="shared" ca="1" si="372"/>
        <v>46064</v>
      </c>
      <c r="O2639" s="6">
        <f t="shared" ca="1" si="373"/>
        <v>1</v>
      </c>
      <c r="P2639">
        <v>3</v>
      </c>
      <c r="Q2639">
        <f t="shared" si="374"/>
        <v>80343</v>
      </c>
      <c r="R2639" s="2">
        <f t="shared" si="375"/>
        <v>40171.5</v>
      </c>
      <c r="S2639" s="2" t="str">
        <f t="shared" si="376"/>
        <v xml:space="preserve"> Not Achieved</v>
      </c>
      <c r="T2639" s="2" t="str">
        <f t="shared" si="377"/>
        <v xml:space="preserve"> Excellent</v>
      </c>
      <c r="U2639" s="2"/>
    </row>
    <row r="2640" spans="1:21" x14ac:dyDescent="0.3">
      <c r="A2640">
        <v>2639</v>
      </c>
      <c r="B2640" t="s">
        <v>3671</v>
      </c>
      <c r="C2640" t="str">
        <f t="shared" si="369"/>
        <v>EMP_2639</v>
      </c>
      <c r="D2640" t="s">
        <v>11</v>
      </c>
      <c r="E2640" t="str">
        <f t="shared" si="370"/>
        <v>EMP_2639IT</v>
      </c>
      <c r="F2640" t="s">
        <v>21</v>
      </c>
      <c r="G2640" t="s">
        <v>25</v>
      </c>
      <c r="H2640">
        <v>29180</v>
      </c>
      <c r="I2640">
        <v>3131</v>
      </c>
      <c r="J2640">
        <v>0</v>
      </c>
      <c r="K2640">
        <v>0</v>
      </c>
      <c r="L2640" s="4" t="s">
        <v>1117</v>
      </c>
      <c r="M2640" s="4" t="str">
        <f t="shared" si="371"/>
        <v>1/27/2024</v>
      </c>
      <c r="N2640" s="1">
        <f t="shared" ca="1" si="372"/>
        <v>46064</v>
      </c>
      <c r="O2640" s="6" t="e">
        <f t="shared" ca="1" si="373"/>
        <v>#VALUE!</v>
      </c>
      <c r="P2640">
        <v>3</v>
      </c>
      <c r="Q2640">
        <f t="shared" si="374"/>
        <v>32311</v>
      </c>
      <c r="R2640" s="2">
        <f t="shared" si="375"/>
        <v>16155.5</v>
      </c>
      <c r="S2640" s="2" t="str">
        <f t="shared" si="376"/>
        <v xml:space="preserve"> Not Achieved</v>
      </c>
      <c r="T2640" s="2" t="str">
        <f t="shared" si="377"/>
        <v>poor</v>
      </c>
      <c r="U2640" s="2"/>
    </row>
    <row r="2641" spans="1:21" x14ac:dyDescent="0.3">
      <c r="A2641">
        <v>2640</v>
      </c>
      <c r="B2641" t="s">
        <v>3672</v>
      </c>
      <c r="C2641" t="str">
        <f t="shared" si="369"/>
        <v>EMP_2640</v>
      </c>
      <c r="D2641" t="s">
        <v>15</v>
      </c>
      <c r="E2641" t="str">
        <f t="shared" si="370"/>
        <v>EMP_2640IT</v>
      </c>
      <c r="F2641" t="s">
        <v>21</v>
      </c>
      <c r="G2641" t="s">
        <v>13</v>
      </c>
      <c r="H2641">
        <v>64226</v>
      </c>
      <c r="I2641">
        <v>5910</v>
      </c>
      <c r="J2641">
        <v>0</v>
      </c>
      <c r="K2641">
        <v>0</v>
      </c>
      <c r="L2641" s="4">
        <v>44294</v>
      </c>
      <c r="M2641" s="4" t="str">
        <f t="shared" si="371"/>
        <v>2021</v>
      </c>
      <c r="N2641" s="1">
        <f t="shared" ca="1" si="372"/>
        <v>46064</v>
      </c>
      <c r="O2641" s="6">
        <f t="shared" ca="1" si="373"/>
        <v>4</v>
      </c>
      <c r="P2641">
        <v>3</v>
      </c>
      <c r="Q2641">
        <f t="shared" si="374"/>
        <v>70136</v>
      </c>
      <c r="R2641" s="2">
        <f t="shared" si="375"/>
        <v>35068</v>
      </c>
      <c r="S2641" s="2" t="str">
        <f t="shared" si="376"/>
        <v xml:space="preserve"> Not Achieved</v>
      </c>
      <c r="T2641" s="2" t="str">
        <f t="shared" si="377"/>
        <v xml:space="preserve"> Excellent</v>
      </c>
      <c r="U2641" s="2"/>
    </row>
    <row r="2642" spans="1:21" x14ac:dyDescent="0.3">
      <c r="A2642">
        <v>2641</v>
      </c>
      <c r="B2642" t="s">
        <v>3673</v>
      </c>
      <c r="C2642" t="str">
        <f t="shared" si="369"/>
        <v>EMP_2641</v>
      </c>
      <c r="D2642" t="s">
        <v>15</v>
      </c>
      <c r="E2642" t="str">
        <f t="shared" si="370"/>
        <v>EMP_2641IT</v>
      </c>
      <c r="F2642" t="s">
        <v>21</v>
      </c>
      <c r="G2642" t="s">
        <v>22</v>
      </c>
      <c r="H2642">
        <v>59297</v>
      </c>
      <c r="I2642">
        <v>6985</v>
      </c>
      <c r="J2642">
        <v>0</v>
      </c>
      <c r="K2642">
        <v>0</v>
      </c>
      <c r="L2642" s="4" t="s">
        <v>3674</v>
      </c>
      <c r="M2642" s="4" t="str">
        <f t="shared" si="371"/>
        <v>3/26/2021</v>
      </c>
      <c r="N2642" s="1">
        <f t="shared" ca="1" si="372"/>
        <v>46064</v>
      </c>
      <c r="O2642" s="6" t="e">
        <f t="shared" ca="1" si="373"/>
        <v>#VALUE!</v>
      </c>
      <c r="P2642">
        <v>1</v>
      </c>
      <c r="Q2642">
        <f t="shared" si="374"/>
        <v>66282</v>
      </c>
      <c r="R2642" s="2">
        <f t="shared" si="375"/>
        <v>33141</v>
      </c>
      <c r="S2642" s="2" t="str">
        <f t="shared" si="376"/>
        <v xml:space="preserve"> Not Achieved</v>
      </c>
      <c r="T2642" s="2" t="str">
        <f t="shared" si="377"/>
        <v xml:space="preserve"> Excellent</v>
      </c>
      <c r="U2642" s="2"/>
    </row>
    <row r="2643" spans="1:21" x14ac:dyDescent="0.3">
      <c r="A2643">
        <v>2642</v>
      </c>
      <c r="B2643" t="s">
        <v>3675</v>
      </c>
      <c r="C2643" t="str">
        <f t="shared" si="369"/>
        <v>EMP_2642</v>
      </c>
      <c r="D2643" t="s">
        <v>11</v>
      </c>
      <c r="E2643" t="str">
        <f t="shared" si="370"/>
        <v>EMP_2642HR</v>
      </c>
      <c r="F2643" t="s">
        <v>12</v>
      </c>
      <c r="G2643" t="s">
        <v>16</v>
      </c>
      <c r="H2643">
        <v>27146</v>
      </c>
      <c r="I2643">
        <v>4555</v>
      </c>
      <c r="J2643">
        <v>0</v>
      </c>
      <c r="K2643">
        <v>0</v>
      </c>
      <c r="L2643" s="4">
        <v>43103</v>
      </c>
      <c r="M2643" s="4" t="str">
        <f t="shared" si="371"/>
        <v>2018</v>
      </c>
      <c r="N2643" s="1">
        <f t="shared" ca="1" si="372"/>
        <v>46064</v>
      </c>
      <c r="O2643" s="6">
        <f t="shared" ca="1" si="373"/>
        <v>8</v>
      </c>
      <c r="P2643">
        <v>4</v>
      </c>
      <c r="Q2643">
        <f t="shared" si="374"/>
        <v>31701</v>
      </c>
      <c r="R2643" s="2">
        <f t="shared" si="375"/>
        <v>15850.5</v>
      </c>
      <c r="S2643" s="2" t="str">
        <f t="shared" si="376"/>
        <v xml:space="preserve"> Not Achieved</v>
      </c>
      <c r="T2643" s="2" t="str">
        <f t="shared" si="377"/>
        <v>poor</v>
      </c>
      <c r="U2643" s="2"/>
    </row>
    <row r="2644" spans="1:21" x14ac:dyDescent="0.3">
      <c r="A2644">
        <v>2643</v>
      </c>
      <c r="B2644" t="s">
        <v>3676</v>
      </c>
      <c r="C2644" t="str">
        <f t="shared" si="369"/>
        <v>EMP_2643</v>
      </c>
      <c r="D2644" t="s">
        <v>15</v>
      </c>
      <c r="E2644" t="str">
        <f t="shared" si="370"/>
        <v>EMP_2643IT</v>
      </c>
      <c r="F2644" t="s">
        <v>21</v>
      </c>
      <c r="G2644" t="s">
        <v>16</v>
      </c>
      <c r="H2644">
        <v>55433</v>
      </c>
      <c r="I2644">
        <v>11564</v>
      </c>
      <c r="J2644">
        <v>0</v>
      </c>
      <c r="K2644">
        <v>0</v>
      </c>
      <c r="L2644" s="4" t="s">
        <v>1802</v>
      </c>
      <c r="M2644" s="4" t="str">
        <f t="shared" si="371"/>
        <v>6/13/2023</v>
      </c>
      <c r="N2644" s="1">
        <f t="shared" ca="1" si="372"/>
        <v>46064</v>
      </c>
      <c r="O2644" s="6" t="e">
        <f t="shared" ca="1" si="373"/>
        <v>#VALUE!</v>
      </c>
      <c r="P2644">
        <v>3</v>
      </c>
      <c r="Q2644">
        <f t="shared" si="374"/>
        <v>66997</v>
      </c>
      <c r="R2644" s="2">
        <f t="shared" si="375"/>
        <v>33498.5</v>
      </c>
      <c r="S2644" s="2" t="str">
        <f t="shared" si="376"/>
        <v xml:space="preserve"> Not Achieved</v>
      </c>
      <c r="T2644" s="2" t="str">
        <f t="shared" si="377"/>
        <v xml:space="preserve"> Excellent</v>
      </c>
      <c r="U2644" s="2"/>
    </row>
    <row r="2645" spans="1:21" x14ac:dyDescent="0.3">
      <c r="A2645">
        <v>2644</v>
      </c>
      <c r="B2645" t="s">
        <v>3677</v>
      </c>
      <c r="C2645" t="str">
        <f t="shared" si="369"/>
        <v>EMP_2644</v>
      </c>
      <c r="D2645" t="s">
        <v>15</v>
      </c>
      <c r="E2645" t="str">
        <f t="shared" si="370"/>
        <v>EMP_2644Finance</v>
      </c>
      <c r="F2645" t="s">
        <v>18</v>
      </c>
      <c r="G2645" t="s">
        <v>16</v>
      </c>
      <c r="H2645">
        <v>20340</v>
      </c>
      <c r="I2645">
        <v>2114</v>
      </c>
      <c r="J2645">
        <v>0</v>
      </c>
      <c r="K2645">
        <v>0</v>
      </c>
      <c r="L2645" s="4" t="s">
        <v>3039</v>
      </c>
      <c r="M2645" s="4" t="str">
        <f t="shared" si="371"/>
        <v>5/14/2020</v>
      </c>
      <c r="N2645" s="1">
        <f t="shared" ca="1" si="372"/>
        <v>46064</v>
      </c>
      <c r="O2645" s="6" t="e">
        <f t="shared" ca="1" si="373"/>
        <v>#VALUE!</v>
      </c>
      <c r="P2645">
        <v>3</v>
      </c>
      <c r="Q2645">
        <f t="shared" si="374"/>
        <v>22454</v>
      </c>
      <c r="R2645" s="2">
        <f t="shared" si="375"/>
        <v>11227</v>
      </c>
      <c r="S2645" s="2" t="str">
        <f t="shared" si="376"/>
        <v xml:space="preserve"> Not Achieved</v>
      </c>
      <c r="T2645" s="2" t="str">
        <f t="shared" si="377"/>
        <v>poor</v>
      </c>
      <c r="U2645" s="2"/>
    </row>
    <row r="2646" spans="1:21" x14ac:dyDescent="0.3">
      <c r="A2646">
        <v>2645</v>
      </c>
      <c r="B2646" t="s">
        <v>3678</v>
      </c>
      <c r="C2646" t="str">
        <f t="shared" si="369"/>
        <v>EMP_2645</v>
      </c>
      <c r="D2646" t="s">
        <v>15</v>
      </c>
      <c r="E2646" t="str">
        <f t="shared" si="370"/>
        <v>EMP_2645Finance</v>
      </c>
      <c r="F2646" t="s">
        <v>18</v>
      </c>
      <c r="G2646" t="s">
        <v>25</v>
      </c>
      <c r="H2646">
        <v>55596</v>
      </c>
      <c r="I2646">
        <v>13343</v>
      </c>
      <c r="J2646">
        <v>0</v>
      </c>
      <c r="K2646">
        <v>0</v>
      </c>
      <c r="L2646" s="4">
        <v>45112</v>
      </c>
      <c r="M2646" s="4" t="str">
        <f t="shared" si="371"/>
        <v>2023</v>
      </c>
      <c r="N2646" s="1">
        <f t="shared" ca="1" si="372"/>
        <v>46064</v>
      </c>
      <c r="O2646" s="6">
        <f t="shared" ca="1" si="373"/>
        <v>2</v>
      </c>
      <c r="P2646">
        <v>2</v>
      </c>
      <c r="Q2646">
        <f t="shared" si="374"/>
        <v>68939</v>
      </c>
      <c r="R2646" s="2">
        <f t="shared" si="375"/>
        <v>34469.5</v>
      </c>
      <c r="S2646" s="2" t="str">
        <f t="shared" si="376"/>
        <v xml:space="preserve"> Not Achieved</v>
      </c>
      <c r="T2646" s="2" t="str">
        <f t="shared" si="377"/>
        <v xml:space="preserve"> Excellent</v>
      </c>
      <c r="U2646" s="2"/>
    </row>
    <row r="2647" spans="1:21" x14ac:dyDescent="0.3">
      <c r="A2647">
        <v>2646</v>
      </c>
      <c r="B2647" t="s">
        <v>3679</v>
      </c>
      <c r="C2647" t="str">
        <f t="shared" si="369"/>
        <v>EMP_2646</v>
      </c>
      <c r="D2647" t="s">
        <v>11</v>
      </c>
      <c r="E2647" t="str">
        <f t="shared" si="370"/>
        <v>EMP_2646HR</v>
      </c>
      <c r="F2647" t="s">
        <v>12</v>
      </c>
      <c r="G2647" t="s">
        <v>16</v>
      </c>
      <c r="H2647">
        <v>73550</v>
      </c>
      <c r="I2647">
        <v>10301</v>
      </c>
      <c r="J2647">
        <v>0</v>
      </c>
      <c r="K2647">
        <v>0</v>
      </c>
      <c r="L2647" s="4" t="s">
        <v>2114</v>
      </c>
      <c r="M2647" s="4" t="str">
        <f t="shared" si="371"/>
        <v>7/21/2019</v>
      </c>
      <c r="N2647" s="1">
        <f t="shared" ca="1" si="372"/>
        <v>46064</v>
      </c>
      <c r="O2647" s="6" t="e">
        <f t="shared" ca="1" si="373"/>
        <v>#VALUE!</v>
      </c>
      <c r="P2647">
        <v>4</v>
      </c>
      <c r="Q2647">
        <f t="shared" si="374"/>
        <v>83851</v>
      </c>
      <c r="R2647" s="2">
        <f t="shared" si="375"/>
        <v>41925.5</v>
      </c>
      <c r="S2647" s="2" t="str">
        <f t="shared" si="376"/>
        <v xml:space="preserve"> Not Achieved</v>
      </c>
      <c r="T2647" s="2" t="str">
        <f t="shared" si="377"/>
        <v xml:space="preserve"> Excellent</v>
      </c>
      <c r="U2647" s="2"/>
    </row>
    <row r="2648" spans="1:21" x14ac:dyDescent="0.3">
      <c r="A2648">
        <v>2647</v>
      </c>
      <c r="B2648" t="s">
        <v>3680</v>
      </c>
      <c r="C2648" t="str">
        <f t="shared" si="369"/>
        <v>EMP_2647</v>
      </c>
      <c r="D2648" t="s">
        <v>15</v>
      </c>
      <c r="E2648" t="str">
        <f t="shared" si="370"/>
        <v>EMP_2647IT</v>
      </c>
      <c r="F2648" t="s">
        <v>21</v>
      </c>
      <c r="G2648" t="s">
        <v>22</v>
      </c>
      <c r="H2648">
        <v>51219</v>
      </c>
      <c r="I2648">
        <v>14485</v>
      </c>
      <c r="J2648">
        <v>0</v>
      </c>
      <c r="K2648">
        <v>0</v>
      </c>
      <c r="L2648" s="4" t="s">
        <v>512</v>
      </c>
      <c r="M2648" s="4" t="str">
        <f t="shared" si="371"/>
        <v>11/16/2022</v>
      </c>
      <c r="N2648" s="1">
        <f t="shared" ca="1" si="372"/>
        <v>46064</v>
      </c>
      <c r="O2648" s="6" t="e">
        <f t="shared" ca="1" si="373"/>
        <v>#VALUE!</v>
      </c>
      <c r="P2648">
        <v>4</v>
      </c>
      <c r="Q2648">
        <f t="shared" si="374"/>
        <v>65704</v>
      </c>
      <c r="R2648" s="2">
        <f t="shared" si="375"/>
        <v>32852</v>
      </c>
      <c r="S2648" s="2" t="str">
        <f t="shared" si="376"/>
        <v xml:space="preserve"> Not Achieved</v>
      </c>
      <c r="T2648" s="2" t="str">
        <f t="shared" si="377"/>
        <v xml:space="preserve"> Excellent</v>
      </c>
      <c r="U2648" s="2"/>
    </row>
    <row r="2649" spans="1:21" x14ac:dyDescent="0.3">
      <c r="A2649">
        <v>2648</v>
      </c>
      <c r="B2649" t="s">
        <v>3681</v>
      </c>
      <c r="C2649" t="str">
        <f t="shared" si="369"/>
        <v>EMP_2648</v>
      </c>
      <c r="D2649" t="s">
        <v>15</v>
      </c>
      <c r="E2649" t="str">
        <f t="shared" si="370"/>
        <v>EMP_2648Finance</v>
      </c>
      <c r="F2649" t="s">
        <v>18</v>
      </c>
      <c r="G2649" t="s">
        <v>25</v>
      </c>
      <c r="H2649">
        <v>69853</v>
      </c>
      <c r="I2649">
        <v>7303</v>
      </c>
      <c r="J2649">
        <v>0</v>
      </c>
      <c r="K2649">
        <v>0</v>
      </c>
      <c r="L2649" s="4" t="s">
        <v>2098</v>
      </c>
      <c r="M2649" s="4" t="str">
        <f t="shared" si="371"/>
        <v>1/31/2018</v>
      </c>
      <c r="N2649" s="1">
        <f t="shared" ca="1" si="372"/>
        <v>46064</v>
      </c>
      <c r="O2649" s="6" t="e">
        <f t="shared" ca="1" si="373"/>
        <v>#VALUE!</v>
      </c>
      <c r="P2649">
        <v>2</v>
      </c>
      <c r="Q2649">
        <f t="shared" si="374"/>
        <v>77156</v>
      </c>
      <c r="R2649" s="2">
        <f t="shared" si="375"/>
        <v>38578</v>
      </c>
      <c r="S2649" s="2" t="str">
        <f t="shared" si="376"/>
        <v xml:space="preserve"> Not Achieved</v>
      </c>
      <c r="T2649" s="2" t="str">
        <f t="shared" si="377"/>
        <v xml:space="preserve"> Excellent</v>
      </c>
      <c r="U2649" s="2"/>
    </row>
    <row r="2650" spans="1:21" x14ac:dyDescent="0.3">
      <c r="A2650">
        <v>2649</v>
      </c>
      <c r="B2650" t="s">
        <v>3682</v>
      </c>
      <c r="C2650" t="str">
        <f t="shared" si="369"/>
        <v>EMP_2649</v>
      </c>
      <c r="D2650" t="s">
        <v>11</v>
      </c>
      <c r="E2650" t="str">
        <f t="shared" si="370"/>
        <v>EMP_2649Finance</v>
      </c>
      <c r="F2650" t="s">
        <v>18</v>
      </c>
      <c r="G2650" t="s">
        <v>19</v>
      </c>
      <c r="H2650">
        <v>73783</v>
      </c>
      <c r="I2650">
        <v>5761</v>
      </c>
      <c r="J2650">
        <v>0</v>
      </c>
      <c r="K2650">
        <v>0</v>
      </c>
      <c r="L2650" s="4" t="s">
        <v>3683</v>
      </c>
      <c r="M2650" s="4" t="str">
        <f t="shared" si="371"/>
        <v>10/21/2023</v>
      </c>
      <c r="N2650" s="1">
        <f t="shared" ca="1" si="372"/>
        <v>46064</v>
      </c>
      <c r="O2650" s="6" t="e">
        <f t="shared" ca="1" si="373"/>
        <v>#VALUE!</v>
      </c>
      <c r="P2650">
        <v>2</v>
      </c>
      <c r="Q2650">
        <f t="shared" si="374"/>
        <v>79544</v>
      </c>
      <c r="R2650" s="2">
        <f t="shared" si="375"/>
        <v>39772</v>
      </c>
      <c r="S2650" s="2" t="str">
        <f t="shared" si="376"/>
        <v xml:space="preserve"> Not Achieved</v>
      </c>
      <c r="T2650" s="2" t="str">
        <f t="shared" si="377"/>
        <v xml:space="preserve"> Excellent</v>
      </c>
      <c r="U2650" s="2"/>
    </row>
    <row r="2651" spans="1:21" x14ac:dyDescent="0.3">
      <c r="A2651">
        <v>2650</v>
      </c>
      <c r="B2651" t="s">
        <v>3684</v>
      </c>
      <c r="C2651" t="str">
        <f t="shared" si="369"/>
        <v>EMP_2650</v>
      </c>
      <c r="D2651" t="s">
        <v>15</v>
      </c>
      <c r="E2651" t="str">
        <f t="shared" si="370"/>
        <v>EMP_2650Finance</v>
      </c>
      <c r="F2651" t="s">
        <v>18</v>
      </c>
      <c r="G2651" t="s">
        <v>25</v>
      </c>
      <c r="H2651">
        <v>60823</v>
      </c>
      <c r="I2651">
        <v>12039</v>
      </c>
      <c r="J2651">
        <v>0</v>
      </c>
      <c r="K2651">
        <v>0</v>
      </c>
      <c r="L2651" s="4" t="s">
        <v>3083</v>
      </c>
      <c r="M2651" s="4" t="str">
        <f t="shared" si="371"/>
        <v>9/18/2023</v>
      </c>
      <c r="N2651" s="1">
        <f t="shared" ca="1" si="372"/>
        <v>46064</v>
      </c>
      <c r="O2651" s="6" t="e">
        <f t="shared" ca="1" si="373"/>
        <v>#VALUE!</v>
      </c>
      <c r="P2651">
        <v>1</v>
      </c>
      <c r="Q2651">
        <f t="shared" si="374"/>
        <v>72862</v>
      </c>
      <c r="R2651" s="2">
        <f t="shared" si="375"/>
        <v>36431</v>
      </c>
      <c r="S2651" s="2" t="str">
        <f t="shared" si="376"/>
        <v xml:space="preserve"> Not Achieved</v>
      </c>
      <c r="T2651" s="2" t="str">
        <f t="shared" si="377"/>
        <v xml:space="preserve"> Excellent</v>
      </c>
      <c r="U2651" s="2"/>
    </row>
    <row r="2652" spans="1:21" x14ac:dyDescent="0.3">
      <c r="A2652">
        <v>2651</v>
      </c>
      <c r="B2652" t="s">
        <v>3685</v>
      </c>
      <c r="C2652" t="str">
        <f t="shared" si="369"/>
        <v>EMP_2651</v>
      </c>
      <c r="D2652" t="s">
        <v>11</v>
      </c>
      <c r="E2652" t="str">
        <f t="shared" si="370"/>
        <v>EMP_2651Sales</v>
      </c>
      <c r="F2652" t="s">
        <v>7</v>
      </c>
      <c r="G2652" t="s">
        <v>13</v>
      </c>
      <c r="H2652">
        <v>31967</v>
      </c>
      <c r="I2652">
        <v>12895</v>
      </c>
      <c r="J2652">
        <v>69712</v>
      </c>
      <c r="K2652">
        <v>237945</v>
      </c>
      <c r="L2652" s="4" t="s">
        <v>108</v>
      </c>
      <c r="M2652" s="4" t="str">
        <f t="shared" si="371"/>
        <v>6/19/2022</v>
      </c>
      <c r="N2652" s="1">
        <f t="shared" ca="1" si="372"/>
        <v>46064</v>
      </c>
      <c r="O2652" s="6" t="e">
        <f t="shared" ca="1" si="373"/>
        <v>#VALUE!</v>
      </c>
      <c r="P2652">
        <v>2</v>
      </c>
      <c r="Q2652">
        <f t="shared" si="374"/>
        <v>44862</v>
      </c>
      <c r="R2652" s="2">
        <f t="shared" si="375"/>
        <v>22431</v>
      </c>
      <c r="S2652" s="2" t="str">
        <f t="shared" si="376"/>
        <v xml:space="preserve"> Not Achieved</v>
      </c>
      <c r="T2652" s="2" t="str">
        <f t="shared" si="377"/>
        <v>Average</v>
      </c>
      <c r="U2652" s="2"/>
    </row>
    <row r="2653" spans="1:21" x14ac:dyDescent="0.3">
      <c r="A2653">
        <v>2652</v>
      </c>
      <c r="B2653" t="s">
        <v>3686</v>
      </c>
      <c r="C2653" t="str">
        <f t="shared" si="369"/>
        <v>EMP_2652</v>
      </c>
      <c r="D2653" t="s">
        <v>15</v>
      </c>
      <c r="E2653" t="str">
        <f t="shared" si="370"/>
        <v>EMP_2652HR</v>
      </c>
      <c r="F2653" t="s">
        <v>12</v>
      </c>
      <c r="G2653" t="s">
        <v>25</v>
      </c>
      <c r="H2653">
        <v>55053</v>
      </c>
      <c r="I2653">
        <v>9745</v>
      </c>
      <c r="J2653">
        <v>0</v>
      </c>
      <c r="K2653">
        <v>0</v>
      </c>
      <c r="L2653" s="4">
        <v>44931</v>
      </c>
      <c r="M2653" s="4" t="str">
        <f t="shared" si="371"/>
        <v>2023</v>
      </c>
      <c r="N2653" s="1">
        <f t="shared" ca="1" si="372"/>
        <v>46064</v>
      </c>
      <c r="O2653" s="6">
        <f t="shared" ca="1" si="373"/>
        <v>3</v>
      </c>
      <c r="P2653">
        <v>2</v>
      </c>
      <c r="Q2653">
        <f t="shared" si="374"/>
        <v>64798</v>
      </c>
      <c r="R2653" s="2">
        <f t="shared" si="375"/>
        <v>32399</v>
      </c>
      <c r="S2653" s="2" t="str">
        <f t="shared" si="376"/>
        <v xml:space="preserve"> Not Achieved</v>
      </c>
      <c r="T2653" s="2" t="str">
        <f t="shared" si="377"/>
        <v xml:space="preserve"> Excellent</v>
      </c>
      <c r="U2653" s="2"/>
    </row>
    <row r="2654" spans="1:21" x14ac:dyDescent="0.3">
      <c r="A2654">
        <v>2653</v>
      </c>
      <c r="B2654" t="s">
        <v>3687</v>
      </c>
      <c r="C2654" t="str">
        <f t="shared" si="369"/>
        <v>EMP_2653</v>
      </c>
      <c r="D2654" t="s">
        <v>15</v>
      </c>
      <c r="E2654" t="str">
        <f t="shared" si="370"/>
        <v>EMP_2653HR</v>
      </c>
      <c r="F2654" t="s">
        <v>12</v>
      </c>
      <c r="G2654" t="s">
        <v>25</v>
      </c>
      <c r="H2654">
        <v>45061</v>
      </c>
      <c r="I2654">
        <v>3481</v>
      </c>
      <c r="J2654">
        <v>0</v>
      </c>
      <c r="K2654">
        <v>0</v>
      </c>
      <c r="L2654" s="4">
        <v>43192</v>
      </c>
      <c r="M2654" s="4" t="str">
        <f t="shared" si="371"/>
        <v>2018</v>
      </c>
      <c r="N2654" s="1">
        <f t="shared" ca="1" si="372"/>
        <v>46064</v>
      </c>
      <c r="O2654" s="6">
        <f t="shared" ca="1" si="373"/>
        <v>7</v>
      </c>
      <c r="P2654">
        <v>3</v>
      </c>
      <c r="Q2654">
        <f t="shared" si="374"/>
        <v>48542</v>
      </c>
      <c r="R2654" s="2">
        <f t="shared" si="375"/>
        <v>24271</v>
      </c>
      <c r="S2654" s="2" t="str">
        <f t="shared" si="376"/>
        <v xml:space="preserve"> Not Achieved</v>
      </c>
      <c r="T2654" s="2" t="str">
        <f t="shared" si="377"/>
        <v>Good</v>
      </c>
      <c r="U2654" s="2"/>
    </row>
    <row r="2655" spans="1:21" x14ac:dyDescent="0.3">
      <c r="A2655">
        <v>2654</v>
      </c>
      <c r="B2655" t="s">
        <v>3688</v>
      </c>
      <c r="C2655" t="str">
        <f t="shared" si="369"/>
        <v>EMP_2654</v>
      </c>
      <c r="D2655" t="s">
        <v>11</v>
      </c>
      <c r="E2655" t="str">
        <f t="shared" si="370"/>
        <v>EMP_2654Finance</v>
      </c>
      <c r="F2655" t="s">
        <v>18</v>
      </c>
      <c r="G2655" t="s">
        <v>19</v>
      </c>
      <c r="H2655">
        <v>36153</v>
      </c>
      <c r="I2655">
        <v>3844</v>
      </c>
      <c r="J2655">
        <v>0</v>
      </c>
      <c r="K2655">
        <v>0</v>
      </c>
      <c r="L2655" s="4" t="s">
        <v>2519</v>
      </c>
      <c r="M2655" s="4" t="str">
        <f t="shared" si="371"/>
        <v>5/24/2019</v>
      </c>
      <c r="N2655" s="1">
        <f t="shared" ca="1" si="372"/>
        <v>46064</v>
      </c>
      <c r="O2655" s="6" t="e">
        <f t="shared" ca="1" si="373"/>
        <v>#VALUE!</v>
      </c>
      <c r="P2655">
        <v>1</v>
      </c>
      <c r="Q2655">
        <f t="shared" si="374"/>
        <v>39997</v>
      </c>
      <c r="R2655" s="2">
        <f t="shared" si="375"/>
        <v>19998.5</v>
      </c>
      <c r="S2655" s="2" t="str">
        <f t="shared" si="376"/>
        <v xml:space="preserve"> Not Achieved</v>
      </c>
      <c r="T2655" s="2" t="str">
        <f t="shared" si="377"/>
        <v>Average</v>
      </c>
      <c r="U2655" s="2"/>
    </row>
    <row r="2656" spans="1:21" x14ac:dyDescent="0.3">
      <c r="A2656">
        <v>2655</v>
      </c>
      <c r="B2656" t="s">
        <v>3689</v>
      </c>
      <c r="C2656" t="str">
        <f t="shared" si="369"/>
        <v>EMP_2655</v>
      </c>
      <c r="D2656" t="s">
        <v>11</v>
      </c>
      <c r="E2656" t="str">
        <f t="shared" si="370"/>
        <v>EMP_2655HR</v>
      </c>
      <c r="F2656" t="s">
        <v>12</v>
      </c>
      <c r="G2656" t="s">
        <v>19</v>
      </c>
      <c r="H2656">
        <v>20236</v>
      </c>
      <c r="I2656">
        <v>14781</v>
      </c>
      <c r="J2656">
        <v>0</v>
      </c>
      <c r="K2656">
        <v>0</v>
      </c>
      <c r="L2656" s="4">
        <v>43902</v>
      </c>
      <c r="M2656" s="4" t="str">
        <f t="shared" si="371"/>
        <v>2020</v>
      </c>
      <c r="N2656" s="1">
        <f t="shared" ca="1" si="372"/>
        <v>46064</v>
      </c>
      <c r="O2656" s="6">
        <f t="shared" ca="1" si="373"/>
        <v>5</v>
      </c>
      <c r="P2656">
        <v>4</v>
      </c>
      <c r="Q2656">
        <f t="shared" si="374"/>
        <v>35017</v>
      </c>
      <c r="R2656" s="2">
        <f t="shared" si="375"/>
        <v>17508.5</v>
      </c>
      <c r="S2656" s="2" t="str">
        <f t="shared" si="376"/>
        <v xml:space="preserve"> Not Achieved</v>
      </c>
      <c r="T2656" s="2" t="str">
        <f t="shared" si="377"/>
        <v>poor</v>
      </c>
      <c r="U2656" s="2"/>
    </row>
    <row r="2657" spans="1:21" x14ac:dyDescent="0.3">
      <c r="A2657">
        <v>2656</v>
      </c>
      <c r="B2657" t="s">
        <v>3690</v>
      </c>
      <c r="C2657" t="str">
        <f t="shared" si="369"/>
        <v>EMP_2656</v>
      </c>
      <c r="D2657" t="s">
        <v>15</v>
      </c>
      <c r="E2657" t="str">
        <f t="shared" si="370"/>
        <v>EMP_2656Sales</v>
      </c>
      <c r="F2657" t="s">
        <v>7</v>
      </c>
      <c r="G2657" t="s">
        <v>19</v>
      </c>
      <c r="H2657">
        <v>44359</v>
      </c>
      <c r="I2657">
        <v>14834</v>
      </c>
      <c r="J2657">
        <v>247616</v>
      </c>
      <c r="K2657">
        <v>176361</v>
      </c>
      <c r="L2657" s="4" t="s">
        <v>1387</v>
      </c>
      <c r="M2657" s="4" t="str">
        <f t="shared" si="371"/>
        <v>9/26/2022</v>
      </c>
      <c r="N2657" s="1">
        <f t="shared" ca="1" si="372"/>
        <v>46064</v>
      </c>
      <c r="O2657" s="6" t="e">
        <f t="shared" ca="1" si="373"/>
        <v>#VALUE!</v>
      </c>
      <c r="P2657">
        <v>4</v>
      </c>
      <c r="Q2657">
        <f t="shared" si="374"/>
        <v>59193</v>
      </c>
      <c r="R2657" s="2">
        <f t="shared" si="375"/>
        <v>29596.5</v>
      </c>
      <c r="S2657" s="2" t="str">
        <f t="shared" si="376"/>
        <v>Achieved</v>
      </c>
      <c r="T2657" s="2" t="str">
        <f t="shared" si="377"/>
        <v>Good</v>
      </c>
      <c r="U2657" s="2"/>
    </row>
    <row r="2658" spans="1:21" x14ac:dyDescent="0.3">
      <c r="A2658">
        <v>2657</v>
      </c>
      <c r="B2658" t="s">
        <v>3691</v>
      </c>
      <c r="C2658" t="str">
        <f t="shared" si="369"/>
        <v>EMP_2657</v>
      </c>
      <c r="D2658" t="s">
        <v>15</v>
      </c>
      <c r="E2658" t="str">
        <f t="shared" si="370"/>
        <v>EMP_2657IT</v>
      </c>
      <c r="F2658" t="s">
        <v>21</v>
      </c>
      <c r="G2658" t="s">
        <v>16</v>
      </c>
      <c r="H2658">
        <v>31505</v>
      </c>
      <c r="I2658">
        <v>9090</v>
      </c>
      <c r="J2658">
        <v>0</v>
      </c>
      <c r="K2658">
        <v>0</v>
      </c>
      <c r="L2658" s="4" t="s">
        <v>3089</v>
      </c>
      <c r="M2658" s="4" t="str">
        <f t="shared" si="371"/>
        <v>7/25/2019</v>
      </c>
      <c r="N2658" s="1">
        <f t="shared" ca="1" si="372"/>
        <v>46064</v>
      </c>
      <c r="O2658" s="6" t="e">
        <f t="shared" ca="1" si="373"/>
        <v>#VALUE!</v>
      </c>
      <c r="P2658">
        <v>2</v>
      </c>
      <c r="Q2658">
        <f t="shared" si="374"/>
        <v>40595</v>
      </c>
      <c r="R2658" s="2">
        <f t="shared" si="375"/>
        <v>20297.5</v>
      </c>
      <c r="S2658" s="2" t="str">
        <f t="shared" si="376"/>
        <v xml:space="preserve"> Not Achieved</v>
      </c>
      <c r="T2658" s="2" t="str">
        <f t="shared" si="377"/>
        <v>Average</v>
      </c>
      <c r="U2658" s="2"/>
    </row>
    <row r="2659" spans="1:21" x14ac:dyDescent="0.3">
      <c r="A2659">
        <v>2658</v>
      </c>
      <c r="B2659" t="s">
        <v>3692</v>
      </c>
      <c r="C2659" t="str">
        <f t="shared" si="369"/>
        <v>EMP_2658</v>
      </c>
      <c r="D2659" t="s">
        <v>15</v>
      </c>
      <c r="E2659" t="str">
        <f t="shared" si="370"/>
        <v>EMP_2658HR</v>
      </c>
      <c r="F2659" t="s">
        <v>12</v>
      </c>
      <c r="G2659" t="s">
        <v>16</v>
      </c>
      <c r="H2659">
        <v>42835</v>
      </c>
      <c r="I2659">
        <v>3660</v>
      </c>
      <c r="J2659">
        <v>0</v>
      </c>
      <c r="K2659">
        <v>0</v>
      </c>
      <c r="L2659" s="4" t="s">
        <v>3693</v>
      </c>
      <c r="M2659" s="4" t="str">
        <f t="shared" si="371"/>
        <v>1/17/2023</v>
      </c>
      <c r="N2659" s="1">
        <f t="shared" ca="1" si="372"/>
        <v>46064</v>
      </c>
      <c r="O2659" s="6" t="e">
        <f t="shared" ca="1" si="373"/>
        <v>#VALUE!</v>
      </c>
      <c r="P2659">
        <v>1</v>
      </c>
      <c r="Q2659">
        <f t="shared" si="374"/>
        <v>46495</v>
      </c>
      <c r="R2659" s="2">
        <f t="shared" si="375"/>
        <v>23247.5</v>
      </c>
      <c r="S2659" s="2" t="str">
        <f t="shared" si="376"/>
        <v xml:space="preserve"> Not Achieved</v>
      </c>
      <c r="T2659" s="2" t="str">
        <f t="shared" si="377"/>
        <v>Good</v>
      </c>
      <c r="U2659" s="2"/>
    </row>
    <row r="2660" spans="1:21" x14ac:dyDescent="0.3">
      <c r="A2660">
        <v>2659</v>
      </c>
      <c r="B2660" t="s">
        <v>3694</v>
      </c>
      <c r="C2660" t="str">
        <f t="shared" si="369"/>
        <v>EMP_2659</v>
      </c>
      <c r="D2660" t="s">
        <v>15</v>
      </c>
      <c r="E2660" t="str">
        <f t="shared" si="370"/>
        <v>EMP_2659Marketing</v>
      </c>
      <c r="F2660" t="s">
        <v>24</v>
      </c>
      <c r="G2660" t="s">
        <v>16</v>
      </c>
      <c r="H2660">
        <v>49450</v>
      </c>
      <c r="I2660">
        <v>3721</v>
      </c>
      <c r="J2660">
        <v>0</v>
      </c>
      <c r="K2660">
        <v>0</v>
      </c>
      <c r="L2660" s="4">
        <v>44784</v>
      </c>
      <c r="M2660" s="4" t="str">
        <f t="shared" si="371"/>
        <v>2022</v>
      </c>
      <c r="N2660" s="1">
        <f t="shared" ca="1" si="372"/>
        <v>46064</v>
      </c>
      <c r="O2660" s="6">
        <f t="shared" ca="1" si="373"/>
        <v>3</v>
      </c>
      <c r="P2660">
        <v>1</v>
      </c>
      <c r="Q2660">
        <f t="shared" si="374"/>
        <v>53171</v>
      </c>
      <c r="R2660" s="2">
        <f t="shared" si="375"/>
        <v>26585.5</v>
      </c>
      <c r="S2660" s="2" t="str">
        <f t="shared" si="376"/>
        <v xml:space="preserve"> Not Achieved</v>
      </c>
      <c r="T2660" s="2" t="str">
        <f t="shared" si="377"/>
        <v>Good</v>
      </c>
      <c r="U2660" s="2"/>
    </row>
    <row r="2661" spans="1:21" x14ac:dyDescent="0.3">
      <c r="A2661">
        <v>2660</v>
      </c>
      <c r="B2661" t="s">
        <v>3695</v>
      </c>
      <c r="C2661" t="str">
        <f t="shared" si="369"/>
        <v>EMP_2660</v>
      </c>
      <c r="D2661" t="s">
        <v>11</v>
      </c>
      <c r="E2661" t="str">
        <f t="shared" si="370"/>
        <v>EMP_2660Finance</v>
      </c>
      <c r="F2661" t="s">
        <v>18</v>
      </c>
      <c r="G2661" t="s">
        <v>25</v>
      </c>
      <c r="H2661">
        <v>54806</v>
      </c>
      <c r="I2661">
        <v>7840</v>
      </c>
      <c r="J2661">
        <v>0</v>
      </c>
      <c r="K2661">
        <v>0</v>
      </c>
      <c r="L2661" s="4" t="s">
        <v>2512</v>
      </c>
      <c r="M2661" s="4" t="str">
        <f t="shared" si="371"/>
        <v>10/17/2024</v>
      </c>
      <c r="N2661" s="1">
        <f t="shared" ca="1" si="372"/>
        <v>46064</v>
      </c>
      <c r="O2661" s="6" t="e">
        <f t="shared" ca="1" si="373"/>
        <v>#VALUE!</v>
      </c>
      <c r="P2661">
        <v>4</v>
      </c>
      <c r="Q2661">
        <f t="shared" si="374"/>
        <v>62646</v>
      </c>
      <c r="R2661" s="2">
        <f t="shared" si="375"/>
        <v>31323</v>
      </c>
      <c r="S2661" s="2" t="str">
        <f t="shared" si="376"/>
        <v xml:space="preserve"> Not Achieved</v>
      </c>
      <c r="T2661" s="2" t="str">
        <f t="shared" si="377"/>
        <v xml:space="preserve"> Excellent</v>
      </c>
      <c r="U2661" s="2"/>
    </row>
    <row r="2662" spans="1:21" x14ac:dyDescent="0.3">
      <c r="A2662">
        <v>2661</v>
      </c>
      <c r="B2662" t="s">
        <v>3696</v>
      </c>
      <c r="C2662" t="str">
        <f t="shared" si="369"/>
        <v>EMP_2661</v>
      </c>
      <c r="D2662" t="s">
        <v>11</v>
      </c>
      <c r="E2662" t="str">
        <f t="shared" si="370"/>
        <v>EMP_2661IT</v>
      </c>
      <c r="F2662" t="s">
        <v>21</v>
      </c>
      <c r="G2662" t="s">
        <v>25</v>
      </c>
      <c r="H2662">
        <v>47149</v>
      </c>
      <c r="I2662">
        <v>7605</v>
      </c>
      <c r="J2662">
        <v>0</v>
      </c>
      <c r="K2662">
        <v>0</v>
      </c>
      <c r="L2662" s="4" t="s">
        <v>3449</v>
      </c>
      <c r="M2662" s="4" t="str">
        <f t="shared" si="371"/>
        <v>5/13/2021</v>
      </c>
      <c r="N2662" s="1">
        <f t="shared" ca="1" si="372"/>
        <v>46064</v>
      </c>
      <c r="O2662" s="6" t="e">
        <f t="shared" ca="1" si="373"/>
        <v>#VALUE!</v>
      </c>
      <c r="P2662">
        <v>4</v>
      </c>
      <c r="Q2662">
        <f t="shared" si="374"/>
        <v>54754</v>
      </c>
      <c r="R2662" s="2">
        <f t="shared" si="375"/>
        <v>27377</v>
      </c>
      <c r="S2662" s="2" t="str">
        <f t="shared" si="376"/>
        <v xml:space="preserve"> Not Achieved</v>
      </c>
      <c r="T2662" s="2" t="str">
        <f t="shared" si="377"/>
        <v>Good</v>
      </c>
      <c r="U2662" s="2"/>
    </row>
    <row r="2663" spans="1:21" x14ac:dyDescent="0.3">
      <c r="A2663">
        <v>2662</v>
      </c>
      <c r="B2663" t="s">
        <v>3697</v>
      </c>
      <c r="C2663" t="str">
        <f t="shared" si="369"/>
        <v>EMP_2662</v>
      </c>
      <c r="D2663" t="s">
        <v>11</v>
      </c>
      <c r="E2663" t="str">
        <f t="shared" si="370"/>
        <v>EMP_2662IT</v>
      </c>
      <c r="F2663" t="s">
        <v>21</v>
      </c>
      <c r="G2663" t="s">
        <v>13</v>
      </c>
      <c r="H2663">
        <v>58016</v>
      </c>
      <c r="I2663">
        <v>7309</v>
      </c>
      <c r="J2663">
        <v>0</v>
      </c>
      <c r="K2663">
        <v>0</v>
      </c>
      <c r="L2663" s="4">
        <v>44296</v>
      </c>
      <c r="M2663" s="4" t="str">
        <f t="shared" si="371"/>
        <v>2021</v>
      </c>
      <c r="N2663" s="1">
        <f t="shared" ca="1" si="372"/>
        <v>46064</v>
      </c>
      <c r="O2663" s="6">
        <f t="shared" ca="1" si="373"/>
        <v>4</v>
      </c>
      <c r="P2663">
        <v>5</v>
      </c>
      <c r="Q2663">
        <f t="shared" si="374"/>
        <v>65325</v>
      </c>
      <c r="R2663" s="2">
        <f t="shared" si="375"/>
        <v>32662.5</v>
      </c>
      <c r="S2663" s="2" t="str">
        <f t="shared" si="376"/>
        <v xml:space="preserve"> Not Achieved</v>
      </c>
      <c r="T2663" s="2" t="str">
        <f t="shared" si="377"/>
        <v xml:space="preserve"> Excellent</v>
      </c>
      <c r="U2663" s="2"/>
    </row>
    <row r="2664" spans="1:21" x14ac:dyDescent="0.3">
      <c r="A2664">
        <v>2663</v>
      </c>
      <c r="B2664" t="s">
        <v>3698</v>
      </c>
      <c r="C2664" t="str">
        <f t="shared" si="369"/>
        <v>EMP_2663</v>
      </c>
      <c r="D2664" t="s">
        <v>11</v>
      </c>
      <c r="E2664" t="str">
        <f t="shared" si="370"/>
        <v>EMP_2663Sales</v>
      </c>
      <c r="F2664" t="s">
        <v>7</v>
      </c>
      <c r="G2664" t="s">
        <v>16</v>
      </c>
      <c r="H2664">
        <v>20026</v>
      </c>
      <c r="I2664">
        <v>12397</v>
      </c>
      <c r="J2664">
        <v>118118</v>
      </c>
      <c r="K2664">
        <v>213184</v>
      </c>
      <c r="L2664" s="4">
        <v>44080</v>
      </c>
      <c r="M2664" s="4" t="str">
        <f t="shared" si="371"/>
        <v>2020</v>
      </c>
      <c r="N2664" s="1">
        <f t="shared" ca="1" si="372"/>
        <v>46064</v>
      </c>
      <c r="O2664" s="6">
        <f t="shared" ca="1" si="373"/>
        <v>5</v>
      </c>
      <c r="P2664">
        <v>1</v>
      </c>
      <c r="Q2664">
        <f t="shared" si="374"/>
        <v>32423</v>
      </c>
      <c r="R2664" s="2">
        <f t="shared" si="375"/>
        <v>16211.5</v>
      </c>
      <c r="S2664" s="2" t="str">
        <f t="shared" si="376"/>
        <v xml:space="preserve"> Not Achieved</v>
      </c>
      <c r="T2664" s="2" t="str">
        <f t="shared" si="377"/>
        <v>poor</v>
      </c>
      <c r="U2664" s="2"/>
    </row>
    <row r="2665" spans="1:21" x14ac:dyDescent="0.3">
      <c r="A2665">
        <v>2664</v>
      </c>
      <c r="B2665" t="s">
        <v>3699</v>
      </c>
      <c r="C2665" t="str">
        <f t="shared" si="369"/>
        <v>EMP_2664</v>
      </c>
      <c r="D2665" t="s">
        <v>15</v>
      </c>
      <c r="E2665" t="str">
        <f t="shared" si="370"/>
        <v>EMP_2664HR</v>
      </c>
      <c r="F2665" t="s">
        <v>12</v>
      </c>
      <c r="G2665" t="s">
        <v>19</v>
      </c>
      <c r="H2665">
        <v>57401</v>
      </c>
      <c r="I2665">
        <v>13026</v>
      </c>
      <c r="J2665">
        <v>0</v>
      </c>
      <c r="K2665">
        <v>0</v>
      </c>
      <c r="L2665" s="4">
        <v>44961</v>
      </c>
      <c r="M2665" s="4" t="str">
        <f t="shared" si="371"/>
        <v>2023</v>
      </c>
      <c r="N2665" s="1">
        <f t="shared" ca="1" si="372"/>
        <v>46064</v>
      </c>
      <c r="O2665" s="6">
        <f t="shared" ca="1" si="373"/>
        <v>3</v>
      </c>
      <c r="P2665">
        <v>2</v>
      </c>
      <c r="Q2665">
        <f t="shared" si="374"/>
        <v>70427</v>
      </c>
      <c r="R2665" s="2">
        <f t="shared" si="375"/>
        <v>35213.5</v>
      </c>
      <c r="S2665" s="2" t="str">
        <f t="shared" si="376"/>
        <v xml:space="preserve"> Not Achieved</v>
      </c>
      <c r="T2665" s="2" t="str">
        <f t="shared" si="377"/>
        <v xml:space="preserve"> Excellent</v>
      </c>
      <c r="U2665" s="2"/>
    </row>
    <row r="2666" spans="1:21" x14ac:dyDescent="0.3">
      <c r="A2666">
        <v>2665</v>
      </c>
      <c r="B2666" t="s">
        <v>3700</v>
      </c>
      <c r="C2666" t="str">
        <f t="shared" si="369"/>
        <v>EMP_2665</v>
      </c>
      <c r="D2666" t="s">
        <v>15</v>
      </c>
      <c r="E2666" t="str">
        <f t="shared" si="370"/>
        <v>EMP_2665Finance</v>
      </c>
      <c r="F2666" t="s">
        <v>18</v>
      </c>
      <c r="G2666" t="s">
        <v>13</v>
      </c>
      <c r="H2666">
        <v>74451</v>
      </c>
      <c r="I2666">
        <v>12451</v>
      </c>
      <c r="J2666">
        <v>0</v>
      </c>
      <c r="K2666">
        <v>0</v>
      </c>
      <c r="L2666" s="4" t="s">
        <v>2802</v>
      </c>
      <c r="M2666" s="4" t="str">
        <f t="shared" si="371"/>
        <v>5/16/2019</v>
      </c>
      <c r="N2666" s="1">
        <f t="shared" ca="1" si="372"/>
        <v>46064</v>
      </c>
      <c r="O2666" s="6" t="e">
        <f t="shared" ca="1" si="373"/>
        <v>#VALUE!</v>
      </c>
      <c r="P2666">
        <v>4</v>
      </c>
      <c r="Q2666">
        <f t="shared" si="374"/>
        <v>86902</v>
      </c>
      <c r="R2666" s="2">
        <f t="shared" si="375"/>
        <v>43451</v>
      </c>
      <c r="S2666" s="2" t="str">
        <f t="shared" si="376"/>
        <v xml:space="preserve"> Not Achieved</v>
      </c>
      <c r="T2666" s="2" t="str">
        <f t="shared" si="377"/>
        <v xml:space="preserve"> Excellent</v>
      </c>
      <c r="U2666" s="2"/>
    </row>
    <row r="2667" spans="1:21" x14ac:dyDescent="0.3">
      <c r="A2667">
        <v>2666</v>
      </c>
      <c r="B2667" t="s">
        <v>3701</v>
      </c>
      <c r="C2667" t="str">
        <f t="shared" si="369"/>
        <v>EMP_2666</v>
      </c>
      <c r="D2667" t="s">
        <v>11</v>
      </c>
      <c r="E2667" t="str">
        <f t="shared" si="370"/>
        <v>EMP_2666Sales</v>
      </c>
      <c r="F2667" t="s">
        <v>7</v>
      </c>
      <c r="G2667" t="s">
        <v>16</v>
      </c>
      <c r="H2667">
        <v>58693</v>
      </c>
      <c r="I2667">
        <v>2340</v>
      </c>
      <c r="J2667">
        <v>139795</v>
      </c>
      <c r="K2667">
        <v>159457</v>
      </c>
      <c r="L2667" s="4" t="s">
        <v>3702</v>
      </c>
      <c r="M2667" s="4" t="str">
        <f t="shared" si="371"/>
        <v>4/25/2021</v>
      </c>
      <c r="N2667" s="1">
        <f t="shared" ca="1" si="372"/>
        <v>46064</v>
      </c>
      <c r="O2667" s="6" t="e">
        <f t="shared" ca="1" si="373"/>
        <v>#VALUE!</v>
      </c>
      <c r="P2667">
        <v>4</v>
      </c>
      <c r="Q2667">
        <f t="shared" si="374"/>
        <v>61033</v>
      </c>
      <c r="R2667" s="2">
        <f t="shared" si="375"/>
        <v>30516.5</v>
      </c>
      <c r="S2667" s="2" t="str">
        <f t="shared" si="376"/>
        <v xml:space="preserve"> Not Achieved</v>
      </c>
      <c r="T2667" s="2" t="str">
        <f t="shared" si="377"/>
        <v xml:space="preserve"> Excellent</v>
      </c>
      <c r="U2667" s="2"/>
    </row>
    <row r="2668" spans="1:21" x14ac:dyDescent="0.3">
      <c r="A2668">
        <v>2667</v>
      </c>
      <c r="B2668" t="s">
        <v>3703</v>
      </c>
      <c r="C2668" t="str">
        <f t="shared" si="369"/>
        <v>EMP_2667</v>
      </c>
      <c r="D2668" t="s">
        <v>15</v>
      </c>
      <c r="E2668" t="str">
        <f t="shared" si="370"/>
        <v>EMP_2667Finance</v>
      </c>
      <c r="F2668" t="s">
        <v>18</v>
      </c>
      <c r="G2668" t="s">
        <v>19</v>
      </c>
      <c r="H2668">
        <v>64952</v>
      </c>
      <c r="I2668">
        <v>12531</v>
      </c>
      <c r="J2668">
        <v>0</v>
      </c>
      <c r="K2668">
        <v>0</v>
      </c>
      <c r="L2668" s="4">
        <v>43896</v>
      </c>
      <c r="M2668" s="4" t="str">
        <f t="shared" si="371"/>
        <v>2020</v>
      </c>
      <c r="N2668" s="1">
        <f t="shared" ca="1" si="372"/>
        <v>46064</v>
      </c>
      <c r="O2668" s="6">
        <f t="shared" ca="1" si="373"/>
        <v>5</v>
      </c>
      <c r="P2668">
        <v>3</v>
      </c>
      <c r="Q2668">
        <f t="shared" si="374"/>
        <v>77483</v>
      </c>
      <c r="R2668" s="2">
        <f t="shared" si="375"/>
        <v>38741.5</v>
      </c>
      <c r="S2668" s="2" t="str">
        <f t="shared" si="376"/>
        <v xml:space="preserve"> Not Achieved</v>
      </c>
      <c r="T2668" s="2" t="str">
        <f t="shared" si="377"/>
        <v xml:space="preserve"> Excellent</v>
      </c>
      <c r="U2668" s="2"/>
    </row>
    <row r="2669" spans="1:21" x14ac:dyDescent="0.3">
      <c r="A2669">
        <v>2668</v>
      </c>
      <c r="B2669" t="s">
        <v>3704</v>
      </c>
      <c r="C2669" t="str">
        <f t="shared" si="369"/>
        <v>EMP_2668</v>
      </c>
      <c r="D2669" t="s">
        <v>15</v>
      </c>
      <c r="E2669" t="str">
        <f t="shared" si="370"/>
        <v>EMP_2668HR</v>
      </c>
      <c r="F2669" t="s">
        <v>12</v>
      </c>
      <c r="G2669" t="s">
        <v>25</v>
      </c>
      <c r="H2669">
        <v>20751</v>
      </c>
      <c r="I2669">
        <v>11653</v>
      </c>
      <c r="J2669">
        <v>0</v>
      </c>
      <c r="K2669">
        <v>0</v>
      </c>
      <c r="L2669" s="4">
        <v>45293</v>
      </c>
      <c r="M2669" s="4" t="str">
        <f t="shared" si="371"/>
        <v>2024</v>
      </c>
      <c r="N2669" s="1">
        <f t="shared" ca="1" si="372"/>
        <v>46064</v>
      </c>
      <c r="O2669" s="6">
        <f t="shared" ca="1" si="373"/>
        <v>2</v>
      </c>
      <c r="P2669">
        <v>1</v>
      </c>
      <c r="Q2669">
        <f t="shared" si="374"/>
        <v>32404</v>
      </c>
      <c r="R2669" s="2">
        <f t="shared" si="375"/>
        <v>16202</v>
      </c>
      <c r="S2669" s="2" t="str">
        <f t="shared" si="376"/>
        <v xml:space="preserve"> Not Achieved</v>
      </c>
      <c r="T2669" s="2" t="str">
        <f t="shared" si="377"/>
        <v>poor</v>
      </c>
      <c r="U2669" s="2"/>
    </row>
    <row r="2670" spans="1:21" x14ac:dyDescent="0.3">
      <c r="A2670">
        <v>2669</v>
      </c>
      <c r="B2670" t="s">
        <v>3705</v>
      </c>
      <c r="C2670" t="str">
        <f t="shared" si="369"/>
        <v>EMP_2669</v>
      </c>
      <c r="D2670" t="s">
        <v>15</v>
      </c>
      <c r="E2670" t="str">
        <f t="shared" si="370"/>
        <v>EMP_2669IT</v>
      </c>
      <c r="F2670" t="s">
        <v>21</v>
      </c>
      <c r="G2670" t="s">
        <v>13</v>
      </c>
      <c r="H2670">
        <v>61540</v>
      </c>
      <c r="I2670">
        <v>10370</v>
      </c>
      <c r="J2670">
        <v>0</v>
      </c>
      <c r="K2670">
        <v>0</v>
      </c>
      <c r="L2670" s="4">
        <v>43382</v>
      </c>
      <c r="M2670" s="4" t="str">
        <f t="shared" si="371"/>
        <v>2018</v>
      </c>
      <c r="N2670" s="1">
        <f t="shared" ca="1" si="372"/>
        <v>46064</v>
      </c>
      <c r="O2670" s="6">
        <f t="shared" ca="1" si="373"/>
        <v>7</v>
      </c>
      <c r="P2670">
        <v>5</v>
      </c>
      <c r="Q2670">
        <f t="shared" si="374"/>
        <v>71910</v>
      </c>
      <c r="R2670" s="2">
        <f t="shared" si="375"/>
        <v>35955</v>
      </c>
      <c r="S2670" s="2" t="str">
        <f t="shared" si="376"/>
        <v xml:space="preserve"> Not Achieved</v>
      </c>
      <c r="T2670" s="2" t="str">
        <f t="shared" si="377"/>
        <v xml:space="preserve"> Excellent</v>
      </c>
      <c r="U2670" s="2"/>
    </row>
    <row r="2671" spans="1:21" x14ac:dyDescent="0.3">
      <c r="A2671">
        <v>2670</v>
      </c>
      <c r="B2671" t="s">
        <v>3706</v>
      </c>
      <c r="C2671" t="str">
        <f t="shared" si="369"/>
        <v>EMP_2670</v>
      </c>
      <c r="D2671" t="s">
        <v>11</v>
      </c>
      <c r="E2671" t="str">
        <f t="shared" si="370"/>
        <v>EMP_2670Finance</v>
      </c>
      <c r="F2671" t="s">
        <v>18</v>
      </c>
      <c r="G2671" t="s">
        <v>16</v>
      </c>
      <c r="H2671">
        <v>26123</v>
      </c>
      <c r="I2671">
        <v>9516</v>
      </c>
      <c r="J2671">
        <v>0</v>
      </c>
      <c r="K2671">
        <v>0</v>
      </c>
      <c r="L2671" s="4">
        <v>44901</v>
      </c>
      <c r="M2671" s="4" t="str">
        <f t="shared" si="371"/>
        <v>2022</v>
      </c>
      <c r="N2671" s="1">
        <f t="shared" ca="1" si="372"/>
        <v>46064</v>
      </c>
      <c r="O2671" s="6">
        <f t="shared" ca="1" si="373"/>
        <v>3</v>
      </c>
      <c r="P2671">
        <v>4</v>
      </c>
      <c r="Q2671">
        <f t="shared" si="374"/>
        <v>35639</v>
      </c>
      <c r="R2671" s="2">
        <f t="shared" si="375"/>
        <v>17819.5</v>
      </c>
      <c r="S2671" s="2" t="str">
        <f t="shared" si="376"/>
        <v xml:space="preserve"> Not Achieved</v>
      </c>
      <c r="T2671" s="2" t="str">
        <f t="shared" si="377"/>
        <v>poor</v>
      </c>
      <c r="U2671" s="2"/>
    </row>
    <row r="2672" spans="1:21" x14ac:dyDescent="0.3">
      <c r="A2672">
        <v>2671</v>
      </c>
      <c r="B2672" t="s">
        <v>3707</v>
      </c>
      <c r="C2672" t="str">
        <f t="shared" si="369"/>
        <v>EMP_2671</v>
      </c>
      <c r="D2672" t="s">
        <v>11</v>
      </c>
      <c r="E2672" t="str">
        <f t="shared" si="370"/>
        <v>EMP_2671Marketing</v>
      </c>
      <c r="F2672" t="s">
        <v>24</v>
      </c>
      <c r="G2672" t="s">
        <v>22</v>
      </c>
      <c r="H2672">
        <v>39792</v>
      </c>
      <c r="I2672">
        <v>12680</v>
      </c>
      <c r="J2672">
        <v>0</v>
      </c>
      <c r="K2672">
        <v>0</v>
      </c>
      <c r="L2672" s="4">
        <v>44745</v>
      </c>
      <c r="M2672" s="4" t="str">
        <f t="shared" si="371"/>
        <v>2022</v>
      </c>
      <c r="N2672" s="1">
        <f t="shared" ca="1" si="372"/>
        <v>46064</v>
      </c>
      <c r="O2672" s="6">
        <f t="shared" ca="1" si="373"/>
        <v>3</v>
      </c>
      <c r="P2672">
        <v>5</v>
      </c>
      <c r="Q2672">
        <f t="shared" si="374"/>
        <v>52472</v>
      </c>
      <c r="R2672" s="2">
        <f t="shared" si="375"/>
        <v>26236</v>
      </c>
      <c r="S2672" s="2" t="str">
        <f t="shared" si="376"/>
        <v xml:space="preserve"> Not Achieved</v>
      </c>
      <c r="T2672" s="2" t="str">
        <f t="shared" si="377"/>
        <v>Average</v>
      </c>
      <c r="U2672" s="2"/>
    </row>
    <row r="2673" spans="1:21" x14ac:dyDescent="0.3">
      <c r="A2673">
        <v>2672</v>
      </c>
      <c r="B2673" t="s">
        <v>3708</v>
      </c>
      <c r="C2673" t="str">
        <f t="shared" si="369"/>
        <v>EMP_2672</v>
      </c>
      <c r="D2673" t="s">
        <v>11</v>
      </c>
      <c r="E2673" t="str">
        <f t="shared" si="370"/>
        <v>EMP_2672IT</v>
      </c>
      <c r="F2673" t="s">
        <v>21</v>
      </c>
      <c r="G2673" t="s">
        <v>16</v>
      </c>
      <c r="H2673">
        <v>44701</v>
      </c>
      <c r="I2673">
        <v>14156</v>
      </c>
      <c r="J2673">
        <v>0</v>
      </c>
      <c r="K2673">
        <v>0</v>
      </c>
      <c r="L2673" s="4">
        <v>44537</v>
      </c>
      <c r="M2673" s="4" t="str">
        <f t="shared" si="371"/>
        <v>2021</v>
      </c>
      <c r="N2673" s="1">
        <f t="shared" ca="1" si="372"/>
        <v>46064</v>
      </c>
      <c r="O2673" s="6">
        <f t="shared" ca="1" si="373"/>
        <v>4</v>
      </c>
      <c r="P2673">
        <v>2</v>
      </c>
      <c r="Q2673">
        <f t="shared" si="374"/>
        <v>58857</v>
      </c>
      <c r="R2673" s="2">
        <f t="shared" si="375"/>
        <v>29428.5</v>
      </c>
      <c r="S2673" s="2" t="str">
        <f t="shared" si="376"/>
        <v xml:space="preserve"> Not Achieved</v>
      </c>
      <c r="T2673" s="2" t="str">
        <f t="shared" si="377"/>
        <v>Good</v>
      </c>
      <c r="U2673" s="2"/>
    </row>
    <row r="2674" spans="1:21" x14ac:dyDescent="0.3">
      <c r="A2674">
        <v>2673</v>
      </c>
      <c r="B2674" t="s">
        <v>3709</v>
      </c>
      <c r="C2674" t="str">
        <f t="shared" si="369"/>
        <v>EMP_2673</v>
      </c>
      <c r="D2674" t="s">
        <v>15</v>
      </c>
      <c r="E2674" t="str">
        <f t="shared" si="370"/>
        <v>EMP_2673HR</v>
      </c>
      <c r="F2674" t="s">
        <v>12</v>
      </c>
      <c r="G2674" t="s">
        <v>13</v>
      </c>
      <c r="H2674">
        <v>59243</v>
      </c>
      <c r="I2674">
        <v>4816</v>
      </c>
      <c r="J2674">
        <v>0</v>
      </c>
      <c r="K2674">
        <v>0</v>
      </c>
      <c r="L2674" s="4">
        <v>43408</v>
      </c>
      <c r="M2674" s="4" t="str">
        <f t="shared" si="371"/>
        <v>2018</v>
      </c>
      <c r="N2674" s="1">
        <f t="shared" ca="1" si="372"/>
        <v>46064</v>
      </c>
      <c r="O2674" s="6">
        <f t="shared" ca="1" si="373"/>
        <v>7</v>
      </c>
      <c r="P2674">
        <v>2</v>
      </c>
      <c r="Q2674">
        <f t="shared" si="374"/>
        <v>64059</v>
      </c>
      <c r="R2674" s="2">
        <f t="shared" si="375"/>
        <v>32029.5</v>
      </c>
      <c r="S2674" s="2" t="str">
        <f t="shared" si="376"/>
        <v xml:space="preserve"> Not Achieved</v>
      </c>
      <c r="T2674" s="2" t="str">
        <f t="shared" si="377"/>
        <v xml:space="preserve"> Excellent</v>
      </c>
      <c r="U2674" s="2"/>
    </row>
    <row r="2675" spans="1:21" x14ac:dyDescent="0.3">
      <c r="A2675">
        <v>2674</v>
      </c>
      <c r="B2675" t="s">
        <v>3710</v>
      </c>
      <c r="C2675" t="str">
        <f t="shared" si="369"/>
        <v>EMP_2674</v>
      </c>
      <c r="D2675" t="s">
        <v>15</v>
      </c>
      <c r="E2675" t="str">
        <f t="shared" si="370"/>
        <v>EMP_2674Marketing</v>
      </c>
      <c r="F2675" t="s">
        <v>24</v>
      </c>
      <c r="G2675" t="s">
        <v>19</v>
      </c>
      <c r="H2675">
        <v>61354</v>
      </c>
      <c r="I2675">
        <v>7552</v>
      </c>
      <c r="J2675">
        <v>0</v>
      </c>
      <c r="K2675">
        <v>0</v>
      </c>
      <c r="L2675" s="4" t="s">
        <v>2802</v>
      </c>
      <c r="M2675" s="4" t="str">
        <f t="shared" si="371"/>
        <v>5/16/2019</v>
      </c>
      <c r="N2675" s="1">
        <f t="shared" ca="1" si="372"/>
        <v>46064</v>
      </c>
      <c r="O2675" s="6" t="e">
        <f t="shared" ca="1" si="373"/>
        <v>#VALUE!</v>
      </c>
      <c r="P2675">
        <v>3</v>
      </c>
      <c r="Q2675">
        <f t="shared" si="374"/>
        <v>68906</v>
      </c>
      <c r="R2675" s="2">
        <f t="shared" si="375"/>
        <v>34453</v>
      </c>
      <c r="S2675" s="2" t="str">
        <f t="shared" si="376"/>
        <v xml:space="preserve"> Not Achieved</v>
      </c>
      <c r="T2675" s="2" t="str">
        <f t="shared" si="377"/>
        <v xml:space="preserve"> Excellent</v>
      </c>
      <c r="U2675" s="2"/>
    </row>
    <row r="2676" spans="1:21" x14ac:dyDescent="0.3">
      <c r="A2676">
        <v>2675</v>
      </c>
      <c r="B2676" t="s">
        <v>3711</v>
      </c>
      <c r="C2676" t="str">
        <f t="shared" si="369"/>
        <v>EMP_2675</v>
      </c>
      <c r="D2676" t="s">
        <v>15</v>
      </c>
      <c r="E2676" t="str">
        <f t="shared" si="370"/>
        <v>EMP_2675IT</v>
      </c>
      <c r="F2676" t="s">
        <v>21</v>
      </c>
      <c r="G2676" t="s">
        <v>16</v>
      </c>
      <c r="H2676">
        <v>69966</v>
      </c>
      <c r="I2676">
        <v>7132</v>
      </c>
      <c r="J2676">
        <v>0</v>
      </c>
      <c r="K2676">
        <v>0</v>
      </c>
      <c r="L2676" s="4" t="s">
        <v>442</v>
      </c>
      <c r="M2676" s="4" t="str">
        <f t="shared" si="371"/>
        <v>2/16/2019</v>
      </c>
      <c r="N2676" s="1">
        <f t="shared" ca="1" si="372"/>
        <v>46064</v>
      </c>
      <c r="O2676" s="6" t="e">
        <f t="shared" ca="1" si="373"/>
        <v>#VALUE!</v>
      </c>
      <c r="P2676">
        <v>5</v>
      </c>
      <c r="Q2676">
        <f t="shared" si="374"/>
        <v>77098</v>
      </c>
      <c r="R2676" s="2">
        <f t="shared" si="375"/>
        <v>38549</v>
      </c>
      <c r="S2676" s="2" t="str">
        <f t="shared" si="376"/>
        <v xml:space="preserve"> Not Achieved</v>
      </c>
      <c r="T2676" s="2" t="str">
        <f t="shared" si="377"/>
        <v xml:space="preserve"> Excellent</v>
      </c>
      <c r="U2676" s="2"/>
    </row>
    <row r="2677" spans="1:21" x14ac:dyDescent="0.3">
      <c r="A2677">
        <v>2676</v>
      </c>
      <c r="B2677" t="s">
        <v>3712</v>
      </c>
      <c r="C2677" t="str">
        <f t="shared" si="369"/>
        <v>EMP_2676</v>
      </c>
      <c r="D2677" t="s">
        <v>15</v>
      </c>
      <c r="E2677" t="str">
        <f t="shared" si="370"/>
        <v>EMP_2676IT</v>
      </c>
      <c r="F2677" t="s">
        <v>21</v>
      </c>
      <c r="G2677" t="s">
        <v>19</v>
      </c>
      <c r="H2677">
        <v>48807</v>
      </c>
      <c r="I2677">
        <v>4140</v>
      </c>
      <c r="J2677">
        <v>0</v>
      </c>
      <c r="K2677">
        <v>0</v>
      </c>
      <c r="L2677" s="4" t="s">
        <v>144</v>
      </c>
      <c r="M2677" s="4" t="str">
        <f t="shared" si="371"/>
        <v>2/17/2021</v>
      </c>
      <c r="N2677" s="1">
        <f t="shared" ca="1" si="372"/>
        <v>46064</v>
      </c>
      <c r="O2677" s="6" t="e">
        <f t="shared" ca="1" si="373"/>
        <v>#VALUE!</v>
      </c>
      <c r="P2677">
        <v>5</v>
      </c>
      <c r="Q2677">
        <f t="shared" si="374"/>
        <v>52947</v>
      </c>
      <c r="R2677" s="2">
        <f t="shared" si="375"/>
        <v>26473.5</v>
      </c>
      <c r="S2677" s="2" t="str">
        <f t="shared" si="376"/>
        <v xml:space="preserve"> Not Achieved</v>
      </c>
      <c r="T2677" s="2" t="str">
        <f t="shared" si="377"/>
        <v>Good</v>
      </c>
      <c r="U2677" s="2"/>
    </row>
    <row r="2678" spans="1:21" x14ac:dyDescent="0.3">
      <c r="A2678">
        <v>2677</v>
      </c>
      <c r="B2678" t="s">
        <v>3713</v>
      </c>
      <c r="C2678" t="str">
        <f t="shared" si="369"/>
        <v>EMP_2677</v>
      </c>
      <c r="D2678" t="s">
        <v>11</v>
      </c>
      <c r="E2678" t="str">
        <f t="shared" si="370"/>
        <v>EMP_2677Marketing</v>
      </c>
      <c r="F2678" t="s">
        <v>24</v>
      </c>
      <c r="G2678" t="s">
        <v>19</v>
      </c>
      <c r="H2678">
        <v>66879</v>
      </c>
      <c r="I2678">
        <v>9216</v>
      </c>
      <c r="J2678">
        <v>0</v>
      </c>
      <c r="K2678">
        <v>0</v>
      </c>
      <c r="L2678" s="4" t="s">
        <v>3714</v>
      </c>
      <c r="M2678" s="4" t="str">
        <f t="shared" si="371"/>
        <v>6/25/2020</v>
      </c>
      <c r="N2678" s="1">
        <f t="shared" ca="1" si="372"/>
        <v>46064</v>
      </c>
      <c r="O2678" s="6" t="e">
        <f t="shared" ca="1" si="373"/>
        <v>#VALUE!</v>
      </c>
      <c r="P2678">
        <v>1</v>
      </c>
      <c r="Q2678">
        <f t="shared" si="374"/>
        <v>76095</v>
      </c>
      <c r="R2678" s="2">
        <f t="shared" si="375"/>
        <v>38047.5</v>
      </c>
      <c r="S2678" s="2" t="str">
        <f t="shared" si="376"/>
        <v xml:space="preserve"> Not Achieved</v>
      </c>
      <c r="T2678" s="2" t="str">
        <f t="shared" si="377"/>
        <v xml:space="preserve"> Excellent</v>
      </c>
      <c r="U2678" s="2"/>
    </row>
    <row r="2679" spans="1:21" x14ac:dyDescent="0.3">
      <c r="A2679">
        <v>2678</v>
      </c>
      <c r="B2679" t="s">
        <v>3715</v>
      </c>
      <c r="C2679" t="str">
        <f t="shared" si="369"/>
        <v>EMP_2678</v>
      </c>
      <c r="D2679" t="s">
        <v>11</v>
      </c>
      <c r="E2679" t="str">
        <f t="shared" si="370"/>
        <v>EMP_2678HR</v>
      </c>
      <c r="F2679" t="s">
        <v>12</v>
      </c>
      <c r="G2679" t="s">
        <v>22</v>
      </c>
      <c r="H2679">
        <v>52964</v>
      </c>
      <c r="I2679">
        <v>10168</v>
      </c>
      <c r="J2679">
        <v>0</v>
      </c>
      <c r="K2679">
        <v>0</v>
      </c>
      <c r="L2679" s="4" t="s">
        <v>3716</v>
      </c>
      <c r="M2679" s="4" t="str">
        <f t="shared" si="371"/>
        <v>7/23/2024</v>
      </c>
      <c r="N2679" s="1">
        <f t="shared" ca="1" si="372"/>
        <v>46064</v>
      </c>
      <c r="O2679" s="6" t="e">
        <f t="shared" ca="1" si="373"/>
        <v>#VALUE!</v>
      </c>
      <c r="P2679">
        <v>4</v>
      </c>
      <c r="Q2679">
        <f t="shared" si="374"/>
        <v>63132</v>
      </c>
      <c r="R2679" s="2">
        <f t="shared" si="375"/>
        <v>31566</v>
      </c>
      <c r="S2679" s="2" t="str">
        <f t="shared" si="376"/>
        <v xml:space="preserve"> Not Achieved</v>
      </c>
      <c r="T2679" s="2" t="str">
        <f t="shared" si="377"/>
        <v xml:space="preserve"> Excellent</v>
      </c>
      <c r="U2679" s="2"/>
    </row>
    <row r="2680" spans="1:21" x14ac:dyDescent="0.3">
      <c r="A2680">
        <v>2679</v>
      </c>
      <c r="B2680" t="s">
        <v>3717</v>
      </c>
      <c r="C2680" t="str">
        <f t="shared" si="369"/>
        <v>EMP_2679</v>
      </c>
      <c r="D2680" t="s">
        <v>11</v>
      </c>
      <c r="E2680" t="str">
        <f t="shared" si="370"/>
        <v>EMP_2679HR</v>
      </c>
      <c r="F2680" t="s">
        <v>12</v>
      </c>
      <c r="G2680" t="s">
        <v>16</v>
      </c>
      <c r="H2680">
        <v>51799</v>
      </c>
      <c r="I2680">
        <v>13058</v>
      </c>
      <c r="J2680">
        <v>0</v>
      </c>
      <c r="K2680">
        <v>0</v>
      </c>
      <c r="L2680" s="4" t="s">
        <v>3272</v>
      </c>
      <c r="M2680" s="4" t="str">
        <f t="shared" si="371"/>
        <v>2/18/2024</v>
      </c>
      <c r="N2680" s="1">
        <f t="shared" ca="1" si="372"/>
        <v>46064</v>
      </c>
      <c r="O2680" s="6" t="e">
        <f t="shared" ca="1" si="373"/>
        <v>#VALUE!</v>
      </c>
      <c r="P2680">
        <v>3</v>
      </c>
      <c r="Q2680">
        <f t="shared" si="374"/>
        <v>64857</v>
      </c>
      <c r="R2680" s="2">
        <f t="shared" si="375"/>
        <v>32428.5</v>
      </c>
      <c r="S2680" s="2" t="str">
        <f t="shared" si="376"/>
        <v xml:space="preserve"> Not Achieved</v>
      </c>
      <c r="T2680" s="2" t="str">
        <f t="shared" si="377"/>
        <v xml:space="preserve"> Excellent</v>
      </c>
      <c r="U2680" s="2"/>
    </row>
    <row r="2681" spans="1:21" x14ac:dyDescent="0.3">
      <c r="A2681">
        <v>2680</v>
      </c>
      <c r="B2681" t="s">
        <v>3718</v>
      </c>
      <c r="C2681" t="str">
        <f t="shared" si="369"/>
        <v>EMP_2680</v>
      </c>
      <c r="D2681" t="s">
        <v>15</v>
      </c>
      <c r="E2681" t="str">
        <f t="shared" si="370"/>
        <v>EMP_2680Marketing</v>
      </c>
      <c r="F2681" t="s">
        <v>24</v>
      </c>
      <c r="G2681" t="s">
        <v>13</v>
      </c>
      <c r="H2681">
        <v>52837</v>
      </c>
      <c r="I2681">
        <v>13337</v>
      </c>
      <c r="J2681">
        <v>0</v>
      </c>
      <c r="K2681">
        <v>0</v>
      </c>
      <c r="L2681" s="4">
        <v>44717</v>
      </c>
      <c r="M2681" s="4" t="str">
        <f t="shared" si="371"/>
        <v>2022</v>
      </c>
      <c r="N2681" s="1">
        <f t="shared" ca="1" si="372"/>
        <v>46064</v>
      </c>
      <c r="O2681" s="6">
        <f t="shared" ca="1" si="373"/>
        <v>3</v>
      </c>
      <c r="P2681">
        <v>3</v>
      </c>
      <c r="Q2681">
        <f t="shared" si="374"/>
        <v>66174</v>
      </c>
      <c r="R2681" s="2">
        <f t="shared" si="375"/>
        <v>33087</v>
      </c>
      <c r="S2681" s="2" t="str">
        <f t="shared" si="376"/>
        <v xml:space="preserve"> Not Achieved</v>
      </c>
      <c r="T2681" s="2" t="str">
        <f t="shared" si="377"/>
        <v xml:space="preserve"> Excellent</v>
      </c>
      <c r="U2681" s="2"/>
    </row>
    <row r="2682" spans="1:21" x14ac:dyDescent="0.3">
      <c r="A2682">
        <v>2681</v>
      </c>
      <c r="B2682" t="s">
        <v>3719</v>
      </c>
      <c r="C2682" t="str">
        <f t="shared" si="369"/>
        <v>EMP_2681</v>
      </c>
      <c r="D2682" t="s">
        <v>15</v>
      </c>
      <c r="E2682" t="str">
        <f t="shared" si="370"/>
        <v>EMP_2681Marketing</v>
      </c>
      <c r="F2682" t="s">
        <v>24</v>
      </c>
      <c r="G2682" t="s">
        <v>19</v>
      </c>
      <c r="H2682">
        <v>64341</v>
      </c>
      <c r="I2682">
        <v>13794</v>
      </c>
      <c r="J2682">
        <v>0</v>
      </c>
      <c r="K2682">
        <v>0</v>
      </c>
      <c r="L2682" s="4" t="s">
        <v>3720</v>
      </c>
      <c r="M2682" s="4" t="str">
        <f t="shared" si="371"/>
        <v>7/30/2019</v>
      </c>
      <c r="N2682" s="1">
        <f t="shared" ca="1" si="372"/>
        <v>46064</v>
      </c>
      <c r="O2682" s="6" t="e">
        <f t="shared" ca="1" si="373"/>
        <v>#VALUE!</v>
      </c>
      <c r="P2682">
        <v>4</v>
      </c>
      <c r="Q2682">
        <f t="shared" si="374"/>
        <v>78135</v>
      </c>
      <c r="R2682" s="2">
        <f t="shared" si="375"/>
        <v>39067.5</v>
      </c>
      <c r="S2682" s="2" t="str">
        <f t="shared" si="376"/>
        <v xml:space="preserve"> Not Achieved</v>
      </c>
      <c r="T2682" s="2" t="str">
        <f t="shared" si="377"/>
        <v xml:space="preserve"> Excellent</v>
      </c>
      <c r="U2682" s="2"/>
    </row>
    <row r="2683" spans="1:21" x14ac:dyDescent="0.3">
      <c r="A2683">
        <v>2682</v>
      </c>
      <c r="B2683" t="s">
        <v>3721</v>
      </c>
      <c r="C2683" t="str">
        <f t="shared" si="369"/>
        <v>EMP_2682</v>
      </c>
      <c r="D2683" t="s">
        <v>11</v>
      </c>
      <c r="E2683" t="str">
        <f t="shared" si="370"/>
        <v>EMP_2682IT</v>
      </c>
      <c r="F2683" t="s">
        <v>21</v>
      </c>
      <c r="G2683" t="s">
        <v>22</v>
      </c>
      <c r="H2683">
        <v>67354</v>
      </c>
      <c r="I2683">
        <v>3077</v>
      </c>
      <c r="J2683">
        <v>0</v>
      </c>
      <c r="K2683">
        <v>0</v>
      </c>
      <c r="L2683" s="4" t="s">
        <v>144</v>
      </c>
      <c r="M2683" s="4" t="str">
        <f t="shared" si="371"/>
        <v>2/17/2021</v>
      </c>
      <c r="N2683" s="1">
        <f t="shared" ca="1" si="372"/>
        <v>46064</v>
      </c>
      <c r="O2683" s="6" t="e">
        <f t="shared" ca="1" si="373"/>
        <v>#VALUE!</v>
      </c>
      <c r="P2683">
        <v>1</v>
      </c>
      <c r="Q2683">
        <f t="shared" si="374"/>
        <v>70431</v>
      </c>
      <c r="R2683" s="2">
        <f t="shared" si="375"/>
        <v>35215.5</v>
      </c>
      <c r="S2683" s="2" t="str">
        <f t="shared" si="376"/>
        <v xml:space="preserve"> Not Achieved</v>
      </c>
      <c r="T2683" s="2" t="str">
        <f t="shared" si="377"/>
        <v xml:space="preserve"> Excellent</v>
      </c>
      <c r="U2683" s="2"/>
    </row>
    <row r="2684" spans="1:21" x14ac:dyDescent="0.3">
      <c r="A2684">
        <v>2683</v>
      </c>
      <c r="B2684" t="s">
        <v>3722</v>
      </c>
      <c r="C2684" t="str">
        <f t="shared" si="369"/>
        <v>EMP_2683</v>
      </c>
      <c r="D2684" t="s">
        <v>15</v>
      </c>
      <c r="E2684" t="str">
        <f t="shared" si="370"/>
        <v>EMP_2683IT</v>
      </c>
      <c r="F2684" t="s">
        <v>21</v>
      </c>
      <c r="G2684" t="s">
        <v>25</v>
      </c>
      <c r="H2684">
        <v>51179</v>
      </c>
      <c r="I2684">
        <v>14213</v>
      </c>
      <c r="J2684">
        <v>0</v>
      </c>
      <c r="K2684">
        <v>0</v>
      </c>
      <c r="L2684" s="4" t="s">
        <v>698</v>
      </c>
      <c r="M2684" s="4" t="str">
        <f t="shared" si="371"/>
        <v>12/28/2024</v>
      </c>
      <c r="N2684" s="1">
        <f t="shared" ca="1" si="372"/>
        <v>46064</v>
      </c>
      <c r="O2684" s="6" t="e">
        <f t="shared" ca="1" si="373"/>
        <v>#VALUE!</v>
      </c>
      <c r="P2684">
        <v>3</v>
      </c>
      <c r="Q2684">
        <f t="shared" si="374"/>
        <v>65392</v>
      </c>
      <c r="R2684" s="2">
        <f t="shared" si="375"/>
        <v>32696</v>
      </c>
      <c r="S2684" s="2" t="str">
        <f t="shared" si="376"/>
        <v xml:space="preserve"> Not Achieved</v>
      </c>
      <c r="T2684" s="2" t="str">
        <f t="shared" si="377"/>
        <v xml:space="preserve"> Excellent</v>
      </c>
      <c r="U2684" s="2"/>
    </row>
    <row r="2685" spans="1:21" x14ac:dyDescent="0.3">
      <c r="A2685">
        <v>2684</v>
      </c>
      <c r="B2685" t="s">
        <v>3723</v>
      </c>
      <c r="C2685" t="str">
        <f t="shared" si="369"/>
        <v>EMP_2684</v>
      </c>
      <c r="D2685" t="s">
        <v>15</v>
      </c>
      <c r="E2685" t="str">
        <f t="shared" si="370"/>
        <v>EMP_2684Marketing</v>
      </c>
      <c r="F2685" t="s">
        <v>24</v>
      </c>
      <c r="G2685" t="s">
        <v>25</v>
      </c>
      <c r="H2685">
        <v>66213</v>
      </c>
      <c r="I2685">
        <v>6734</v>
      </c>
      <c r="J2685">
        <v>0</v>
      </c>
      <c r="K2685">
        <v>0</v>
      </c>
      <c r="L2685" s="4" t="s">
        <v>3128</v>
      </c>
      <c r="M2685" s="4" t="str">
        <f t="shared" si="371"/>
        <v>11/27/2019</v>
      </c>
      <c r="N2685" s="1">
        <f t="shared" ca="1" si="372"/>
        <v>46064</v>
      </c>
      <c r="O2685" s="6" t="e">
        <f t="shared" ca="1" si="373"/>
        <v>#VALUE!</v>
      </c>
      <c r="P2685">
        <v>4</v>
      </c>
      <c r="Q2685">
        <f t="shared" si="374"/>
        <v>72947</v>
      </c>
      <c r="R2685" s="2">
        <f t="shared" si="375"/>
        <v>36473.5</v>
      </c>
      <c r="S2685" s="2" t="str">
        <f t="shared" si="376"/>
        <v xml:space="preserve"> Not Achieved</v>
      </c>
      <c r="T2685" s="2" t="str">
        <f t="shared" si="377"/>
        <v xml:space="preserve"> Excellent</v>
      </c>
      <c r="U2685" s="2"/>
    </row>
    <row r="2686" spans="1:21" x14ac:dyDescent="0.3">
      <c r="A2686">
        <v>2685</v>
      </c>
      <c r="B2686" t="s">
        <v>3724</v>
      </c>
      <c r="C2686" t="str">
        <f t="shared" si="369"/>
        <v>EMP_2685</v>
      </c>
      <c r="D2686" t="s">
        <v>11</v>
      </c>
      <c r="E2686" t="str">
        <f t="shared" si="370"/>
        <v>EMP_2685Marketing</v>
      </c>
      <c r="F2686" t="s">
        <v>24</v>
      </c>
      <c r="G2686" t="s">
        <v>22</v>
      </c>
      <c r="H2686">
        <v>65533</v>
      </c>
      <c r="I2686">
        <v>10203</v>
      </c>
      <c r="J2686">
        <v>0</v>
      </c>
      <c r="K2686">
        <v>0</v>
      </c>
      <c r="L2686" s="4" t="s">
        <v>3725</v>
      </c>
      <c r="M2686" s="4" t="str">
        <f t="shared" si="371"/>
        <v>7/28/2022</v>
      </c>
      <c r="N2686" s="1">
        <f t="shared" ca="1" si="372"/>
        <v>46064</v>
      </c>
      <c r="O2686" s="6" t="e">
        <f t="shared" ca="1" si="373"/>
        <v>#VALUE!</v>
      </c>
      <c r="P2686">
        <v>1</v>
      </c>
      <c r="Q2686">
        <f t="shared" si="374"/>
        <v>75736</v>
      </c>
      <c r="R2686" s="2">
        <f t="shared" si="375"/>
        <v>37868</v>
      </c>
      <c r="S2686" s="2" t="str">
        <f t="shared" si="376"/>
        <v xml:space="preserve"> Not Achieved</v>
      </c>
      <c r="T2686" s="2" t="str">
        <f t="shared" si="377"/>
        <v xml:space="preserve"> Excellent</v>
      </c>
      <c r="U2686" s="2"/>
    </row>
    <row r="2687" spans="1:21" x14ac:dyDescent="0.3">
      <c r="A2687">
        <v>2686</v>
      </c>
      <c r="B2687" t="s">
        <v>3726</v>
      </c>
      <c r="C2687" t="str">
        <f t="shared" si="369"/>
        <v>EMP_2686</v>
      </c>
      <c r="D2687" t="s">
        <v>15</v>
      </c>
      <c r="E2687" t="str">
        <f t="shared" si="370"/>
        <v>EMP_2686IT</v>
      </c>
      <c r="F2687" t="s">
        <v>21</v>
      </c>
      <c r="G2687" t="s">
        <v>25</v>
      </c>
      <c r="H2687">
        <v>50740</v>
      </c>
      <c r="I2687">
        <v>5621</v>
      </c>
      <c r="J2687">
        <v>0</v>
      </c>
      <c r="K2687">
        <v>0</v>
      </c>
      <c r="L2687" s="4" t="s">
        <v>241</v>
      </c>
      <c r="M2687" s="4" t="str">
        <f t="shared" si="371"/>
        <v>6/15/2018</v>
      </c>
      <c r="N2687" s="1">
        <f t="shared" ca="1" si="372"/>
        <v>46064</v>
      </c>
      <c r="O2687" s="6" t="e">
        <f t="shared" ca="1" si="373"/>
        <v>#VALUE!</v>
      </c>
      <c r="P2687">
        <v>1</v>
      </c>
      <c r="Q2687">
        <f t="shared" si="374"/>
        <v>56361</v>
      </c>
      <c r="R2687" s="2">
        <f t="shared" si="375"/>
        <v>28180.5</v>
      </c>
      <c r="S2687" s="2" t="str">
        <f t="shared" si="376"/>
        <v xml:space="preserve"> Not Achieved</v>
      </c>
      <c r="T2687" s="2" t="str">
        <f t="shared" si="377"/>
        <v xml:space="preserve"> Excellent</v>
      </c>
      <c r="U2687" s="2"/>
    </row>
    <row r="2688" spans="1:21" x14ac:dyDescent="0.3">
      <c r="A2688">
        <v>2687</v>
      </c>
      <c r="B2688" t="s">
        <v>3727</v>
      </c>
      <c r="C2688" t="str">
        <f t="shared" si="369"/>
        <v>EMP_2687</v>
      </c>
      <c r="D2688" t="s">
        <v>11</v>
      </c>
      <c r="E2688" t="str">
        <f t="shared" si="370"/>
        <v>EMP_2687Finance</v>
      </c>
      <c r="F2688" t="s">
        <v>18</v>
      </c>
      <c r="G2688" t="s">
        <v>13</v>
      </c>
      <c r="H2688">
        <v>22402</v>
      </c>
      <c r="I2688">
        <v>8826</v>
      </c>
      <c r="J2688">
        <v>0</v>
      </c>
      <c r="K2688">
        <v>0</v>
      </c>
      <c r="L2688" s="4" t="s">
        <v>87</v>
      </c>
      <c r="M2688" s="4" t="str">
        <f t="shared" si="371"/>
        <v>4/13/2022</v>
      </c>
      <c r="N2688" s="1">
        <f t="shared" ca="1" si="372"/>
        <v>46064</v>
      </c>
      <c r="O2688" s="6" t="e">
        <f t="shared" ca="1" si="373"/>
        <v>#VALUE!</v>
      </c>
      <c r="P2688">
        <v>4</v>
      </c>
      <c r="Q2688">
        <f t="shared" si="374"/>
        <v>31228</v>
      </c>
      <c r="R2688" s="2">
        <f t="shared" si="375"/>
        <v>15614</v>
      </c>
      <c r="S2688" s="2" t="str">
        <f t="shared" si="376"/>
        <v xml:space="preserve"> Not Achieved</v>
      </c>
      <c r="T2688" s="2" t="str">
        <f t="shared" si="377"/>
        <v>poor</v>
      </c>
      <c r="U2688" s="2"/>
    </row>
    <row r="2689" spans="1:21" x14ac:dyDescent="0.3">
      <c r="A2689">
        <v>2688</v>
      </c>
      <c r="B2689" t="s">
        <v>3728</v>
      </c>
      <c r="C2689" t="str">
        <f t="shared" si="369"/>
        <v>EMP_2688</v>
      </c>
      <c r="D2689" t="s">
        <v>15</v>
      </c>
      <c r="E2689" t="str">
        <f t="shared" si="370"/>
        <v>EMP_2688IT</v>
      </c>
      <c r="F2689" t="s">
        <v>21</v>
      </c>
      <c r="G2689" t="s">
        <v>16</v>
      </c>
      <c r="H2689">
        <v>79795</v>
      </c>
      <c r="I2689">
        <v>5948</v>
      </c>
      <c r="J2689">
        <v>0</v>
      </c>
      <c r="K2689">
        <v>0</v>
      </c>
      <c r="L2689" s="4">
        <v>44654</v>
      </c>
      <c r="M2689" s="4" t="str">
        <f t="shared" si="371"/>
        <v>2022</v>
      </c>
      <c r="N2689" s="1">
        <f t="shared" ca="1" si="372"/>
        <v>46064</v>
      </c>
      <c r="O2689" s="6">
        <f t="shared" ca="1" si="373"/>
        <v>3</v>
      </c>
      <c r="P2689">
        <v>3</v>
      </c>
      <c r="Q2689">
        <f t="shared" si="374"/>
        <v>85743</v>
      </c>
      <c r="R2689" s="2">
        <f t="shared" si="375"/>
        <v>42871.5</v>
      </c>
      <c r="S2689" s="2" t="str">
        <f t="shared" si="376"/>
        <v xml:space="preserve"> Not Achieved</v>
      </c>
      <c r="T2689" s="2" t="str">
        <f t="shared" si="377"/>
        <v xml:space="preserve"> Excellent</v>
      </c>
      <c r="U2689" s="2"/>
    </row>
    <row r="2690" spans="1:21" x14ac:dyDescent="0.3">
      <c r="A2690">
        <v>2689</v>
      </c>
      <c r="B2690" t="s">
        <v>3729</v>
      </c>
      <c r="C2690" t="str">
        <f t="shared" si="369"/>
        <v>EMP_2689</v>
      </c>
      <c r="D2690" t="s">
        <v>11</v>
      </c>
      <c r="E2690" t="str">
        <f t="shared" si="370"/>
        <v>EMP_2689Sales</v>
      </c>
      <c r="F2690" t="s">
        <v>7</v>
      </c>
      <c r="G2690" t="s">
        <v>19</v>
      </c>
      <c r="H2690">
        <v>44461</v>
      </c>
      <c r="I2690">
        <v>9168</v>
      </c>
      <c r="J2690">
        <v>205746</v>
      </c>
      <c r="K2690">
        <v>205744</v>
      </c>
      <c r="L2690" s="4" t="s">
        <v>3730</v>
      </c>
      <c r="M2690" s="4" t="str">
        <f t="shared" si="371"/>
        <v>6/21/2021</v>
      </c>
      <c r="N2690" s="1">
        <f t="shared" ca="1" si="372"/>
        <v>46064</v>
      </c>
      <c r="O2690" s="6" t="e">
        <f t="shared" ca="1" si="373"/>
        <v>#VALUE!</v>
      </c>
      <c r="P2690">
        <v>5</v>
      </c>
      <c r="Q2690">
        <f t="shared" si="374"/>
        <v>53629</v>
      </c>
      <c r="R2690" s="2">
        <f t="shared" si="375"/>
        <v>26814.5</v>
      </c>
      <c r="S2690" s="2" t="str">
        <f t="shared" si="376"/>
        <v>Achieved</v>
      </c>
      <c r="T2690" s="2" t="str">
        <f t="shared" si="377"/>
        <v>Good</v>
      </c>
      <c r="U2690" s="2"/>
    </row>
    <row r="2691" spans="1:21" x14ac:dyDescent="0.3">
      <c r="A2691">
        <v>2690</v>
      </c>
      <c r="B2691" t="s">
        <v>3731</v>
      </c>
      <c r="C2691" t="str">
        <f t="shared" ref="C2691:C2754" si="378">UPPER(B2691)</f>
        <v>EMP_2690</v>
      </c>
      <c r="D2691" t="s">
        <v>11</v>
      </c>
      <c r="E2691" t="str">
        <f t="shared" ref="E2691:E2754" si="379">_xlfn.CONCAT(C2691,F2691)</f>
        <v>EMP_2690Sales</v>
      </c>
      <c r="F2691" t="s">
        <v>7</v>
      </c>
      <c r="G2691" t="s">
        <v>13</v>
      </c>
      <c r="H2691">
        <v>33189</v>
      </c>
      <c r="I2691">
        <v>4268</v>
      </c>
      <c r="J2691">
        <v>204949</v>
      </c>
      <c r="K2691">
        <v>150742</v>
      </c>
      <c r="L2691" s="4" t="s">
        <v>3732</v>
      </c>
      <c r="M2691" s="4" t="str">
        <f t="shared" ref="M2691:M2754" si="380">TEXT(L2691,"yyyy")</f>
        <v>11/20/2020</v>
      </c>
      <c r="N2691" s="1">
        <f t="shared" ref="N2691:N2754" ca="1" si="381">TODAY()</f>
        <v>46064</v>
      </c>
      <c r="O2691" s="6" t="e">
        <f t="shared" ref="O2691:O2754" ca="1" si="382">DATEDIF(L2691, TODAY(), "y")</f>
        <v>#VALUE!</v>
      </c>
      <c r="P2691">
        <v>3</v>
      </c>
      <c r="Q2691">
        <f t="shared" ref="Q2691:Q2754" si="383">SUM(H2691,I2691)</f>
        <v>37457</v>
      </c>
      <c r="R2691" s="2">
        <f t="shared" ref="R2691:R2754" si="384">AVERAGE(H2691,I2691)</f>
        <v>18728.5</v>
      </c>
      <c r="S2691" s="2" t="str">
        <f t="shared" ref="S2691:S2754" si="385">IF(J2691&gt;K2691,"Achieved"," Not Achieved")</f>
        <v>Achieved</v>
      </c>
      <c r="T2691" s="2" t="str">
        <f t="shared" ref="T2691:T2754" si="386">_xlfn.IFS(H2691&gt;=50000," Excellent",H2691&gt;=40000,"Good",H2691&gt;=30000,"Average",H2691&lt;30000,"poor")</f>
        <v>Average</v>
      </c>
      <c r="U2691" s="2"/>
    </row>
    <row r="2692" spans="1:21" x14ac:dyDescent="0.3">
      <c r="A2692">
        <v>2691</v>
      </c>
      <c r="B2692" t="s">
        <v>3733</v>
      </c>
      <c r="C2692" t="str">
        <f t="shared" si="378"/>
        <v>EMP_2691</v>
      </c>
      <c r="D2692" t="s">
        <v>15</v>
      </c>
      <c r="E2692" t="str">
        <f t="shared" si="379"/>
        <v>EMP_2691Finance</v>
      </c>
      <c r="F2692" t="s">
        <v>18</v>
      </c>
      <c r="G2692" t="s">
        <v>16</v>
      </c>
      <c r="H2692">
        <v>67292</v>
      </c>
      <c r="I2692">
        <v>7135</v>
      </c>
      <c r="J2692">
        <v>0</v>
      </c>
      <c r="K2692">
        <v>0</v>
      </c>
      <c r="L2692" s="4" t="s">
        <v>2068</v>
      </c>
      <c r="M2692" s="4" t="str">
        <f t="shared" si="380"/>
        <v>7/24/2022</v>
      </c>
      <c r="N2692" s="1">
        <f t="shared" ca="1" si="381"/>
        <v>46064</v>
      </c>
      <c r="O2692" s="6" t="e">
        <f t="shared" ca="1" si="382"/>
        <v>#VALUE!</v>
      </c>
      <c r="P2692">
        <v>3</v>
      </c>
      <c r="Q2692">
        <f t="shared" si="383"/>
        <v>74427</v>
      </c>
      <c r="R2692" s="2">
        <f t="shared" si="384"/>
        <v>37213.5</v>
      </c>
      <c r="S2692" s="2" t="str">
        <f t="shared" si="385"/>
        <v xml:space="preserve"> Not Achieved</v>
      </c>
      <c r="T2692" s="2" t="str">
        <f t="shared" si="386"/>
        <v xml:space="preserve"> Excellent</v>
      </c>
      <c r="U2692" s="2"/>
    </row>
    <row r="2693" spans="1:21" x14ac:dyDescent="0.3">
      <c r="A2693">
        <v>2692</v>
      </c>
      <c r="B2693" t="s">
        <v>3734</v>
      </c>
      <c r="C2693" t="str">
        <f t="shared" si="378"/>
        <v>EMP_2692</v>
      </c>
      <c r="D2693" t="s">
        <v>11</v>
      </c>
      <c r="E2693" t="str">
        <f t="shared" si="379"/>
        <v>EMP_2692Sales</v>
      </c>
      <c r="F2693" t="s">
        <v>7</v>
      </c>
      <c r="G2693" t="s">
        <v>19</v>
      </c>
      <c r="H2693">
        <v>29014</v>
      </c>
      <c r="I2693">
        <v>4029</v>
      </c>
      <c r="J2693">
        <v>95547</v>
      </c>
      <c r="K2693">
        <v>212174</v>
      </c>
      <c r="L2693" s="4">
        <v>43588</v>
      </c>
      <c r="M2693" s="4" t="str">
        <f t="shared" si="380"/>
        <v>2019</v>
      </c>
      <c r="N2693" s="1">
        <f t="shared" ca="1" si="381"/>
        <v>46064</v>
      </c>
      <c r="O2693" s="6">
        <f t="shared" ca="1" si="382"/>
        <v>6</v>
      </c>
      <c r="P2693">
        <v>1</v>
      </c>
      <c r="Q2693">
        <f t="shared" si="383"/>
        <v>33043</v>
      </c>
      <c r="R2693" s="2">
        <f t="shared" si="384"/>
        <v>16521.5</v>
      </c>
      <c r="S2693" s="2" t="str">
        <f t="shared" si="385"/>
        <v xml:space="preserve"> Not Achieved</v>
      </c>
      <c r="T2693" s="2" t="str">
        <f t="shared" si="386"/>
        <v>poor</v>
      </c>
      <c r="U2693" s="2"/>
    </row>
    <row r="2694" spans="1:21" x14ac:dyDescent="0.3">
      <c r="A2694">
        <v>2693</v>
      </c>
      <c r="B2694" t="s">
        <v>3735</v>
      </c>
      <c r="C2694" t="str">
        <f t="shared" si="378"/>
        <v>EMP_2693</v>
      </c>
      <c r="D2694" t="s">
        <v>15</v>
      </c>
      <c r="E2694" t="str">
        <f t="shared" si="379"/>
        <v>EMP_2693HR</v>
      </c>
      <c r="F2694" t="s">
        <v>12</v>
      </c>
      <c r="G2694" t="s">
        <v>13</v>
      </c>
      <c r="H2694">
        <v>32200</v>
      </c>
      <c r="I2694">
        <v>9767</v>
      </c>
      <c r="J2694">
        <v>0</v>
      </c>
      <c r="K2694">
        <v>0</v>
      </c>
      <c r="L2694" s="4" t="s">
        <v>3736</v>
      </c>
      <c r="M2694" s="4" t="str">
        <f t="shared" si="380"/>
        <v>5/21/2019</v>
      </c>
      <c r="N2694" s="1">
        <f t="shared" ca="1" si="381"/>
        <v>46064</v>
      </c>
      <c r="O2694" s="6" t="e">
        <f t="shared" ca="1" si="382"/>
        <v>#VALUE!</v>
      </c>
      <c r="P2694">
        <v>4</v>
      </c>
      <c r="Q2694">
        <f t="shared" si="383"/>
        <v>41967</v>
      </c>
      <c r="R2694" s="2">
        <f t="shared" si="384"/>
        <v>20983.5</v>
      </c>
      <c r="S2694" s="2" t="str">
        <f t="shared" si="385"/>
        <v xml:space="preserve"> Not Achieved</v>
      </c>
      <c r="T2694" s="2" t="str">
        <f t="shared" si="386"/>
        <v>Average</v>
      </c>
      <c r="U2694" s="2"/>
    </row>
    <row r="2695" spans="1:21" x14ac:dyDescent="0.3">
      <c r="A2695">
        <v>2694</v>
      </c>
      <c r="B2695" t="s">
        <v>3737</v>
      </c>
      <c r="C2695" t="str">
        <f t="shared" si="378"/>
        <v>EMP_2694</v>
      </c>
      <c r="D2695" t="s">
        <v>15</v>
      </c>
      <c r="E2695" t="str">
        <f t="shared" si="379"/>
        <v>EMP_2694Finance</v>
      </c>
      <c r="F2695" t="s">
        <v>18</v>
      </c>
      <c r="G2695" t="s">
        <v>25</v>
      </c>
      <c r="H2695">
        <v>34368</v>
      </c>
      <c r="I2695">
        <v>3436</v>
      </c>
      <c r="J2695">
        <v>0</v>
      </c>
      <c r="K2695">
        <v>0</v>
      </c>
      <c r="L2695" s="4" t="s">
        <v>3738</v>
      </c>
      <c r="M2695" s="4" t="str">
        <f t="shared" si="380"/>
        <v>7/23/2022</v>
      </c>
      <c r="N2695" s="1">
        <f t="shared" ca="1" si="381"/>
        <v>46064</v>
      </c>
      <c r="O2695" s="6" t="e">
        <f t="shared" ca="1" si="382"/>
        <v>#VALUE!</v>
      </c>
      <c r="P2695">
        <v>5</v>
      </c>
      <c r="Q2695">
        <f t="shared" si="383"/>
        <v>37804</v>
      </c>
      <c r="R2695" s="2">
        <f t="shared" si="384"/>
        <v>18902</v>
      </c>
      <c r="S2695" s="2" t="str">
        <f t="shared" si="385"/>
        <v xml:space="preserve"> Not Achieved</v>
      </c>
      <c r="T2695" s="2" t="str">
        <f t="shared" si="386"/>
        <v>Average</v>
      </c>
      <c r="U2695" s="2"/>
    </row>
    <row r="2696" spans="1:21" x14ac:dyDescent="0.3">
      <c r="A2696">
        <v>2695</v>
      </c>
      <c r="B2696" t="s">
        <v>3739</v>
      </c>
      <c r="C2696" t="str">
        <f t="shared" si="378"/>
        <v>EMP_2695</v>
      </c>
      <c r="D2696" t="s">
        <v>11</v>
      </c>
      <c r="E2696" t="str">
        <f t="shared" si="379"/>
        <v>EMP_2695IT</v>
      </c>
      <c r="F2696" t="s">
        <v>21</v>
      </c>
      <c r="G2696" t="s">
        <v>25</v>
      </c>
      <c r="H2696">
        <v>55429</v>
      </c>
      <c r="I2696">
        <v>8407</v>
      </c>
      <c r="J2696">
        <v>0</v>
      </c>
      <c r="K2696">
        <v>0</v>
      </c>
      <c r="L2696" s="4">
        <v>44720</v>
      </c>
      <c r="M2696" s="4" t="str">
        <f t="shared" si="380"/>
        <v>2022</v>
      </c>
      <c r="N2696" s="1">
        <f t="shared" ca="1" si="381"/>
        <v>46064</v>
      </c>
      <c r="O2696" s="6">
        <f t="shared" ca="1" si="382"/>
        <v>3</v>
      </c>
      <c r="P2696">
        <v>2</v>
      </c>
      <c r="Q2696">
        <f t="shared" si="383"/>
        <v>63836</v>
      </c>
      <c r="R2696" s="2">
        <f t="shared" si="384"/>
        <v>31918</v>
      </c>
      <c r="S2696" s="2" t="str">
        <f t="shared" si="385"/>
        <v xml:space="preserve"> Not Achieved</v>
      </c>
      <c r="T2696" s="2" t="str">
        <f t="shared" si="386"/>
        <v xml:space="preserve"> Excellent</v>
      </c>
      <c r="U2696" s="2"/>
    </row>
    <row r="2697" spans="1:21" x14ac:dyDescent="0.3">
      <c r="A2697">
        <v>2696</v>
      </c>
      <c r="B2697" t="s">
        <v>3740</v>
      </c>
      <c r="C2697" t="str">
        <f t="shared" si="378"/>
        <v>EMP_2696</v>
      </c>
      <c r="D2697" t="s">
        <v>15</v>
      </c>
      <c r="E2697" t="str">
        <f t="shared" si="379"/>
        <v>EMP_2696HR</v>
      </c>
      <c r="F2697" t="s">
        <v>12</v>
      </c>
      <c r="G2697" t="s">
        <v>13</v>
      </c>
      <c r="H2697">
        <v>35404</v>
      </c>
      <c r="I2697">
        <v>5215</v>
      </c>
      <c r="J2697">
        <v>0</v>
      </c>
      <c r="K2697">
        <v>0</v>
      </c>
      <c r="L2697" s="4" t="s">
        <v>3741</v>
      </c>
      <c r="M2697" s="4" t="str">
        <f t="shared" si="380"/>
        <v>11/15/2024</v>
      </c>
      <c r="N2697" s="1">
        <f t="shared" ca="1" si="381"/>
        <v>46064</v>
      </c>
      <c r="O2697" s="6" t="e">
        <f t="shared" ca="1" si="382"/>
        <v>#VALUE!</v>
      </c>
      <c r="P2697">
        <v>3</v>
      </c>
      <c r="Q2697">
        <f t="shared" si="383"/>
        <v>40619</v>
      </c>
      <c r="R2697" s="2">
        <f t="shared" si="384"/>
        <v>20309.5</v>
      </c>
      <c r="S2697" s="2" t="str">
        <f t="shared" si="385"/>
        <v xml:space="preserve"> Not Achieved</v>
      </c>
      <c r="T2697" s="2" t="str">
        <f t="shared" si="386"/>
        <v>Average</v>
      </c>
      <c r="U2697" s="2"/>
    </row>
    <row r="2698" spans="1:21" x14ac:dyDescent="0.3">
      <c r="A2698">
        <v>2697</v>
      </c>
      <c r="B2698" t="s">
        <v>3742</v>
      </c>
      <c r="C2698" t="str">
        <f t="shared" si="378"/>
        <v>EMP_2697</v>
      </c>
      <c r="D2698" t="s">
        <v>15</v>
      </c>
      <c r="E2698" t="str">
        <f t="shared" si="379"/>
        <v>EMP_2697Marketing</v>
      </c>
      <c r="F2698" t="s">
        <v>24</v>
      </c>
      <c r="G2698" t="s">
        <v>22</v>
      </c>
      <c r="H2698">
        <v>33139</v>
      </c>
      <c r="I2698">
        <v>9578</v>
      </c>
      <c r="J2698">
        <v>0</v>
      </c>
      <c r="K2698">
        <v>0</v>
      </c>
      <c r="L2698" s="4" t="s">
        <v>2454</v>
      </c>
      <c r="M2698" s="4" t="str">
        <f t="shared" si="380"/>
        <v>8/13/2021</v>
      </c>
      <c r="N2698" s="1">
        <f t="shared" ca="1" si="381"/>
        <v>46064</v>
      </c>
      <c r="O2698" s="6" t="e">
        <f t="shared" ca="1" si="382"/>
        <v>#VALUE!</v>
      </c>
      <c r="P2698">
        <v>1</v>
      </c>
      <c r="Q2698">
        <f t="shared" si="383"/>
        <v>42717</v>
      </c>
      <c r="R2698" s="2">
        <f t="shared" si="384"/>
        <v>21358.5</v>
      </c>
      <c r="S2698" s="2" t="str">
        <f t="shared" si="385"/>
        <v xml:space="preserve"> Not Achieved</v>
      </c>
      <c r="T2698" s="2" t="str">
        <f t="shared" si="386"/>
        <v>Average</v>
      </c>
      <c r="U2698" s="2"/>
    </row>
    <row r="2699" spans="1:21" x14ac:dyDescent="0.3">
      <c r="A2699">
        <v>2698</v>
      </c>
      <c r="B2699" t="s">
        <v>3743</v>
      </c>
      <c r="C2699" t="str">
        <f t="shared" si="378"/>
        <v>EMP_2698</v>
      </c>
      <c r="D2699" t="s">
        <v>11</v>
      </c>
      <c r="E2699" t="str">
        <f t="shared" si="379"/>
        <v>EMP_2698Marketing</v>
      </c>
      <c r="F2699" t="s">
        <v>24</v>
      </c>
      <c r="G2699" t="s">
        <v>16</v>
      </c>
      <c r="H2699">
        <v>78477</v>
      </c>
      <c r="I2699">
        <v>13653</v>
      </c>
      <c r="J2699">
        <v>0</v>
      </c>
      <c r="K2699">
        <v>0</v>
      </c>
      <c r="L2699" s="4" t="s">
        <v>1456</v>
      </c>
      <c r="M2699" s="4" t="str">
        <f t="shared" si="380"/>
        <v>1/23/2018</v>
      </c>
      <c r="N2699" s="1">
        <f t="shared" ca="1" si="381"/>
        <v>46064</v>
      </c>
      <c r="O2699" s="6" t="e">
        <f t="shared" ca="1" si="382"/>
        <v>#VALUE!</v>
      </c>
      <c r="P2699">
        <v>4</v>
      </c>
      <c r="Q2699">
        <f t="shared" si="383"/>
        <v>92130</v>
      </c>
      <c r="R2699" s="2">
        <f t="shared" si="384"/>
        <v>46065</v>
      </c>
      <c r="S2699" s="2" t="str">
        <f t="shared" si="385"/>
        <v xml:space="preserve"> Not Achieved</v>
      </c>
      <c r="T2699" s="2" t="str">
        <f t="shared" si="386"/>
        <v xml:space="preserve"> Excellent</v>
      </c>
      <c r="U2699" s="2"/>
    </row>
    <row r="2700" spans="1:21" x14ac:dyDescent="0.3">
      <c r="A2700">
        <v>2699</v>
      </c>
      <c r="B2700" t="s">
        <v>3744</v>
      </c>
      <c r="C2700" t="str">
        <f t="shared" si="378"/>
        <v>EMP_2699</v>
      </c>
      <c r="D2700" t="s">
        <v>15</v>
      </c>
      <c r="E2700" t="str">
        <f t="shared" si="379"/>
        <v>EMP_2699HR</v>
      </c>
      <c r="F2700" t="s">
        <v>12</v>
      </c>
      <c r="G2700" t="s">
        <v>22</v>
      </c>
      <c r="H2700">
        <v>60578</v>
      </c>
      <c r="I2700">
        <v>7842</v>
      </c>
      <c r="J2700">
        <v>0</v>
      </c>
      <c r="K2700">
        <v>0</v>
      </c>
      <c r="L2700" s="4">
        <v>43406</v>
      </c>
      <c r="M2700" s="4" t="str">
        <f t="shared" si="380"/>
        <v>2018</v>
      </c>
      <c r="N2700" s="1">
        <f t="shared" ca="1" si="381"/>
        <v>46064</v>
      </c>
      <c r="O2700" s="6">
        <f t="shared" ca="1" si="382"/>
        <v>7</v>
      </c>
      <c r="P2700">
        <v>1</v>
      </c>
      <c r="Q2700">
        <f t="shared" si="383"/>
        <v>68420</v>
      </c>
      <c r="R2700" s="2">
        <f t="shared" si="384"/>
        <v>34210</v>
      </c>
      <c r="S2700" s="2" t="str">
        <f t="shared" si="385"/>
        <v xml:space="preserve"> Not Achieved</v>
      </c>
      <c r="T2700" s="2" t="str">
        <f t="shared" si="386"/>
        <v xml:space="preserve"> Excellent</v>
      </c>
      <c r="U2700" s="2"/>
    </row>
    <row r="2701" spans="1:21" x14ac:dyDescent="0.3">
      <c r="A2701">
        <v>2700</v>
      </c>
      <c r="B2701" t="s">
        <v>3745</v>
      </c>
      <c r="C2701" t="str">
        <f t="shared" si="378"/>
        <v>EMP_2700</v>
      </c>
      <c r="D2701" t="s">
        <v>15</v>
      </c>
      <c r="E2701" t="str">
        <f t="shared" si="379"/>
        <v>EMP_2700HR</v>
      </c>
      <c r="F2701" t="s">
        <v>12</v>
      </c>
      <c r="G2701" t="s">
        <v>25</v>
      </c>
      <c r="H2701">
        <v>39652</v>
      </c>
      <c r="I2701">
        <v>2049</v>
      </c>
      <c r="J2701">
        <v>0</v>
      </c>
      <c r="K2701">
        <v>0</v>
      </c>
      <c r="L2701" s="4" t="s">
        <v>1807</v>
      </c>
      <c r="M2701" s="4" t="str">
        <f t="shared" si="380"/>
        <v>4/20/2019</v>
      </c>
      <c r="N2701" s="1">
        <f t="shared" ca="1" si="381"/>
        <v>46064</v>
      </c>
      <c r="O2701" s="6" t="e">
        <f t="shared" ca="1" si="382"/>
        <v>#VALUE!</v>
      </c>
      <c r="P2701">
        <v>2</v>
      </c>
      <c r="Q2701">
        <f t="shared" si="383"/>
        <v>41701</v>
      </c>
      <c r="R2701" s="2">
        <f t="shared" si="384"/>
        <v>20850.5</v>
      </c>
      <c r="S2701" s="2" t="str">
        <f t="shared" si="385"/>
        <v xml:space="preserve"> Not Achieved</v>
      </c>
      <c r="T2701" s="2" t="str">
        <f t="shared" si="386"/>
        <v>Average</v>
      </c>
      <c r="U2701" s="2"/>
    </row>
    <row r="2702" spans="1:21" x14ac:dyDescent="0.3">
      <c r="A2702">
        <v>2701</v>
      </c>
      <c r="B2702" t="s">
        <v>3746</v>
      </c>
      <c r="C2702" t="str">
        <f t="shared" si="378"/>
        <v>EMP_2701</v>
      </c>
      <c r="D2702" t="s">
        <v>11</v>
      </c>
      <c r="E2702" t="str">
        <f t="shared" si="379"/>
        <v>EMP_2701IT</v>
      </c>
      <c r="F2702" t="s">
        <v>21</v>
      </c>
      <c r="G2702" t="s">
        <v>19</v>
      </c>
      <c r="H2702">
        <v>34372</v>
      </c>
      <c r="I2702">
        <v>10926</v>
      </c>
      <c r="J2702">
        <v>0</v>
      </c>
      <c r="K2702">
        <v>0</v>
      </c>
      <c r="L2702" s="4">
        <v>45447</v>
      </c>
      <c r="M2702" s="4" t="str">
        <f t="shared" si="380"/>
        <v>2024</v>
      </c>
      <c r="N2702" s="1">
        <f t="shared" ca="1" si="381"/>
        <v>46064</v>
      </c>
      <c r="O2702" s="6">
        <f t="shared" ca="1" si="382"/>
        <v>1</v>
      </c>
      <c r="P2702">
        <v>5</v>
      </c>
      <c r="Q2702">
        <f t="shared" si="383"/>
        <v>45298</v>
      </c>
      <c r="R2702" s="2">
        <f t="shared" si="384"/>
        <v>22649</v>
      </c>
      <c r="S2702" s="2" t="str">
        <f t="shared" si="385"/>
        <v xml:space="preserve"> Not Achieved</v>
      </c>
      <c r="T2702" s="2" t="str">
        <f t="shared" si="386"/>
        <v>Average</v>
      </c>
      <c r="U2702" s="2"/>
    </row>
    <row r="2703" spans="1:21" x14ac:dyDescent="0.3">
      <c r="A2703">
        <v>2702</v>
      </c>
      <c r="B2703" t="s">
        <v>3747</v>
      </c>
      <c r="C2703" t="str">
        <f t="shared" si="378"/>
        <v>EMP_2702</v>
      </c>
      <c r="D2703" t="s">
        <v>15</v>
      </c>
      <c r="E2703" t="str">
        <f t="shared" si="379"/>
        <v>EMP_2702Marketing</v>
      </c>
      <c r="F2703" t="s">
        <v>24</v>
      </c>
      <c r="G2703" t="s">
        <v>19</v>
      </c>
      <c r="H2703">
        <v>21822</v>
      </c>
      <c r="I2703">
        <v>13068</v>
      </c>
      <c r="J2703">
        <v>0</v>
      </c>
      <c r="K2703">
        <v>0</v>
      </c>
      <c r="L2703" s="4" t="s">
        <v>3748</v>
      </c>
      <c r="M2703" s="4" t="str">
        <f t="shared" si="380"/>
        <v>3/24/2020</v>
      </c>
      <c r="N2703" s="1">
        <f t="shared" ca="1" si="381"/>
        <v>46064</v>
      </c>
      <c r="O2703" s="6" t="e">
        <f t="shared" ca="1" si="382"/>
        <v>#VALUE!</v>
      </c>
      <c r="P2703">
        <v>5</v>
      </c>
      <c r="Q2703">
        <f t="shared" si="383"/>
        <v>34890</v>
      </c>
      <c r="R2703" s="2">
        <f t="shared" si="384"/>
        <v>17445</v>
      </c>
      <c r="S2703" s="2" t="str">
        <f t="shared" si="385"/>
        <v xml:space="preserve"> Not Achieved</v>
      </c>
      <c r="T2703" s="2" t="str">
        <f t="shared" si="386"/>
        <v>poor</v>
      </c>
      <c r="U2703" s="2"/>
    </row>
    <row r="2704" spans="1:21" x14ac:dyDescent="0.3">
      <c r="A2704">
        <v>2703</v>
      </c>
      <c r="B2704" t="s">
        <v>3749</v>
      </c>
      <c r="C2704" t="str">
        <f t="shared" si="378"/>
        <v>EMP_2703</v>
      </c>
      <c r="D2704" t="s">
        <v>15</v>
      </c>
      <c r="E2704" t="str">
        <f t="shared" si="379"/>
        <v>EMP_2703Marketing</v>
      </c>
      <c r="F2704" t="s">
        <v>24</v>
      </c>
      <c r="G2704" t="s">
        <v>16</v>
      </c>
      <c r="H2704">
        <v>45276</v>
      </c>
      <c r="I2704">
        <v>9304</v>
      </c>
      <c r="J2704">
        <v>0</v>
      </c>
      <c r="K2704">
        <v>0</v>
      </c>
      <c r="L2704" s="4">
        <v>43102</v>
      </c>
      <c r="M2704" s="4" t="str">
        <f t="shared" si="380"/>
        <v>2018</v>
      </c>
      <c r="N2704" s="1">
        <f t="shared" ca="1" si="381"/>
        <v>46064</v>
      </c>
      <c r="O2704" s="6">
        <f t="shared" ca="1" si="382"/>
        <v>8</v>
      </c>
      <c r="P2704">
        <v>4</v>
      </c>
      <c r="Q2704">
        <f t="shared" si="383"/>
        <v>54580</v>
      </c>
      <c r="R2704" s="2">
        <f t="shared" si="384"/>
        <v>27290</v>
      </c>
      <c r="S2704" s="2" t="str">
        <f t="shared" si="385"/>
        <v xml:space="preserve"> Not Achieved</v>
      </c>
      <c r="T2704" s="2" t="str">
        <f t="shared" si="386"/>
        <v>Good</v>
      </c>
      <c r="U2704" s="2"/>
    </row>
    <row r="2705" spans="1:21" x14ac:dyDescent="0.3">
      <c r="A2705">
        <v>2704</v>
      </c>
      <c r="B2705" t="s">
        <v>3750</v>
      </c>
      <c r="C2705" t="str">
        <f t="shared" si="378"/>
        <v>EMP_2704</v>
      </c>
      <c r="D2705" t="s">
        <v>11</v>
      </c>
      <c r="E2705" t="str">
        <f t="shared" si="379"/>
        <v>EMP_2704IT</v>
      </c>
      <c r="F2705" t="s">
        <v>21</v>
      </c>
      <c r="G2705" t="s">
        <v>22</v>
      </c>
      <c r="H2705">
        <v>72564</v>
      </c>
      <c r="I2705">
        <v>9650</v>
      </c>
      <c r="J2705">
        <v>0</v>
      </c>
      <c r="K2705">
        <v>0</v>
      </c>
      <c r="L2705" s="4" t="s">
        <v>1123</v>
      </c>
      <c r="M2705" s="4" t="str">
        <f t="shared" si="380"/>
        <v>12/19/2021</v>
      </c>
      <c r="N2705" s="1">
        <f t="shared" ca="1" si="381"/>
        <v>46064</v>
      </c>
      <c r="O2705" s="6" t="e">
        <f t="shared" ca="1" si="382"/>
        <v>#VALUE!</v>
      </c>
      <c r="P2705">
        <v>2</v>
      </c>
      <c r="Q2705">
        <f t="shared" si="383"/>
        <v>82214</v>
      </c>
      <c r="R2705" s="2">
        <f t="shared" si="384"/>
        <v>41107</v>
      </c>
      <c r="S2705" s="2" t="str">
        <f t="shared" si="385"/>
        <v xml:space="preserve"> Not Achieved</v>
      </c>
      <c r="T2705" s="2" t="str">
        <f t="shared" si="386"/>
        <v xml:space="preserve"> Excellent</v>
      </c>
      <c r="U2705" s="2"/>
    </row>
    <row r="2706" spans="1:21" x14ac:dyDescent="0.3">
      <c r="A2706">
        <v>2705</v>
      </c>
      <c r="B2706" t="s">
        <v>3751</v>
      </c>
      <c r="C2706" t="str">
        <f t="shared" si="378"/>
        <v>EMP_2705</v>
      </c>
      <c r="D2706" t="s">
        <v>15</v>
      </c>
      <c r="E2706" t="str">
        <f t="shared" si="379"/>
        <v>EMP_2705Sales</v>
      </c>
      <c r="F2706" t="s">
        <v>7</v>
      </c>
      <c r="G2706" t="s">
        <v>16</v>
      </c>
      <c r="H2706">
        <v>35706</v>
      </c>
      <c r="I2706">
        <v>13647</v>
      </c>
      <c r="J2706">
        <v>224670</v>
      </c>
      <c r="K2706">
        <v>188242</v>
      </c>
      <c r="L2706" s="4" t="s">
        <v>3752</v>
      </c>
      <c r="M2706" s="4" t="str">
        <f t="shared" si="380"/>
        <v>4/18/2019</v>
      </c>
      <c r="N2706" s="1">
        <f t="shared" ca="1" si="381"/>
        <v>46064</v>
      </c>
      <c r="O2706" s="6" t="e">
        <f t="shared" ca="1" si="382"/>
        <v>#VALUE!</v>
      </c>
      <c r="P2706">
        <v>2</v>
      </c>
      <c r="Q2706">
        <f t="shared" si="383"/>
        <v>49353</v>
      </c>
      <c r="R2706" s="2">
        <f t="shared" si="384"/>
        <v>24676.5</v>
      </c>
      <c r="S2706" s="2" t="str">
        <f t="shared" si="385"/>
        <v>Achieved</v>
      </c>
      <c r="T2706" s="2" t="str">
        <f t="shared" si="386"/>
        <v>Average</v>
      </c>
      <c r="U2706" s="2"/>
    </row>
    <row r="2707" spans="1:21" x14ac:dyDescent="0.3">
      <c r="A2707">
        <v>2706</v>
      </c>
      <c r="B2707" t="s">
        <v>3753</v>
      </c>
      <c r="C2707" t="str">
        <f t="shared" si="378"/>
        <v>EMP_2706</v>
      </c>
      <c r="D2707" t="s">
        <v>11</v>
      </c>
      <c r="E2707" t="str">
        <f t="shared" si="379"/>
        <v>EMP_2706Sales</v>
      </c>
      <c r="F2707" t="s">
        <v>7</v>
      </c>
      <c r="G2707" t="s">
        <v>13</v>
      </c>
      <c r="H2707">
        <v>27094</v>
      </c>
      <c r="I2707">
        <v>8460</v>
      </c>
      <c r="J2707">
        <v>201623</v>
      </c>
      <c r="K2707">
        <v>110297</v>
      </c>
      <c r="L2707" s="4" t="s">
        <v>2369</v>
      </c>
      <c r="M2707" s="4" t="str">
        <f t="shared" si="380"/>
        <v>3/26/2022</v>
      </c>
      <c r="N2707" s="1">
        <f t="shared" ca="1" si="381"/>
        <v>46064</v>
      </c>
      <c r="O2707" s="6" t="e">
        <f t="shared" ca="1" si="382"/>
        <v>#VALUE!</v>
      </c>
      <c r="P2707">
        <v>4</v>
      </c>
      <c r="Q2707">
        <f t="shared" si="383"/>
        <v>35554</v>
      </c>
      <c r="R2707" s="2">
        <f t="shared" si="384"/>
        <v>17777</v>
      </c>
      <c r="S2707" s="2" t="str">
        <f t="shared" si="385"/>
        <v>Achieved</v>
      </c>
      <c r="T2707" s="2" t="str">
        <f t="shared" si="386"/>
        <v>poor</v>
      </c>
      <c r="U2707" s="2"/>
    </row>
    <row r="2708" spans="1:21" x14ac:dyDescent="0.3">
      <c r="A2708">
        <v>2707</v>
      </c>
      <c r="B2708" t="s">
        <v>3754</v>
      </c>
      <c r="C2708" t="str">
        <f t="shared" si="378"/>
        <v>EMP_2707</v>
      </c>
      <c r="D2708" t="s">
        <v>11</v>
      </c>
      <c r="E2708" t="str">
        <f t="shared" si="379"/>
        <v>EMP_2707IT</v>
      </c>
      <c r="F2708" t="s">
        <v>21</v>
      </c>
      <c r="G2708" t="s">
        <v>22</v>
      </c>
      <c r="H2708">
        <v>25302</v>
      </c>
      <c r="I2708">
        <v>12851</v>
      </c>
      <c r="J2708">
        <v>0</v>
      </c>
      <c r="K2708">
        <v>0</v>
      </c>
      <c r="L2708" s="4" t="s">
        <v>167</v>
      </c>
      <c r="M2708" s="4" t="str">
        <f t="shared" si="380"/>
        <v>4/20/2023</v>
      </c>
      <c r="N2708" s="1">
        <f t="shared" ca="1" si="381"/>
        <v>46064</v>
      </c>
      <c r="O2708" s="6" t="e">
        <f t="shared" ca="1" si="382"/>
        <v>#VALUE!</v>
      </c>
      <c r="P2708">
        <v>5</v>
      </c>
      <c r="Q2708">
        <f t="shared" si="383"/>
        <v>38153</v>
      </c>
      <c r="R2708" s="2">
        <f t="shared" si="384"/>
        <v>19076.5</v>
      </c>
      <c r="S2708" s="2" t="str">
        <f t="shared" si="385"/>
        <v xml:space="preserve"> Not Achieved</v>
      </c>
      <c r="T2708" s="2" t="str">
        <f t="shared" si="386"/>
        <v>poor</v>
      </c>
      <c r="U2708" s="2"/>
    </row>
    <row r="2709" spans="1:21" x14ac:dyDescent="0.3">
      <c r="A2709">
        <v>2708</v>
      </c>
      <c r="B2709" t="s">
        <v>3755</v>
      </c>
      <c r="C2709" t="str">
        <f t="shared" si="378"/>
        <v>EMP_2708</v>
      </c>
      <c r="D2709" t="s">
        <v>11</v>
      </c>
      <c r="E2709" t="str">
        <f t="shared" si="379"/>
        <v>EMP_2708Finance</v>
      </c>
      <c r="F2709" t="s">
        <v>18</v>
      </c>
      <c r="G2709" t="s">
        <v>25</v>
      </c>
      <c r="H2709">
        <v>65029</v>
      </c>
      <c r="I2709">
        <v>11965</v>
      </c>
      <c r="J2709">
        <v>0</v>
      </c>
      <c r="K2709">
        <v>0</v>
      </c>
      <c r="L2709" s="4">
        <v>43719</v>
      </c>
      <c r="M2709" s="4" t="str">
        <f t="shared" si="380"/>
        <v>2019</v>
      </c>
      <c r="N2709" s="1">
        <f t="shared" ca="1" si="381"/>
        <v>46064</v>
      </c>
      <c r="O2709" s="6">
        <f t="shared" ca="1" si="382"/>
        <v>6</v>
      </c>
      <c r="P2709">
        <v>5</v>
      </c>
      <c r="Q2709">
        <f t="shared" si="383"/>
        <v>76994</v>
      </c>
      <c r="R2709" s="2">
        <f t="shared" si="384"/>
        <v>38497</v>
      </c>
      <c r="S2709" s="2" t="str">
        <f t="shared" si="385"/>
        <v xml:space="preserve"> Not Achieved</v>
      </c>
      <c r="T2709" s="2" t="str">
        <f t="shared" si="386"/>
        <v xml:space="preserve"> Excellent</v>
      </c>
      <c r="U2709" s="2"/>
    </row>
    <row r="2710" spans="1:21" x14ac:dyDescent="0.3">
      <c r="A2710">
        <v>2709</v>
      </c>
      <c r="B2710" t="s">
        <v>3756</v>
      </c>
      <c r="C2710" t="str">
        <f t="shared" si="378"/>
        <v>EMP_2709</v>
      </c>
      <c r="D2710" t="s">
        <v>15</v>
      </c>
      <c r="E2710" t="str">
        <f t="shared" si="379"/>
        <v>EMP_2709Sales</v>
      </c>
      <c r="F2710" t="s">
        <v>7</v>
      </c>
      <c r="G2710" t="s">
        <v>16</v>
      </c>
      <c r="H2710">
        <v>49933</v>
      </c>
      <c r="I2710">
        <v>5382</v>
      </c>
      <c r="J2710">
        <v>147665</v>
      </c>
      <c r="K2710">
        <v>165971</v>
      </c>
      <c r="L2710" s="4" t="s">
        <v>3305</v>
      </c>
      <c r="M2710" s="4" t="str">
        <f t="shared" si="380"/>
        <v>11/29/2023</v>
      </c>
      <c r="N2710" s="1">
        <f t="shared" ca="1" si="381"/>
        <v>46064</v>
      </c>
      <c r="O2710" s="6" t="e">
        <f t="shared" ca="1" si="382"/>
        <v>#VALUE!</v>
      </c>
      <c r="P2710">
        <v>3</v>
      </c>
      <c r="Q2710">
        <f t="shared" si="383"/>
        <v>55315</v>
      </c>
      <c r="R2710" s="2">
        <f t="shared" si="384"/>
        <v>27657.5</v>
      </c>
      <c r="S2710" s="2" t="str">
        <f t="shared" si="385"/>
        <v xml:space="preserve"> Not Achieved</v>
      </c>
      <c r="T2710" s="2" t="str">
        <f t="shared" si="386"/>
        <v>Good</v>
      </c>
      <c r="U2710" s="2"/>
    </row>
    <row r="2711" spans="1:21" x14ac:dyDescent="0.3">
      <c r="A2711">
        <v>2710</v>
      </c>
      <c r="B2711" t="s">
        <v>3757</v>
      </c>
      <c r="C2711" t="str">
        <f t="shared" si="378"/>
        <v>EMP_2710</v>
      </c>
      <c r="D2711" t="s">
        <v>15</v>
      </c>
      <c r="E2711" t="str">
        <f t="shared" si="379"/>
        <v>EMP_2710Sales</v>
      </c>
      <c r="F2711" t="s">
        <v>7</v>
      </c>
      <c r="G2711" t="s">
        <v>25</v>
      </c>
      <c r="H2711">
        <v>60133</v>
      </c>
      <c r="I2711">
        <v>11102</v>
      </c>
      <c r="J2711">
        <v>240267</v>
      </c>
      <c r="K2711">
        <v>194587</v>
      </c>
      <c r="L2711" s="4" t="s">
        <v>1238</v>
      </c>
      <c r="M2711" s="4" t="str">
        <f t="shared" si="380"/>
        <v>5/29/2018</v>
      </c>
      <c r="N2711" s="1">
        <f t="shared" ca="1" si="381"/>
        <v>46064</v>
      </c>
      <c r="O2711" s="6" t="e">
        <f t="shared" ca="1" si="382"/>
        <v>#VALUE!</v>
      </c>
      <c r="P2711">
        <v>4</v>
      </c>
      <c r="Q2711">
        <f t="shared" si="383"/>
        <v>71235</v>
      </c>
      <c r="R2711" s="2">
        <f t="shared" si="384"/>
        <v>35617.5</v>
      </c>
      <c r="S2711" s="2" t="str">
        <f t="shared" si="385"/>
        <v>Achieved</v>
      </c>
      <c r="T2711" s="2" t="str">
        <f t="shared" si="386"/>
        <v xml:space="preserve"> Excellent</v>
      </c>
      <c r="U2711" s="2"/>
    </row>
    <row r="2712" spans="1:21" x14ac:dyDescent="0.3">
      <c r="A2712">
        <v>2711</v>
      </c>
      <c r="B2712" t="s">
        <v>3758</v>
      </c>
      <c r="C2712" t="str">
        <f t="shared" si="378"/>
        <v>EMP_2711</v>
      </c>
      <c r="D2712" t="s">
        <v>11</v>
      </c>
      <c r="E2712" t="str">
        <f t="shared" si="379"/>
        <v>EMP_2711IT</v>
      </c>
      <c r="F2712" t="s">
        <v>21</v>
      </c>
      <c r="G2712" t="s">
        <v>22</v>
      </c>
      <c r="H2712">
        <v>28203</v>
      </c>
      <c r="I2712">
        <v>12853</v>
      </c>
      <c r="J2712">
        <v>0</v>
      </c>
      <c r="K2712">
        <v>0</v>
      </c>
      <c r="L2712" s="4">
        <v>43841</v>
      </c>
      <c r="M2712" s="4" t="str">
        <f t="shared" si="380"/>
        <v>2020</v>
      </c>
      <c r="N2712" s="1">
        <f t="shared" ca="1" si="381"/>
        <v>46064</v>
      </c>
      <c r="O2712" s="6">
        <f t="shared" ca="1" si="382"/>
        <v>6</v>
      </c>
      <c r="P2712">
        <v>5</v>
      </c>
      <c r="Q2712">
        <f t="shared" si="383"/>
        <v>41056</v>
      </c>
      <c r="R2712" s="2">
        <f t="shared" si="384"/>
        <v>20528</v>
      </c>
      <c r="S2712" s="2" t="str">
        <f t="shared" si="385"/>
        <v xml:space="preserve"> Not Achieved</v>
      </c>
      <c r="T2712" s="2" t="str">
        <f t="shared" si="386"/>
        <v>poor</v>
      </c>
      <c r="U2712" s="2"/>
    </row>
    <row r="2713" spans="1:21" x14ac:dyDescent="0.3">
      <c r="A2713">
        <v>2712</v>
      </c>
      <c r="B2713" t="s">
        <v>3759</v>
      </c>
      <c r="C2713" t="str">
        <f t="shared" si="378"/>
        <v>EMP_2712</v>
      </c>
      <c r="D2713" t="s">
        <v>15</v>
      </c>
      <c r="E2713" t="str">
        <f t="shared" si="379"/>
        <v>EMP_2712Finance</v>
      </c>
      <c r="F2713" t="s">
        <v>18</v>
      </c>
      <c r="G2713" t="s">
        <v>25</v>
      </c>
      <c r="H2713">
        <v>70315</v>
      </c>
      <c r="I2713">
        <v>7797</v>
      </c>
      <c r="J2713">
        <v>0</v>
      </c>
      <c r="K2713">
        <v>0</v>
      </c>
      <c r="L2713" s="4">
        <v>43748</v>
      </c>
      <c r="M2713" s="4" t="str">
        <f t="shared" si="380"/>
        <v>2019</v>
      </c>
      <c r="N2713" s="1">
        <f t="shared" ca="1" si="381"/>
        <v>46064</v>
      </c>
      <c r="O2713" s="6">
        <f t="shared" ca="1" si="382"/>
        <v>6</v>
      </c>
      <c r="P2713">
        <v>1</v>
      </c>
      <c r="Q2713">
        <f t="shared" si="383"/>
        <v>78112</v>
      </c>
      <c r="R2713" s="2">
        <f t="shared" si="384"/>
        <v>39056</v>
      </c>
      <c r="S2713" s="2" t="str">
        <f t="shared" si="385"/>
        <v xml:space="preserve"> Not Achieved</v>
      </c>
      <c r="T2713" s="2" t="str">
        <f t="shared" si="386"/>
        <v xml:space="preserve"> Excellent</v>
      </c>
      <c r="U2713" s="2"/>
    </row>
    <row r="2714" spans="1:21" x14ac:dyDescent="0.3">
      <c r="A2714">
        <v>2713</v>
      </c>
      <c r="B2714" t="s">
        <v>3760</v>
      </c>
      <c r="C2714" t="str">
        <f t="shared" si="378"/>
        <v>EMP_2713</v>
      </c>
      <c r="D2714" t="s">
        <v>11</v>
      </c>
      <c r="E2714" t="str">
        <f t="shared" si="379"/>
        <v>EMP_2713IT</v>
      </c>
      <c r="F2714" t="s">
        <v>21</v>
      </c>
      <c r="G2714" t="s">
        <v>22</v>
      </c>
      <c r="H2714">
        <v>24300</v>
      </c>
      <c r="I2714">
        <v>4545</v>
      </c>
      <c r="J2714">
        <v>0</v>
      </c>
      <c r="K2714">
        <v>0</v>
      </c>
      <c r="L2714" s="4" t="s">
        <v>2059</v>
      </c>
      <c r="M2714" s="4" t="str">
        <f t="shared" si="380"/>
        <v>12/31/2019</v>
      </c>
      <c r="N2714" s="1">
        <f t="shared" ca="1" si="381"/>
        <v>46064</v>
      </c>
      <c r="O2714" s="6" t="e">
        <f t="shared" ca="1" si="382"/>
        <v>#VALUE!</v>
      </c>
      <c r="P2714">
        <v>4</v>
      </c>
      <c r="Q2714">
        <f t="shared" si="383"/>
        <v>28845</v>
      </c>
      <c r="R2714" s="2">
        <f t="shared" si="384"/>
        <v>14422.5</v>
      </c>
      <c r="S2714" s="2" t="str">
        <f t="shared" si="385"/>
        <v xml:space="preserve"> Not Achieved</v>
      </c>
      <c r="T2714" s="2" t="str">
        <f t="shared" si="386"/>
        <v>poor</v>
      </c>
      <c r="U2714" s="2"/>
    </row>
    <row r="2715" spans="1:21" x14ac:dyDescent="0.3">
      <c r="A2715">
        <v>2714</v>
      </c>
      <c r="B2715" t="s">
        <v>3761</v>
      </c>
      <c r="C2715" t="str">
        <f t="shared" si="378"/>
        <v>EMP_2714</v>
      </c>
      <c r="D2715" t="s">
        <v>15</v>
      </c>
      <c r="E2715" t="str">
        <f t="shared" si="379"/>
        <v>EMP_2714IT</v>
      </c>
      <c r="F2715" t="s">
        <v>21</v>
      </c>
      <c r="G2715" t="s">
        <v>16</v>
      </c>
      <c r="H2715">
        <v>62635</v>
      </c>
      <c r="I2715">
        <v>13247</v>
      </c>
      <c r="J2715">
        <v>0</v>
      </c>
      <c r="K2715">
        <v>0</v>
      </c>
      <c r="L2715" s="4" t="s">
        <v>964</v>
      </c>
      <c r="M2715" s="4" t="str">
        <f t="shared" si="380"/>
        <v>8/13/2019</v>
      </c>
      <c r="N2715" s="1">
        <f t="shared" ca="1" si="381"/>
        <v>46064</v>
      </c>
      <c r="O2715" s="6" t="e">
        <f t="shared" ca="1" si="382"/>
        <v>#VALUE!</v>
      </c>
      <c r="P2715">
        <v>5</v>
      </c>
      <c r="Q2715">
        <f t="shared" si="383"/>
        <v>75882</v>
      </c>
      <c r="R2715" s="2">
        <f t="shared" si="384"/>
        <v>37941</v>
      </c>
      <c r="S2715" s="2" t="str">
        <f t="shared" si="385"/>
        <v xml:space="preserve"> Not Achieved</v>
      </c>
      <c r="T2715" s="2" t="str">
        <f t="shared" si="386"/>
        <v xml:space="preserve"> Excellent</v>
      </c>
      <c r="U2715" s="2"/>
    </row>
    <row r="2716" spans="1:21" x14ac:dyDescent="0.3">
      <c r="A2716">
        <v>2715</v>
      </c>
      <c r="B2716" t="s">
        <v>3762</v>
      </c>
      <c r="C2716" t="str">
        <f t="shared" si="378"/>
        <v>EMP_2715</v>
      </c>
      <c r="D2716" t="s">
        <v>15</v>
      </c>
      <c r="E2716" t="str">
        <f t="shared" si="379"/>
        <v>EMP_2715Sales</v>
      </c>
      <c r="F2716" t="s">
        <v>7</v>
      </c>
      <c r="G2716" t="s">
        <v>25</v>
      </c>
      <c r="H2716">
        <v>54904</v>
      </c>
      <c r="I2716">
        <v>12674</v>
      </c>
      <c r="J2716">
        <v>65238</v>
      </c>
      <c r="K2716">
        <v>157465</v>
      </c>
      <c r="L2716" s="4" t="s">
        <v>2776</v>
      </c>
      <c r="M2716" s="4" t="str">
        <f t="shared" si="380"/>
        <v>7/29/2020</v>
      </c>
      <c r="N2716" s="1">
        <f t="shared" ca="1" si="381"/>
        <v>46064</v>
      </c>
      <c r="O2716" s="6" t="e">
        <f t="shared" ca="1" si="382"/>
        <v>#VALUE!</v>
      </c>
      <c r="P2716">
        <v>3</v>
      </c>
      <c r="Q2716">
        <f t="shared" si="383"/>
        <v>67578</v>
      </c>
      <c r="R2716" s="2">
        <f t="shared" si="384"/>
        <v>33789</v>
      </c>
      <c r="S2716" s="2" t="str">
        <f t="shared" si="385"/>
        <v xml:space="preserve"> Not Achieved</v>
      </c>
      <c r="T2716" s="2" t="str">
        <f t="shared" si="386"/>
        <v xml:space="preserve"> Excellent</v>
      </c>
      <c r="U2716" s="2"/>
    </row>
    <row r="2717" spans="1:21" x14ac:dyDescent="0.3">
      <c r="A2717">
        <v>2716</v>
      </c>
      <c r="B2717" t="s">
        <v>3763</v>
      </c>
      <c r="C2717" t="str">
        <f t="shared" si="378"/>
        <v>EMP_2716</v>
      </c>
      <c r="D2717" t="s">
        <v>15</v>
      </c>
      <c r="E2717" t="str">
        <f t="shared" si="379"/>
        <v>EMP_2716HR</v>
      </c>
      <c r="F2717" t="s">
        <v>12</v>
      </c>
      <c r="G2717" t="s">
        <v>19</v>
      </c>
      <c r="H2717">
        <v>34092</v>
      </c>
      <c r="I2717">
        <v>4505</v>
      </c>
      <c r="J2717">
        <v>0</v>
      </c>
      <c r="K2717">
        <v>0</v>
      </c>
      <c r="L2717" s="4" t="s">
        <v>300</v>
      </c>
      <c r="M2717" s="4" t="str">
        <f t="shared" si="380"/>
        <v>10/25/2019</v>
      </c>
      <c r="N2717" s="1">
        <f t="shared" ca="1" si="381"/>
        <v>46064</v>
      </c>
      <c r="O2717" s="6" t="e">
        <f t="shared" ca="1" si="382"/>
        <v>#VALUE!</v>
      </c>
      <c r="P2717">
        <v>4</v>
      </c>
      <c r="Q2717">
        <f t="shared" si="383"/>
        <v>38597</v>
      </c>
      <c r="R2717" s="2">
        <f t="shared" si="384"/>
        <v>19298.5</v>
      </c>
      <c r="S2717" s="2" t="str">
        <f t="shared" si="385"/>
        <v xml:space="preserve"> Not Achieved</v>
      </c>
      <c r="T2717" s="2" t="str">
        <f t="shared" si="386"/>
        <v>Average</v>
      </c>
      <c r="U2717" s="2"/>
    </row>
    <row r="2718" spans="1:21" x14ac:dyDescent="0.3">
      <c r="A2718">
        <v>2717</v>
      </c>
      <c r="B2718" t="s">
        <v>3764</v>
      </c>
      <c r="C2718" t="str">
        <f t="shared" si="378"/>
        <v>EMP_2717</v>
      </c>
      <c r="D2718" t="s">
        <v>11</v>
      </c>
      <c r="E2718" t="str">
        <f t="shared" si="379"/>
        <v>EMP_2717Sales</v>
      </c>
      <c r="F2718" t="s">
        <v>7</v>
      </c>
      <c r="G2718" t="s">
        <v>16</v>
      </c>
      <c r="H2718">
        <v>63117</v>
      </c>
      <c r="I2718">
        <v>13227</v>
      </c>
      <c r="J2718">
        <v>171377</v>
      </c>
      <c r="K2718">
        <v>94232</v>
      </c>
      <c r="L2718" s="4">
        <v>45413</v>
      </c>
      <c r="M2718" s="4" t="str">
        <f t="shared" si="380"/>
        <v>2024</v>
      </c>
      <c r="N2718" s="1">
        <f t="shared" ca="1" si="381"/>
        <v>46064</v>
      </c>
      <c r="O2718" s="6">
        <f t="shared" ca="1" si="382"/>
        <v>1</v>
      </c>
      <c r="P2718">
        <v>2</v>
      </c>
      <c r="Q2718">
        <f t="shared" si="383"/>
        <v>76344</v>
      </c>
      <c r="R2718" s="2">
        <f t="shared" si="384"/>
        <v>38172</v>
      </c>
      <c r="S2718" s="2" t="str">
        <f t="shared" si="385"/>
        <v>Achieved</v>
      </c>
      <c r="T2718" s="2" t="str">
        <f t="shared" si="386"/>
        <v xml:space="preserve"> Excellent</v>
      </c>
      <c r="U2718" s="2"/>
    </row>
    <row r="2719" spans="1:21" x14ac:dyDescent="0.3">
      <c r="A2719">
        <v>2718</v>
      </c>
      <c r="B2719" t="s">
        <v>3765</v>
      </c>
      <c r="C2719" t="str">
        <f t="shared" si="378"/>
        <v>EMP_2718</v>
      </c>
      <c r="D2719" t="s">
        <v>15</v>
      </c>
      <c r="E2719" t="str">
        <f t="shared" si="379"/>
        <v>EMP_2718Marketing</v>
      </c>
      <c r="F2719" t="s">
        <v>24</v>
      </c>
      <c r="G2719" t="s">
        <v>13</v>
      </c>
      <c r="H2719">
        <v>42327</v>
      </c>
      <c r="I2719">
        <v>3120</v>
      </c>
      <c r="J2719">
        <v>0</v>
      </c>
      <c r="K2719">
        <v>0</v>
      </c>
      <c r="L2719" s="4" t="s">
        <v>3590</v>
      </c>
      <c r="M2719" s="4" t="str">
        <f t="shared" si="380"/>
        <v>7/15/2018</v>
      </c>
      <c r="N2719" s="1">
        <f t="shared" ca="1" si="381"/>
        <v>46064</v>
      </c>
      <c r="O2719" s="6" t="e">
        <f t="shared" ca="1" si="382"/>
        <v>#VALUE!</v>
      </c>
      <c r="P2719">
        <v>2</v>
      </c>
      <c r="Q2719">
        <f t="shared" si="383"/>
        <v>45447</v>
      </c>
      <c r="R2719" s="2">
        <f t="shared" si="384"/>
        <v>22723.5</v>
      </c>
      <c r="S2719" s="2" t="str">
        <f t="shared" si="385"/>
        <v xml:space="preserve"> Not Achieved</v>
      </c>
      <c r="T2719" s="2" t="str">
        <f t="shared" si="386"/>
        <v>Good</v>
      </c>
      <c r="U2719" s="2"/>
    </row>
    <row r="2720" spans="1:21" x14ac:dyDescent="0.3">
      <c r="A2720">
        <v>2719</v>
      </c>
      <c r="B2720" t="s">
        <v>3766</v>
      </c>
      <c r="C2720" t="str">
        <f t="shared" si="378"/>
        <v>EMP_2719</v>
      </c>
      <c r="D2720" t="s">
        <v>15</v>
      </c>
      <c r="E2720" t="str">
        <f t="shared" si="379"/>
        <v>EMP_2719Marketing</v>
      </c>
      <c r="F2720" t="s">
        <v>24</v>
      </c>
      <c r="G2720" t="s">
        <v>22</v>
      </c>
      <c r="H2720">
        <v>22736</v>
      </c>
      <c r="I2720">
        <v>7669</v>
      </c>
      <c r="J2720">
        <v>0</v>
      </c>
      <c r="K2720">
        <v>0</v>
      </c>
      <c r="L2720" s="4" t="s">
        <v>3767</v>
      </c>
      <c r="M2720" s="4" t="str">
        <f t="shared" si="380"/>
        <v>2/25/2023</v>
      </c>
      <c r="N2720" s="1">
        <f t="shared" ca="1" si="381"/>
        <v>46064</v>
      </c>
      <c r="O2720" s="6" t="e">
        <f t="shared" ca="1" si="382"/>
        <v>#VALUE!</v>
      </c>
      <c r="P2720">
        <v>2</v>
      </c>
      <c r="Q2720">
        <f t="shared" si="383"/>
        <v>30405</v>
      </c>
      <c r="R2720" s="2">
        <f t="shared" si="384"/>
        <v>15202.5</v>
      </c>
      <c r="S2720" s="2" t="str">
        <f t="shared" si="385"/>
        <v xml:space="preserve"> Not Achieved</v>
      </c>
      <c r="T2720" s="2" t="str">
        <f t="shared" si="386"/>
        <v>poor</v>
      </c>
      <c r="U2720" s="2"/>
    </row>
    <row r="2721" spans="1:21" x14ac:dyDescent="0.3">
      <c r="A2721">
        <v>2720</v>
      </c>
      <c r="B2721" t="s">
        <v>3768</v>
      </c>
      <c r="C2721" t="str">
        <f t="shared" si="378"/>
        <v>EMP_2720</v>
      </c>
      <c r="D2721" t="s">
        <v>15</v>
      </c>
      <c r="E2721" t="str">
        <f t="shared" si="379"/>
        <v>EMP_2720IT</v>
      </c>
      <c r="F2721" t="s">
        <v>21</v>
      </c>
      <c r="G2721" t="s">
        <v>25</v>
      </c>
      <c r="H2721">
        <v>38577</v>
      </c>
      <c r="I2721">
        <v>5492</v>
      </c>
      <c r="J2721">
        <v>0</v>
      </c>
      <c r="K2721">
        <v>0</v>
      </c>
      <c r="L2721" s="4" t="s">
        <v>3769</v>
      </c>
      <c r="M2721" s="4" t="str">
        <f t="shared" si="380"/>
        <v>3/22/2024</v>
      </c>
      <c r="N2721" s="1">
        <f t="shared" ca="1" si="381"/>
        <v>46064</v>
      </c>
      <c r="O2721" s="6" t="e">
        <f t="shared" ca="1" si="382"/>
        <v>#VALUE!</v>
      </c>
      <c r="P2721">
        <v>5</v>
      </c>
      <c r="Q2721">
        <f t="shared" si="383"/>
        <v>44069</v>
      </c>
      <c r="R2721" s="2">
        <f t="shared" si="384"/>
        <v>22034.5</v>
      </c>
      <c r="S2721" s="2" t="str">
        <f t="shared" si="385"/>
        <v xml:space="preserve"> Not Achieved</v>
      </c>
      <c r="T2721" s="2" t="str">
        <f t="shared" si="386"/>
        <v>Average</v>
      </c>
      <c r="U2721" s="2"/>
    </row>
    <row r="2722" spans="1:21" x14ac:dyDescent="0.3">
      <c r="A2722">
        <v>2721</v>
      </c>
      <c r="B2722" t="s">
        <v>3770</v>
      </c>
      <c r="C2722" t="str">
        <f t="shared" si="378"/>
        <v>EMP_2721</v>
      </c>
      <c r="D2722" t="s">
        <v>15</v>
      </c>
      <c r="E2722" t="str">
        <f t="shared" si="379"/>
        <v>EMP_2721Finance</v>
      </c>
      <c r="F2722" t="s">
        <v>18</v>
      </c>
      <c r="G2722" t="s">
        <v>13</v>
      </c>
      <c r="H2722">
        <v>27614</v>
      </c>
      <c r="I2722">
        <v>4895</v>
      </c>
      <c r="J2722">
        <v>0</v>
      </c>
      <c r="K2722">
        <v>0</v>
      </c>
      <c r="L2722" s="4" t="s">
        <v>3771</v>
      </c>
      <c r="M2722" s="4" t="str">
        <f t="shared" si="380"/>
        <v>9/26/2018</v>
      </c>
      <c r="N2722" s="1">
        <f t="shared" ca="1" si="381"/>
        <v>46064</v>
      </c>
      <c r="O2722" s="6" t="e">
        <f t="shared" ca="1" si="382"/>
        <v>#VALUE!</v>
      </c>
      <c r="P2722">
        <v>2</v>
      </c>
      <c r="Q2722">
        <f t="shared" si="383"/>
        <v>32509</v>
      </c>
      <c r="R2722" s="2">
        <f t="shared" si="384"/>
        <v>16254.5</v>
      </c>
      <c r="S2722" s="2" t="str">
        <f t="shared" si="385"/>
        <v xml:space="preserve"> Not Achieved</v>
      </c>
      <c r="T2722" s="2" t="str">
        <f t="shared" si="386"/>
        <v>poor</v>
      </c>
      <c r="U2722" s="2"/>
    </row>
    <row r="2723" spans="1:21" x14ac:dyDescent="0.3">
      <c r="A2723">
        <v>2722</v>
      </c>
      <c r="B2723" t="s">
        <v>3772</v>
      </c>
      <c r="C2723" t="str">
        <f t="shared" si="378"/>
        <v>EMP_2722</v>
      </c>
      <c r="D2723" t="s">
        <v>15</v>
      </c>
      <c r="E2723" t="str">
        <f t="shared" si="379"/>
        <v>EMP_2722HR</v>
      </c>
      <c r="F2723" t="s">
        <v>12</v>
      </c>
      <c r="G2723" t="s">
        <v>13</v>
      </c>
      <c r="H2723">
        <v>54786</v>
      </c>
      <c r="I2723">
        <v>11307</v>
      </c>
      <c r="J2723">
        <v>0</v>
      </c>
      <c r="K2723">
        <v>0</v>
      </c>
      <c r="L2723" s="4">
        <v>45049</v>
      </c>
      <c r="M2723" s="4" t="str">
        <f t="shared" si="380"/>
        <v>2023</v>
      </c>
      <c r="N2723" s="1">
        <f t="shared" ca="1" si="381"/>
        <v>46064</v>
      </c>
      <c r="O2723" s="6">
        <f t="shared" ca="1" si="382"/>
        <v>2</v>
      </c>
      <c r="P2723">
        <v>5</v>
      </c>
      <c r="Q2723">
        <f t="shared" si="383"/>
        <v>66093</v>
      </c>
      <c r="R2723" s="2">
        <f t="shared" si="384"/>
        <v>33046.5</v>
      </c>
      <c r="S2723" s="2" t="str">
        <f t="shared" si="385"/>
        <v xml:space="preserve"> Not Achieved</v>
      </c>
      <c r="T2723" s="2" t="str">
        <f t="shared" si="386"/>
        <v xml:space="preserve"> Excellent</v>
      </c>
      <c r="U2723" s="2"/>
    </row>
    <row r="2724" spans="1:21" x14ac:dyDescent="0.3">
      <c r="A2724">
        <v>2723</v>
      </c>
      <c r="B2724" t="s">
        <v>3773</v>
      </c>
      <c r="C2724" t="str">
        <f t="shared" si="378"/>
        <v>EMP_2723</v>
      </c>
      <c r="D2724" t="s">
        <v>15</v>
      </c>
      <c r="E2724" t="str">
        <f t="shared" si="379"/>
        <v>EMP_2723Finance</v>
      </c>
      <c r="F2724" t="s">
        <v>18</v>
      </c>
      <c r="G2724" t="s">
        <v>16</v>
      </c>
      <c r="H2724">
        <v>79064</v>
      </c>
      <c r="I2724">
        <v>2924</v>
      </c>
      <c r="J2724">
        <v>0</v>
      </c>
      <c r="K2724">
        <v>0</v>
      </c>
      <c r="L2724" s="4" t="s">
        <v>3774</v>
      </c>
      <c r="M2724" s="4" t="str">
        <f t="shared" si="380"/>
        <v>5/29/2023</v>
      </c>
      <c r="N2724" s="1">
        <f t="shared" ca="1" si="381"/>
        <v>46064</v>
      </c>
      <c r="O2724" s="6" t="e">
        <f t="shared" ca="1" si="382"/>
        <v>#VALUE!</v>
      </c>
      <c r="P2724">
        <v>5</v>
      </c>
      <c r="Q2724">
        <f t="shared" si="383"/>
        <v>81988</v>
      </c>
      <c r="R2724" s="2">
        <f t="shared" si="384"/>
        <v>40994</v>
      </c>
      <c r="S2724" s="2" t="str">
        <f t="shared" si="385"/>
        <v xml:space="preserve"> Not Achieved</v>
      </c>
      <c r="T2724" s="2" t="str">
        <f t="shared" si="386"/>
        <v xml:space="preserve"> Excellent</v>
      </c>
      <c r="U2724" s="2"/>
    </row>
    <row r="2725" spans="1:21" x14ac:dyDescent="0.3">
      <c r="A2725">
        <v>2724</v>
      </c>
      <c r="B2725" t="s">
        <v>3775</v>
      </c>
      <c r="C2725" t="str">
        <f t="shared" si="378"/>
        <v>EMP_2724</v>
      </c>
      <c r="D2725" t="s">
        <v>11</v>
      </c>
      <c r="E2725" t="str">
        <f t="shared" si="379"/>
        <v>EMP_2724Finance</v>
      </c>
      <c r="F2725" t="s">
        <v>18</v>
      </c>
      <c r="G2725" t="s">
        <v>16</v>
      </c>
      <c r="H2725">
        <v>60184</v>
      </c>
      <c r="I2725">
        <v>3332</v>
      </c>
      <c r="J2725">
        <v>0</v>
      </c>
      <c r="K2725">
        <v>0</v>
      </c>
      <c r="L2725" s="4">
        <v>43353</v>
      </c>
      <c r="M2725" s="4" t="str">
        <f t="shared" si="380"/>
        <v>2018</v>
      </c>
      <c r="N2725" s="1">
        <f t="shared" ca="1" si="381"/>
        <v>46064</v>
      </c>
      <c r="O2725" s="6">
        <f t="shared" ca="1" si="382"/>
        <v>7</v>
      </c>
      <c r="P2725">
        <v>5</v>
      </c>
      <c r="Q2725">
        <f t="shared" si="383"/>
        <v>63516</v>
      </c>
      <c r="R2725" s="2">
        <f t="shared" si="384"/>
        <v>31758</v>
      </c>
      <c r="S2725" s="2" t="str">
        <f t="shared" si="385"/>
        <v xml:space="preserve"> Not Achieved</v>
      </c>
      <c r="T2725" s="2" t="str">
        <f t="shared" si="386"/>
        <v xml:space="preserve"> Excellent</v>
      </c>
      <c r="U2725" s="2"/>
    </row>
    <row r="2726" spans="1:21" x14ac:dyDescent="0.3">
      <c r="A2726">
        <v>2725</v>
      </c>
      <c r="B2726" t="s">
        <v>3776</v>
      </c>
      <c r="C2726" t="str">
        <f t="shared" si="378"/>
        <v>EMP_2725</v>
      </c>
      <c r="D2726" t="s">
        <v>15</v>
      </c>
      <c r="E2726" t="str">
        <f t="shared" si="379"/>
        <v>EMP_2725Sales</v>
      </c>
      <c r="F2726" t="s">
        <v>7</v>
      </c>
      <c r="G2726" t="s">
        <v>13</v>
      </c>
      <c r="H2726">
        <v>45987</v>
      </c>
      <c r="I2726">
        <v>13176</v>
      </c>
      <c r="J2726">
        <v>293812</v>
      </c>
      <c r="K2726">
        <v>162799</v>
      </c>
      <c r="L2726" s="4" t="s">
        <v>2163</v>
      </c>
      <c r="M2726" s="4" t="str">
        <f t="shared" si="380"/>
        <v>11/16/2018</v>
      </c>
      <c r="N2726" s="1">
        <f t="shared" ca="1" si="381"/>
        <v>46064</v>
      </c>
      <c r="O2726" s="6" t="e">
        <f t="shared" ca="1" si="382"/>
        <v>#VALUE!</v>
      </c>
      <c r="P2726">
        <v>4</v>
      </c>
      <c r="Q2726">
        <f t="shared" si="383"/>
        <v>59163</v>
      </c>
      <c r="R2726" s="2">
        <f t="shared" si="384"/>
        <v>29581.5</v>
      </c>
      <c r="S2726" s="2" t="str">
        <f t="shared" si="385"/>
        <v>Achieved</v>
      </c>
      <c r="T2726" s="2" t="str">
        <f t="shared" si="386"/>
        <v>Good</v>
      </c>
      <c r="U2726" s="2"/>
    </row>
    <row r="2727" spans="1:21" x14ac:dyDescent="0.3">
      <c r="A2727">
        <v>2726</v>
      </c>
      <c r="B2727" t="s">
        <v>3777</v>
      </c>
      <c r="C2727" t="str">
        <f t="shared" si="378"/>
        <v>EMP_2726</v>
      </c>
      <c r="D2727" t="s">
        <v>11</v>
      </c>
      <c r="E2727" t="str">
        <f t="shared" si="379"/>
        <v>EMP_2726Marketing</v>
      </c>
      <c r="F2727" t="s">
        <v>24</v>
      </c>
      <c r="G2727" t="s">
        <v>22</v>
      </c>
      <c r="H2727">
        <v>25181</v>
      </c>
      <c r="I2727">
        <v>3713</v>
      </c>
      <c r="J2727">
        <v>0</v>
      </c>
      <c r="K2727">
        <v>0</v>
      </c>
      <c r="L2727" s="4" t="s">
        <v>3778</v>
      </c>
      <c r="M2727" s="4" t="str">
        <f t="shared" si="380"/>
        <v>9/23/2018</v>
      </c>
      <c r="N2727" s="1">
        <f t="shared" ca="1" si="381"/>
        <v>46064</v>
      </c>
      <c r="O2727" s="6" t="e">
        <f t="shared" ca="1" si="382"/>
        <v>#VALUE!</v>
      </c>
      <c r="P2727">
        <v>2</v>
      </c>
      <c r="Q2727">
        <f t="shared" si="383"/>
        <v>28894</v>
      </c>
      <c r="R2727" s="2">
        <f t="shared" si="384"/>
        <v>14447</v>
      </c>
      <c r="S2727" s="2" t="str">
        <f t="shared" si="385"/>
        <v xml:space="preserve"> Not Achieved</v>
      </c>
      <c r="T2727" s="2" t="str">
        <f t="shared" si="386"/>
        <v>poor</v>
      </c>
      <c r="U2727" s="2"/>
    </row>
    <row r="2728" spans="1:21" x14ac:dyDescent="0.3">
      <c r="A2728">
        <v>2727</v>
      </c>
      <c r="B2728" t="s">
        <v>3779</v>
      </c>
      <c r="C2728" t="str">
        <f t="shared" si="378"/>
        <v>EMP_2727</v>
      </c>
      <c r="D2728" t="s">
        <v>15</v>
      </c>
      <c r="E2728" t="str">
        <f t="shared" si="379"/>
        <v>EMP_2727HR</v>
      </c>
      <c r="F2728" t="s">
        <v>12</v>
      </c>
      <c r="G2728" t="s">
        <v>16</v>
      </c>
      <c r="H2728">
        <v>46409</v>
      </c>
      <c r="I2728">
        <v>3866</v>
      </c>
      <c r="J2728">
        <v>0</v>
      </c>
      <c r="K2728">
        <v>0</v>
      </c>
      <c r="L2728" s="4">
        <v>45143</v>
      </c>
      <c r="M2728" s="4" t="str">
        <f t="shared" si="380"/>
        <v>2023</v>
      </c>
      <c r="N2728" s="1">
        <f t="shared" ca="1" si="381"/>
        <v>46064</v>
      </c>
      <c r="O2728" s="6">
        <f t="shared" ca="1" si="382"/>
        <v>2</v>
      </c>
      <c r="P2728">
        <v>2</v>
      </c>
      <c r="Q2728">
        <f t="shared" si="383"/>
        <v>50275</v>
      </c>
      <c r="R2728" s="2">
        <f t="shared" si="384"/>
        <v>25137.5</v>
      </c>
      <c r="S2728" s="2" t="str">
        <f t="shared" si="385"/>
        <v xml:space="preserve"> Not Achieved</v>
      </c>
      <c r="T2728" s="2" t="str">
        <f t="shared" si="386"/>
        <v>Good</v>
      </c>
      <c r="U2728" s="2"/>
    </row>
    <row r="2729" spans="1:21" x14ac:dyDescent="0.3">
      <c r="A2729">
        <v>2728</v>
      </c>
      <c r="B2729" t="s">
        <v>3780</v>
      </c>
      <c r="C2729" t="str">
        <f t="shared" si="378"/>
        <v>EMP_2728</v>
      </c>
      <c r="D2729" t="s">
        <v>11</v>
      </c>
      <c r="E2729" t="str">
        <f t="shared" si="379"/>
        <v>EMP_2728Marketing</v>
      </c>
      <c r="F2729" t="s">
        <v>24</v>
      </c>
      <c r="G2729" t="s">
        <v>22</v>
      </c>
      <c r="H2729">
        <v>20715</v>
      </c>
      <c r="I2729">
        <v>7590</v>
      </c>
      <c r="J2729">
        <v>0</v>
      </c>
      <c r="K2729">
        <v>0</v>
      </c>
      <c r="L2729" s="4">
        <v>44839</v>
      </c>
      <c r="M2729" s="4" t="str">
        <f t="shared" si="380"/>
        <v>2022</v>
      </c>
      <c r="N2729" s="1">
        <f t="shared" ca="1" si="381"/>
        <v>46064</v>
      </c>
      <c r="O2729" s="6">
        <f t="shared" ca="1" si="382"/>
        <v>3</v>
      </c>
      <c r="P2729">
        <v>3</v>
      </c>
      <c r="Q2729">
        <f t="shared" si="383"/>
        <v>28305</v>
      </c>
      <c r="R2729" s="2">
        <f t="shared" si="384"/>
        <v>14152.5</v>
      </c>
      <c r="S2729" s="2" t="str">
        <f t="shared" si="385"/>
        <v xml:space="preserve"> Not Achieved</v>
      </c>
      <c r="T2729" s="2" t="str">
        <f t="shared" si="386"/>
        <v>poor</v>
      </c>
      <c r="U2729" s="2"/>
    </row>
    <row r="2730" spans="1:21" x14ac:dyDescent="0.3">
      <c r="A2730">
        <v>2729</v>
      </c>
      <c r="B2730" t="s">
        <v>3781</v>
      </c>
      <c r="C2730" t="str">
        <f t="shared" si="378"/>
        <v>EMP_2729</v>
      </c>
      <c r="D2730" t="s">
        <v>15</v>
      </c>
      <c r="E2730" t="str">
        <f t="shared" si="379"/>
        <v>EMP_2729IT</v>
      </c>
      <c r="F2730" t="s">
        <v>21</v>
      </c>
      <c r="G2730" t="s">
        <v>19</v>
      </c>
      <c r="H2730">
        <v>36977</v>
      </c>
      <c r="I2730">
        <v>9170</v>
      </c>
      <c r="J2730">
        <v>0</v>
      </c>
      <c r="K2730">
        <v>0</v>
      </c>
      <c r="L2730" s="4">
        <v>45540</v>
      </c>
      <c r="M2730" s="4" t="str">
        <f t="shared" si="380"/>
        <v>2024</v>
      </c>
      <c r="N2730" s="1">
        <f t="shared" ca="1" si="381"/>
        <v>46064</v>
      </c>
      <c r="O2730" s="6">
        <f t="shared" ca="1" si="382"/>
        <v>1</v>
      </c>
      <c r="P2730">
        <v>4</v>
      </c>
      <c r="Q2730">
        <f t="shared" si="383"/>
        <v>46147</v>
      </c>
      <c r="R2730" s="2">
        <f t="shared" si="384"/>
        <v>23073.5</v>
      </c>
      <c r="S2730" s="2" t="str">
        <f t="shared" si="385"/>
        <v xml:space="preserve"> Not Achieved</v>
      </c>
      <c r="T2730" s="2" t="str">
        <f t="shared" si="386"/>
        <v>Average</v>
      </c>
      <c r="U2730" s="2"/>
    </row>
    <row r="2731" spans="1:21" x14ac:dyDescent="0.3">
      <c r="A2731">
        <v>2730</v>
      </c>
      <c r="B2731" t="s">
        <v>3782</v>
      </c>
      <c r="C2731" t="str">
        <f t="shared" si="378"/>
        <v>EMP_2730</v>
      </c>
      <c r="D2731" t="s">
        <v>15</v>
      </c>
      <c r="E2731" t="str">
        <f t="shared" si="379"/>
        <v>EMP_2730Sales</v>
      </c>
      <c r="F2731" t="s">
        <v>7</v>
      </c>
      <c r="G2731" t="s">
        <v>22</v>
      </c>
      <c r="H2731">
        <v>78054</v>
      </c>
      <c r="I2731">
        <v>3371</v>
      </c>
      <c r="J2731">
        <v>288098</v>
      </c>
      <c r="K2731">
        <v>145090</v>
      </c>
      <c r="L2731" s="4" t="s">
        <v>3783</v>
      </c>
      <c r="M2731" s="4" t="str">
        <f t="shared" si="380"/>
        <v>5/17/2023</v>
      </c>
      <c r="N2731" s="1">
        <f t="shared" ca="1" si="381"/>
        <v>46064</v>
      </c>
      <c r="O2731" s="6" t="e">
        <f t="shared" ca="1" si="382"/>
        <v>#VALUE!</v>
      </c>
      <c r="P2731">
        <v>3</v>
      </c>
      <c r="Q2731">
        <f t="shared" si="383"/>
        <v>81425</v>
      </c>
      <c r="R2731" s="2">
        <f t="shared" si="384"/>
        <v>40712.5</v>
      </c>
      <c r="S2731" s="2" t="str">
        <f t="shared" si="385"/>
        <v>Achieved</v>
      </c>
      <c r="T2731" s="2" t="str">
        <f t="shared" si="386"/>
        <v xml:space="preserve"> Excellent</v>
      </c>
      <c r="U2731" s="2"/>
    </row>
    <row r="2732" spans="1:21" x14ac:dyDescent="0.3">
      <c r="A2732">
        <v>2731</v>
      </c>
      <c r="B2732" t="s">
        <v>3784</v>
      </c>
      <c r="C2732" t="str">
        <f t="shared" si="378"/>
        <v>EMP_2731</v>
      </c>
      <c r="D2732" t="s">
        <v>11</v>
      </c>
      <c r="E2732" t="str">
        <f t="shared" si="379"/>
        <v>EMP_2731Marketing</v>
      </c>
      <c r="F2732" t="s">
        <v>24</v>
      </c>
      <c r="G2732" t="s">
        <v>19</v>
      </c>
      <c r="H2732">
        <v>62909</v>
      </c>
      <c r="I2732">
        <v>13696</v>
      </c>
      <c r="J2732">
        <v>0</v>
      </c>
      <c r="K2732">
        <v>0</v>
      </c>
      <c r="L2732" s="4" t="s">
        <v>1557</v>
      </c>
      <c r="M2732" s="4" t="str">
        <f t="shared" si="380"/>
        <v>3/17/2019</v>
      </c>
      <c r="N2732" s="1">
        <f t="shared" ca="1" si="381"/>
        <v>46064</v>
      </c>
      <c r="O2732" s="6" t="e">
        <f t="shared" ca="1" si="382"/>
        <v>#VALUE!</v>
      </c>
      <c r="P2732">
        <v>4</v>
      </c>
      <c r="Q2732">
        <f t="shared" si="383"/>
        <v>76605</v>
      </c>
      <c r="R2732" s="2">
        <f t="shared" si="384"/>
        <v>38302.5</v>
      </c>
      <c r="S2732" s="2" t="str">
        <f t="shared" si="385"/>
        <v xml:space="preserve"> Not Achieved</v>
      </c>
      <c r="T2732" s="2" t="str">
        <f t="shared" si="386"/>
        <v xml:space="preserve"> Excellent</v>
      </c>
      <c r="U2732" s="2"/>
    </row>
    <row r="2733" spans="1:21" x14ac:dyDescent="0.3">
      <c r="A2733">
        <v>2732</v>
      </c>
      <c r="B2733" t="s">
        <v>3785</v>
      </c>
      <c r="C2733" t="str">
        <f t="shared" si="378"/>
        <v>EMP_2732</v>
      </c>
      <c r="D2733" t="s">
        <v>15</v>
      </c>
      <c r="E2733" t="str">
        <f t="shared" si="379"/>
        <v>EMP_2732IT</v>
      </c>
      <c r="F2733" t="s">
        <v>21</v>
      </c>
      <c r="G2733" t="s">
        <v>19</v>
      </c>
      <c r="H2733">
        <v>31163</v>
      </c>
      <c r="I2733">
        <v>12981</v>
      </c>
      <c r="J2733">
        <v>0</v>
      </c>
      <c r="K2733">
        <v>0</v>
      </c>
      <c r="L2733" s="4">
        <v>43596</v>
      </c>
      <c r="M2733" s="4" t="str">
        <f t="shared" si="380"/>
        <v>2019</v>
      </c>
      <c r="N2733" s="1">
        <f t="shared" ca="1" si="381"/>
        <v>46064</v>
      </c>
      <c r="O2733" s="6">
        <f t="shared" ca="1" si="382"/>
        <v>6</v>
      </c>
      <c r="P2733">
        <v>3</v>
      </c>
      <c r="Q2733">
        <f t="shared" si="383"/>
        <v>44144</v>
      </c>
      <c r="R2733" s="2">
        <f t="shared" si="384"/>
        <v>22072</v>
      </c>
      <c r="S2733" s="2" t="str">
        <f t="shared" si="385"/>
        <v xml:space="preserve"> Not Achieved</v>
      </c>
      <c r="T2733" s="2" t="str">
        <f t="shared" si="386"/>
        <v>Average</v>
      </c>
      <c r="U2733" s="2"/>
    </row>
    <row r="2734" spans="1:21" x14ac:dyDescent="0.3">
      <c r="A2734">
        <v>2733</v>
      </c>
      <c r="B2734" t="s">
        <v>3786</v>
      </c>
      <c r="C2734" t="str">
        <f t="shared" si="378"/>
        <v>EMP_2733</v>
      </c>
      <c r="D2734" t="s">
        <v>11</v>
      </c>
      <c r="E2734" t="str">
        <f t="shared" si="379"/>
        <v>EMP_2733IT</v>
      </c>
      <c r="F2734" t="s">
        <v>21</v>
      </c>
      <c r="G2734" t="s">
        <v>19</v>
      </c>
      <c r="H2734">
        <v>45990</v>
      </c>
      <c r="I2734">
        <v>11817</v>
      </c>
      <c r="J2734">
        <v>0</v>
      </c>
      <c r="K2734">
        <v>0</v>
      </c>
      <c r="L2734" s="4" t="s">
        <v>3787</v>
      </c>
      <c r="M2734" s="4" t="str">
        <f t="shared" si="380"/>
        <v>10/29/2024</v>
      </c>
      <c r="N2734" s="1">
        <f t="shared" ca="1" si="381"/>
        <v>46064</v>
      </c>
      <c r="O2734" s="6" t="e">
        <f t="shared" ca="1" si="382"/>
        <v>#VALUE!</v>
      </c>
      <c r="P2734">
        <v>4</v>
      </c>
      <c r="Q2734">
        <f t="shared" si="383"/>
        <v>57807</v>
      </c>
      <c r="R2734" s="2">
        <f t="shared" si="384"/>
        <v>28903.5</v>
      </c>
      <c r="S2734" s="2" t="str">
        <f t="shared" si="385"/>
        <v xml:space="preserve"> Not Achieved</v>
      </c>
      <c r="T2734" s="2" t="str">
        <f t="shared" si="386"/>
        <v>Good</v>
      </c>
      <c r="U2734" s="2"/>
    </row>
    <row r="2735" spans="1:21" x14ac:dyDescent="0.3">
      <c r="A2735">
        <v>2734</v>
      </c>
      <c r="B2735" t="s">
        <v>3788</v>
      </c>
      <c r="C2735" t="str">
        <f t="shared" si="378"/>
        <v>EMP_2734</v>
      </c>
      <c r="D2735" t="s">
        <v>11</v>
      </c>
      <c r="E2735" t="str">
        <f t="shared" si="379"/>
        <v>EMP_2734Finance</v>
      </c>
      <c r="F2735" t="s">
        <v>18</v>
      </c>
      <c r="G2735" t="s">
        <v>19</v>
      </c>
      <c r="H2735">
        <v>70415</v>
      </c>
      <c r="I2735">
        <v>5561</v>
      </c>
      <c r="J2735">
        <v>0</v>
      </c>
      <c r="K2735">
        <v>0</v>
      </c>
      <c r="L2735" s="4">
        <v>43655</v>
      </c>
      <c r="M2735" s="4" t="str">
        <f t="shared" si="380"/>
        <v>2019</v>
      </c>
      <c r="N2735" s="1">
        <f t="shared" ca="1" si="381"/>
        <v>46064</v>
      </c>
      <c r="O2735" s="6">
        <f t="shared" ca="1" si="382"/>
        <v>6</v>
      </c>
      <c r="P2735">
        <v>5</v>
      </c>
      <c r="Q2735">
        <f t="shared" si="383"/>
        <v>75976</v>
      </c>
      <c r="R2735" s="2">
        <f t="shared" si="384"/>
        <v>37988</v>
      </c>
      <c r="S2735" s="2" t="str">
        <f t="shared" si="385"/>
        <v xml:space="preserve"> Not Achieved</v>
      </c>
      <c r="T2735" s="2" t="str">
        <f t="shared" si="386"/>
        <v xml:space="preserve"> Excellent</v>
      </c>
      <c r="U2735" s="2"/>
    </row>
    <row r="2736" spans="1:21" x14ac:dyDescent="0.3">
      <c r="A2736">
        <v>2735</v>
      </c>
      <c r="B2736" t="s">
        <v>3789</v>
      </c>
      <c r="C2736" t="str">
        <f t="shared" si="378"/>
        <v>EMP_2735</v>
      </c>
      <c r="D2736" t="s">
        <v>11</v>
      </c>
      <c r="E2736" t="str">
        <f t="shared" si="379"/>
        <v>EMP_2735HR</v>
      </c>
      <c r="F2736" t="s">
        <v>12</v>
      </c>
      <c r="G2736" t="s">
        <v>22</v>
      </c>
      <c r="H2736">
        <v>55521</v>
      </c>
      <c r="I2736">
        <v>3592</v>
      </c>
      <c r="J2736">
        <v>0</v>
      </c>
      <c r="K2736">
        <v>0</v>
      </c>
      <c r="L2736" s="4" t="s">
        <v>3080</v>
      </c>
      <c r="M2736" s="4" t="str">
        <f t="shared" si="380"/>
        <v>11/22/2023</v>
      </c>
      <c r="N2736" s="1">
        <f t="shared" ca="1" si="381"/>
        <v>46064</v>
      </c>
      <c r="O2736" s="6" t="e">
        <f t="shared" ca="1" si="382"/>
        <v>#VALUE!</v>
      </c>
      <c r="P2736">
        <v>1</v>
      </c>
      <c r="Q2736">
        <f t="shared" si="383"/>
        <v>59113</v>
      </c>
      <c r="R2736" s="2">
        <f t="shared" si="384"/>
        <v>29556.5</v>
      </c>
      <c r="S2736" s="2" t="str">
        <f t="shared" si="385"/>
        <v xml:space="preserve"> Not Achieved</v>
      </c>
      <c r="T2736" s="2" t="str">
        <f t="shared" si="386"/>
        <v xml:space="preserve"> Excellent</v>
      </c>
      <c r="U2736" s="2"/>
    </row>
    <row r="2737" spans="1:21" x14ac:dyDescent="0.3">
      <c r="A2737">
        <v>2736</v>
      </c>
      <c r="B2737" t="s">
        <v>3790</v>
      </c>
      <c r="C2737" t="str">
        <f t="shared" si="378"/>
        <v>EMP_2736</v>
      </c>
      <c r="D2737" t="s">
        <v>15</v>
      </c>
      <c r="E2737" t="str">
        <f t="shared" si="379"/>
        <v>EMP_2736HR</v>
      </c>
      <c r="F2737" t="s">
        <v>12</v>
      </c>
      <c r="G2737" t="s">
        <v>19</v>
      </c>
      <c r="H2737">
        <v>30417</v>
      </c>
      <c r="I2737">
        <v>11471</v>
      </c>
      <c r="J2737">
        <v>0</v>
      </c>
      <c r="K2737">
        <v>0</v>
      </c>
      <c r="L2737" s="4" t="s">
        <v>3791</v>
      </c>
      <c r="M2737" s="4" t="str">
        <f t="shared" si="380"/>
        <v>7/30/2023</v>
      </c>
      <c r="N2737" s="1">
        <f t="shared" ca="1" si="381"/>
        <v>46064</v>
      </c>
      <c r="O2737" s="6" t="e">
        <f t="shared" ca="1" si="382"/>
        <v>#VALUE!</v>
      </c>
      <c r="P2737">
        <v>3</v>
      </c>
      <c r="Q2737">
        <f t="shared" si="383"/>
        <v>41888</v>
      </c>
      <c r="R2737" s="2">
        <f t="shared" si="384"/>
        <v>20944</v>
      </c>
      <c r="S2737" s="2" t="str">
        <f t="shared" si="385"/>
        <v xml:space="preserve"> Not Achieved</v>
      </c>
      <c r="T2737" s="2" t="str">
        <f t="shared" si="386"/>
        <v>Average</v>
      </c>
      <c r="U2737" s="2"/>
    </row>
    <row r="2738" spans="1:21" x14ac:dyDescent="0.3">
      <c r="A2738">
        <v>2737</v>
      </c>
      <c r="B2738" t="s">
        <v>3792</v>
      </c>
      <c r="C2738" t="str">
        <f t="shared" si="378"/>
        <v>EMP_2737</v>
      </c>
      <c r="D2738" t="s">
        <v>15</v>
      </c>
      <c r="E2738" t="str">
        <f t="shared" si="379"/>
        <v>EMP_2737Marketing</v>
      </c>
      <c r="F2738" t="s">
        <v>24</v>
      </c>
      <c r="G2738" t="s">
        <v>22</v>
      </c>
      <c r="H2738">
        <v>26133</v>
      </c>
      <c r="I2738">
        <v>5799</v>
      </c>
      <c r="J2738">
        <v>0</v>
      </c>
      <c r="K2738">
        <v>0</v>
      </c>
      <c r="L2738" s="4" t="s">
        <v>3793</v>
      </c>
      <c r="M2738" s="4" t="str">
        <f t="shared" si="380"/>
        <v>9/28/2018</v>
      </c>
      <c r="N2738" s="1">
        <f t="shared" ca="1" si="381"/>
        <v>46064</v>
      </c>
      <c r="O2738" s="6" t="e">
        <f t="shared" ca="1" si="382"/>
        <v>#VALUE!</v>
      </c>
      <c r="P2738">
        <v>1</v>
      </c>
      <c r="Q2738">
        <f t="shared" si="383"/>
        <v>31932</v>
      </c>
      <c r="R2738" s="2">
        <f t="shared" si="384"/>
        <v>15966</v>
      </c>
      <c r="S2738" s="2" t="str">
        <f t="shared" si="385"/>
        <v xml:space="preserve"> Not Achieved</v>
      </c>
      <c r="T2738" s="2" t="str">
        <f t="shared" si="386"/>
        <v>poor</v>
      </c>
      <c r="U2738" s="2"/>
    </row>
    <row r="2739" spans="1:21" x14ac:dyDescent="0.3">
      <c r="A2739">
        <v>2738</v>
      </c>
      <c r="B2739" t="s">
        <v>3794</v>
      </c>
      <c r="C2739" t="str">
        <f t="shared" si="378"/>
        <v>EMP_2738</v>
      </c>
      <c r="D2739" t="s">
        <v>15</v>
      </c>
      <c r="E2739" t="str">
        <f t="shared" si="379"/>
        <v>EMP_2738HR</v>
      </c>
      <c r="F2739" t="s">
        <v>12</v>
      </c>
      <c r="G2739" t="s">
        <v>22</v>
      </c>
      <c r="H2739">
        <v>60190</v>
      </c>
      <c r="I2739">
        <v>13123</v>
      </c>
      <c r="J2739">
        <v>0</v>
      </c>
      <c r="K2739">
        <v>0</v>
      </c>
      <c r="L2739" s="4" t="s">
        <v>294</v>
      </c>
      <c r="M2739" s="4" t="str">
        <f t="shared" si="380"/>
        <v>3/19/2022</v>
      </c>
      <c r="N2739" s="1">
        <f t="shared" ca="1" si="381"/>
        <v>46064</v>
      </c>
      <c r="O2739" s="6" t="e">
        <f t="shared" ca="1" si="382"/>
        <v>#VALUE!</v>
      </c>
      <c r="P2739">
        <v>1</v>
      </c>
      <c r="Q2739">
        <f t="shared" si="383"/>
        <v>73313</v>
      </c>
      <c r="R2739" s="2">
        <f t="shared" si="384"/>
        <v>36656.5</v>
      </c>
      <c r="S2739" s="2" t="str">
        <f t="shared" si="385"/>
        <v xml:space="preserve"> Not Achieved</v>
      </c>
      <c r="T2739" s="2" t="str">
        <f t="shared" si="386"/>
        <v xml:space="preserve"> Excellent</v>
      </c>
      <c r="U2739" s="2"/>
    </row>
    <row r="2740" spans="1:21" x14ac:dyDescent="0.3">
      <c r="A2740">
        <v>2739</v>
      </c>
      <c r="B2740" t="s">
        <v>3795</v>
      </c>
      <c r="C2740" t="str">
        <f t="shared" si="378"/>
        <v>EMP_2739</v>
      </c>
      <c r="D2740" t="s">
        <v>15</v>
      </c>
      <c r="E2740" t="str">
        <f t="shared" si="379"/>
        <v>EMP_2739IT</v>
      </c>
      <c r="F2740" t="s">
        <v>21</v>
      </c>
      <c r="G2740" t="s">
        <v>19</v>
      </c>
      <c r="H2740">
        <v>71477</v>
      </c>
      <c r="I2740">
        <v>14967</v>
      </c>
      <c r="J2740">
        <v>0</v>
      </c>
      <c r="K2740">
        <v>0</v>
      </c>
      <c r="L2740" s="4">
        <v>45414</v>
      </c>
      <c r="M2740" s="4" t="str">
        <f t="shared" si="380"/>
        <v>2024</v>
      </c>
      <c r="N2740" s="1">
        <f t="shared" ca="1" si="381"/>
        <v>46064</v>
      </c>
      <c r="O2740" s="6">
        <f t="shared" ca="1" si="382"/>
        <v>1</v>
      </c>
      <c r="P2740">
        <v>2</v>
      </c>
      <c r="Q2740">
        <f t="shared" si="383"/>
        <v>86444</v>
      </c>
      <c r="R2740" s="2">
        <f t="shared" si="384"/>
        <v>43222</v>
      </c>
      <c r="S2740" s="2" t="str">
        <f t="shared" si="385"/>
        <v xml:space="preserve"> Not Achieved</v>
      </c>
      <c r="T2740" s="2" t="str">
        <f t="shared" si="386"/>
        <v xml:space="preserve"> Excellent</v>
      </c>
      <c r="U2740" s="2"/>
    </row>
    <row r="2741" spans="1:21" x14ac:dyDescent="0.3">
      <c r="A2741">
        <v>2740</v>
      </c>
      <c r="B2741" t="s">
        <v>3796</v>
      </c>
      <c r="C2741" t="str">
        <f t="shared" si="378"/>
        <v>EMP_2740</v>
      </c>
      <c r="D2741" t="s">
        <v>15</v>
      </c>
      <c r="E2741" t="str">
        <f t="shared" si="379"/>
        <v>EMP_2740Sales</v>
      </c>
      <c r="F2741" t="s">
        <v>7</v>
      </c>
      <c r="G2741" t="s">
        <v>16</v>
      </c>
      <c r="H2741">
        <v>67383</v>
      </c>
      <c r="I2741">
        <v>12610</v>
      </c>
      <c r="J2741">
        <v>236175</v>
      </c>
      <c r="K2741">
        <v>104048</v>
      </c>
      <c r="L2741" s="4">
        <v>44137</v>
      </c>
      <c r="M2741" s="4" t="str">
        <f t="shared" si="380"/>
        <v>2020</v>
      </c>
      <c r="N2741" s="1">
        <f t="shared" ca="1" si="381"/>
        <v>46064</v>
      </c>
      <c r="O2741" s="6">
        <f t="shared" ca="1" si="382"/>
        <v>5</v>
      </c>
      <c r="P2741">
        <v>1</v>
      </c>
      <c r="Q2741">
        <f t="shared" si="383"/>
        <v>79993</v>
      </c>
      <c r="R2741" s="2">
        <f t="shared" si="384"/>
        <v>39996.5</v>
      </c>
      <c r="S2741" s="2" t="str">
        <f t="shared" si="385"/>
        <v>Achieved</v>
      </c>
      <c r="T2741" s="2" t="str">
        <f t="shared" si="386"/>
        <v xml:space="preserve"> Excellent</v>
      </c>
      <c r="U2741" s="2"/>
    </row>
    <row r="2742" spans="1:21" x14ac:dyDescent="0.3">
      <c r="A2742">
        <v>2741</v>
      </c>
      <c r="B2742" t="s">
        <v>3797</v>
      </c>
      <c r="C2742" t="str">
        <f t="shared" si="378"/>
        <v>EMP_2741</v>
      </c>
      <c r="D2742" t="s">
        <v>15</v>
      </c>
      <c r="E2742" t="str">
        <f t="shared" si="379"/>
        <v>EMP_2741IT</v>
      </c>
      <c r="F2742" t="s">
        <v>21</v>
      </c>
      <c r="G2742" t="s">
        <v>25</v>
      </c>
      <c r="H2742">
        <v>53787</v>
      </c>
      <c r="I2742">
        <v>4911</v>
      </c>
      <c r="J2742">
        <v>0</v>
      </c>
      <c r="K2742">
        <v>0</v>
      </c>
      <c r="L2742" s="4">
        <v>45353</v>
      </c>
      <c r="M2742" s="4" t="str">
        <f t="shared" si="380"/>
        <v>2024</v>
      </c>
      <c r="N2742" s="1">
        <f t="shared" ca="1" si="381"/>
        <v>46064</v>
      </c>
      <c r="O2742" s="6">
        <f t="shared" ca="1" si="382"/>
        <v>1</v>
      </c>
      <c r="P2742">
        <v>2</v>
      </c>
      <c r="Q2742">
        <f t="shared" si="383"/>
        <v>58698</v>
      </c>
      <c r="R2742" s="2">
        <f t="shared" si="384"/>
        <v>29349</v>
      </c>
      <c r="S2742" s="2" t="str">
        <f t="shared" si="385"/>
        <v xml:space="preserve"> Not Achieved</v>
      </c>
      <c r="T2742" s="2" t="str">
        <f t="shared" si="386"/>
        <v xml:space="preserve"> Excellent</v>
      </c>
      <c r="U2742" s="2"/>
    </row>
    <row r="2743" spans="1:21" x14ac:dyDescent="0.3">
      <c r="A2743">
        <v>2742</v>
      </c>
      <c r="B2743" t="s">
        <v>3798</v>
      </c>
      <c r="C2743" t="str">
        <f t="shared" si="378"/>
        <v>EMP_2742</v>
      </c>
      <c r="D2743" t="s">
        <v>11</v>
      </c>
      <c r="E2743" t="str">
        <f t="shared" si="379"/>
        <v>EMP_2742Marketing</v>
      </c>
      <c r="F2743" t="s">
        <v>24</v>
      </c>
      <c r="G2743" t="s">
        <v>25</v>
      </c>
      <c r="H2743">
        <v>36855</v>
      </c>
      <c r="I2743">
        <v>3843</v>
      </c>
      <c r="J2743">
        <v>0</v>
      </c>
      <c r="K2743">
        <v>0</v>
      </c>
      <c r="L2743" s="4" t="s">
        <v>1391</v>
      </c>
      <c r="M2743" s="4" t="str">
        <f t="shared" si="380"/>
        <v>8/15/2019</v>
      </c>
      <c r="N2743" s="1">
        <f t="shared" ca="1" si="381"/>
        <v>46064</v>
      </c>
      <c r="O2743" s="6" t="e">
        <f t="shared" ca="1" si="382"/>
        <v>#VALUE!</v>
      </c>
      <c r="P2743">
        <v>1</v>
      </c>
      <c r="Q2743">
        <f t="shared" si="383"/>
        <v>40698</v>
      </c>
      <c r="R2743" s="2">
        <f t="shared" si="384"/>
        <v>20349</v>
      </c>
      <c r="S2743" s="2" t="str">
        <f t="shared" si="385"/>
        <v xml:space="preserve"> Not Achieved</v>
      </c>
      <c r="T2743" s="2" t="str">
        <f t="shared" si="386"/>
        <v>Average</v>
      </c>
      <c r="U2743" s="2"/>
    </row>
    <row r="2744" spans="1:21" x14ac:dyDescent="0.3">
      <c r="A2744">
        <v>2743</v>
      </c>
      <c r="B2744" t="s">
        <v>3799</v>
      </c>
      <c r="C2744" t="str">
        <f t="shared" si="378"/>
        <v>EMP_2743</v>
      </c>
      <c r="D2744" t="s">
        <v>15</v>
      </c>
      <c r="E2744" t="str">
        <f t="shared" si="379"/>
        <v>EMP_2743Finance</v>
      </c>
      <c r="F2744" t="s">
        <v>18</v>
      </c>
      <c r="G2744" t="s">
        <v>13</v>
      </c>
      <c r="H2744">
        <v>77665</v>
      </c>
      <c r="I2744">
        <v>2032</v>
      </c>
      <c r="J2744">
        <v>0</v>
      </c>
      <c r="K2744">
        <v>0</v>
      </c>
      <c r="L2744" s="4">
        <v>44294</v>
      </c>
      <c r="M2744" s="4" t="str">
        <f t="shared" si="380"/>
        <v>2021</v>
      </c>
      <c r="N2744" s="1">
        <f t="shared" ca="1" si="381"/>
        <v>46064</v>
      </c>
      <c r="O2744" s="6">
        <f t="shared" ca="1" si="382"/>
        <v>4</v>
      </c>
      <c r="P2744">
        <v>2</v>
      </c>
      <c r="Q2744">
        <f t="shared" si="383"/>
        <v>79697</v>
      </c>
      <c r="R2744" s="2">
        <f t="shared" si="384"/>
        <v>39848.5</v>
      </c>
      <c r="S2744" s="2" t="str">
        <f t="shared" si="385"/>
        <v xml:space="preserve"> Not Achieved</v>
      </c>
      <c r="T2744" s="2" t="str">
        <f t="shared" si="386"/>
        <v xml:space="preserve"> Excellent</v>
      </c>
      <c r="U2744" s="2"/>
    </row>
    <row r="2745" spans="1:21" x14ac:dyDescent="0.3">
      <c r="A2745">
        <v>2744</v>
      </c>
      <c r="B2745" t="s">
        <v>3800</v>
      </c>
      <c r="C2745" t="str">
        <f t="shared" si="378"/>
        <v>EMP_2744</v>
      </c>
      <c r="D2745" t="s">
        <v>15</v>
      </c>
      <c r="E2745" t="str">
        <f t="shared" si="379"/>
        <v>EMP_2744Marketing</v>
      </c>
      <c r="F2745" t="s">
        <v>24</v>
      </c>
      <c r="G2745" t="s">
        <v>22</v>
      </c>
      <c r="H2745">
        <v>79862</v>
      </c>
      <c r="I2745">
        <v>9725</v>
      </c>
      <c r="J2745">
        <v>0</v>
      </c>
      <c r="K2745">
        <v>0</v>
      </c>
      <c r="L2745" s="4">
        <v>43930</v>
      </c>
      <c r="M2745" s="4" t="str">
        <f t="shared" si="380"/>
        <v>2020</v>
      </c>
      <c r="N2745" s="1">
        <f t="shared" ca="1" si="381"/>
        <v>46064</v>
      </c>
      <c r="O2745" s="6">
        <f t="shared" ca="1" si="382"/>
        <v>5</v>
      </c>
      <c r="P2745">
        <v>4</v>
      </c>
      <c r="Q2745">
        <f t="shared" si="383"/>
        <v>89587</v>
      </c>
      <c r="R2745" s="2">
        <f t="shared" si="384"/>
        <v>44793.5</v>
      </c>
      <c r="S2745" s="2" t="str">
        <f t="shared" si="385"/>
        <v xml:space="preserve"> Not Achieved</v>
      </c>
      <c r="T2745" s="2" t="str">
        <f t="shared" si="386"/>
        <v xml:space="preserve"> Excellent</v>
      </c>
      <c r="U2745" s="2"/>
    </row>
    <row r="2746" spans="1:21" x14ac:dyDescent="0.3">
      <c r="A2746">
        <v>2745</v>
      </c>
      <c r="B2746" t="s">
        <v>3801</v>
      </c>
      <c r="C2746" t="str">
        <f t="shared" si="378"/>
        <v>EMP_2745</v>
      </c>
      <c r="D2746" t="s">
        <v>15</v>
      </c>
      <c r="E2746" t="str">
        <f t="shared" si="379"/>
        <v>EMP_2745HR</v>
      </c>
      <c r="F2746" t="s">
        <v>12</v>
      </c>
      <c r="G2746" t="s">
        <v>22</v>
      </c>
      <c r="H2746">
        <v>78418</v>
      </c>
      <c r="I2746">
        <v>13478</v>
      </c>
      <c r="J2746">
        <v>0</v>
      </c>
      <c r="K2746">
        <v>0</v>
      </c>
      <c r="L2746" s="4">
        <v>44052</v>
      </c>
      <c r="M2746" s="4" t="str">
        <f t="shared" si="380"/>
        <v>2020</v>
      </c>
      <c r="N2746" s="1">
        <f t="shared" ca="1" si="381"/>
        <v>46064</v>
      </c>
      <c r="O2746" s="6">
        <f t="shared" ca="1" si="382"/>
        <v>5</v>
      </c>
      <c r="P2746">
        <v>1</v>
      </c>
      <c r="Q2746">
        <f t="shared" si="383"/>
        <v>91896</v>
      </c>
      <c r="R2746" s="2">
        <f t="shared" si="384"/>
        <v>45948</v>
      </c>
      <c r="S2746" s="2" t="str">
        <f t="shared" si="385"/>
        <v xml:space="preserve"> Not Achieved</v>
      </c>
      <c r="T2746" s="2" t="str">
        <f t="shared" si="386"/>
        <v xml:space="preserve"> Excellent</v>
      </c>
      <c r="U2746" s="2"/>
    </row>
    <row r="2747" spans="1:21" x14ac:dyDescent="0.3">
      <c r="A2747">
        <v>2746</v>
      </c>
      <c r="B2747" t="s">
        <v>3802</v>
      </c>
      <c r="C2747" t="str">
        <f t="shared" si="378"/>
        <v>EMP_2746</v>
      </c>
      <c r="D2747" t="s">
        <v>11</v>
      </c>
      <c r="E2747" t="str">
        <f t="shared" si="379"/>
        <v>EMP_2746IT</v>
      </c>
      <c r="F2747" t="s">
        <v>21</v>
      </c>
      <c r="G2747" t="s">
        <v>25</v>
      </c>
      <c r="H2747">
        <v>22356</v>
      </c>
      <c r="I2747">
        <v>8714</v>
      </c>
      <c r="J2747">
        <v>0</v>
      </c>
      <c r="K2747">
        <v>0</v>
      </c>
      <c r="L2747" s="4" t="s">
        <v>3485</v>
      </c>
      <c r="M2747" s="4" t="str">
        <f t="shared" si="380"/>
        <v>9/23/2022</v>
      </c>
      <c r="N2747" s="1">
        <f t="shared" ca="1" si="381"/>
        <v>46064</v>
      </c>
      <c r="O2747" s="6" t="e">
        <f t="shared" ca="1" si="382"/>
        <v>#VALUE!</v>
      </c>
      <c r="P2747">
        <v>1</v>
      </c>
      <c r="Q2747">
        <f t="shared" si="383"/>
        <v>31070</v>
      </c>
      <c r="R2747" s="2">
        <f t="shared" si="384"/>
        <v>15535</v>
      </c>
      <c r="S2747" s="2" t="str">
        <f t="shared" si="385"/>
        <v xml:space="preserve"> Not Achieved</v>
      </c>
      <c r="T2747" s="2" t="str">
        <f t="shared" si="386"/>
        <v>poor</v>
      </c>
      <c r="U2747" s="2"/>
    </row>
    <row r="2748" spans="1:21" x14ac:dyDescent="0.3">
      <c r="A2748">
        <v>2747</v>
      </c>
      <c r="B2748" t="s">
        <v>3803</v>
      </c>
      <c r="C2748" t="str">
        <f t="shared" si="378"/>
        <v>EMP_2747</v>
      </c>
      <c r="D2748" t="s">
        <v>11</v>
      </c>
      <c r="E2748" t="str">
        <f t="shared" si="379"/>
        <v>EMP_2747HR</v>
      </c>
      <c r="F2748" t="s">
        <v>12</v>
      </c>
      <c r="G2748" t="s">
        <v>22</v>
      </c>
      <c r="H2748">
        <v>47597</v>
      </c>
      <c r="I2748">
        <v>14414</v>
      </c>
      <c r="J2748">
        <v>0</v>
      </c>
      <c r="K2748">
        <v>0</v>
      </c>
      <c r="L2748" s="4" t="s">
        <v>2353</v>
      </c>
      <c r="M2748" s="4" t="str">
        <f t="shared" si="380"/>
        <v>10/13/2024</v>
      </c>
      <c r="N2748" s="1">
        <f t="shared" ca="1" si="381"/>
        <v>46064</v>
      </c>
      <c r="O2748" s="6" t="e">
        <f t="shared" ca="1" si="382"/>
        <v>#VALUE!</v>
      </c>
      <c r="P2748">
        <v>2</v>
      </c>
      <c r="Q2748">
        <f t="shared" si="383"/>
        <v>62011</v>
      </c>
      <c r="R2748" s="2">
        <f t="shared" si="384"/>
        <v>31005.5</v>
      </c>
      <c r="S2748" s="2" t="str">
        <f t="shared" si="385"/>
        <v xml:space="preserve"> Not Achieved</v>
      </c>
      <c r="T2748" s="2" t="str">
        <f t="shared" si="386"/>
        <v>Good</v>
      </c>
      <c r="U2748" s="2"/>
    </row>
    <row r="2749" spans="1:21" x14ac:dyDescent="0.3">
      <c r="A2749">
        <v>2748</v>
      </c>
      <c r="B2749" t="s">
        <v>3804</v>
      </c>
      <c r="C2749" t="str">
        <f t="shared" si="378"/>
        <v>EMP_2748</v>
      </c>
      <c r="D2749" t="s">
        <v>15</v>
      </c>
      <c r="E2749" t="str">
        <f t="shared" si="379"/>
        <v>EMP_2748HR</v>
      </c>
      <c r="F2749" t="s">
        <v>12</v>
      </c>
      <c r="G2749" t="s">
        <v>25</v>
      </c>
      <c r="H2749">
        <v>68414</v>
      </c>
      <c r="I2749">
        <v>11909</v>
      </c>
      <c r="J2749">
        <v>0</v>
      </c>
      <c r="K2749">
        <v>0</v>
      </c>
      <c r="L2749" s="4" t="s">
        <v>497</v>
      </c>
      <c r="M2749" s="4" t="str">
        <f t="shared" si="380"/>
        <v>4/30/2024</v>
      </c>
      <c r="N2749" s="1">
        <f t="shared" ca="1" si="381"/>
        <v>46064</v>
      </c>
      <c r="O2749" s="6" t="e">
        <f t="shared" ca="1" si="382"/>
        <v>#VALUE!</v>
      </c>
      <c r="P2749">
        <v>5</v>
      </c>
      <c r="Q2749">
        <f t="shared" si="383"/>
        <v>80323</v>
      </c>
      <c r="R2749" s="2">
        <f t="shared" si="384"/>
        <v>40161.5</v>
      </c>
      <c r="S2749" s="2" t="str">
        <f t="shared" si="385"/>
        <v xml:space="preserve"> Not Achieved</v>
      </c>
      <c r="T2749" s="2" t="str">
        <f t="shared" si="386"/>
        <v xml:space="preserve"> Excellent</v>
      </c>
      <c r="U2749" s="2"/>
    </row>
    <row r="2750" spans="1:21" x14ac:dyDescent="0.3">
      <c r="A2750">
        <v>2749</v>
      </c>
      <c r="B2750" t="s">
        <v>3805</v>
      </c>
      <c r="C2750" t="str">
        <f t="shared" si="378"/>
        <v>EMP_2749</v>
      </c>
      <c r="D2750" t="s">
        <v>15</v>
      </c>
      <c r="E2750" t="str">
        <f t="shared" si="379"/>
        <v>EMP_2749HR</v>
      </c>
      <c r="F2750" t="s">
        <v>12</v>
      </c>
      <c r="G2750" t="s">
        <v>22</v>
      </c>
      <c r="H2750">
        <v>34814</v>
      </c>
      <c r="I2750">
        <v>6949</v>
      </c>
      <c r="J2750">
        <v>0</v>
      </c>
      <c r="K2750">
        <v>0</v>
      </c>
      <c r="L2750" s="4" t="s">
        <v>290</v>
      </c>
      <c r="M2750" s="4" t="str">
        <f t="shared" si="380"/>
        <v>10/13/2018</v>
      </c>
      <c r="N2750" s="1">
        <f t="shared" ca="1" si="381"/>
        <v>46064</v>
      </c>
      <c r="O2750" s="6" t="e">
        <f t="shared" ca="1" si="382"/>
        <v>#VALUE!</v>
      </c>
      <c r="P2750">
        <v>5</v>
      </c>
      <c r="Q2750">
        <f t="shared" si="383"/>
        <v>41763</v>
      </c>
      <c r="R2750" s="2">
        <f t="shared" si="384"/>
        <v>20881.5</v>
      </c>
      <c r="S2750" s="2" t="str">
        <f t="shared" si="385"/>
        <v xml:space="preserve"> Not Achieved</v>
      </c>
      <c r="T2750" s="2" t="str">
        <f t="shared" si="386"/>
        <v>Average</v>
      </c>
      <c r="U2750" s="2"/>
    </row>
    <row r="2751" spans="1:21" x14ac:dyDescent="0.3">
      <c r="A2751">
        <v>2750</v>
      </c>
      <c r="B2751" t="s">
        <v>3806</v>
      </c>
      <c r="C2751" t="str">
        <f t="shared" si="378"/>
        <v>EMP_2750</v>
      </c>
      <c r="D2751" t="s">
        <v>15</v>
      </c>
      <c r="E2751" t="str">
        <f t="shared" si="379"/>
        <v>EMP_2750Marketing</v>
      </c>
      <c r="F2751" t="s">
        <v>24</v>
      </c>
      <c r="G2751" t="s">
        <v>13</v>
      </c>
      <c r="H2751">
        <v>69668</v>
      </c>
      <c r="I2751">
        <v>6397</v>
      </c>
      <c r="J2751">
        <v>0</v>
      </c>
      <c r="K2751">
        <v>0</v>
      </c>
      <c r="L2751" s="4" t="s">
        <v>993</v>
      </c>
      <c r="M2751" s="4" t="str">
        <f t="shared" si="380"/>
        <v>9/30/2019</v>
      </c>
      <c r="N2751" s="1">
        <f t="shared" ca="1" si="381"/>
        <v>46064</v>
      </c>
      <c r="O2751" s="6" t="e">
        <f t="shared" ca="1" si="382"/>
        <v>#VALUE!</v>
      </c>
      <c r="P2751">
        <v>5</v>
      </c>
      <c r="Q2751">
        <f t="shared" si="383"/>
        <v>76065</v>
      </c>
      <c r="R2751" s="2">
        <f t="shared" si="384"/>
        <v>38032.5</v>
      </c>
      <c r="S2751" s="2" t="str">
        <f t="shared" si="385"/>
        <v xml:space="preserve"> Not Achieved</v>
      </c>
      <c r="T2751" s="2" t="str">
        <f t="shared" si="386"/>
        <v xml:space="preserve"> Excellent</v>
      </c>
      <c r="U2751" s="2"/>
    </row>
    <row r="2752" spans="1:21" x14ac:dyDescent="0.3">
      <c r="A2752">
        <v>2751</v>
      </c>
      <c r="B2752" t="s">
        <v>3807</v>
      </c>
      <c r="C2752" t="str">
        <f t="shared" si="378"/>
        <v>EMP_2751</v>
      </c>
      <c r="D2752" t="s">
        <v>11</v>
      </c>
      <c r="E2752" t="str">
        <f t="shared" si="379"/>
        <v>EMP_2751HR</v>
      </c>
      <c r="F2752" t="s">
        <v>12</v>
      </c>
      <c r="G2752" t="s">
        <v>16</v>
      </c>
      <c r="H2752">
        <v>65833</v>
      </c>
      <c r="I2752">
        <v>14599</v>
      </c>
      <c r="J2752">
        <v>0</v>
      </c>
      <c r="K2752">
        <v>0</v>
      </c>
      <c r="L2752" s="4">
        <v>43474</v>
      </c>
      <c r="M2752" s="4" t="str">
        <f t="shared" si="380"/>
        <v>2019</v>
      </c>
      <c r="N2752" s="1">
        <f t="shared" ca="1" si="381"/>
        <v>46064</v>
      </c>
      <c r="O2752" s="6">
        <f t="shared" ca="1" si="382"/>
        <v>7</v>
      </c>
      <c r="P2752">
        <v>4</v>
      </c>
      <c r="Q2752">
        <f t="shared" si="383"/>
        <v>80432</v>
      </c>
      <c r="R2752" s="2">
        <f t="shared" si="384"/>
        <v>40216</v>
      </c>
      <c r="S2752" s="2" t="str">
        <f t="shared" si="385"/>
        <v xml:space="preserve"> Not Achieved</v>
      </c>
      <c r="T2752" s="2" t="str">
        <f t="shared" si="386"/>
        <v xml:space="preserve"> Excellent</v>
      </c>
      <c r="U2752" s="2"/>
    </row>
    <row r="2753" spans="1:21" x14ac:dyDescent="0.3">
      <c r="A2753">
        <v>2752</v>
      </c>
      <c r="B2753" t="s">
        <v>3808</v>
      </c>
      <c r="C2753" t="str">
        <f t="shared" si="378"/>
        <v>EMP_2752</v>
      </c>
      <c r="D2753" t="s">
        <v>15</v>
      </c>
      <c r="E2753" t="str">
        <f t="shared" si="379"/>
        <v>EMP_2752Finance</v>
      </c>
      <c r="F2753" t="s">
        <v>18</v>
      </c>
      <c r="G2753" t="s">
        <v>16</v>
      </c>
      <c r="H2753">
        <v>44810</v>
      </c>
      <c r="I2753">
        <v>12037</v>
      </c>
      <c r="J2753">
        <v>0</v>
      </c>
      <c r="K2753">
        <v>0</v>
      </c>
      <c r="L2753" s="4" t="s">
        <v>1307</v>
      </c>
      <c r="M2753" s="4" t="str">
        <f t="shared" si="380"/>
        <v>12/21/2020</v>
      </c>
      <c r="N2753" s="1">
        <f t="shared" ca="1" si="381"/>
        <v>46064</v>
      </c>
      <c r="O2753" s="6" t="e">
        <f t="shared" ca="1" si="382"/>
        <v>#VALUE!</v>
      </c>
      <c r="P2753">
        <v>3</v>
      </c>
      <c r="Q2753">
        <f t="shared" si="383"/>
        <v>56847</v>
      </c>
      <c r="R2753" s="2">
        <f t="shared" si="384"/>
        <v>28423.5</v>
      </c>
      <c r="S2753" s="2" t="str">
        <f t="shared" si="385"/>
        <v xml:space="preserve"> Not Achieved</v>
      </c>
      <c r="T2753" s="2" t="str">
        <f t="shared" si="386"/>
        <v>Good</v>
      </c>
      <c r="U2753" s="2"/>
    </row>
    <row r="2754" spans="1:21" x14ac:dyDescent="0.3">
      <c r="A2754">
        <v>2753</v>
      </c>
      <c r="B2754" t="s">
        <v>3809</v>
      </c>
      <c r="C2754" t="str">
        <f t="shared" si="378"/>
        <v>EMP_2753</v>
      </c>
      <c r="D2754" t="s">
        <v>15</v>
      </c>
      <c r="E2754" t="str">
        <f t="shared" si="379"/>
        <v>EMP_2753IT</v>
      </c>
      <c r="F2754" t="s">
        <v>21</v>
      </c>
      <c r="G2754" t="s">
        <v>16</v>
      </c>
      <c r="H2754">
        <v>38147</v>
      </c>
      <c r="I2754">
        <v>11090</v>
      </c>
      <c r="J2754">
        <v>0</v>
      </c>
      <c r="K2754">
        <v>0</v>
      </c>
      <c r="L2754" s="4">
        <v>45270</v>
      </c>
      <c r="M2754" s="4" t="str">
        <f t="shared" si="380"/>
        <v>2023</v>
      </c>
      <c r="N2754" s="1">
        <f t="shared" ca="1" si="381"/>
        <v>46064</v>
      </c>
      <c r="O2754" s="6">
        <f t="shared" ca="1" si="382"/>
        <v>2</v>
      </c>
      <c r="P2754">
        <v>1</v>
      </c>
      <c r="Q2754">
        <f t="shared" si="383"/>
        <v>49237</v>
      </c>
      <c r="R2754" s="2">
        <f t="shared" si="384"/>
        <v>24618.5</v>
      </c>
      <c r="S2754" s="2" t="str">
        <f t="shared" si="385"/>
        <v xml:space="preserve"> Not Achieved</v>
      </c>
      <c r="T2754" s="2" t="str">
        <f t="shared" si="386"/>
        <v>Average</v>
      </c>
      <c r="U2754" s="2"/>
    </row>
    <row r="2755" spans="1:21" x14ac:dyDescent="0.3">
      <c r="A2755">
        <v>2754</v>
      </c>
      <c r="B2755" t="s">
        <v>3810</v>
      </c>
      <c r="C2755" t="str">
        <f t="shared" ref="C2755:C2818" si="387">UPPER(B2755)</f>
        <v>EMP_2754</v>
      </c>
      <c r="D2755" t="s">
        <v>11</v>
      </c>
      <c r="E2755" t="str">
        <f t="shared" ref="E2755:E2818" si="388">_xlfn.CONCAT(C2755,F2755)</f>
        <v>EMP_2754Marketing</v>
      </c>
      <c r="F2755" t="s">
        <v>24</v>
      </c>
      <c r="G2755" t="s">
        <v>13</v>
      </c>
      <c r="H2755">
        <v>78541</v>
      </c>
      <c r="I2755">
        <v>9658</v>
      </c>
      <c r="J2755">
        <v>0</v>
      </c>
      <c r="K2755">
        <v>0</v>
      </c>
      <c r="L2755" s="4" t="s">
        <v>3811</v>
      </c>
      <c r="M2755" s="4" t="str">
        <f t="shared" ref="M2755:M2818" si="389">TEXT(L2755,"yyyy")</f>
        <v>2/26/2024</v>
      </c>
      <c r="N2755" s="1">
        <f t="shared" ref="N2755:N2818" ca="1" si="390">TODAY()</f>
        <v>46064</v>
      </c>
      <c r="O2755" s="6" t="e">
        <f t="shared" ref="O2755:O2818" ca="1" si="391">DATEDIF(L2755, TODAY(), "y")</f>
        <v>#VALUE!</v>
      </c>
      <c r="P2755">
        <v>3</v>
      </c>
      <c r="Q2755">
        <f t="shared" ref="Q2755:Q2818" si="392">SUM(H2755,I2755)</f>
        <v>88199</v>
      </c>
      <c r="R2755" s="2">
        <f t="shared" ref="R2755:R2818" si="393">AVERAGE(H2755,I2755)</f>
        <v>44099.5</v>
      </c>
      <c r="S2755" s="2" t="str">
        <f t="shared" ref="S2755:S2818" si="394">IF(J2755&gt;K2755,"Achieved"," Not Achieved")</f>
        <v xml:space="preserve"> Not Achieved</v>
      </c>
      <c r="T2755" s="2" t="str">
        <f t="shared" ref="T2755:T2818" si="395">_xlfn.IFS(H2755&gt;=50000," Excellent",H2755&gt;=40000,"Good",H2755&gt;=30000,"Average",H2755&lt;30000,"poor")</f>
        <v xml:space="preserve"> Excellent</v>
      </c>
      <c r="U2755" s="2"/>
    </row>
    <row r="2756" spans="1:21" x14ac:dyDescent="0.3">
      <c r="A2756">
        <v>2755</v>
      </c>
      <c r="B2756" t="s">
        <v>3812</v>
      </c>
      <c r="C2756" t="str">
        <f t="shared" si="387"/>
        <v>EMP_2755</v>
      </c>
      <c r="D2756" t="s">
        <v>15</v>
      </c>
      <c r="E2756" t="str">
        <f t="shared" si="388"/>
        <v>EMP_2755Finance</v>
      </c>
      <c r="F2756" t="s">
        <v>18</v>
      </c>
      <c r="G2756" t="s">
        <v>25</v>
      </c>
      <c r="H2756">
        <v>58387</v>
      </c>
      <c r="I2756">
        <v>13945</v>
      </c>
      <c r="J2756">
        <v>0</v>
      </c>
      <c r="K2756">
        <v>0</v>
      </c>
      <c r="L2756" s="4">
        <v>43556</v>
      </c>
      <c r="M2756" s="4" t="str">
        <f t="shared" si="389"/>
        <v>2019</v>
      </c>
      <c r="N2756" s="1">
        <f t="shared" ca="1" si="390"/>
        <v>46064</v>
      </c>
      <c r="O2756" s="6">
        <f t="shared" ca="1" si="391"/>
        <v>6</v>
      </c>
      <c r="P2756">
        <v>4</v>
      </c>
      <c r="Q2756">
        <f t="shared" si="392"/>
        <v>72332</v>
      </c>
      <c r="R2756" s="2">
        <f t="shared" si="393"/>
        <v>36166</v>
      </c>
      <c r="S2756" s="2" t="str">
        <f t="shared" si="394"/>
        <v xml:space="preserve"> Not Achieved</v>
      </c>
      <c r="T2756" s="2" t="str">
        <f t="shared" si="395"/>
        <v xml:space="preserve"> Excellent</v>
      </c>
      <c r="U2756" s="2"/>
    </row>
    <row r="2757" spans="1:21" x14ac:dyDescent="0.3">
      <c r="A2757">
        <v>2756</v>
      </c>
      <c r="B2757" t="s">
        <v>3813</v>
      </c>
      <c r="C2757" t="str">
        <f t="shared" si="387"/>
        <v>EMP_2756</v>
      </c>
      <c r="D2757" t="s">
        <v>11</v>
      </c>
      <c r="E2757" t="str">
        <f t="shared" si="388"/>
        <v>EMP_2756IT</v>
      </c>
      <c r="F2757" t="s">
        <v>21</v>
      </c>
      <c r="G2757" t="s">
        <v>16</v>
      </c>
      <c r="H2757">
        <v>51099</v>
      </c>
      <c r="I2757">
        <v>10480</v>
      </c>
      <c r="J2757">
        <v>0</v>
      </c>
      <c r="K2757">
        <v>0</v>
      </c>
      <c r="L2757" s="4" t="s">
        <v>39</v>
      </c>
      <c r="M2757" s="4" t="str">
        <f t="shared" si="389"/>
        <v>2/28/2018</v>
      </c>
      <c r="N2757" s="1">
        <f t="shared" ca="1" si="390"/>
        <v>46064</v>
      </c>
      <c r="O2757" s="6" t="e">
        <f t="shared" ca="1" si="391"/>
        <v>#VALUE!</v>
      </c>
      <c r="P2757">
        <v>2</v>
      </c>
      <c r="Q2757">
        <f t="shared" si="392"/>
        <v>61579</v>
      </c>
      <c r="R2757" s="2">
        <f t="shared" si="393"/>
        <v>30789.5</v>
      </c>
      <c r="S2757" s="2" t="str">
        <f t="shared" si="394"/>
        <v xml:space="preserve"> Not Achieved</v>
      </c>
      <c r="T2757" s="2" t="str">
        <f t="shared" si="395"/>
        <v xml:space="preserve"> Excellent</v>
      </c>
      <c r="U2757" s="2"/>
    </row>
    <row r="2758" spans="1:21" x14ac:dyDescent="0.3">
      <c r="A2758">
        <v>2757</v>
      </c>
      <c r="B2758" t="s">
        <v>3814</v>
      </c>
      <c r="C2758" t="str">
        <f t="shared" si="387"/>
        <v>EMP_2757</v>
      </c>
      <c r="D2758" t="s">
        <v>11</v>
      </c>
      <c r="E2758" t="str">
        <f t="shared" si="388"/>
        <v>EMP_2757Sales</v>
      </c>
      <c r="F2758" t="s">
        <v>7</v>
      </c>
      <c r="G2758" t="s">
        <v>19</v>
      </c>
      <c r="H2758">
        <v>77539</v>
      </c>
      <c r="I2758">
        <v>6985</v>
      </c>
      <c r="J2758">
        <v>233893</v>
      </c>
      <c r="K2758">
        <v>237600</v>
      </c>
      <c r="L2758" s="4" t="s">
        <v>3276</v>
      </c>
      <c r="M2758" s="4" t="str">
        <f t="shared" si="389"/>
        <v>3/30/2024</v>
      </c>
      <c r="N2758" s="1">
        <f t="shared" ca="1" si="390"/>
        <v>46064</v>
      </c>
      <c r="O2758" s="6" t="e">
        <f t="shared" ca="1" si="391"/>
        <v>#VALUE!</v>
      </c>
      <c r="P2758">
        <v>5</v>
      </c>
      <c r="Q2758">
        <f t="shared" si="392"/>
        <v>84524</v>
      </c>
      <c r="R2758" s="2">
        <f t="shared" si="393"/>
        <v>42262</v>
      </c>
      <c r="S2758" s="2" t="str">
        <f t="shared" si="394"/>
        <v xml:space="preserve"> Not Achieved</v>
      </c>
      <c r="T2758" s="2" t="str">
        <f t="shared" si="395"/>
        <v xml:space="preserve"> Excellent</v>
      </c>
      <c r="U2758" s="2"/>
    </row>
    <row r="2759" spans="1:21" x14ac:dyDescent="0.3">
      <c r="A2759">
        <v>2758</v>
      </c>
      <c r="B2759" t="s">
        <v>3815</v>
      </c>
      <c r="C2759" t="str">
        <f t="shared" si="387"/>
        <v>EMP_2758</v>
      </c>
      <c r="D2759" t="s">
        <v>11</v>
      </c>
      <c r="E2759" t="str">
        <f t="shared" si="388"/>
        <v>EMP_2758Marketing</v>
      </c>
      <c r="F2759" t="s">
        <v>24</v>
      </c>
      <c r="G2759" t="s">
        <v>25</v>
      </c>
      <c r="H2759">
        <v>44078</v>
      </c>
      <c r="I2759">
        <v>7499</v>
      </c>
      <c r="J2759">
        <v>0</v>
      </c>
      <c r="K2759">
        <v>0</v>
      </c>
      <c r="L2759" s="4" t="s">
        <v>3816</v>
      </c>
      <c r="M2759" s="4" t="str">
        <f t="shared" si="389"/>
        <v>10/27/2023</v>
      </c>
      <c r="N2759" s="1">
        <f t="shared" ca="1" si="390"/>
        <v>46064</v>
      </c>
      <c r="O2759" s="6" t="e">
        <f t="shared" ca="1" si="391"/>
        <v>#VALUE!</v>
      </c>
      <c r="P2759">
        <v>4</v>
      </c>
      <c r="Q2759">
        <f t="shared" si="392"/>
        <v>51577</v>
      </c>
      <c r="R2759" s="2">
        <f t="shared" si="393"/>
        <v>25788.5</v>
      </c>
      <c r="S2759" s="2" t="str">
        <f t="shared" si="394"/>
        <v xml:space="preserve"> Not Achieved</v>
      </c>
      <c r="T2759" s="2" t="str">
        <f t="shared" si="395"/>
        <v>Good</v>
      </c>
      <c r="U2759" s="2"/>
    </row>
    <row r="2760" spans="1:21" x14ac:dyDescent="0.3">
      <c r="A2760">
        <v>2759</v>
      </c>
      <c r="B2760" t="s">
        <v>3817</v>
      </c>
      <c r="C2760" t="str">
        <f t="shared" si="387"/>
        <v>EMP_2759</v>
      </c>
      <c r="D2760" t="s">
        <v>15</v>
      </c>
      <c r="E2760" t="str">
        <f t="shared" si="388"/>
        <v>EMP_2759Sales</v>
      </c>
      <c r="F2760" t="s">
        <v>7</v>
      </c>
      <c r="G2760" t="s">
        <v>22</v>
      </c>
      <c r="H2760">
        <v>25375</v>
      </c>
      <c r="I2760">
        <v>13974</v>
      </c>
      <c r="J2760">
        <v>152613</v>
      </c>
      <c r="K2760">
        <v>132634</v>
      </c>
      <c r="L2760" s="4">
        <v>44958</v>
      </c>
      <c r="M2760" s="4" t="str">
        <f t="shared" si="389"/>
        <v>2023</v>
      </c>
      <c r="N2760" s="1">
        <f t="shared" ca="1" si="390"/>
        <v>46064</v>
      </c>
      <c r="O2760" s="6">
        <f t="shared" ca="1" si="391"/>
        <v>3</v>
      </c>
      <c r="P2760">
        <v>3</v>
      </c>
      <c r="Q2760">
        <f t="shared" si="392"/>
        <v>39349</v>
      </c>
      <c r="R2760" s="2">
        <f t="shared" si="393"/>
        <v>19674.5</v>
      </c>
      <c r="S2760" s="2" t="str">
        <f t="shared" si="394"/>
        <v>Achieved</v>
      </c>
      <c r="T2760" s="2" t="str">
        <f t="shared" si="395"/>
        <v>poor</v>
      </c>
      <c r="U2760" s="2"/>
    </row>
    <row r="2761" spans="1:21" x14ac:dyDescent="0.3">
      <c r="A2761">
        <v>2760</v>
      </c>
      <c r="B2761" t="s">
        <v>3818</v>
      </c>
      <c r="C2761" t="str">
        <f t="shared" si="387"/>
        <v>EMP_2760</v>
      </c>
      <c r="D2761" t="s">
        <v>15</v>
      </c>
      <c r="E2761" t="str">
        <f t="shared" si="388"/>
        <v>EMP_2760Sales</v>
      </c>
      <c r="F2761" t="s">
        <v>7</v>
      </c>
      <c r="G2761" t="s">
        <v>25</v>
      </c>
      <c r="H2761">
        <v>49579</v>
      </c>
      <c r="I2761">
        <v>5383</v>
      </c>
      <c r="J2761">
        <v>125728</v>
      </c>
      <c r="K2761">
        <v>163248</v>
      </c>
      <c r="L2761" s="4" t="s">
        <v>825</v>
      </c>
      <c r="M2761" s="4" t="str">
        <f t="shared" si="389"/>
        <v>3/27/2022</v>
      </c>
      <c r="N2761" s="1">
        <f t="shared" ca="1" si="390"/>
        <v>46064</v>
      </c>
      <c r="O2761" s="6" t="e">
        <f t="shared" ca="1" si="391"/>
        <v>#VALUE!</v>
      </c>
      <c r="P2761">
        <v>3</v>
      </c>
      <c r="Q2761">
        <f t="shared" si="392"/>
        <v>54962</v>
      </c>
      <c r="R2761" s="2">
        <f t="shared" si="393"/>
        <v>27481</v>
      </c>
      <c r="S2761" s="2" t="str">
        <f t="shared" si="394"/>
        <v xml:space="preserve"> Not Achieved</v>
      </c>
      <c r="T2761" s="2" t="str">
        <f t="shared" si="395"/>
        <v>Good</v>
      </c>
      <c r="U2761" s="2"/>
    </row>
    <row r="2762" spans="1:21" x14ac:dyDescent="0.3">
      <c r="A2762">
        <v>2761</v>
      </c>
      <c r="B2762" t="s">
        <v>3819</v>
      </c>
      <c r="C2762" t="str">
        <f t="shared" si="387"/>
        <v>EMP_2761</v>
      </c>
      <c r="D2762" t="s">
        <v>11</v>
      </c>
      <c r="E2762" t="str">
        <f t="shared" si="388"/>
        <v>EMP_2761Sales</v>
      </c>
      <c r="F2762" t="s">
        <v>7</v>
      </c>
      <c r="G2762" t="s">
        <v>25</v>
      </c>
      <c r="H2762">
        <v>34965</v>
      </c>
      <c r="I2762">
        <v>10713</v>
      </c>
      <c r="J2762">
        <v>296178</v>
      </c>
      <c r="K2762">
        <v>187485</v>
      </c>
      <c r="L2762" s="4" t="s">
        <v>3550</v>
      </c>
      <c r="M2762" s="4" t="str">
        <f t="shared" si="389"/>
        <v>12/14/2020</v>
      </c>
      <c r="N2762" s="1">
        <f t="shared" ca="1" si="390"/>
        <v>46064</v>
      </c>
      <c r="O2762" s="6" t="e">
        <f t="shared" ca="1" si="391"/>
        <v>#VALUE!</v>
      </c>
      <c r="P2762">
        <v>5</v>
      </c>
      <c r="Q2762">
        <f t="shared" si="392"/>
        <v>45678</v>
      </c>
      <c r="R2762" s="2">
        <f t="shared" si="393"/>
        <v>22839</v>
      </c>
      <c r="S2762" s="2" t="str">
        <f t="shared" si="394"/>
        <v>Achieved</v>
      </c>
      <c r="T2762" s="2" t="str">
        <f t="shared" si="395"/>
        <v>Average</v>
      </c>
      <c r="U2762" s="2"/>
    </row>
    <row r="2763" spans="1:21" x14ac:dyDescent="0.3">
      <c r="A2763">
        <v>2762</v>
      </c>
      <c r="B2763" t="s">
        <v>3820</v>
      </c>
      <c r="C2763" t="str">
        <f t="shared" si="387"/>
        <v>EMP_2762</v>
      </c>
      <c r="D2763" t="s">
        <v>15</v>
      </c>
      <c r="E2763" t="str">
        <f t="shared" si="388"/>
        <v>EMP_2762HR</v>
      </c>
      <c r="F2763" t="s">
        <v>12</v>
      </c>
      <c r="G2763" t="s">
        <v>16</v>
      </c>
      <c r="H2763">
        <v>21988</v>
      </c>
      <c r="I2763">
        <v>3049</v>
      </c>
      <c r="J2763">
        <v>0</v>
      </c>
      <c r="K2763">
        <v>0</v>
      </c>
      <c r="L2763" s="4">
        <v>45607</v>
      </c>
      <c r="M2763" s="4" t="str">
        <f t="shared" si="389"/>
        <v>2024</v>
      </c>
      <c r="N2763" s="1">
        <f t="shared" ca="1" si="390"/>
        <v>46064</v>
      </c>
      <c r="O2763" s="6">
        <f t="shared" ca="1" si="391"/>
        <v>1</v>
      </c>
      <c r="P2763">
        <v>4</v>
      </c>
      <c r="Q2763">
        <f t="shared" si="392"/>
        <v>25037</v>
      </c>
      <c r="R2763" s="2">
        <f t="shared" si="393"/>
        <v>12518.5</v>
      </c>
      <c r="S2763" s="2" t="str">
        <f t="shared" si="394"/>
        <v xml:space="preserve"> Not Achieved</v>
      </c>
      <c r="T2763" s="2" t="str">
        <f t="shared" si="395"/>
        <v>poor</v>
      </c>
      <c r="U2763" s="2"/>
    </row>
    <row r="2764" spans="1:21" x14ac:dyDescent="0.3">
      <c r="A2764">
        <v>2763</v>
      </c>
      <c r="B2764" t="s">
        <v>3821</v>
      </c>
      <c r="C2764" t="str">
        <f t="shared" si="387"/>
        <v>EMP_2763</v>
      </c>
      <c r="D2764" t="s">
        <v>15</v>
      </c>
      <c r="E2764" t="str">
        <f t="shared" si="388"/>
        <v>EMP_2763IT</v>
      </c>
      <c r="F2764" t="s">
        <v>21</v>
      </c>
      <c r="G2764" t="s">
        <v>22</v>
      </c>
      <c r="H2764">
        <v>27914</v>
      </c>
      <c r="I2764">
        <v>5159</v>
      </c>
      <c r="J2764">
        <v>0</v>
      </c>
      <c r="K2764">
        <v>0</v>
      </c>
      <c r="L2764" s="4" t="s">
        <v>3267</v>
      </c>
      <c r="M2764" s="4" t="str">
        <f t="shared" si="389"/>
        <v>7/21/2023</v>
      </c>
      <c r="N2764" s="1">
        <f t="shared" ca="1" si="390"/>
        <v>46064</v>
      </c>
      <c r="O2764" s="6" t="e">
        <f t="shared" ca="1" si="391"/>
        <v>#VALUE!</v>
      </c>
      <c r="P2764">
        <v>1</v>
      </c>
      <c r="Q2764">
        <f t="shared" si="392"/>
        <v>33073</v>
      </c>
      <c r="R2764" s="2">
        <f t="shared" si="393"/>
        <v>16536.5</v>
      </c>
      <c r="S2764" s="2" t="str">
        <f t="shared" si="394"/>
        <v xml:space="preserve"> Not Achieved</v>
      </c>
      <c r="T2764" s="2" t="str">
        <f t="shared" si="395"/>
        <v>poor</v>
      </c>
      <c r="U2764" s="2"/>
    </row>
    <row r="2765" spans="1:21" x14ac:dyDescent="0.3">
      <c r="A2765">
        <v>2764</v>
      </c>
      <c r="B2765" t="s">
        <v>3822</v>
      </c>
      <c r="C2765" t="str">
        <f t="shared" si="387"/>
        <v>EMP_2764</v>
      </c>
      <c r="D2765" t="s">
        <v>15</v>
      </c>
      <c r="E2765" t="str">
        <f t="shared" si="388"/>
        <v>EMP_2764IT</v>
      </c>
      <c r="F2765" t="s">
        <v>21</v>
      </c>
      <c r="G2765" t="s">
        <v>16</v>
      </c>
      <c r="H2765">
        <v>44350</v>
      </c>
      <c r="I2765">
        <v>2297</v>
      </c>
      <c r="J2765">
        <v>0</v>
      </c>
      <c r="K2765">
        <v>0</v>
      </c>
      <c r="L2765" s="4" t="s">
        <v>2993</v>
      </c>
      <c r="M2765" s="4" t="str">
        <f t="shared" si="389"/>
        <v>1/18/2019</v>
      </c>
      <c r="N2765" s="1">
        <f t="shared" ca="1" si="390"/>
        <v>46064</v>
      </c>
      <c r="O2765" s="6" t="e">
        <f t="shared" ca="1" si="391"/>
        <v>#VALUE!</v>
      </c>
      <c r="P2765">
        <v>1</v>
      </c>
      <c r="Q2765">
        <f t="shared" si="392"/>
        <v>46647</v>
      </c>
      <c r="R2765" s="2">
        <f t="shared" si="393"/>
        <v>23323.5</v>
      </c>
      <c r="S2765" s="2" t="str">
        <f t="shared" si="394"/>
        <v xml:space="preserve"> Not Achieved</v>
      </c>
      <c r="T2765" s="2" t="str">
        <f t="shared" si="395"/>
        <v>Good</v>
      </c>
      <c r="U2765" s="2"/>
    </row>
    <row r="2766" spans="1:21" x14ac:dyDescent="0.3">
      <c r="A2766">
        <v>2765</v>
      </c>
      <c r="B2766" t="s">
        <v>3823</v>
      </c>
      <c r="C2766" t="str">
        <f t="shared" si="387"/>
        <v>EMP_2765</v>
      </c>
      <c r="D2766" t="s">
        <v>15</v>
      </c>
      <c r="E2766" t="str">
        <f t="shared" si="388"/>
        <v>EMP_2765IT</v>
      </c>
      <c r="F2766" t="s">
        <v>21</v>
      </c>
      <c r="G2766" t="s">
        <v>22</v>
      </c>
      <c r="H2766">
        <v>34673</v>
      </c>
      <c r="I2766">
        <v>14648</v>
      </c>
      <c r="J2766">
        <v>0</v>
      </c>
      <c r="K2766">
        <v>0</v>
      </c>
      <c r="L2766" s="4" t="s">
        <v>3824</v>
      </c>
      <c r="M2766" s="4" t="str">
        <f t="shared" si="389"/>
        <v>1/17/2021</v>
      </c>
      <c r="N2766" s="1">
        <f t="shared" ca="1" si="390"/>
        <v>46064</v>
      </c>
      <c r="O2766" s="6" t="e">
        <f t="shared" ca="1" si="391"/>
        <v>#VALUE!</v>
      </c>
      <c r="P2766">
        <v>5</v>
      </c>
      <c r="Q2766">
        <f t="shared" si="392"/>
        <v>49321</v>
      </c>
      <c r="R2766" s="2">
        <f t="shared" si="393"/>
        <v>24660.5</v>
      </c>
      <c r="S2766" s="2" t="str">
        <f t="shared" si="394"/>
        <v xml:space="preserve"> Not Achieved</v>
      </c>
      <c r="T2766" s="2" t="str">
        <f t="shared" si="395"/>
        <v>Average</v>
      </c>
      <c r="U2766" s="2"/>
    </row>
    <row r="2767" spans="1:21" x14ac:dyDescent="0.3">
      <c r="A2767">
        <v>2766</v>
      </c>
      <c r="B2767" t="s">
        <v>3825</v>
      </c>
      <c r="C2767" t="str">
        <f t="shared" si="387"/>
        <v>EMP_2766</v>
      </c>
      <c r="D2767" t="s">
        <v>11</v>
      </c>
      <c r="E2767" t="str">
        <f t="shared" si="388"/>
        <v>EMP_2766Sales</v>
      </c>
      <c r="F2767" t="s">
        <v>7</v>
      </c>
      <c r="G2767" t="s">
        <v>13</v>
      </c>
      <c r="H2767">
        <v>71561</v>
      </c>
      <c r="I2767">
        <v>3886</v>
      </c>
      <c r="J2767">
        <v>200439</v>
      </c>
      <c r="K2767">
        <v>178941</v>
      </c>
      <c r="L2767" s="4" t="s">
        <v>1704</v>
      </c>
      <c r="M2767" s="4" t="str">
        <f t="shared" si="389"/>
        <v>12/24/2021</v>
      </c>
      <c r="N2767" s="1">
        <f t="shared" ca="1" si="390"/>
        <v>46064</v>
      </c>
      <c r="O2767" s="6" t="e">
        <f t="shared" ca="1" si="391"/>
        <v>#VALUE!</v>
      </c>
      <c r="P2767">
        <v>3</v>
      </c>
      <c r="Q2767">
        <f t="shared" si="392"/>
        <v>75447</v>
      </c>
      <c r="R2767" s="2">
        <f t="shared" si="393"/>
        <v>37723.5</v>
      </c>
      <c r="S2767" s="2" t="str">
        <f t="shared" si="394"/>
        <v>Achieved</v>
      </c>
      <c r="T2767" s="2" t="str">
        <f t="shared" si="395"/>
        <v xml:space="preserve"> Excellent</v>
      </c>
      <c r="U2767" s="2"/>
    </row>
    <row r="2768" spans="1:21" x14ac:dyDescent="0.3">
      <c r="A2768">
        <v>2767</v>
      </c>
      <c r="B2768" t="s">
        <v>3826</v>
      </c>
      <c r="C2768" t="str">
        <f t="shared" si="387"/>
        <v>EMP_2767</v>
      </c>
      <c r="D2768" t="s">
        <v>15</v>
      </c>
      <c r="E2768" t="str">
        <f t="shared" si="388"/>
        <v>EMP_2767Marketing</v>
      </c>
      <c r="F2768" t="s">
        <v>24</v>
      </c>
      <c r="G2768" t="s">
        <v>16</v>
      </c>
      <c r="H2768">
        <v>79864</v>
      </c>
      <c r="I2768">
        <v>4344</v>
      </c>
      <c r="J2768">
        <v>0</v>
      </c>
      <c r="K2768">
        <v>0</v>
      </c>
      <c r="L2768" s="4">
        <v>43477</v>
      </c>
      <c r="M2768" s="4" t="str">
        <f t="shared" si="389"/>
        <v>2019</v>
      </c>
      <c r="N2768" s="1">
        <f t="shared" ca="1" si="390"/>
        <v>46064</v>
      </c>
      <c r="O2768" s="6">
        <f t="shared" ca="1" si="391"/>
        <v>7</v>
      </c>
      <c r="P2768">
        <v>1</v>
      </c>
      <c r="Q2768">
        <f t="shared" si="392"/>
        <v>84208</v>
      </c>
      <c r="R2768" s="2">
        <f t="shared" si="393"/>
        <v>42104</v>
      </c>
      <c r="S2768" s="2" t="str">
        <f t="shared" si="394"/>
        <v xml:space="preserve"> Not Achieved</v>
      </c>
      <c r="T2768" s="2" t="str">
        <f t="shared" si="395"/>
        <v xml:space="preserve"> Excellent</v>
      </c>
      <c r="U2768" s="2"/>
    </row>
    <row r="2769" spans="1:21" x14ac:dyDescent="0.3">
      <c r="A2769">
        <v>2768</v>
      </c>
      <c r="B2769" t="s">
        <v>3827</v>
      </c>
      <c r="C2769" t="str">
        <f t="shared" si="387"/>
        <v>EMP_2768</v>
      </c>
      <c r="D2769" t="s">
        <v>15</v>
      </c>
      <c r="E2769" t="str">
        <f t="shared" si="388"/>
        <v>EMP_2768IT</v>
      </c>
      <c r="F2769" t="s">
        <v>21</v>
      </c>
      <c r="G2769" t="s">
        <v>19</v>
      </c>
      <c r="H2769">
        <v>65842</v>
      </c>
      <c r="I2769">
        <v>3269</v>
      </c>
      <c r="J2769">
        <v>0</v>
      </c>
      <c r="K2769">
        <v>0</v>
      </c>
      <c r="L2769" s="4" t="s">
        <v>1256</v>
      </c>
      <c r="M2769" s="4" t="str">
        <f t="shared" si="389"/>
        <v>5/17/2024</v>
      </c>
      <c r="N2769" s="1">
        <f t="shared" ca="1" si="390"/>
        <v>46064</v>
      </c>
      <c r="O2769" s="6" t="e">
        <f t="shared" ca="1" si="391"/>
        <v>#VALUE!</v>
      </c>
      <c r="P2769">
        <v>2</v>
      </c>
      <c r="Q2769">
        <f t="shared" si="392"/>
        <v>69111</v>
      </c>
      <c r="R2769" s="2">
        <f t="shared" si="393"/>
        <v>34555.5</v>
      </c>
      <c r="S2769" s="2" t="str">
        <f t="shared" si="394"/>
        <v xml:space="preserve"> Not Achieved</v>
      </c>
      <c r="T2769" s="2" t="str">
        <f t="shared" si="395"/>
        <v xml:space="preserve"> Excellent</v>
      </c>
      <c r="U2769" s="2"/>
    </row>
    <row r="2770" spans="1:21" x14ac:dyDescent="0.3">
      <c r="A2770">
        <v>2769</v>
      </c>
      <c r="B2770" t="s">
        <v>3828</v>
      </c>
      <c r="C2770" t="str">
        <f t="shared" si="387"/>
        <v>EMP_2769</v>
      </c>
      <c r="D2770" t="s">
        <v>11</v>
      </c>
      <c r="E2770" t="str">
        <f t="shared" si="388"/>
        <v>EMP_2769Finance</v>
      </c>
      <c r="F2770" t="s">
        <v>18</v>
      </c>
      <c r="G2770" t="s">
        <v>13</v>
      </c>
      <c r="H2770">
        <v>66189</v>
      </c>
      <c r="I2770">
        <v>3192</v>
      </c>
      <c r="J2770">
        <v>0</v>
      </c>
      <c r="K2770">
        <v>0</v>
      </c>
      <c r="L2770" s="4" t="s">
        <v>1999</v>
      </c>
      <c r="M2770" s="4" t="str">
        <f t="shared" si="389"/>
        <v>11/25/2018</v>
      </c>
      <c r="N2770" s="1">
        <f t="shared" ca="1" si="390"/>
        <v>46064</v>
      </c>
      <c r="O2770" s="6" t="e">
        <f t="shared" ca="1" si="391"/>
        <v>#VALUE!</v>
      </c>
      <c r="P2770">
        <v>3</v>
      </c>
      <c r="Q2770">
        <f t="shared" si="392"/>
        <v>69381</v>
      </c>
      <c r="R2770" s="2">
        <f t="shared" si="393"/>
        <v>34690.5</v>
      </c>
      <c r="S2770" s="2" t="str">
        <f t="shared" si="394"/>
        <v xml:space="preserve"> Not Achieved</v>
      </c>
      <c r="T2770" s="2" t="str">
        <f t="shared" si="395"/>
        <v xml:space="preserve"> Excellent</v>
      </c>
      <c r="U2770" s="2"/>
    </row>
    <row r="2771" spans="1:21" x14ac:dyDescent="0.3">
      <c r="A2771">
        <v>2770</v>
      </c>
      <c r="B2771" t="s">
        <v>3829</v>
      </c>
      <c r="C2771" t="str">
        <f t="shared" si="387"/>
        <v>EMP_2770</v>
      </c>
      <c r="D2771" t="s">
        <v>15</v>
      </c>
      <c r="E2771" t="str">
        <f t="shared" si="388"/>
        <v>EMP_2770Finance</v>
      </c>
      <c r="F2771" t="s">
        <v>18</v>
      </c>
      <c r="G2771" t="s">
        <v>19</v>
      </c>
      <c r="H2771">
        <v>51209</v>
      </c>
      <c r="I2771">
        <v>7751</v>
      </c>
      <c r="J2771">
        <v>0</v>
      </c>
      <c r="K2771">
        <v>0</v>
      </c>
      <c r="L2771" s="4">
        <v>44746</v>
      </c>
      <c r="M2771" s="4" t="str">
        <f t="shared" si="389"/>
        <v>2022</v>
      </c>
      <c r="N2771" s="1">
        <f t="shared" ca="1" si="390"/>
        <v>46064</v>
      </c>
      <c r="O2771" s="6">
        <f t="shared" ca="1" si="391"/>
        <v>3</v>
      </c>
      <c r="P2771">
        <v>1</v>
      </c>
      <c r="Q2771">
        <f t="shared" si="392"/>
        <v>58960</v>
      </c>
      <c r="R2771" s="2">
        <f t="shared" si="393"/>
        <v>29480</v>
      </c>
      <c r="S2771" s="2" t="str">
        <f t="shared" si="394"/>
        <v xml:space="preserve"> Not Achieved</v>
      </c>
      <c r="T2771" s="2" t="str">
        <f t="shared" si="395"/>
        <v xml:space="preserve"> Excellent</v>
      </c>
      <c r="U2771" s="2"/>
    </row>
    <row r="2772" spans="1:21" x14ac:dyDescent="0.3">
      <c r="A2772">
        <v>2771</v>
      </c>
      <c r="B2772" t="s">
        <v>3830</v>
      </c>
      <c r="C2772" t="str">
        <f t="shared" si="387"/>
        <v>EMP_2771</v>
      </c>
      <c r="D2772" t="s">
        <v>11</v>
      </c>
      <c r="E2772" t="str">
        <f t="shared" si="388"/>
        <v>EMP_2771HR</v>
      </c>
      <c r="F2772" t="s">
        <v>12</v>
      </c>
      <c r="G2772" t="s">
        <v>22</v>
      </c>
      <c r="H2772">
        <v>45982</v>
      </c>
      <c r="I2772">
        <v>14194</v>
      </c>
      <c r="J2772">
        <v>0</v>
      </c>
      <c r="K2772">
        <v>0</v>
      </c>
      <c r="L2772" s="4">
        <v>45181</v>
      </c>
      <c r="M2772" s="4" t="str">
        <f t="shared" si="389"/>
        <v>2023</v>
      </c>
      <c r="N2772" s="1">
        <f t="shared" ca="1" si="390"/>
        <v>46064</v>
      </c>
      <c r="O2772" s="6">
        <f t="shared" ca="1" si="391"/>
        <v>2</v>
      </c>
      <c r="P2772">
        <v>5</v>
      </c>
      <c r="Q2772">
        <f t="shared" si="392"/>
        <v>60176</v>
      </c>
      <c r="R2772" s="2">
        <f t="shared" si="393"/>
        <v>30088</v>
      </c>
      <c r="S2772" s="2" t="str">
        <f t="shared" si="394"/>
        <v xml:space="preserve"> Not Achieved</v>
      </c>
      <c r="T2772" s="2" t="str">
        <f t="shared" si="395"/>
        <v>Good</v>
      </c>
      <c r="U2772" s="2"/>
    </row>
    <row r="2773" spans="1:21" x14ac:dyDescent="0.3">
      <c r="A2773">
        <v>2772</v>
      </c>
      <c r="B2773" t="s">
        <v>3831</v>
      </c>
      <c r="C2773" t="str">
        <f t="shared" si="387"/>
        <v>EMP_2772</v>
      </c>
      <c r="D2773" t="s">
        <v>15</v>
      </c>
      <c r="E2773" t="str">
        <f t="shared" si="388"/>
        <v>EMP_2772Finance</v>
      </c>
      <c r="F2773" t="s">
        <v>18</v>
      </c>
      <c r="G2773" t="s">
        <v>19</v>
      </c>
      <c r="H2773">
        <v>46551</v>
      </c>
      <c r="I2773">
        <v>14624</v>
      </c>
      <c r="J2773">
        <v>0</v>
      </c>
      <c r="K2773">
        <v>0</v>
      </c>
      <c r="L2773" s="4">
        <v>43407</v>
      </c>
      <c r="M2773" s="4" t="str">
        <f t="shared" si="389"/>
        <v>2018</v>
      </c>
      <c r="N2773" s="1">
        <f t="shared" ca="1" si="390"/>
        <v>46064</v>
      </c>
      <c r="O2773" s="6">
        <f t="shared" ca="1" si="391"/>
        <v>7</v>
      </c>
      <c r="P2773">
        <v>2</v>
      </c>
      <c r="Q2773">
        <f t="shared" si="392"/>
        <v>61175</v>
      </c>
      <c r="R2773" s="2">
        <f t="shared" si="393"/>
        <v>30587.5</v>
      </c>
      <c r="S2773" s="2" t="str">
        <f t="shared" si="394"/>
        <v xml:space="preserve"> Not Achieved</v>
      </c>
      <c r="T2773" s="2" t="str">
        <f t="shared" si="395"/>
        <v>Good</v>
      </c>
      <c r="U2773" s="2"/>
    </row>
    <row r="2774" spans="1:21" x14ac:dyDescent="0.3">
      <c r="A2774">
        <v>2773</v>
      </c>
      <c r="B2774" t="s">
        <v>3832</v>
      </c>
      <c r="C2774" t="str">
        <f t="shared" si="387"/>
        <v>EMP_2773</v>
      </c>
      <c r="D2774" t="s">
        <v>15</v>
      </c>
      <c r="E2774" t="str">
        <f t="shared" si="388"/>
        <v>EMP_2773HR</v>
      </c>
      <c r="F2774" t="s">
        <v>12</v>
      </c>
      <c r="G2774" t="s">
        <v>13</v>
      </c>
      <c r="H2774">
        <v>63332</v>
      </c>
      <c r="I2774">
        <v>14908</v>
      </c>
      <c r="J2774">
        <v>0</v>
      </c>
      <c r="K2774">
        <v>0</v>
      </c>
      <c r="L2774" s="4" t="s">
        <v>731</v>
      </c>
      <c r="M2774" s="4" t="str">
        <f t="shared" si="389"/>
        <v>2/21/2024</v>
      </c>
      <c r="N2774" s="1">
        <f t="shared" ca="1" si="390"/>
        <v>46064</v>
      </c>
      <c r="O2774" s="6" t="e">
        <f t="shared" ca="1" si="391"/>
        <v>#VALUE!</v>
      </c>
      <c r="P2774">
        <v>1</v>
      </c>
      <c r="Q2774">
        <f t="shared" si="392"/>
        <v>78240</v>
      </c>
      <c r="R2774" s="2">
        <f t="shared" si="393"/>
        <v>39120</v>
      </c>
      <c r="S2774" s="2" t="str">
        <f t="shared" si="394"/>
        <v xml:space="preserve"> Not Achieved</v>
      </c>
      <c r="T2774" s="2" t="str">
        <f t="shared" si="395"/>
        <v xml:space="preserve"> Excellent</v>
      </c>
      <c r="U2774" s="2"/>
    </row>
    <row r="2775" spans="1:21" x14ac:dyDescent="0.3">
      <c r="A2775">
        <v>2774</v>
      </c>
      <c r="B2775" t="s">
        <v>3833</v>
      </c>
      <c r="C2775" t="str">
        <f t="shared" si="387"/>
        <v>EMP_2774</v>
      </c>
      <c r="D2775" t="s">
        <v>11</v>
      </c>
      <c r="E2775" t="str">
        <f t="shared" si="388"/>
        <v>EMP_2774Marketing</v>
      </c>
      <c r="F2775" t="s">
        <v>24</v>
      </c>
      <c r="G2775" t="s">
        <v>25</v>
      </c>
      <c r="H2775">
        <v>55942</v>
      </c>
      <c r="I2775">
        <v>5448</v>
      </c>
      <c r="J2775">
        <v>0</v>
      </c>
      <c r="K2775">
        <v>0</v>
      </c>
      <c r="L2775" s="4" t="s">
        <v>3834</v>
      </c>
      <c r="M2775" s="4" t="str">
        <f t="shared" si="389"/>
        <v>10/24/2019</v>
      </c>
      <c r="N2775" s="1">
        <f t="shared" ca="1" si="390"/>
        <v>46064</v>
      </c>
      <c r="O2775" s="6" t="e">
        <f t="shared" ca="1" si="391"/>
        <v>#VALUE!</v>
      </c>
      <c r="P2775">
        <v>4</v>
      </c>
      <c r="Q2775">
        <f t="shared" si="392"/>
        <v>61390</v>
      </c>
      <c r="R2775" s="2">
        <f t="shared" si="393"/>
        <v>30695</v>
      </c>
      <c r="S2775" s="2" t="str">
        <f t="shared" si="394"/>
        <v xml:space="preserve"> Not Achieved</v>
      </c>
      <c r="T2775" s="2" t="str">
        <f t="shared" si="395"/>
        <v xml:space="preserve"> Excellent</v>
      </c>
      <c r="U2775" s="2"/>
    </row>
    <row r="2776" spans="1:21" x14ac:dyDescent="0.3">
      <c r="A2776">
        <v>2775</v>
      </c>
      <c r="B2776" t="s">
        <v>3835</v>
      </c>
      <c r="C2776" t="str">
        <f t="shared" si="387"/>
        <v>EMP_2775</v>
      </c>
      <c r="D2776" t="s">
        <v>15</v>
      </c>
      <c r="E2776" t="str">
        <f t="shared" si="388"/>
        <v>EMP_2775HR</v>
      </c>
      <c r="F2776" t="s">
        <v>12</v>
      </c>
      <c r="G2776" t="s">
        <v>16</v>
      </c>
      <c r="H2776">
        <v>55593</v>
      </c>
      <c r="I2776">
        <v>4783</v>
      </c>
      <c r="J2776">
        <v>0</v>
      </c>
      <c r="K2776">
        <v>0</v>
      </c>
      <c r="L2776" s="4">
        <v>44476</v>
      </c>
      <c r="M2776" s="4" t="str">
        <f t="shared" si="389"/>
        <v>2021</v>
      </c>
      <c r="N2776" s="1">
        <f t="shared" ca="1" si="390"/>
        <v>46064</v>
      </c>
      <c r="O2776" s="6">
        <f t="shared" ca="1" si="391"/>
        <v>4</v>
      </c>
      <c r="P2776">
        <v>5</v>
      </c>
      <c r="Q2776">
        <f t="shared" si="392"/>
        <v>60376</v>
      </c>
      <c r="R2776" s="2">
        <f t="shared" si="393"/>
        <v>30188</v>
      </c>
      <c r="S2776" s="2" t="str">
        <f t="shared" si="394"/>
        <v xml:space="preserve"> Not Achieved</v>
      </c>
      <c r="T2776" s="2" t="str">
        <f t="shared" si="395"/>
        <v xml:space="preserve"> Excellent</v>
      </c>
      <c r="U2776" s="2"/>
    </row>
    <row r="2777" spans="1:21" x14ac:dyDescent="0.3">
      <c r="A2777">
        <v>2776</v>
      </c>
      <c r="B2777" t="s">
        <v>3836</v>
      </c>
      <c r="C2777" t="str">
        <f t="shared" si="387"/>
        <v>EMP_2776</v>
      </c>
      <c r="D2777" t="s">
        <v>15</v>
      </c>
      <c r="E2777" t="str">
        <f t="shared" si="388"/>
        <v>EMP_2776HR</v>
      </c>
      <c r="F2777" t="s">
        <v>12</v>
      </c>
      <c r="G2777" t="s">
        <v>13</v>
      </c>
      <c r="H2777">
        <v>64022</v>
      </c>
      <c r="I2777">
        <v>5941</v>
      </c>
      <c r="J2777">
        <v>0</v>
      </c>
      <c r="K2777">
        <v>0</v>
      </c>
      <c r="L2777" s="4" t="s">
        <v>938</v>
      </c>
      <c r="M2777" s="4" t="str">
        <f t="shared" si="389"/>
        <v>2/27/2024</v>
      </c>
      <c r="N2777" s="1">
        <f t="shared" ca="1" si="390"/>
        <v>46064</v>
      </c>
      <c r="O2777" s="6" t="e">
        <f t="shared" ca="1" si="391"/>
        <v>#VALUE!</v>
      </c>
      <c r="P2777">
        <v>1</v>
      </c>
      <c r="Q2777">
        <f t="shared" si="392"/>
        <v>69963</v>
      </c>
      <c r="R2777" s="2">
        <f t="shared" si="393"/>
        <v>34981.5</v>
      </c>
      <c r="S2777" s="2" t="str">
        <f t="shared" si="394"/>
        <v xml:space="preserve"> Not Achieved</v>
      </c>
      <c r="T2777" s="2" t="str">
        <f t="shared" si="395"/>
        <v xml:space="preserve"> Excellent</v>
      </c>
      <c r="U2777" s="2"/>
    </row>
    <row r="2778" spans="1:21" x14ac:dyDescent="0.3">
      <c r="A2778">
        <v>2777</v>
      </c>
      <c r="B2778" t="s">
        <v>3837</v>
      </c>
      <c r="C2778" t="str">
        <f t="shared" si="387"/>
        <v>EMP_2777</v>
      </c>
      <c r="D2778" t="s">
        <v>15</v>
      </c>
      <c r="E2778" t="str">
        <f t="shared" si="388"/>
        <v>EMP_2777Marketing</v>
      </c>
      <c r="F2778" t="s">
        <v>24</v>
      </c>
      <c r="G2778" t="s">
        <v>22</v>
      </c>
      <c r="H2778">
        <v>39832</v>
      </c>
      <c r="I2778">
        <v>8837</v>
      </c>
      <c r="J2778">
        <v>0</v>
      </c>
      <c r="K2778">
        <v>0</v>
      </c>
      <c r="L2778" s="4">
        <v>45237</v>
      </c>
      <c r="M2778" s="4" t="str">
        <f t="shared" si="389"/>
        <v>2023</v>
      </c>
      <c r="N2778" s="1">
        <f t="shared" ca="1" si="390"/>
        <v>46064</v>
      </c>
      <c r="O2778" s="6">
        <f t="shared" ca="1" si="391"/>
        <v>2</v>
      </c>
      <c r="P2778">
        <v>1</v>
      </c>
      <c r="Q2778">
        <f t="shared" si="392"/>
        <v>48669</v>
      </c>
      <c r="R2778" s="2">
        <f t="shared" si="393"/>
        <v>24334.5</v>
      </c>
      <c r="S2778" s="2" t="str">
        <f t="shared" si="394"/>
        <v xml:space="preserve"> Not Achieved</v>
      </c>
      <c r="T2778" s="2" t="str">
        <f t="shared" si="395"/>
        <v>Average</v>
      </c>
      <c r="U2778" s="2"/>
    </row>
    <row r="2779" spans="1:21" x14ac:dyDescent="0.3">
      <c r="A2779">
        <v>2778</v>
      </c>
      <c r="B2779" t="s">
        <v>3838</v>
      </c>
      <c r="C2779" t="str">
        <f t="shared" si="387"/>
        <v>EMP_2778</v>
      </c>
      <c r="D2779" t="s">
        <v>11</v>
      </c>
      <c r="E2779" t="str">
        <f t="shared" si="388"/>
        <v>EMP_2778Finance</v>
      </c>
      <c r="F2779" t="s">
        <v>18</v>
      </c>
      <c r="G2779" t="s">
        <v>25</v>
      </c>
      <c r="H2779">
        <v>38203</v>
      </c>
      <c r="I2779">
        <v>14070</v>
      </c>
      <c r="J2779">
        <v>0</v>
      </c>
      <c r="K2779">
        <v>0</v>
      </c>
      <c r="L2779" s="4">
        <v>44838</v>
      </c>
      <c r="M2779" s="4" t="str">
        <f t="shared" si="389"/>
        <v>2022</v>
      </c>
      <c r="N2779" s="1">
        <f t="shared" ca="1" si="390"/>
        <v>46064</v>
      </c>
      <c r="O2779" s="6">
        <f t="shared" ca="1" si="391"/>
        <v>3</v>
      </c>
      <c r="P2779">
        <v>5</v>
      </c>
      <c r="Q2779">
        <f t="shared" si="392"/>
        <v>52273</v>
      </c>
      <c r="R2779" s="2">
        <f t="shared" si="393"/>
        <v>26136.5</v>
      </c>
      <c r="S2779" s="2" t="str">
        <f t="shared" si="394"/>
        <v xml:space="preserve"> Not Achieved</v>
      </c>
      <c r="T2779" s="2" t="str">
        <f t="shared" si="395"/>
        <v>Average</v>
      </c>
      <c r="U2779" s="2"/>
    </row>
    <row r="2780" spans="1:21" x14ac:dyDescent="0.3">
      <c r="A2780">
        <v>2779</v>
      </c>
      <c r="B2780" t="s">
        <v>3839</v>
      </c>
      <c r="C2780" t="str">
        <f t="shared" si="387"/>
        <v>EMP_2779</v>
      </c>
      <c r="D2780" t="s">
        <v>11</v>
      </c>
      <c r="E2780" t="str">
        <f t="shared" si="388"/>
        <v>EMP_2779IT</v>
      </c>
      <c r="F2780" t="s">
        <v>21</v>
      </c>
      <c r="G2780" t="s">
        <v>22</v>
      </c>
      <c r="H2780">
        <v>29823</v>
      </c>
      <c r="I2780">
        <v>6678</v>
      </c>
      <c r="J2780">
        <v>0</v>
      </c>
      <c r="K2780">
        <v>0</v>
      </c>
      <c r="L2780" s="4">
        <v>43562</v>
      </c>
      <c r="M2780" s="4" t="str">
        <f t="shared" si="389"/>
        <v>2019</v>
      </c>
      <c r="N2780" s="1">
        <f t="shared" ca="1" si="390"/>
        <v>46064</v>
      </c>
      <c r="O2780" s="6">
        <f t="shared" ca="1" si="391"/>
        <v>6</v>
      </c>
      <c r="P2780">
        <v>2</v>
      </c>
      <c r="Q2780">
        <f t="shared" si="392"/>
        <v>36501</v>
      </c>
      <c r="R2780" s="2">
        <f t="shared" si="393"/>
        <v>18250.5</v>
      </c>
      <c r="S2780" s="2" t="str">
        <f t="shared" si="394"/>
        <v xml:space="preserve"> Not Achieved</v>
      </c>
      <c r="T2780" s="2" t="str">
        <f t="shared" si="395"/>
        <v>poor</v>
      </c>
      <c r="U2780" s="2"/>
    </row>
    <row r="2781" spans="1:21" x14ac:dyDescent="0.3">
      <c r="A2781">
        <v>2780</v>
      </c>
      <c r="B2781" t="s">
        <v>3840</v>
      </c>
      <c r="C2781" t="str">
        <f t="shared" si="387"/>
        <v>EMP_2780</v>
      </c>
      <c r="D2781" t="s">
        <v>11</v>
      </c>
      <c r="E2781" t="str">
        <f t="shared" si="388"/>
        <v>EMP_2780Sales</v>
      </c>
      <c r="F2781" t="s">
        <v>7</v>
      </c>
      <c r="G2781" t="s">
        <v>16</v>
      </c>
      <c r="H2781">
        <v>63372</v>
      </c>
      <c r="I2781">
        <v>12662</v>
      </c>
      <c r="J2781">
        <v>249168</v>
      </c>
      <c r="K2781">
        <v>241977</v>
      </c>
      <c r="L2781" s="4" t="s">
        <v>1182</v>
      </c>
      <c r="M2781" s="4" t="str">
        <f t="shared" si="389"/>
        <v>1/15/2019</v>
      </c>
      <c r="N2781" s="1">
        <f t="shared" ca="1" si="390"/>
        <v>46064</v>
      </c>
      <c r="O2781" s="6" t="e">
        <f t="shared" ca="1" si="391"/>
        <v>#VALUE!</v>
      </c>
      <c r="P2781">
        <v>1</v>
      </c>
      <c r="Q2781">
        <f t="shared" si="392"/>
        <v>76034</v>
      </c>
      <c r="R2781" s="2">
        <f t="shared" si="393"/>
        <v>38017</v>
      </c>
      <c r="S2781" s="2" t="str">
        <f t="shared" si="394"/>
        <v>Achieved</v>
      </c>
      <c r="T2781" s="2" t="str">
        <f t="shared" si="395"/>
        <v xml:space="preserve"> Excellent</v>
      </c>
      <c r="U2781" s="2"/>
    </row>
    <row r="2782" spans="1:21" x14ac:dyDescent="0.3">
      <c r="A2782">
        <v>2781</v>
      </c>
      <c r="B2782" t="s">
        <v>3841</v>
      </c>
      <c r="C2782" t="str">
        <f t="shared" si="387"/>
        <v>EMP_2781</v>
      </c>
      <c r="D2782" t="s">
        <v>15</v>
      </c>
      <c r="E2782" t="str">
        <f t="shared" si="388"/>
        <v>EMP_2781IT</v>
      </c>
      <c r="F2782" t="s">
        <v>21</v>
      </c>
      <c r="G2782" t="s">
        <v>16</v>
      </c>
      <c r="H2782">
        <v>74346</v>
      </c>
      <c r="I2782">
        <v>3165</v>
      </c>
      <c r="J2782">
        <v>0</v>
      </c>
      <c r="K2782">
        <v>0</v>
      </c>
      <c r="L2782" s="4" t="s">
        <v>894</v>
      </c>
      <c r="M2782" s="4" t="str">
        <f t="shared" si="389"/>
        <v>8/26/2018</v>
      </c>
      <c r="N2782" s="1">
        <f t="shared" ca="1" si="390"/>
        <v>46064</v>
      </c>
      <c r="O2782" s="6" t="e">
        <f t="shared" ca="1" si="391"/>
        <v>#VALUE!</v>
      </c>
      <c r="P2782">
        <v>5</v>
      </c>
      <c r="Q2782">
        <f t="shared" si="392"/>
        <v>77511</v>
      </c>
      <c r="R2782" s="2">
        <f t="shared" si="393"/>
        <v>38755.5</v>
      </c>
      <c r="S2782" s="2" t="str">
        <f t="shared" si="394"/>
        <v xml:space="preserve"> Not Achieved</v>
      </c>
      <c r="T2782" s="2" t="str">
        <f t="shared" si="395"/>
        <v xml:space="preserve"> Excellent</v>
      </c>
      <c r="U2782" s="2"/>
    </row>
    <row r="2783" spans="1:21" x14ac:dyDescent="0.3">
      <c r="A2783">
        <v>2782</v>
      </c>
      <c r="B2783" t="s">
        <v>3842</v>
      </c>
      <c r="C2783" t="str">
        <f t="shared" si="387"/>
        <v>EMP_2782</v>
      </c>
      <c r="D2783" t="s">
        <v>11</v>
      </c>
      <c r="E2783" t="str">
        <f t="shared" si="388"/>
        <v>EMP_2782Marketing</v>
      </c>
      <c r="F2783" t="s">
        <v>24</v>
      </c>
      <c r="G2783" t="s">
        <v>22</v>
      </c>
      <c r="H2783">
        <v>62323</v>
      </c>
      <c r="I2783">
        <v>5650</v>
      </c>
      <c r="J2783">
        <v>0</v>
      </c>
      <c r="K2783">
        <v>0</v>
      </c>
      <c r="L2783" s="4" t="s">
        <v>3843</v>
      </c>
      <c r="M2783" s="4" t="str">
        <f t="shared" si="389"/>
        <v>5/28/2018</v>
      </c>
      <c r="N2783" s="1">
        <f t="shared" ca="1" si="390"/>
        <v>46064</v>
      </c>
      <c r="O2783" s="6" t="e">
        <f t="shared" ca="1" si="391"/>
        <v>#VALUE!</v>
      </c>
      <c r="P2783">
        <v>3</v>
      </c>
      <c r="Q2783">
        <f t="shared" si="392"/>
        <v>67973</v>
      </c>
      <c r="R2783" s="2">
        <f t="shared" si="393"/>
        <v>33986.5</v>
      </c>
      <c r="S2783" s="2" t="str">
        <f t="shared" si="394"/>
        <v xml:space="preserve"> Not Achieved</v>
      </c>
      <c r="T2783" s="2" t="str">
        <f t="shared" si="395"/>
        <v xml:space="preserve"> Excellent</v>
      </c>
      <c r="U2783" s="2"/>
    </row>
    <row r="2784" spans="1:21" x14ac:dyDescent="0.3">
      <c r="A2784">
        <v>2783</v>
      </c>
      <c r="B2784" t="s">
        <v>3844</v>
      </c>
      <c r="C2784" t="str">
        <f t="shared" si="387"/>
        <v>EMP_2783</v>
      </c>
      <c r="D2784" t="s">
        <v>15</v>
      </c>
      <c r="E2784" t="str">
        <f t="shared" si="388"/>
        <v>EMP_2783Sales</v>
      </c>
      <c r="F2784" t="s">
        <v>7</v>
      </c>
      <c r="G2784" t="s">
        <v>16</v>
      </c>
      <c r="H2784">
        <v>56733</v>
      </c>
      <c r="I2784">
        <v>8582</v>
      </c>
      <c r="J2784">
        <v>94528</v>
      </c>
      <c r="K2784">
        <v>219285</v>
      </c>
      <c r="L2784" s="4" t="s">
        <v>3845</v>
      </c>
      <c r="M2784" s="4" t="str">
        <f t="shared" si="389"/>
        <v>12/27/2020</v>
      </c>
      <c r="N2784" s="1">
        <f t="shared" ca="1" si="390"/>
        <v>46064</v>
      </c>
      <c r="O2784" s="6" t="e">
        <f t="shared" ca="1" si="391"/>
        <v>#VALUE!</v>
      </c>
      <c r="P2784">
        <v>2</v>
      </c>
      <c r="Q2784">
        <f t="shared" si="392"/>
        <v>65315</v>
      </c>
      <c r="R2784" s="2">
        <f t="shared" si="393"/>
        <v>32657.5</v>
      </c>
      <c r="S2784" s="2" t="str">
        <f t="shared" si="394"/>
        <v xml:space="preserve"> Not Achieved</v>
      </c>
      <c r="T2784" s="2" t="str">
        <f t="shared" si="395"/>
        <v xml:space="preserve"> Excellent</v>
      </c>
      <c r="U2784" s="2"/>
    </row>
    <row r="2785" spans="1:21" x14ac:dyDescent="0.3">
      <c r="A2785">
        <v>2784</v>
      </c>
      <c r="B2785" t="s">
        <v>3846</v>
      </c>
      <c r="C2785" t="str">
        <f t="shared" si="387"/>
        <v>EMP_2784</v>
      </c>
      <c r="D2785" t="s">
        <v>15</v>
      </c>
      <c r="E2785" t="str">
        <f t="shared" si="388"/>
        <v>EMP_2784Sales</v>
      </c>
      <c r="F2785" t="s">
        <v>7</v>
      </c>
      <c r="G2785" t="s">
        <v>13</v>
      </c>
      <c r="H2785">
        <v>63944</v>
      </c>
      <c r="I2785">
        <v>2348</v>
      </c>
      <c r="J2785">
        <v>131933</v>
      </c>
      <c r="K2785">
        <v>101838</v>
      </c>
      <c r="L2785" s="4" t="s">
        <v>3847</v>
      </c>
      <c r="M2785" s="4" t="str">
        <f t="shared" si="389"/>
        <v>1/18/2022</v>
      </c>
      <c r="N2785" s="1">
        <f t="shared" ca="1" si="390"/>
        <v>46064</v>
      </c>
      <c r="O2785" s="6" t="e">
        <f t="shared" ca="1" si="391"/>
        <v>#VALUE!</v>
      </c>
      <c r="P2785">
        <v>1</v>
      </c>
      <c r="Q2785">
        <f t="shared" si="392"/>
        <v>66292</v>
      </c>
      <c r="R2785" s="2">
        <f t="shared" si="393"/>
        <v>33146</v>
      </c>
      <c r="S2785" s="2" t="str">
        <f t="shared" si="394"/>
        <v>Achieved</v>
      </c>
      <c r="T2785" s="2" t="str">
        <f t="shared" si="395"/>
        <v xml:space="preserve"> Excellent</v>
      </c>
      <c r="U2785" s="2"/>
    </row>
    <row r="2786" spans="1:21" x14ac:dyDescent="0.3">
      <c r="A2786">
        <v>2785</v>
      </c>
      <c r="B2786" t="s">
        <v>3848</v>
      </c>
      <c r="C2786" t="str">
        <f t="shared" si="387"/>
        <v>EMP_2785</v>
      </c>
      <c r="D2786" t="s">
        <v>15</v>
      </c>
      <c r="E2786" t="str">
        <f t="shared" si="388"/>
        <v>EMP_2785Finance</v>
      </c>
      <c r="F2786" t="s">
        <v>18</v>
      </c>
      <c r="G2786" t="s">
        <v>19</v>
      </c>
      <c r="H2786">
        <v>42442</v>
      </c>
      <c r="I2786">
        <v>13913</v>
      </c>
      <c r="J2786">
        <v>0</v>
      </c>
      <c r="K2786">
        <v>0</v>
      </c>
      <c r="L2786" s="4" t="s">
        <v>372</v>
      </c>
      <c r="M2786" s="4" t="str">
        <f t="shared" si="389"/>
        <v>2/25/2024</v>
      </c>
      <c r="N2786" s="1">
        <f t="shared" ca="1" si="390"/>
        <v>46064</v>
      </c>
      <c r="O2786" s="6" t="e">
        <f t="shared" ca="1" si="391"/>
        <v>#VALUE!</v>
      </c>
      <c r="P2786">
        <v>1</v>
      </c>
      <c r="Q2786">
        <f t="shared" si="392"/>
        <v>56355</v>
      </c>
      <c r="R2786" s="2">
        <f t="shared" si="393"/>
        <v>28177.5</v>
      </c>
      <c r="S2786" s="2" t="str">
        <f t="shared" si="394"/>
        <v xml:space="preserve"> Not Achieved</v>
      </c>
      <c r="T2786" s="2" t="str">
        <f t="shared" si="395"/>
        <v>Good</v>
      </c>
      <c r="U2786" s="2"/>
    </row>
    <row r="2787" spans="1:21" x14ac:dyDescent="0.3">
      <c r="A2787">
        <v>2786</v>
      </c>
      <c r="B2787" t="s">
        <v>3849</v>
      </c>
      <c r="C2787" t="str">
        <f t="shared" si="387"/>
        <v>EMP_2786</v>
      </c>
      <c r="D2787" t="s">
        <v>15</v>
      </c>
      <c r="E2787" t="str">
        <f t="shared" si="388"/>
        <v>EMP_2786HR</v>
      </c>
      <c r="F2787" t="s">
        <v>12</v>
      </c>
      <c r="G2787" t="s">
        <v>13</v>
      </c>
      <c r="H2787">
        <v>50883</v>
      </c>
      <c r="I2787">
        <v>7286</v>
      </c>
      <c r="J2787">
        <v>0</v>
      </c>
      <c r="K2787">
        <v>0</v>
      </c>
      <c r="L2787" s="4">
        <v>45048</v>
      </c>
      <c r="M2787" s="4" t="str">
        <f t="shared" si="389"/>
        <v>2023</v>
      </c>
      <c r="N2787" s="1">
        <f t="shared" ca="1" si="390"/>
        <v>46064</v>
      </c>
      <c r="O2787" s="6">
        <f t="shared" ca="1" si="391"/>
        <v>2</v>
      </c>
      <c r="P2787">
        <v>2</v>
      </c>
      <c r="Q2787">
        <f t="shared" si="392"/>
        <v>58169</v>
      </c>
      <c r="R2787" s="2">
        <f t="shared" si="393"/>
        <v>29084.5</v>
      </c>
      <c r="S2787" s="2" t="str">
        <f t="shared" si="394"/>
        <v xml:space="preserve"> Not Achieved</v>
      </c>
      <c r="T2787" s="2" t="str">
        <f t="shared" si="395"/>
        <v xml:space="preserve"> Excellent</v>
      </c>
      <c r="U2787" s="2"/>
    </row>
    <row r="2788" spans="1:21" x14ac:dyDescent="0.3">
      <c r="A2788">
        <v>2787</v>
      </c>
      <c r="B2788" t="s">
        <v>3850</v>
      </c>
      <c r="C2788" t="str">
        <f t="shared" si="387"/>
        <v>EMP_2787</v>
      </c>
      <c r="D2788" t="s">
        <v>11</v>
      </c>
      <c r="E2788" t="str">
        <f t="shared" si="388"/>
        <v>EMP_2787Sales</v>
      </c>
      <c r="F2788" t="s">
        <v>7</v>
      </c>
      <c r="G2788" t="s">
        <v>19</v>
      </c>
      <c r="H2788">
        <v>42758</v>
      </c>
      <c r="I2788">
        <v>9495</v>
      </c>
      <c r="J2788">
        <v>142702</v>
      </c>
      <c r="K2788">
        <v>82490</v>
      </c>
      <c r="L2788" s="4" t="s">
        <v>3851</v>
      </c>
      <c r="M2788" s="4" t="str">
        <f t="shared" si="389"/>
        <v>12/30/2024</v>
      </c>
      <c r="N2788" s="1">
        <f t="shared" ca="1" si="390"/>
        <v>46064</v>
      </c>
      <c r="O2788" s="6" t="e">
        <f t="shared" ca="1" si="391"/>
        <v>#VALUE!</v>
      </c>
      <c r="P2788">
        <v>1</v>
      </c>
      <c r="Q2788">
        <f t="shared" si="392"/>
        <v>52253</v>
      </c>
      <c r="R2788" s="2">
        <f t="shared" si="393"/>
        <v>26126.5</v>
      </c>
      <c r="S2788" s="2" t="str">
        <f t="shared" si="394"/>
        <v>Achieved</v>
      </c>
      <c r="T2788" s="2" t="str">
        <f t="shared" si="395"/>
        <v>Good</v>
      </c>
      <c r="U2788" s="2"/>
    </row>
    <row r="2789" spans="1:21" x14ac:dyDescent="0.3">
      <c r="A2789">
        <v>2788</v>
      </c>
      <c r="B2789" t="s">
        <v>3852</v>
      </c>
      <c r="C2789" t="str">
        <f t="shared" si="387"/>
        <v>EMP_2788</v>
      </c>
      <c r="D2789" t="s">
        <v>15</v>
      </c>
      <c r="E2789" t="str">
        <f t="shared" si="388"/>
        <v>EMP_2788Finance</v>
      </c>
      <c r="F2789" t="s">
        <v>18</v>
      </c>
      <c r="G2789" t="s">
        <v>25</v>
      </c>
      <c r="H2789">
        <v>75361</v>
      </c>
      <c r="I2789">
        <v>3369</v>
      </c>
      <c r="J2789">
        <v>0</v>
      </c>
      <c r="K2789">
        <v>0</v>
      </c>
      <c r="L2789" s="4">
        <v>45544</v>
      </c>
      <c r="M2789" s="4" t="str">
        <f t="shared" si="389"/>
        <v>2024</v>
      </c>
      <c r="N2789" s="1">
        <f t="shared" ca="1" si="390"/>
        <v>46064</v>
      </c>
      <c r="O2789" s="6">
        <f t="shared" ca="1" si="391"/>
        <v>1</v>
      </c>
      <c r="P2789">
        <v>1</v>
      </c>
      <c r="Q2789">
        <f t="shared" si="392"/>
        <v>78730</v>
      </c>
      <c r="R2789" s="2">
        <f t="shared" si="393"/>
        <v>39365</v>
      </c>
      <c r="S2789" s="2" t="str">
        <f t="shared" si="394"/>
        <v xml:space="preserve"> Not Achieved</v>
      </c>
      <c r="T2789" s="2" t="str">
        <f t="shared" si="395"/>
        <v xml:space="preserve"> Excellent</v>
      </c>
      <c r="U2789" s="2"/>
    </row>
    <row r="2790" spans="1:21" x14ac:dyDescent="0.3">
      <c r="A2790">
        <v>2789</v>
      </c>
      <c r="B2790" t="s">
        <v>3853</v>
      </c>
      <c r="C2790" t="str">
        <f t="shared" si="387"/>
        <v>EMP_2789</v>
      </c>
      <c r="D2790" t="s">
        <v>11</v>
      </c>
      <c r="E2790" t="str">
        <f t="shared" si="388"/>
        <v>EMP_2789IT</v>
      </c>
      <c r="F2790" t="s">
        <v>21</v>
      </c>
      <c r="G2790" t="s">
        <v>25</v>
      </c>
      <c r="H2790">
        <v>50130</v>
      </c>
      <c r="I2790">
        <v>8683</v>
      </c>
      <c r="J2790">
        <v>0</v>
      </c>
      <c r="K2790">
        <v>0</v>
      </c>
      <c r="L2790" s="4">
        <v>43870</v>
      </c>
      <c r="M2790" s="4" t="str">
        <f t="shared" si="389"/>
        <v>2020</v>
      </c>
      <c r="N2790" s="1">
        <f t="shared" ca="1" si="390"/>
        <v>46064</v>
      </c>
      <c r="O2790" s="6">
        <f t="shared" ca="1" si="391"/>
        <v>6</v>
      </c>
      <c r="P2790">
        <v>2</v>
      </c>
      <c r="Q2790">
        <f t="shared" si="392"/>
        <v>58813</v>
      </c>
      <c r="R2790" s="2">
        <f t="shared" si="393"/>
        <v>29406.5</v>
      </c>
      <c r="S2790" s="2" t="str">
        <f t="shared" si="394"/>
        <v xml:space="preserve"> Not Achieved</v>
      </c>
      <c r="T2790" s="2" t="str">
        <f t="shared" si="395"/>
        <v xml:space="preserve"> Excellent</v>
      </c>
      <c r="U2790" s="2"/>
    </row>
    <row r="2791" spans="1:21" x14ac:dyDescent="0.3">
      <c r="A2791">
        <v>2790</v>
      </c>
      <c r="B2791" t="s">
        <v>3854</v>
      </c>
      <c r="C2791" t="str">
        <f t="shared" si="387"/>
        <v>EMP_2790</v>
      </c>
      <c r="D2791" t="s">
        <v>15</v>
      </c>
      <c r="E2791" t="str">
        <f t="shared" si="388"/>
        <v>EMP_2790Marketing</v>
      </c>
      <c r="F2791" t="s">
        <v>24</v>
      </c>
      <c r="G2791" t="s">
        <v>16</v>
      </c>
      <c r="H2791">
        <v>79881</v>
      </c>
      <c r="I2791">
        <v>4311</v>
      </c>
      <c r="J2791">
        <v>0</v>
      </c>
      <c r="K2791">
        <v>0</v>
      </c>
      <c r="L2791" s="4" t="s">
        <v>3451</v>
      </c>
      <c r="M2791" s="4" t="str">
        <f t="shared" si="389"/>
        <v>3/24/2022</v>
      </c>
      <c r="N2791" s="1">
        <f t="shared" ca="1" si="390"/>
        <v>46064</v>
      </c>
      <c r="O2791" s="6" t="e">
        <f t="shared" ca="1" si="391"/>
        <v>#VALUE!</v>
      </c>
      <c r="P2791">
        <v>1</v>
      </c>
      <c r="Q2791">
        <f t="shared" si="392"/>
        <v>84192</v>
      </c>
      <c r="R2791" s="2">
        <f t="shared" si="393"/>
        <v>42096</v>
      </c>
      <c r="S2791" s="2" t="str">
        <f t="shared" si="394"/>
        <v xml:space="preserve"> Not Achieved</v>
      </c>
      <c r="T2791" s="2" t="str">
        <f t="shared" si="395"/>
        <v xml:space="preserve"> Excellent</v>
      </c>
      <c r="U2791" s="2"/>
    </row>
    <row r="2792" spans="1:21" x14ac:dyDescent="0.3">
      <c r="A2792">
        <v>2791</v>
      </c>
      <c r="B2792" t="s">
        <v>3855</v>
      </c>
      <c r="C2792" t="str">
        <f t="shared" si="387"/>
        <v>EMP_2791</v>
      </c>
      <c r="D2792" t="s">
        <v>15</v>
      </c>
      <c r="E2792" t="str">
        <f t="shared" si="388"/>
        <v>EMP_2791Finance</v>
      </c>
      <c r="F2792" t="s">
        <v>18</v>
      </c>
      <c r="G2792" t="s">
        <v>16</v>
      </c>
      <c r="H2792">
        <v>43081</v>
      </c>
      <c r="I2792">
        <v>7868</v>
      </c>
      <c r="J2792">
        <v>0</v>
      </c>
      <c r="K2792">
        <v>0</v>
      </c>
      <c r="L2792" s="4">
        <v>43322</v>
      </c>
      <c r="M2792" s="4" t="str">
        <f t="shared" si="389"/>
        <v>2018</v>
      </c>
      <c r="N2792" s="1">
        <f t="shared" ca="1" si="390"/>
        <v>46064</v>
      </c>
      <c r="O2792" s="6">
        <f t="shared" ca="1" si="391"/>
        <v>7</v>
      </c>
      <c r="P2792">
        <v>5</v>
      </c>
      <c r="Q2792">
        <f t="shared" si="392"/>
        <v>50949</v>
      </c>
      <c r="R2792" s="2">
        <f t="shared" si="393"/>
        <v>25474.5</v>
      </c>
      <c r="S2792" s="2" t="str">
        <f t="shared" si="394"/>
        <v xml:space="preserve"> Not Achieved</v>
      </c>
      <c r="T2792" s="2" t="str">
        <f t="shared" si="395"/>
        <v>Good</v>
      </c>
      <c r="U2792" s="2"/>
    </row>
    <row r="2793" spans="1:21" x14ac:dyDescent="0.3">
      <c r="A2793">
        <v>2792</v>
      </c>
      <c r="B2793" t="s">
        <v>3856</v>
      </c>
      <c r="C2793" t="str">
        <f t="shared" si="387"/>
        <v>EMP_2792</v>
      </c>
      <c r="D2793" t="s">
        <v>11</v>
      </c>
      <c r="E2793" t="str">
        <f t="shared" si="388"/>
        <v>EMP_2792Sales</v>
      </c>
      <c r="F2793" t="s">
        <v>7</v>
      </c>
      <c r="G2793" t="s">
        <v>16</v>
      </c>
      <c r="H2793">
        <v>67640</v>
      </c>
      <c r="I2793">
        <v>8752</v>
      </c>
      <c r="J2793">
        <v>186304</v>
      </c>
      <c r="K2793">
        <v>90973</v>
      </c>
      <c r="L2793" s="4" t="s">
        <v>839</v>
      </c>
      <c r="M2793" s="4" t="str">
        <f t="shared" si="389"/>
        <v>7/22/2022</v>
      </c>
      <c r="N2793" s="1">
        <f t="shared" ca="1" si="390"/>
        <v>46064</v>
      </c>
      <c r="O2793" s="6" t="e">
        <f t="shared" ca="1" si="391"/>
        <v>#VALUE!</v>
      </c>
      <c r="P2793">
        <v>4</v>
      </c>
      <c r="Q2793">
        <f t="shared" si="392"/>
        <v>76392</v>
      </c>
      <c r="R2793" s="2">
        <f t="shared" si="393"/>
        <v>38196</v>
      </c>
      <c r="S2793" s="2" t="str">
        <f t="shared" si="394"/>
        <v>Achieved</v>
      </c>
      <c r="T2793" s="2" t="str">
        <f t="shared" si="395"/>
        <v xml:space="preserve"> Excellent</v>
      </c>
      <c r="U2793" s="2"/>
    </row>
    <row r="2794" spans="1:21" x14ac:dyDescent="0.3">
      <c r="A2794">
        <v>2793</v>
      </c>
      <c r="B2794" t="s">
        <v>3857</v>
      </c>
      <c r="C2794" t="str">
        <f t="shared" si="387"/>
        <v>EMP_2793</v>
      </c>
      <c r="D2794" t="s">
        <v>11</v>
      </c>
      <c r="E2794" t="str">
        <f t="shared" si="388"/>
        <v>EMP_2793IT</v>
      </c>
      <c r="F2794" t="s">
        <v>21</v>
      </c>
      <c r="G2794" t="s">
        <v>16</v>
      </c>
      <c r="H2794">
        <v>47730</v>
      </c>
      <c r="I2794">
        <v>8170</v>
      </c>
      <c r="J2794">
        <v>0</v>
      </c>
      <c r="K2794">
        <v>0</v>
      </c>
      <c r="L2794" s="4" t="s">
        <v>3858</v>
      </c>
      <c r="M2794" s="4" t="str">
        <f t="shared" si="389"/>
        <v>8/19/2018</v>
      </c>
      <c r="N2794" s="1">
        <f t="shared" ca="1" si="390"/>
        <v>46064</v>
      </c>
      <c r="O2794" s="6" t="e">
        <f t="shared" ca="1" si="391"/>
        <v>#VALUE!</v>
      </c>
      <c r="P2794">
        <v>2</v>
      </c>
      <c r="Q2794">
        <f t="shared" si="392"/>
        <v>55900</v>
      </c>
      <c r="R2794" s="2">
        <f t="shared" si="393"/>
        <v>27950</v>
      </c>
      <c r="S2794" s="2" t="str">
        <f t="shared" si="394"/>
        <v xml:space="preserve"> Not Achieved</v>
      </c>
      <c r="T2794" s="2" t="str">
        <f t="shared" si="395"/>
        <v>Good</v>
      </c>
      <c r="U2794" s="2"/>
    </row>
    <row r="2795" spans="1:21" x14ac:dyDescent="0.3">
      <c r="A2795">
        <v>2794</v>
      </c>
      <c r="B2795" t="s">
        <v>3859</v>
      </c>
      <c r="C2795" t="str">
        <f t="shared" si="387"/>
        <v>EMP_2794</v>
      </c>
      <c r="D2795" t="s">
        <v>11</v>
      </c>
      <c r="E2795" t="str">
        <f t="shared" si="388"/>
        <v>EMP_2794Marketing</v>
      </c>
      <c r="F2795" t="s">
        <v>24</v>
      </c>
      <c r="G2795" t="s">
        <v>13</v>
      </c>
      <c r="H2795">
        <v>29908</v>
      </c>
      <c r="I2795">
        <v>10128</v>
      </c>
      <c r="J2795">
        <v>0</v>
      </c>
      <c r="K2795">
        <v>0</v>
      </c>
      <c r="L2795" s="4" t="s">
        <v>2581</v>
      </c>
      <c r="M2795" s="4" t="str">
        <f t="shared" si="389"/>
        <v>3/21/2018</v>
      </c>
      <c r="N2795" s="1">
        <f t="shared" ca="1" si="390"/>
        <v>46064</v>
      </c>
      <c r="O2795" s="6" t="e">
        <f t="shared" ca="1" si="391"/>
        <v>#VALUE!</v>
      </c>
      <c r="P2795">
        <v>2</v>
      </c>
      <c r="Q2795">
        <f t="shared" si="392"/>
        <v>40036</v>
      </c>
      <c r="R2795" s="2">
        <f t="shared" si="393"/>
        <v>20018</v>
      </c>
      <c r="S2795" s="2" t="str">
        <f t="shared" si="394"/>
        <v xml:space="preserve"> Not Achieved</v>
      </c>
      <c r="T2795" s="2" t="str">
        <f t="shared" si="395"/>
        <v>poor</v>
      </c>
      <c r="U2795" s="2"/>
    </row>
    <row r="2796" spans="1:21" x14ac:dyDescent="0.3">
      <c r="A2796">
        <v>2795</v>
      </c>
      <c r="B2796" t="s">
        <v>3860</v>
      </c>
      <c r="C2796" t="str">
        <f t="shared" si="387"/>
        <v>EMP_2795</v>
      </c>
      <c r="D2796" t="s">
        <v>15</v>
      </c>
      <c r="E2796" t="str">
        <f t="shared" si="388"/>
        <v>EMP_2795Finance</v>
      </c>
      <c r="F2796" t="s">
        <v>18</v>
      </c>
      <c r="G2796" t="s">
        <v>19</v>
      </c>
      <c r="H2796">
        <v>42567</v>
      </c>
      <c r="I2796">
        <v>8052</v>
      </c>
      <c r="J2796">
        <v>0</v>
      </c>
      <c r="K2796">
        <v>0</v>
      </c>
      <c r="L2796" s="4">
        <v>44811</v>
      </c>
      <c r="M2796" s="4" t="str">
        <f t="shared" si="389"/>
        <v>2022</v>
      </c>
      <c r="N2796" s="1">
        <f t="shared" ca="1" si="390"/>
        <v>46064</v>
      </c>
      <c r="O2796" s="6">
        <f t="shared" ca="1" si="391"/>
        <v>3</v>
      </c>
      <c r="P2796">
        <v>3</v>
      </c>
      <c r="Q2796">
        <f t="shared" si="392"/>
        <v>50619</v>
      </c>
      <c r="R2796" s="2">
        <f t="shared" si="393"/>
        <v>25309.5</v>
      </c>
      <c r="S2796" s="2" t="str">
        <f t="shared" si="394"/>
        <v xml:space="preserve"> Not Achieved</v>
      </c>
      <c r="T2796" s="2" t="str">
        <f t="shared" si="395"/>
        <v>Good</v>
      </c>
      <c r="U2796" s="2"/>
    </row>
    <row r="2797" spans="1:21" x14ac:dyDescent="0.3">
      <c r="A2797">
        <v>2796</v>
      </c>
      <c r="B2797" t="s">
        <v>3861</v>
      </c>
      <c r="C2797" t="str">
        <f t="shared" si="387"/>
        <v>EMP_2796</v>
      </c>
      <c r="D2797" t="s">
        <v>11</v>
      </c>
      <c r="E2797" t="str">
        <f t="shared" si="388"/>
        <v>EMP_2796Marketing</v>
      </c>
      <c r="F2797" t="s">
        <v>24</v>
      </c>
      <c r="G2797" t="s">
        <v>13</v>
      </c>
      <c r="H2797">
        <v>77025</v>
      </c>
      <c r="I2797">
        <v>13533</v>
      </c>
      <c r="J2797">
        <v>0</v>
      </c>
      <c r="K2797">
        <v>0</v>
      </c>
      <c r="L2797" s="4" t="s">
        <v>3862</v>
      </c>
      <c r="M2797" s="4" t="str">
        <f t="shared" si="389"/>
        <v>2/19/2020</v>
      </c>
      <c r="N2797" s="1">
        <f t="shared" ca="1" si="390"/>
        <v>46064</v>
      </c>
      <c r="O2797" s="6" t="e">
        <f t="shared" ca="1" si="391"/>
        <v>#VALUE!</v>
      </c>
      <c r="P2797">
        <v>4</v>
      </c>
      <c r="Q2797">
        <f t="shared" si="392"/>
        <v>90558</v>
      </c>
      <c r="R2797" s="2">
        <f t="shared" si="393"/>
        <v>45279</v>
      </c>
      <c r="S2797" s="2" t="str">
        <f t="shared" si="394"/>
        <v xml:space="preserve"> Not Achieved</v>
      </c>
      <c r="T2797" s="2" t="str">
        <f t="shared" si="395"/>
        <v xml:space="preserve"> Excellent</v>
      </c>
      <c r="U2797" s="2"/>
    </row>
    <row r="2798" spans="1:21" x14ac:dyDescent="0.3">
      <c r="A2798">
        <v>2797</v>
      </c>
      <c r="B2798" t="s">
        <v>3863</v>
      </c>
      <c r="C2798" t="str">
        <f t="shared" si="387"/>
        <v>EMP_2797</v>
      </c>
      <c r="D2798" t="s">
        <v>11</v>
      </c>
      <c r="E2798" t="str">
        <f t="shared" si="388"/>
        <v>EMP_2797HR</v>
      </c>
      <c r="F2798" t="s">
        <v>12</v>
      </c>
      <c r="G2798" t="s">
        <v>22</v>
      </c>
      <c r="H2798">
        <v>30929</v>
      </c>
      <c r="I2798">
        <v>7361</v>
      </c>
      <c r="J2798">
        <v>0</v>
      </c>
      <c r="K2798">
        <v>0</v>
      </c>
      <c r="L2798" s="4">
        <v>44509</v>
      </c>
      <c r="M2798" s="4" t="str">
        <f t="shared" si="389"/>
        <v>2021</v>
      </c>
      <c r="N2798" s="1">
        <f t="shared" ca="1" si="390"/>
        <v>46064</v>
      </c>
      <c r="O2798" s="6">
        <f t="shared" ca="1" si="391"/>
        <v>4</v>
      </c>
      <c r="P2798">
        <v>5</v>
      </c>
      <c r="Q2798">
        <f t="shared" si="392"/>
        <v>38290</v>
      </c>
      <c r="R2798" s="2">
        <f t="shared" si="393"/>
        <v>19145</v>
      </c>
      <c r="S2798" s="2" t="str">
        <f t="shared" si="394"/>
        <v xml:space="preserve"> Not Achieved</v>
      </c>
      <c r="T2798" s="2" t="str">
        <f t="shared" si="395"/>
        <v>Average</v>
      </c>
      <c r="U2798" s="2"/>
    </row>
    <row r="2799" spans="1:21" x14ac:dyDescent="0.3">
      <c r="A2799">
        <v>2798</v>
      </c>
      <c r="B2799" t="s">
        <v>3864</v>
      </c>
      <c r="C2799" t="str">
        <f t="shared" si="387"/>
        <v>EMP_2798</v>
      </c>
      <c r="D2799" t="s">
        <v>15</v>
      </c>
      <c r="E2799" t="str">
        <f t="shared" si="388"/>
        <v>EMP_2798Finance</v>
      </c>
      <c r="F2799" t="s">
        <v>18</v>
      </c>
      <c r="G2799" t="s">
        <v>16</v>
      </c>
      <c r="H2799">
        <v>74383</v>
      </c>
      <c r="I2799">
        <v>2215</v>
      </c>
      <c r="J2799">
        <v>0</v>
      </c>
      <c r="K2799">
        <v>0</v>
      </c>
      <c r="L2799" s="4">
        <v>43739</v>
      </c>
      <c r="M2799" s="4" t="str">
        <f t="shared" si="389"/>
        <v>2019</v>
      </c>
      <c r="N2799" s="1">
        <f t="shared" ca="1" si="390"/>
        <v>46064</v>
      </c>
      <c r="O2799" s="6">
        <f t="shared" ca="1" si="391"/>
        <v>6</v>
      </c>
      <c r="P2799">
        <v>2</v>
      </c>
      <c r="Q2799">
        <f t="shared" si="392"/>
        <v>76598</v>
      </c>
      <c r="R2799" s="2">
        <f t="shared" si="393"/>
        <v>38299</v>
      </c>
      <c r="S2799" s="2" t="str">
        <f t="shared" si="394"/>
        <v xml:space="preserve"> Not Achieved</v>
      </c>
      <c r="T2799" s="2" t="str">
        <f t="shared" si="395"/>
        <v xml:space="preserve"> Excellent</v>
      </c>
      <c r="U2799" s="2"/>
    </row>
    <row r="2800" spans="1:21" x14ac:dyDescent="0.3">
      <c r="A2800">
        <v>2799</v>
      </c>
      <c r="B2800" t="s">
        <v>3865</v>
      </c>
      <c r="C2800" t="str">
        <f t="shared" si="387"/>
        <v>EMP_2799</v>
      </c>
      <c r="D2800" t="s">
        <v>15</v>
      </c>
      <c r="E2800" t="str">
        <f t="shared" si="388"/>
        <v>EMP_2799Finance</v>
      </c>
      <c r="F2800" t="s">
        <v>18</v>
      </c>
      <c r="G2800" t="s">
        <v>16</v>
      </c>
      <c r="H2800">
        <v>35470</v>
      </c>
      <c r="I2800">
        <v>9495</v>
      </c>
      <c r="J2800">
        <v>0</v>
      </c>
      <c r="K2800">
        <v>0</v>
      </c>
      <c r="L2800" s="4" t="s">
        <v>1596</v>
      </c>
      <c r="M2800" s="4" t="str">
        <f t="shared" si="389"/>
        <v>9/24/2024</v>
      </c>
      <c r="N2800" s="1">
        <f t="shared" ca="1" si="390"/>
        <v>46064</v>
      </c>
      <c r="O2800" s="6" t="e">
        <f t="shared" ca="1" si="391"/>
        <v>#VALUE!</v>
      </c>
      <c r="P2800">
        <v>1</v>
      </c>
      <c r="Q2800">
        <f t="shared" si="392"/>
        <v>44965</v>
      </c>
      <c r="R2800" s="2">
        <f t="shared" si="393"/>
        <v>22482.5</v>
      </c>
      <c r="S2800" s="2" t="str">
        <f t="shared" si="394"/>
        <v xml:space="preserve"> Not Achieved</v>
      </c>
      <c r="T2800" s="2" t="str">
        <f t="shared" si="395"/>
        <v>Average</v>
      </c>
      <c r="U2800" s="2"/>
    </row>
    <row r="2801" spans="1:21" x14ac:dyDescent="0.3">
      <c r="A2801">
        <v>2800</v>
      </c>
      <c r="B2801" t="s">
        <v>3866</v>
      </c>
      <c r="C2801" t="str">
        <f t="shared" si="387"/>
        <v>EMP_2800</v>
      </c>
      <c r="D2801" t="s">
        <v>11</v>
      </c>
      <c r="E2801" t="str">
        <f t="shared" si="388"/>
        <v>EMP_2800Finance</v>
      </c>
      <c r="F2801" t="s">
        <v>18</v>
      </c>
      <c r="G2801" t="s">
        <v>16</v>
      </c>
      <c r="H2801">
        <v>72367</v>
      </c>
      <c r="I2801">
        <v>11601</v>
      </c>
      <c r="J2801">
        <v>0</v>
      </c>
      <c r="K2801">
        <v>0</v>
      </c>
      <c r="L2801" s="4" t="s">
        <v>2858</v>
      </c>
      <c r="M2801" s="4" t="str">
        <f t="shared" si="389"/>
        <v>2/18/2019</v>
      </c>
      <c r="N2801" s="1">
        <f t="shared" ca="1" si="390"/>
        <v>46064</v>
      </c>
      <c r="O2801" s="6" t="e">
        <f t="shared" ca="1" si="391"/>
        <v>#VALUE!</v>
      </c>
      <c r="P2801">
        <v>1</v>
      </c>
      <c r="Q2801">
        <f t="shared" si="392"/>
        <v>83968</v>
      </c>
      <c r="R2801" s="2">
        <f t="shared" si="393"/>
        <v>41984</v>
      </c>
      <c r="S2801" s="2" t="str">
        <f t="shared" si="394"/>
        <v xml:space="preserve"> Not Achieved</v>
      </c>
      <c r="T2801" s="2" t="str">
        <f t="shared" si="395"/>
        <v xml:space="preserve"> Excellent</v>
      </c>
      <c r="U2801" s="2"/>
    </row>
    <row r="2802" spans="1:21" x14ac:dyDescent="0.3">
      <c r="A2802">
        <v>2801</v>
      </c>
      <c r="B2802" t="s">
        <v>3867</v>
      </c>
      <c r="C2802" t="str">
        <f t="shared" si="387"/>
        <v>EMP_2801</v>
      </c>
      <c r="D2802" t="s">
        <v>11</v>
      </c>
      <c r="E2802" t="str">
        <f t="shared" si="388"/>
        <v>EMP_2801HR</v>
      </c>
      <c r="F2802" t="s">
        <v>12</v>
      </c>
      <c r="G2802" t="s">
        <v>13</v>
      </c>
      <c r="H2802">
        <v>28233</v>
      </c>
      <c r="I2802">
        <v>3354</v>
      </c>
      <c r="J2802">
        <v>0</v>
      </c>
      <c r="K2802">
        <v>0</v>
      </c>
      <c r="L2802" s="4" t="s">
        <v>2901</v>
      </c>
      <c r="M2802" s="4" t="str">
        <f t="shared" si="389"/>
        <v>2/19/2022</v>
      </c>
      <c r="N2802" s="1">
        <f t="shared" ca="1" si="390"/>
        <v>46064</v>
      </c>
      <c r="O2802" s="6" t="e">
        <f t="shared" ca="1" si="391"/>
        <v>#VALUE!</v>
      </c>
      <c r="P2802">
        <v>5</v>
      </c>
      <c r="Q2802">
        <f t="shared" si="392"/>
        <v>31587</v>
      </c>
      <c r="R2802" s="2">
        <f t="shared" si="393"/>
        <v>15793.5</v>
      </c>
      <c r="S2802" s="2" t="str">
        <f t="shared" si="394"/>
        <v xml:space="preserve"> Not Achieved</v>
      </c>
      <c r="T2802" s="2" t="str">
        <f t="shared" si="395"/>
        <v>poor</v>
      </c>
      <c r="U2802" s="2"/>
    </row>
    <row r="2803" spans="1:21" x14ac:dyDescent="0.3">
      <c r="A2803">
        <v>2802</v>
      </c>
      <c r="B2803" t="s">
        <v>3868</v>
      </c>
      <c r="C2803" t="str">
        <f t="shared" si="387"/>
        <v>EMP_2802</v>
      </c>
      <c r="D2803" t="s">
        <v>15</v>
      </c>
      <c r="E2803" t="str">
        <f t="shared" si="388"/>
        <v>EMP_2802Marketing</v>
      </c>
      <c r="F2803" t="s">
        <v>24</v>
      </c>
      <c r="G2803" t="s">
        <v>22</v>
      </c>
      <c r="H2803">
        <v>72847</v>
      </c>
      <c r="I2803">
        <v>12567</v>
      </c>
      <c r="J2803">
        <v>0</v>
      </c>
      <c r="K2803">
        <v>0</v>
      </c>
      <c r="L2803" s="4" t="s">
        <v>2760</v>
      </c>
      <c r="M2803" s="4" t="str">
        <f t="shared" si="389"/>
        <v>4/24/2019</v>
      </c>
      <c r="N2803" s="1">
        <f t="shared" ca="1" si="390"/>
        <v>46064</v>
      </c>
      <c r="O2803" s="6" t="e">
        <f t="shared" ca="1" si="391"/>
        <v>#VALUE!</v>
      </c>
      <c r="P2803">
        <v>4</v>
      </c>
      <c r="Q2803">
        <f t="shared" si="392"/>
        <v>85414</v>
      </c>
      <c r="R2803" s="2">
        <f t="shared" si="393"/>
        <v>42707</v>
      </c>
      <c r="S2803" s="2" t="str">
        <f t="shared" si="394"/>
        <v xml:space="preserve"> Not Achieved</v>
      </c>
      <c r="T2803" s="2" t="str">
        <f t="shared" si="395"/>
        <v xml:space="preserve"> Excellent</v>
      </c>
      <c r="U2803" s="2"/>
    </row>
    <row r="2804" spans="1:21" x14ac:dyDescent="0.3">
      <c r="A2804">
        <v>2803</v>
      </c>
      <c r="B2804" t="s">
        <v>3869</v>
      </c>
      <c r="C2804" t="str">
        <f t="shared" si="387"/>
        <v>EMP_2803</v>
      </c>
      <c r="D2804" t="s">
        <v>15</v>
      </c>
      <c r="E2804" t="str">
        <f t="shared" si="388"/>
        <v>EMP_2803Sales</v>
      </c>
      <c r="F2804" t="s">
        <v>7</v>
      </c>
      <c r="G2804" t="s">
        <v>25</v>
      </c>
      <c r="H2804">
        <v>38695</v>
      </c>
      <c r="I2804">
        <v>12130</v>
      </c>
      <c r="J2804">
        <v>253245</v>
      </c>
      <c r="K2804">
        <v>249673</v>
      </c>
      <c r="L2804" s="4" t="s">
        <v>2749</v>
      </c>
      <c r="M2804" s="4" t="str">
        <f t="shared" si="389"/>
        <v>8/16/2022</v>
      </c>
      <c r="N2804" s="1">
        <f t="shared" ca="1" si="390"/>
        <v>46064</v>
      </c>
      <c r="O2804" s="6" t="e">
        <f t="shared" ca="1" si="391"/>
        <v>#VALUE!</v>
      </c>
      <c r="P2804">
        <v>5</v>
      </c>
      <c r="Q2804">
        <f t="shared" si="392"/>
        <v>50825</v>
      </c>
      <c r="R2804" s="2">
        <f t="shared" si="393"/>
        <v>25412.5</v>
      </c>
      <c r="S2804" s="2" t="str">
        <f t="shared" si="394"/>
        <v>Achieved</v>
      </c>
      <c r="T2804" s="2" t="str">
        <f t="shared" si="395"/>
        <v>Average</v>
      </c>
      <c r="U2804" s="2"/>
    </row>
    <row r="2805" spans="1:21" x14ac:dyDescent="0.3">
      <c r="A2805">
        <v>2804</v>
      </c>
      <c r="B2805" t="s">
        <v>3870</v>
      </c>
      <c r="C2805" t="str">
        <f t="shared" si="387"/>
        <v>EMP_2804</v>
      </c>
      <c r="D2805" t="s">
        <v>15</v>
      </c>
      <c r="E2805" t="str">
        <f t="shared" si="388"/>
        <v>EMP_2804IT</v>
      </c>
      <c r="F2805" t="s">
        <v>21</v>
      </c>
      <c r="G2805" t="s">
        <v>13</v>
      </c>
      <c r="H2805">
        <v>58821</v>
      </c>
      <c r="I2805">
        <v>4773</v>
      </c>
      <c r="J2805">
        <v>0</v>
      </c>
      <c r="K2805">
        <v>0</v>
      </c>
      <c r="L2805" s="4" t="s">
        <v>2209</v>
      </c>
      <c r="M2805" s="4" t="str">
        <f t="shared" si="389"/>
        <v>1/25/2024</v>
      </c>
      <c r="N2805" s="1">
        <f t="shared" ca="1" si="390"/>
        <v>46064</v>
      </c>
      <c r="O2805" s="6" t="e">
        <f t="shared" ca="1" si="391"/>
        <v>#VALUE!</v>
      </c>
      <c r="P2805">
        <v>2</v>
      </c>
      <c r="Q2805">
        <f t="shared" si="392"/>
        <v>63594</v>
      </c>
      <c r="R2805" s="2">
        <f t="shared" si="393"/>
        <v>31797</v>
      </c>
      <c r="S2805" s="2" t="str">
        <f t="shared" si="394"/>
        <v xml:space="preserve"> Not Achieved</v>
      </c>
      <c r="T2805" s="2" t="str">
        <f t="shared" si="395"/>
        <v xml:space="preserve"> Excellent</v>
      </c>
      <c r="U2805" s="2"/>
    </row>
    <row r="2806" spans="1:21" x14ac:dyDescent="0.3">
      <c r="A2806">
        <v>2805</v>
      </c>
      <c r="B2806" t="s">
        <v>3871</v>
      </c>
      <c r="C2806" t="str">
        <f t="shared" si="387"/>
        <v>EMP_2805</v>
      </c>
      <c r="D2806" t="s">
        <v>11</v>
      </c>
      <c r="E2806" t="str">
        <f t="shared" si="388"/>
        <v>EMP_2805Finance</v>
      </c>
      <c r="F2806" t="s">
        <v>18</v>
      </c>
      <c r="G2806" t="s">
        <v>19</v>
      </c>
      <c r="H2806">
        <v>63090</v>
      </c>
      <c r="I2806">
        <v>6027</v>
      </c>
      <c r="J2806">
        <v>0</v>
      </c>
      <c r="K2806">
        <v>0</v>
      </c>
      <c r="L2806" s="4">
        <v>45576</v>
      </c>
      <c r="M2806" s="4" t="str">
        <f t="shared" si="389"/>
        <v>2024</v>
      </c>
      <c r="N2806" s="1">
        <f t="shared" ca="1" si="390"/>
        <v>46064</v>
      </c>
      <c r="O2806" s="6">
        <f t="shared" ca="1" si="391"/>
        <v>1</v>
      </c>
      <c r="P2806">
        <v>4</v>
      </c>
      <c r="Q2806">
        <f t="shared" si="392"/>
        <v>69117</v>
      </c>
      <c r="R2806" s="2">
        <f t="shared" si="393"/>
        <v>34558.5</v>
      </c>
      <c r="S2806" s="2" t="str">
        <f t="shared" si="394"/>
        <v xml:space="preserve"> Not Achieved</v>
      </c>
      <c r="T2806" s="2" t="str">
        <f t="shared" si="395"/>
        <v xml:space="preserve"> Excellent</v>
      </c>
      <c r="U2806" s="2"/>
    </row>
    <row r="2807" spans="1:21" x14ac:dyDescent="0.3">
      <c r="A2807">
        <v>2806</v>
      </c>
      <c r="B2807" t="s">
        <v>3872</v>
      </c>
      <c r="C2807" t="str">
        <f t="shared" si="387"/>
        <v>EMP_2806</v>
      </c>
      <c r="D2807" t="s">
        <v>11</v>
      </c>
      <c r="E2807" t="str">
        <f t="shared" si="388"/>
        <v>EMP_2806HR</v>
      </c>
      <c r="F2807" t="s">
        <v>12</v>
      </c>
      <c r="G2807" t="s">
        <v>13</v>
      </c>
      <c r="H2807">
        <v>46375</v>
      </c>
      <c r="I2807">
        <v>3001</v>
      </c>
      <c r="J2807">
        <v>0</v>
      </c>
      <c r="K2807">
        <v>0</v>
      </c>
      <c r="L2807" s="4">
        <v>45573</v>
      </c>
      <c r="M2807" s="4" t="str">
        <f t="shared" si="389"/>
        <v>2024</v>
      </c>
      <c r="N2807" s="1">
        <f t="shared" ca="1" si="390"/>
        <v>46064</v>
      </c>
      <c r="O2807" s="6">
        <f t="shared" ca="1" si="391"/>
        <v>1</v>
      </c>
      <c r="P2807">
        <v>5</v>
      </c>
      <c r="Q2807">
        <f t="shared" si="392"/>
        <v>49376</v>
      </c>
      <c r="R2807" s="2">
        <f t="shared" si="393"/>
        <v>24688</v>
      </c>
      <c r="S2807" s="2" t="str">
        <f t="shared" si="394"/>
        <v xml:space="preserve"> Not Achieved</v>
      </c>
      <c r="T2807" s="2" t="str">
        <f t="shared" si="395"/>
        <v>Good</v>
      </c>
      <c r="U2807" s="2"/>
    </row>
    <row r="2808" spans="1:21" x14ac:dyDescent="0.3">
      <c r="A2808">
        <v>2807</v>
      </c>
      <c r="B2808" t="s">
        <v>3873</v>
      </c>
      <c r="C2808" t="str">
        <f t="shared" si="387"/>
        <v>EMP_2807</v>
      </c>
      <c r="D2808" t="s">
        <v>11</v>
      </c>
      <c r="E2808" t="str">
        <f t="shared" si="388"/>
        <v>EMP_2807Finance</v>
      </c>
      <c r="F2808" t="s">
        <v>18</v>
      </c>
      <c r="G2808" t="s">
        <v>22</v>
      </c>
      <c r="H2808">
        <v>59324</v>
      </c>
      <c r="I2808">
        <v>12421</v>
      </c>
      <c r="J2808">
        <v>0</v>
      </c>
      <c r="K2808">
        <v>0</v>
      </c>
      <c r="L2808" s="4">
        <v>43804</v>
      </c>
      <c r="M2808" s="4" t="str">
        <f t="shared" si="389"/>
        <v>2019</v>
      </c>
      <c r="N2808" s="1">
        <f t="shared" ca="1" si="390"/>
        <v>46064</v>
      </c>
      <c r="O2808" s="6">
        <f t="shared" ca="1" si="391"/>
        <v>6</v>
      </c>
      <c r="P2808">
        <v>2</v>
      </c>
      <c r="Q2808">
        <f t="shared" si="392"/>
        <v>71745</v>
      </c>
      <c r="R2808" s="2">
        <f t="shared" si="393"/>
        <v>35872.5</v>
      </c>
      <c r="S2808" s="2" t="str">
        <f t="shared" si="394"/>
        <v xml:space="preserve"> Not Achieved</v>
      </c>
      <c r="T2808" s="2" t="str">
        <f t="shared" si="395"/>
        <v xml:space="preserve"> Excellent</v>
      </c>
      <c r="U2808" s="2"/>
    </row>
    <row r="2809" spans="1:21" x14ac:dyDescent="0.3">
      <c r="A2809">
        <v>2808</v>
      </c>
      <c r="B2809" t="s">
        <v>3874</v>
      </c>
      <c r="C2809" t="str">
        <f t="shared" si="387"/>
        <v>EMP_2808</v>
      </c>
      <c r="D2809" t="s">
        <v>11</v>
      </c>
      <c r="E2809" t="str">
        <f t="shared" si="388"/>
        <v>EMP_2808HR</v>
      </c>
      <c r="F2809" t="s">
        <v>12</v>
      </c>
      <c r="G2809" t="s">
        <v>19</v>
      </c>
      <c r="H2809">
        <v>53401</v>
      </c>
      <c r="I2809">
        <v>6806</v>
      </c>
      <c r="J2809">
        <v>0</v>
      </c>
      <c r="K2809">
        <v>0</v>
      </c>
      <c r="L2809" s="4" t="s">
        <v>3875</v>
      </c>
      <c r="M2809" s="4" t="str">
        <f t="shared" si="389"/>
        <v>7/30/2018</v>
      </c>
      <c r="N2809" s="1">
        <f t="shared" ca="1" si="390"/>
        <v>46064</v>
      </c>
      <c r="O2809" s="6" t="e">
        <f t="shared" ca="1" si="391"/>
        <v>#VALUE!</v>
      </c>
      <c r="P2809">
        <v>4</v>
      </c>
      <c r="Q2809">
        <f t="shared" si="392"/>
        <v>60207</v>
      </c>
      <c r="R2809" s="2">
        <f t="shared" si="393"/>
        <v>30103.5</v>
      </c>
      <c r="S2809" s="2" t="str">
        <f t="shared" si="394"/>
        <v xml:space="preserve"> Not Achieved</v>
      </c>
      <c r="T2809" s="2" t="str">
        <f t="shared" si="395"/>
        <v xml:space="preserve"> Excellent</v>
      </c>
      <c r="U2809" s="2"/>
    </row>
    <row r="2810" spans="1:21" x14ac:dyDescent="0.3">
      <c r="A2810">
        <v>2809</v>
      </c>
      <c r="B2810" t="s">
        <v>3876</v>
      </c>
      <c r="C2810" t="str">
        <f t="shared" si="387"/>
        <v>EMP_2809</v>
      </c>
      <c r="D2810" t="s">
        <v>15</v>
      </c>
      <c r="E2810" t="str">
        <f t="shared" si="388"/>
        <v>EMP_2809Marketing</v>
      </c>
      <c r="F2810" t="s">
        <v>24</v>
      </c>
      <c r="G2810" t="s">
        <v>16</v>
      </c>
      <c r="H2810">
        <v>46074</v>
      </c>
      <c r="I2810">
        <v>2285</v>
      </c>
      <c r="J2810">
        <v>0</v>
      </c>
      <c r="K2810">
        <v>0</v>
      </c>
      <c r="L2810" s="4" t="s">
        <v>3877</v>
      </c>
      <c r="M2810" s="4" t="str">
        <f t="shared" si="389"/>
        <v>4/16/2020</v>
      </c>
      <c r="N2810" s="1">
        <f t="shared" ca="1" si="390"/>
        <v>46064</v>
      </c>
      <c r="O2810" s="6" t="e">
        <f t="shared" ca="1" si="391"/>
        <v>#VALUE!</v>
      </c>
      <c r="P2810">
        <v>4</v>
      </c>
      <c r="Q2810">
        <f t="shared" si="392"/>
        <v>48359</v>
      </c>
      <c r="R2810" s="2">
        <f t="shared" si="393"/>
        <v>24179.5</v>
      </c>
      <c r="S2810" s="2" t="str">
        <f t="shared" si="394"/>
        <v xml:space="preserve"> Not Achieved</v>
      </c>
      <c r="T2810" s="2" t="str">
        <f t="shared" si="395"/>
        <v>Good</v>
      </c>
      <c r="U2810" s="2"/>
    </row>
    <row r="2811" spans="1:21" x14ac:dyDescent="0.3">
      <c r="A2811">
        <v>2810</v>
      </c>
      <c r="B2811" t="s">
        <v>3878</v>
      </c>
      <c r="C2811" t="str">
        <f t="shared" si="387"/>
        <v>EMP_2810</v>
      </c>
      <c r="D2811" t="s">
        <v>15</v>
      </c>
      <c r="E2811" t="str">
        <f t="shared" si="388"/>
        <v>EMP_2810IT</v>
      </c>
      <c r="F2811" t="s">
        <v>21</v>
      </c>
      <c r="G2811" t="s">
        <v>19</v>
      </c>
      <c r="H2811">
        <v>49431</v>
      </c>
      <c r="I2811">
        <v>2595</v>
      </c>
      <c r="J2811">
        <v>0</v>
      </c>
      <c r="K2811">
        <v>0</v>
      </c>
      <c r="L2811" s="4" t="s">
        <v>397</v>
      </c>
      <c r="M2811" s="4" t="str">
        <f t="shared" si="389"/>
        <v>2/17/2024</v>
      </c>
      <c r="N2811" s="1">
        <f t="shared" ca="1" si="390"/>
        <v>46064</v>
      </c>
      <c r="O2811" s="6" t="e">
        <f t="shared" ca="1" si="391"/>
        <v>#VALUE!</v>
      </c>
      <c r="P2811">
        <v>2</v>
      </c>
      <c r="Q2811">
        <f t="shared" si="392"/>
        <v>52026</v>
      </c>
      <c r="R2811" s="2">
        <f t="shared" si="393"/>
        <v>26013</v>
      </c>
      <c r="S2811" s="2" t="str">
        <f t="shared" si="394"/>
        <v xml:space="preserve"> Not Achieved</v>
      </c>
      <c r="T2811" s="2" t="str">
        <f t="shared" si="395"/>
        <v>Good</v>
      </c>
      <c r="U2811" s="2"/>
    </row>
    <row r="2812" spans="1:21" x14ac:dyDescent="0.3">
      <c r="A2812">
        <v>2811</v>
      </c>
      <c r="B2812" t="s">
        <v>3879</v>
      </c>
      <c r="C2812" t="str">
        <f t="shared" si="387"/>
        <v>EMP_2811</v>
      </c>
      <c r="D2812" t="s">
        <v>15</v>
      </c>
      <c r="E2812" t="str">
        <f t="shared" si="388"/>
        <v>EMP_2811HR</v>
      </c>
      <c r="F2812" t="s">
        <v>12</v>
      </c>
      <c r="G2812" t="s">
        <v>25</v>
      </c>
      <c r="H2812">
        <v>37711</v>
      </c>
      <c r="I2812">
        <v>5759</v>
      </c>
      <c r="J2812">
        <v>0</v>
      </c>
      <c r="K2812">
        <v>0</v>
      </c>
      <c r="L2812" s="4" t="s">
        <v>3880</v>
      </c>
      <c r="M2812" s="4" t="str">
        <f t="shared" si="389"/>
        <v>5/18/2019</v>
      </c>
      <c r="N2812" s="1">
        <f t="shared" ca="1" si="390"/>
        <v>46064</v>
      </c>
      <c r="O2812" s="6" t="e">
        <f t="shared" ca="1" si="391"/>
        <v>#VALUE!</v>
      </c>
      <c r="P2812">
        <v>1</v>
      </c>
      <c r="Q2812">
        <f t="shared" si="392"/>
        <v>43470</v>
      </c>
      <c r="R2812" s="2">
        <f t="shared" si="393"/>
        <v>21735</v>
      </c>
      <c r="S2812" s="2" t="str">
        <f t="shared" si="394"/>
        <v xml:space="preserve"> Not Achieved</v>
      </c>
      <c r="T2812" s="2" t="str">
        <f t="shared" si="395"/>
        <v>Average</v>
      </c>
      <c r="U2812" s="2"/>
    </row>
    <row r="2813" spans="1:21" x14ac:dyDescent="0.3">
      <c r="A2813">
        <v>2812</v>
      </c>
      <c r="B2813" t="s">
        <v>3881</v>
      </c>
      <c r="C2813" t="str">
        <f t="shared" si="387"/>
        <v>EMP_2812</v>
      </c>
      <c r="D2813" t="s">
        <v>11</v>
      </c>
      <c r="E2813" t="str">
        <f t="shared" si="388"/>
        <v>EMP_2812Marketing</v>
      </c>
      <c r="F2813" t="s">
        <v>24</v>
      </c>
      <c r="G2813" t="s">
        <v>25</v>
      </c>
      <c r="H2813">
        <v>71873</v>
      </c>
      <c r="I2813">
        <v>11694</v>
      </c>
      <c r="J2813">
        <v>0</v>
      </c>
      <c r="K2813">
        <v>0</v>
      </c>
      <c r="L2813" s="4" t="s">
        <v>3882</v>
      </c>
      <c r="M2813" s="4" t="str">
        <f t="shared" si="389"/>
        <v>3/19/2018</v>
      </c>
      <c r="N2813" s="1">
        <f t="shared" ca="1" si="390"/>
        <v>46064</v>
      </c>
      <c r="O2813" s="6" t="e">
        <f t="shared" ca="1" si="391"/>
        <v>#VALUE!</v>
      </c>
      <c r="P2813">
        <v>1</v>
      </c>
      <c r="Q2813">
        <f t="shared" si="392"/>
        <v>83567</v>
      </c>
      <c r="R2813" s="2">
        <f t="shared" si="393"/>
        <v>41783.5</v>
      </c>
      <c r="S2813" s="2" t="str">
        <f t="shared" si="394"/>
        <v xml:space="preserve"> Not Achieved</v>
      </c>
      <c r="T2813" s="2" t="str">
        <f t="shared" si="395"/>
        <v xml:space="preserve"> Excellent</v>
      </c>
      <c r="U2813" s="2"/>
    </row>
    <row r="2814" spans="1:21" x14ac:dyDescent="0.3">
      <c r="A2814">
        <v>2813</v>
      </c>
      <c r="B2814" t="s">
        <v>3883</v>
      </c>
      <c r="C2814" t="str">
        <f t="shared" si="387"/>
        <v>EMP_2813</v>
      </c>
      <c r="D2814" t="s">
        <v>15</v>
      </c>
      <c r="E2814" t="str">
        <f t="shared" si="388"/>
        <v>EMP_2813Marketing</v>
      </c>
      <c r="F2814" t="s">
        <v>24</v>
      </c>
      <c r="G2814" t="s">
        <v>25</v>
      </c>
      <c r="H2814">
        <v>20725</v>
      </c>
      <c r="I2814">
        <v>8190</v>
      </c>
      <c r="J2814">
        <v>0</v>
      </c>
      <c r="K2814">
        <v>0</v>
      </c>
      <c r="L2814" s="4">
        <v>43136</v>
      </c>
      <c r="M2814" s="4" t="str">
        <f t="shared" si="389"/>
        <v>2018</v>
      </c>
      <c r="N2814" s="1">
        <f t="shared" ca="1" si="390"/>
        <v>46064</v>
      </c>
      <c r="O2814" s="6">
        <f t="shared" ca="1" si="391"/>
        <v>8</v>
      </c>
      <c r="P2814">
        <v>3</v>
      </c>
      <c r="Q2814">
        <f t="shared" si="392"/>
        <v>28915</v>
      </c>
      <c r="R2814" s="2">
        <f t="shared" si="393"/>
        <v>14457.5</v>
      </c>
      <c r="S2814" s="2" t="str">
        <f t="shared" si="394"/>
        <v xml:space="preserve"> Not Achieved</v>
      </c>
      <c r="T2814" s="2" t="str">
        <f t="shared" si="395"/>
        <v>poor</v>
      </c>
      <c r="U2814" s="2"/>
    </row>
    <row r="2815" spans="1:21" x14ac:dyDescent="0.3">
      <c r="A2815">
        <v>2814</v>
      </c>
      <c r="B2815" t="s">
        <v>3884</v>
      </c>
      <c r="C2815" t="str">
        <f t="shared" si="387"/>
        <v>EMP_2814</v>
      </c>
      <c r="D2815" t="s">
        <v>15</v>
      </c>
      <c r="E2815" t="str">
        <f t="shared" si="388"/>
        <v>EMP_2814Sales</v>
      </c>
      <c r="F2815" t="s">
        <v>7</v>
      </c>
      <c r="G2815" t="s">
        <v>25</v>
      </c>
      <c r="H2815">
        <v>39134</v>
      </c>
      <c r="I2815">
        <v>3807</v>
      </c>
      <c r="J2815">
        <v>101289</v>
      </c>
      <c r="K2815">
        <v>138176</v>
      </c>
      <c r="L2815" s="4" t="s">
        <v>783</v>
      </c>
      <c r="M2815" s="4" t="str">
        <f t="shared" si="389"/>
        <v>9/26/2019</v>
      </c>
      <c r="N2815" s="1">
        <f t="shared" ca="1" si="390"/>
        <v>46064</v>
      </c>
      <c r="O2815" s="6" t="e">
        <f t="shared" ca="1" si="391"/>
        <v>#VALUE!</v>
      </c>
      <c r="P2815">
        <v>2</v>
      </c>
      <c r="Q2815">
        <f t="shared" si="392"/>
        <v>42941</v>
      </c>
      <c r="R2815" s="2">
        <f t="shared" si="393"/>
        <v>21470.5</v>
      </c>
      <c r="S2815" s="2" t="str">
        <f t="shared" si="394"/>
        <v xml:space="preserve"> Not Achieved</v>
      </c>
      <c r="T2815" s="2" t="str">
        <f t="shared" si="395"/>
        <v>Average</v>
      </c>
      <c r="U2815" s="2"/>
    </row>
    <row r="2816" spans="1:21" x14ac:dyDescent="0.3">
      <c r="A2816">
        <v>2815</v>
      </c>
      <c r="B2816" t="s">
        <v>3885</v>
      </c>
      <c r="C2816" t="str">
        <f t="shared" si="387"/>
        <v>EMP_2815</v>
      </c>
      <c r="D2816" t="s">
        <v>11</v>
      </c>
      <c r="E2816" t="str">
        <f t="shared" si="388"/>
        <v>EMP_2815HR</v>
      </c>
      <c r="F2816" t="s">
        <v>12</v>
      </c>
      <c r="G2816" t="s">
        <v>19</v>
      </c>
      <c r="H2816">
        <v>46743</v>
      </c>
      <c r="I2816">
        <v>9561</v>
      </c>
      <c r="J2816">
        <v>0</v>
      </c>
      <c r="K2816">
        <v>0</v>
      </c>
      <c r="L2816" s="4">
        <v>43718</v>
      </c>
      <c r="M2816" s="4" t="str">
        <f t="shared" si="389"/>
        <v>2019</v>
      </c>
      <c r="N2816" s="1">
        <f t="shared" ca="1" si="390"/>
        <v>46064</v>
      </c>
      <c r="O2816" s="6">
        <f t="shared" ca="1" si="391"/>
        <v>6</v>
      </c>
      <c r="P2816">
        <v>5</v>
      </c>
      <c r="Q2816">
        <f t="shared" si="392"/>
        <v>56304</v>
      </c>
      <c r="R2816" s="2">
        <f t="shared" si="393"/>
        <v>28152</v>
      </c>
      <c r="S2816" s="2" t="str">
        <f t="shared" si="394"/>
        <v xml:space="preserve"> Not Achieved</v>
      </c>
      <c r="T2816" s="2" t="str">
        <f t="shared" si="395"/>
        <v>Good</v>
      </c>
      <c r="U2816" s="2"/>
    </row>
    <row r="2817" spans="1:21" x14ac:dyDescent="0.3">
      <c r="A2817">
        <v>2816</v>
      </c>
      <c r="B2817" t="s">
        <v>3886</v>
      </c>
      <c r="C2817" t="str">
        <f t="shared" si="387"/>
        <v>EMP_2816</v>
      </c>
      <c r="D2817" t="s">
        <v>15</v>
      </c>
      <c r="E2817" t="str">
        <f t="shared" si="388"/>
        <v>EMP_2816Marketing</v>
      </c>
      <c r="F2817" t="s">
        <v>24</v>
      </c>
      <c r="G2817" t="s">
        <v>16</v>
      </c>
      <c r="H2817">
        <v>35933</v>
      </c>
      <c r="I2817">
        <v>8800</v>
      </c>
      <c r="J2817">
        <v>0</v>
      </c>
      <c r="K2817">
        <v>0</v>
      </c>
      <c r="L2817" s="4">
        <v>45236</v>
      </c>
      <c r="M2817" s="4" t="str">
        <f t="shared" si="389"/>
        <v>2023</v>
      </c>
      <c r="N2817" s="1">
        <f t="shared" ca="1" si="390"/>
        <v>46064</v>
      </c>
      <c r="O2817" s="6">
        <f t="shared" ca="1" si="391"/>
        <v>2</v>
      </c>
      <c r="P2817">
        <v>5</v>
      </c>
      <c r="Q2817">
        <f t="shared" si="392"/>
        <v>44733</v>
      </c>
      <c r="R2817" s="2">
        <f t="shared" si="393"/>
        <v>22366.5</v>
      </c>
      <c r="S2817" s="2" t="str">
        <f t="shared" si="394"/>
        <v xml:space="preserve"> Not Achieved</v>
      </c>
      <c r="T2817" s="2" t="str">
        <f t="shared" si="395"/>
        <v>Average</v>
      </c>
      <c r="U2817" s="2"/>
    </row>
    <row r="2818" spans="1:21" x14ac:dyDescent="0.3">
      <c r="A2818">
        <v>2817</v>
      </c>
      <c r="B2818" t="s">
        <v>3887</v>
      </c>
      <c r="C2818" t="str">
        <f t="shared" si="387"/>
        <v>EMP_2817</v>
      </c>
      <c r="D2818" t="s">
        <v>11</v>
      </c>
      <c r="E2818" t="str">
        <f t="shared" si="388"/>
        <v>EMP_2817IT</v>
      </c>
      <c r="F2818" t="s">
        <v>21</v>
      </c>
      <c r="G2818" t="s">
        <v>22</v>
      </c>
      <c r="H2818">
        <v>29529</v>
      </c>
      <c r="I2818">
        <v>3834</v>
      </c>
      <c r="J2818">
        <v>0</v>
      </c>
      <c r="K2818">
        <v>0</v>
      </c>
      <c r="L2818" s="4" t="s">
        <v>374</v>
      </c>
      <c r="M2818" s="4" t="str">
        <f t="shared" si="389"/>
        <v>9/21/2018</v>
      </c>
      <c r="N2818" s="1">
        <f t="shared" ca="1" si="390"/>
        <v>46064</v>
      </c>
      <c r="O2818" s="6" t="e">
        <f t="shared" ca="1" si="391"/>
        <v>#VALUE!</v>
      </c>
      <c r="P2818">
        <v>2</v>
      </c>
      <c r="Q2818">
        <f t="shared" si="392"/>
        <v>33363</v>
      </c>
      <c r="R2818" s="2">
        <f t="shared" si="393"/>
        <v>16681.5</v>
      </c>
      <c r="S2818" s="2" t="str">
        <f t="shared" si="394"/>
        <v xml:space="preserve"> Not Achieved</v>
      </c>
      <c r="T2818" s="2" t="str">
        <f t="shared" si="395"/>
        <v>poor</v>
      </c>
      <c r="U2818" s="2"/>
    </row>
    <row r="2819" spans="1:21" x14ac:dyDescent="0.3">
      <c r="A2819">
        <v>2818</v>
      </c>
      <c r="B2819" t="s">
        <v>3888</v>
      </c>
      <c r="C2819" t="str">
        <f t="shared" ref="C2819:C2882" si="396">UPPER(B2819)</f>
        <v>EMP_2818</v>
      </c>
      <c r="D2819" t="s">
        <v>15</v>
      </c>
      <c r="E2819" t="str">
        <f t="shared" ref="E2819:E2882" si="397">_xlfn.CONCAT(C2819,F2819)</f>
        <v>EMP_2818Sales</v>
      </c>
      <c r="F2819" t="s">
        <v>7</v>
      </c>
      <c r="G2819" t="s">
        <v>22</v>
      </c>
      <c r="H2819">
        <v>43219</v>
      </c>
      <c r="I2819">
        <v>6807</v>
      </c>
      <c r="J2819">
        <v>287108</v>
      </c>
      <c r="K2819">
        <v>120369</v>
      </c>
      <c r="L2819" s="4">
        <v>45449</v>
      </c>
      <c r="M2819" s="4" t="str">
        <f t="shared" ref="M2819:M2882" si="398">TEXT(L2819,"yyyy")</f>
        <v>2024</v>
      </c>
      <c r="N2819" s="1">
        <f t="shared" ref="N2819:N2882" ca="1" si="399">TODAY()</f>
        <v>46064</v>
      </c>
      <c r="O2819" s="6">
        <f t="shared" ref="O2819:O2882" ca="1" si="400">DATEDIF(L2819, TODAY(), "y")</f>
        <v>1</v>
      </c>
      <c r="P2819">
        <v>3</v>
      </c>
      <c r="Q2819">
        <f t="shared" ref="Q2819:Q2882" si="401">SUM(H2819,I2819)</f>
        <v>50026</v>
      </c>
      <c r="R2819" s="2">
        <f t="shared" ref="R2819:R2882" si="402">AVERAGE(H2819,I2819)</f>
        <v>25013</v>
      </c>
      <c r="S2819" s="2" t="str">
        <f t="shared" ref="S2819:S2882" si="403">IF(J2819&gt;K2819,"Achieved"," Not Achieved")</f>
        <v>Achieved</v>
      </c>
      <c r="T2819" s="2" t="str">
        <f t="shared" ref="T2819:T2882" si="404">_xlfn.IFS(H2819&gt;=50000," Excellent",H2819&gt;=40000,"Good",H2819&gt;=30000,"Average",H2819&lt;30000,"poor")</f>
        <v>Good</v>
      </c>
      <c r="U2819" s="2"/>
    </row>
    <row r="2820" spans="1:21" x14ac:dyDescent="0.3">
      <c r="A2820">
        <v>2819</v>
      </c>
      <c r="B2820" t="s">
        <v>3889</v>
      </c>
      <c r="C2820" t="str">
        <f t="shared" si="396"/>
        <v>EMP_2819</v>
      </c>
      <c r="D2820" t="s">
        <v>15</v>
      </c>
      <c r="E2820" t="str">
        <f t="shared" si="397"/>
        <v>EMP_2819IT</v>
      </c>
      <c r="F2820" t="s">
        <v>21</v>
      </c>
      <c r="G2820" t="s">
        <v>16</v>
      </c>
      <c r="H2820">
        <v>55842</v>
      </c>
      <c r="I2820">
        <v>9304</v>
      </c>
      <c r="J2820">
        <v>0</v>
      </c>
      <c r="K2820">
        <v>0</v>
      </c>
      <c r="L2820" s="4" t="s">
        <v>3890</v>
      </c>
      <c r="M2820" s="4" t="str">
        <f t="shared" si="398"/>
        <v>2/17/2022</v>
      </c>
      <c r="N2820" s="1">
        <f t="shared" ca="1" si="399"/>
        <v>46064</v>
      </c>
      <c r="O2820" s="6" t="e">
        <f t="shared" ca="1" si="400"/>
        <v>#VALUE!</v>
      </c>
      <c r="P2820">
        <v>4</v>
      </c>
      <c r="Q2820">
        <f t="shared" si="401"/>
        <v>65146</v>
      </c>
      <c r="R2820" s="2">
        <f t="shared" si="402"/>
        <v>32573</v>
      </c>
      <c r="S2820" s="2" t="str">
        <f t="shared" si="403"/>
        <v xml:space="preserve"> Not Achieved</v>
      </c>
      <c r="T2820" s="2" t="str">
        <f t="shared" si="404"/>
        <v xml:space="preserve"> Excellent</v>
      </c>
      <c r="U2820" s="2"/>
    </row>
    <row r="2821" spans="1:21" x14ac:dyDescent="0.3">
      <c r="A2821">
        <v>2820</v>
      </c>
      <c r="B2821" t="s">
        <v>3891</v>
      </c>
      <c r="C2821" t="str">
        <f t="shared" si="396"/>
        <v>EMP_2820</v>
      </c>
      <c r="D2821" t="s">
        <v>11</v>
      </c>
      <c r="E2821" t="str">
        <f t="shared" si="397"/>
        <v>EMP_2820IT</v>
      </c>
      <c r="F2821" t="s">
        <v>21</v>
      </c>
      <c r="G2821" t="s">
        <v>22</v>
      </c>
      <c r="H2821">
        <v>49848</v>
      </c>
      <c r="I2821">
        <v>7135</v>
      </c>
      <c r="J2821">
        <v>0</v>
      </c>
      <c r="K2821">
        <v>0</v>
      </c>
      <c r="L2821" s="4">
        <v>43380</v>
      </c>
      <c r="M2821" s="4" t="str">
        <f t="shared" si="398"/>
        <v>2018</v>
      </c>
      <c r="N2821" s="1">
        <f t="shared" ca="1" si="399"/>
        <v>46064</v>
      </c>
      <c r="O2821" s="6">
        <f t="shared" ca="1" si="400"/>
        <v>7</v>
      </c>
      <c r="P2821">
        <v>4</v>
      </c>
      <c r="Q2821">
        <f t="shared" si="401"/>
        <v>56983</v>
      </c>
      <c r="R2821" s="2">
        <f t="shared" si="402"/>
        <v>28491.5</v>
      </c>
      <c r="S2821" s="2" t="str">
        <f t="shared" si="403"/>
        <v xml:space="preserve"> Not Achieved</v>
      </c>
      <c r="T2821" s="2" t="str">
        <f t="shared" si="404"/>
        <v>Good</v>
      </c>
      <c r="U2821" s="2"/>
    </row>
    <row r="2822" spans="1:21" x14ac:dyDescent="0.3">
      <c r="A2822">
        <v>2821</v>
      </c>
      <c r="B2822" t="s">
        <v>3892</v>
      </c>
      <c r="C2822" t="str">
        <f t="shared" si="396"/>
        <v>EMP_2821</v>
      </c>
      <c r="D2822" t="s">
        <v>15</v>
      </c>
      <c r="E2822" t="str">
        <f t="shared" si="397"/>
        <v>EMP_2821HR</v>
      </c>
      <c r="F2822" t="s">
        <v>12</v>
      </c>
      <c r="G2822" t="s">
        <v>16</v>
      </c>
      <c r="H2822">
        <v>66599</v>
      </c>
      <c r="I2822">
        <v>7884</v>
      </c>
      <c r="J2822">
        <v>0</v>
      </c>
      <c r="K2822">
        <v>0</v>
      </c>
      <c r="L2822" s="4" t="s">
        <v>2327</v>
      </c>
      <c r="M2822" s="4" t="str">
        <f t="shared" si="398"/>
        <v>10/25/2020</v>
      </c>
      <c r="N2822" s="1">
        <f t="shared" ca="1" si="399"/>
        <v>46064</v>
      </c>
      <c r="O2822" s="6" t="e">
        <f t="shared" ca="1" si="400"/>
        <v>#VALUE!</v>
      </c>
      <c r="P2822">
        <v>5</v>
      </c>
      <c r="Q2822">
        <f t="shared" si="401"/>
        <v>74483</v>
      </c>
      <c r="R2822" s="2">
        <f t="shared" si="402"/>
        <v>37241.5</v>
      </c>
      <c r="S2822" s="2" t="str">
        <f t="shared" si="403"/>
        <v xml:space="preserve"> Not Achieved</v>
      </c>
      <c r="T2822" s="2" t="str">
        <f t="shared" si="404"/>
        <v xml:space="preserve"> Excellent</v>
      </c>
      <c r="U2822" s="2"/>
    </row>
    <row r="2823" spans="1:21" x14ac:dyDescent="0.3">
      <c r="A2823">
        <v>2822</v>
      </c>
      <c r="B2823" t="s">
        <v>3893</v>
      </c>
      <c r="C2823" t="str">
        <f t="shared" si="396"/>
        <v>EMP_2822</v>
      </c>
      <c r="D2823" t="s">
        <v>11</v>
      </c>
      <c r="E2823" t="str">
        <f t="shared" si="397"/>
        <v>EMP_2822Marketing</v>
      </c>
      <c r="F2823" t="s">
        <v>24</v>
      </c>
      <c r="G2823" t="s">
        <v>16</v>
      </c>
      <c r="H2823">
        <v>77074</v>
      </c>
      <c r="I2823">
        <v>10043</v>
      </c>
      <c r="J2823">
        <v>0</v>
      </c>
      <c r="K2823">
        <v>0</v>
      </c>
      <c r="L2823" s="4">
        <v>43288</v>
      </c>
      <c r="M2823" s="4" t="str">
        <f t="shared" si="398"/>
        <v>2018</v>
      </c>
      <c r="N2823" s="1">
        <f t="shared" ca="1" si="399"/>
        <v>46064</v>
      </c>
      <c r="O2823" s="6">
        <f t="shared" ca="1" si="400"/>
        <v>7</v>
      </c>
      <c r="P2823">
        <v>1</v>
      </c>
      <c r="Q2823">
        <f t="shared" si="401"/>
        <v>87117</v>
      </c>
      <c r="R2823" s="2">
        <f t="shared" si="402"/>
        <v>43558.5</v>
      </c>
      <c r="S2823" s="2" t="str">
        <f t="shared" si="403"/>
        <v xml:space="preserve"> Not Achieved</v>
      </c>
      <c r="T2823" s="2" t="str">
        <f t="shared" si="404"/>
        <v xml:space="preserve"> Excellent</v>
      </c>
      <c r="U2823" s="2"/>
    </row>
    <row r="2824" spans="1:21" x14ac:dyDescent="0.3">
      <c r="A2824">
        <v>2823</v>
      </c>
      <c r="B2824" t="s">
        <v>3894</v>
      </c>
      <c r="C2824" t="str">
        <f t="shared" si="396"/>
        <v>EMP_2823</v>
      </c>
      <c r="D2824" t="s">
        <v>15</v>
      </c>
      <c r="E2824" t="str">
        <f t="shared" si="397"/>
        <v>EMP_2823HR</v>
      </c>
      <c r="F2824" t="s">
        <v>12</v>
      </c>
      <c r="G2824" t="s">
        <v>13</v>
      </c>
      <c r="H2824">
        <v>79865</v>
      </c>
      <c r="I2824">
        <v>3677</v>
      </c>
      <c r="J2824">
        <v>0</v>
      </c>
      <c r="K2824">
        <v>0</v>
      </c>
      <c r="L2824" s="4">
        <v>44843</v>
      </c>
      <c r="M2824" s="4" t="str">
        <f t="shared" si="398"/>
        <v>2022</v>
      </c>
      <c r="N2824" s="1">
        <f t="shared" ca="1" si="399"/>
        <v>46064</v>
      </c>
      <c r="O2824" s="6">
        <f t="shared" ca="1" si="400"/>
        <v>3</v>
      </c>
      <c r="P2824">
        <v>5</v>
      </c>
      <c r="Q2824">
        <f t="shared" si="401"/>
        <v>83542</v>
      </c>
      <c r="R2824" s="2">
        <f t="shared" si="402"/>
        <v>41771</v>
      </c>
      <c r="S2824" s="2" t="str">
        <f t="shared" si="403"/>
        <v xml:space="preserve"> Not Achieved</v>
      </c>
      <c r="T2824" s="2" t="str">
        <f t="shared" si="404"/>
        <v xml:space="preserve"> Excellent</v>
      </c>
      <c r="U2824" s="2"/>
    </row>
    <row r="2825" spans="1:21" x14ac:dyDescent="0.3">
      <c r="A2825">
        <v>2824</v>
      </c>
      <c r="B2825" t="s">
        <v>3895</v>
      </c>
      <c r="C2825" t="str">
        <f t="shared" si="396"/>
        <v>EMP_2824</v>
      </c>
      <c r="D2825" t="s">
        <v>15</v>
      </c>
      <c r="E2825" t="str">
        <f t="shared" si="397"/>
        <v>EMP_2824Marketing</v>
      </c>
      <c r="F2825" t="s">
        <v>24</v>
      </c>
      <c r="G2825" t="s">
        <v>22</v>
      </c>
      <c r="H2825">
        <v>31456</v>
      </c>
      <c r="I2825">
        <v>8001</v>
      </c>
      <c r="J2825">
        <v>0</v>
      </c>
      <c r="K2825">
        <v>0</v>
      </c>
      <c r="L2825" s="4" t="s">
        <v>2414</v>
      </c>
      <c r="M2825" s="4" t="str">
        <f t="shared" si="398"/>
        <v>9/14/2018</v>
      </c>
      <c r="N2825" s="1">
        <f t="shared" ca="1" si="399"/>
        <v>46064</v>
      </c>
      <c r="O2825" s="6" t="e">
        <f t="shared" ca="1" si="400"/>
        <v>#VALUE!</v>
      </c>
      <c r="P2825">
        <v>3</v>
      </c>
      <c r="Q2825">
        <f t="shared" si="401"/>
        <v>39457</v>
      </c>
      <c r="R2825" s="2">
        <f t="shared" si="402"/>
        <v>19728.5</v>
      </c>
      <c r="S2825" s="2" t="str">
        <f t="shared" si="403"/>
        <v xml:space="preserve"> Not Achieved</v>
      </c>
      <c r="T2825" s="2" t="str">
        <f t="shared" si="404"/>
        <v>Average</v>
      </c>
      <c r="U2825" s="2"/>
    </row>
    <row r="2826" spans="1:21" x14ac:dyDescent="0.3">
      <c r="A2826">
        <v>2825</v>
      </c>
      <c r="B2826" t="s">
        <v>3896</v>
      </c>
      <c r="C2826" t="str">
        <f t="shared" si="396"/>
        <v>EMP_2825</v>
      </c>
      <c r="D2826" t="s">
        <v>11</v>
      </c>
      <c r="E2826" t="str">
        <f t="shared" si="397"/>
        <v>EMP_2825Marketing</v>
      </c>
      <c r="F2826" t="s">
        <v>24</v>
      </c>
      <c r="G2826" t="s">
        <v>16</v>
      </c>
      <c r="H2826">
        <v>74041</v>
      </c>
      <c r="I2826">
        <v>8067</v>
      </c>
      <c r="J2826">
        <v>0</v>
      </c>
      <c r="K2826">
        <v>0</v>
      </c>
      <c r="L2826" s="4" t="s">
        <v>788</v>
      </c>
      <c r="M2826" s="4" t="str">
        <f t="shared" si="398"/>
        <v>12/26/2020</v>
      </c>
      <c r="N2826" s="1">
        <f t="shared" ca="1" si="399"/>
        <v>46064</v>
      </c>
      <c r="O2826" s="6" t="e">
        <f t="shared" ca="1" si="400"/>
        <v>#VALUE!</v>
      </c>
      <c r="P2826">
        <v>4</v>
      </c>
      <c r="Q2826">
        <f t="shared" si="401"/>
        <v>82108</v>
      </c>
      <c r="R2826" s="2">
        <f t="shared" si="402"/>
        <v>41054</v>
      </c>
      <c r="S2826" s="2" t="str">
        <f t="shared" si="403"/>
        <v xml:space="preserve"> Not Achieved</v>
      </c>
      <c r="T2826" s="2" t="str">
        <f t="shared" si="404"/>
        <v xml:space="preserve"> Excellent</v>
      </c>
      <c r="U2826" s="2"/>
    </row>
    <row r="2827" spans="1:21" x14ac:dyDescent="0.3">
      <c r="A2827">
        <v>2826</v>
      </c>
      <c r="B2827" t="s">
        <v>3897</v>
      </c>
      <c r="C2827" t="str">
        <f t="shared" si="396"/>
        <v>EMP_2826</v>
      </c>
      <c r="D2827" t="s">
        <v>15</v>
      </c>
      <c r="E2827" t="str">
        <f t="shared" si="397"/>
        <v>EMP_2826Finance</v>
      </c>
      <c r="F2827" t="s">
        <v>18</v>
      </c>
      <c r="G2827" t="s">
        <v>13</v>
      </c>
      <c r="H2827">
        <v>45961</v>
      </c>
      <c r="I2827">
        <v>8187</v>
      </c>
      <c r="J2827">
        <v>0</v>
      </c>
      <c r="K2827">
        <v>0</v>
      </c>
      <c r="L2827" s="4">
        <v>43719</v>
      </c>
      <c r="M2827" s="4" t="str">
        <f t="shared" si="398"/>
        <v>2019</v>
      </c>
      <c r="N2827" s="1">
        <f t="shared" ca="1" si="399"/>
        <v>46064</v>
      </c>
      <c r="O2827" s="6">
        <f t="shared" ca="1" si="400"/>
        <v>6</v>
      </c>
      <c r="P2827">
        <v>1</v>
      </c>
      <c r="Q2827">
        <f t="shared" si="401"/>
        <v>54148</v>
      </c>
      <c r="R2827" s="2">
        <f t="shared" si="402"/>
        <v>27074</v>
      </c>
      <c r="S2827" s="2" t="str">
        <f t="shared" si="403"/>
        <v xml:space="preserve"> Not Achieved</v>
      </c>
      <c r="T2827" s="2" t="str">
        <f t="shared" si="404"/>
        <v>Good</v>
      </c>
      <c r="U2827" s="2"/>
    </row>
    <row r="2828" spans="1:21" x14ac:dyDescent="0.3">
      <c r="A2828">
        <v>2827</v>
      </c>
      <c r="B2828" t="s">
        <v>3898</v>
      </c>
      <c r="C2828" t="str">
        <f t="shared" si="396"/>
        <v>EMP_2827</v>
      </c>
      <c r="D2828" t="s">
        <v>11</v>
      </c>
      <c r="E2828" t="str">
        <f t="shared" si="397"/>
        <v>EMP_2827IT</v>
      </c>
      <c r="F2828" t="s">
        <v>21</v>
      </c>
      <c r="G2828" t="s">
        <v>13</v>
      </c>
      <c r="H2828">
        <v>57361</v>
      </c>
      <c r="I2828">
        <v>13144</v>
      </c>
      <c r="J2828">
        <v>0</v>
      </c>
      <c r="K2828">
        <v>0</v>
      </c>
      <c r="L2828" s="4">
        <v>43138</v>
      </c>
      <c r="M2828" s="4" t="str">
        <f t="shared" si="398"/>
        <v>2018</v>
      </c>
      <c r="N2828" s="1">
        <f t="shared" ca="1" si="399"/>
        <v>46064</v>
      </c>
      <c r="O2828" s="6">
        <f t="shared" ca="1" si="400"/>
        <v>8</v>
      </c>
      <c r="P2828">
        <v>5</v>
      </c>
      <c r="Q2828">
        <f t="shared" si="401"/>
        <v>70505</v>
      </c>
      <c r="R2828" s="2">
        <f t="shared" si="402"/>
        <v>35252.5</v>
      </c>
      <c r="S2828" s="2" t="str">
        <f t="shared" si="403"/>
        <v xml:space="preserve"> Not Achieved</v>
      </c>
      <c r="T2828" s="2" t="str">
        <f t="shared" si="404"/>
        <v xml:space="preserve"> Excellent</v>
      </c>
      <c r="U2828" s="2"/>
    </row>
    <row r="2829" spans="1:21" x14ac:dyDescent="0.3">
      <c r="A2829">
        <v>2828</v>
      </c>
      <c r="B2829" t="s">
        <v>3899</v>
      </c>
      <c r="C2829" t="str">
        <f t="shared" si="396"/>
        <v>EMP_2828</v>
      </c>
      <c r="D2829" t="s">
        <v>11</v>
      </c>
      <c r="E2829" t="str">
        <f t="shared" si="397"/>
        <v>EMP_2828Finance</v>
      </c>
      <c r="F2829" t="s">
        <v>18</v>
      </c>
      <c r="G2829" t="s">
        <v>13</v>
      </c>
      <c r="H2829">
        <v>56341</v>
      </c>
      <c r="I2829">
        <v>5427</v>
      </c>
      <c r="J2829">
        <v>0</v>
      </c>
      <c r="K2829">
        <v>0</v>
      </c>
      <c r="L2829" s="4" t="s">
        <v>3900</v>
      </c>
      <c r="M2829" s="4" t="str">
        <f t="shared" si="398"/>
        <v>4/23/2024</v>
      </c>
      <c r="N2829" s="1">
        <f t="shared" ca="1" si="399"/>
        <v>46064</v>
      </c>
      <c r="O2829" s="6" t="e">
        <f t="shared" ca="1" si="400"/>
        <v>#VALUE!</v>
      </c>
      <c r="P2829">
        <v>3</v>
      </c>
      <c r="Q2829">
        <f t="shared" si="401"/>
        <v>61768</v>
      </c>
      <c r="R2829" s="2">
        <f t="shared" si="402"/>
        <v>30884</v>
      </c>
      <c r="S2829" s="2" t="str">
        <f t="shared" si="403"/>
        <v xml:space="preserve"> Not Achieved</v>
      </c>
      <c r="T2829" s="2" t="str">
        <f t="shared" si="404"/>
        <v xml:space="preserve"> Excellent</v>
      </c>
      <c r="U2829" s="2"/>
    </row>
    <row r="2830" spans="1:21" x14ac:dyDescent="0.3">
      <c r="A2830">
        <v>2829</v>
      </c>
      <c r="B2830" t="s">
        <v>3901</v>
      </c>
      <c r="C2830" t="str">
        <f t="shared" si="396"/>
        <v>EMP_2829</v>
      </c>
      <c r="D2830" t="s">
        <v>15</v>
      </c>
      <c r="E2830" t="str">
        <f t="shared" si="397"/>
        <v>EMP_2829IT</v>
      </c>
      <c r="F2830" t="s">
        <v>21</v>
      </c>
      <c r="G2830" t="s">
        <v>25</v>
      </c>
      <c r="H2830">
        <v>77742</v>
      </c>
      <c r="I2830">
        <v>9225</v>
      </c>
      <c r="J2830">
        <v>0</v>
      </c>
      <c r="K2830">
        <v>0</v>
      </c>
      <c r="L2830" s="4" t="s">
        <v>1523</v>
      </c>
      <c r="M2830" s="4" t="str">
        <f t="shared" si="398"/>
        <v>3/16/2023</v>
      </c>
      <c r="N2830" s="1">
        <f t="shared" ca="1" si="399"/>
        <v>46064</v>
      </c>
      <c r="O2830" s="6" t="e">
        <f t="shared" ca="1" si="400"/>
        <v>#VALUE!</v>
      </c>
      <c r="P2830">
        <v>3</v>
      </c>
      <c r="Q2830">
        <f t="shared" si="401"/>
        <v>86967</v>
      </c>
      <c r="R2830" s="2">
        <f t="shared" si="402"/>
        <v>43483.5</v>
      </c>
      <c r="S2830" s="2" t="str">
        <f t="shared" si="403"/>
        <v xml:space="preserve"> Not Achieved</v>
      </c>
      <c r="T2830" s="2" t="str">
        <f t="shared" si="404"/>
        <v xml:space="preserve"> Excellent</v>
      </c>
      <c r="U2830" s="2"/>
    </row>
    <row r="2831" spans="1:21" x14ac:dyDescent="0.3">
      <c r="A2831">
        <v>2830</v>
      </c>
      <c r="B2831" t="s">
        <v>3902</v>
      </c>
      <c r="C2831" t="str">
        <f t="shared" si="396"/>
        <v>EMP_2830</v>
      </c>
      <c r="D2831" t="s">
        <v>11</v>
      </c>
      <c r="E2831" t="str">
        <f t="shared" si="397"/>
        <v>EMP_2830IT</v>
      </c>
      <c r="F2831" t="s">
        <v>21</v>
      </c>
      <c r="G2831" t="s">
        <v>25</v>
      </c>
      <c r="H2831">
        <v>71048</v>
      </c>
      <c r="I2831">
        <v>7314</v>
      </c>
      <c r="J2831">
        <v>0</v>
      </c>
      <c r="K2831">
        <v>0</v>
      </c>
      <c r="L2831" s="4" t="s">
        <v>2887</v>
      </c>
      <c r="M2831" s="4" t="str">
        <f t="shared" si="398"/>
        <v>10/31/2022</v>
      </c>
      <c r="N2831" s="1">
        <f t="shared" ca="1" si="399"/>
        <v>46064</v>
      </c>
      <c r="O2831" s="6" t="e">
        <f t="shared" ca="1" si="400"/>
        <v>#VALUE!</v>
      </c>
      <c r="P2831">
        <v>3</v>
      </c>
      <c r="Q2831">
        <f t="shared" si="401"/>
        <v>78362</v>
      </c>
      <c r="R2831" s="2">
        <f t="shared" si="402"/>
        <v>39181</v>
      </c>
      <c r="S2831" s="2" t="str">
        <f t="shared" si="403"/>
        <v xml:space="preserve"> Not Achieved</v>
      </c>
      <c r="T2831" s="2" t="str">
        <f t="shared" si="404"/>
        <v xml:space="preserve"> Excellent</v>
      </c>
      <c r="U2831" s="2"/>
    </row>
    <row r="2832" spans="1:21" x14ac:dyDescent="0.3">
      <c r="A2832">
        <v>2831</v>
      </c>
      <c r="B2832" t="s">
        <v>3903</v>
      </c>
      <c r="C2832" t="str">
        <f t="shared" si="396"/>
        <v>EMP_2831</v>
      </c>
      <c r="D2832" t="s">
        <v>11</v>
      </c>
      <c r="E2832" t="str">
        <f t="shared" si="397"/>
        <v>EMP_2831Sales</v>
      </c>
      <c r="F2832" t="s">
        <v>7</v>
      </c>
      <c r="G2832" t="s">
        <v>16</v>
      </c>
      <c r="H2832">
        <v>65147</v>
      </c>
      <c r="I2832">
        <v>7341</v>
      </c>
      <c r="J2832">
        <v>84149</v>
      </c>
      <c r="K2832">
        <v>158006</v>
      </c>
      <c r="L2832" s="4" t="s">
        <v>959</v>
      </c>
      <c r="M2832" s="4" t="str">
        <f t="shared" si="398"/>
        <v>11/25/2020</v>
      </c>
      <c r="N2832" s="1">
        <f t="shared" ca="1" si="399"/>
        <v>46064</v>
      </c>
      <c r="O2832" s="6" t="e">
        <f t="shared" ca="1" si="400"/>
        <v>#VALUE!</v>
      </c>
      <c r="P2832">
        <v>2</v>
      </c>
      <c r="Q2832">
        <f t="shared" si="401"/>
        <v>72488</v>
      </c>
      <c r="R2832" s="2">
        <f t="shared" si="402"/>
        <v>36244</v>
      </c>
      <c r="S2832" s="2" t="str">
        <f t="shared" si="403"/>
        <v xml:space="preserve"> Not Achieved</v>
      </c>
      <c r="T2832" s="2" t="str">
        <f t="shared" si="404"/>
        <v xml:space="preserve"> Excellent</v>
      </c>
      <c r="U2832" s="2"/>
    </row>
    <row r="2833" spans="1:21" x14ac:dyDescent="0.3">
      <c r="A2833">
        <v>2832</v>
      </c>
      <c r="B2833" t="s">
        <v>3904</v>
      </c>
      <c r="C2833" t="str">
        <f t="shared" si="396"/>
        <v>EMP_2832</v>
      </c>
      <c r="D2833" t="s">
        <v>15</v>
      </c>
      <c r="E2833" t="str">
        <f t="shared" si="397"/>
        <v>EMP_2832IT</v>
      </c>
      <c r="F2833" t="s">
        <v>21</v>
      </c>
      <c r="G2833" t="s">
        <v>19</v>
      </c>
      <c r="H2833">
        <v>75991</v>
      </c>
      <c r="I2833">
        <v>11297</v>
      </c>
      <c r="J2833">
        <v>0</v>
      </c>
      <c r="K2833">
        <v>0</v>
      </c>
      <c r="L2833" s="4">
        <v>44420</v>
      </c>
      <c r="M2833" s="4" t="str">
        <f t="shared" si="398"/>
        <v>2021</v>
      </c>
      <c r="N2833" s="1">
        <f t="shared" ca="1" si="399"/>
        <v>46064</v>
      </c>
      <c r="O2833" s="6">
        <f t="shared" ca="1" si="400"/>
        <v>4</v>
      </c>
      <c r="P2833">
        <v>1</v>
      </c>
      <c r="Q2833">
        <f t="shared" si="401"/>
        <v>87288</v>
      </c>
      <c r="R2833" s="2">
        <f t="shared" si="402"/>
        <v>43644</v>
      </c>
      <c r="S2833" s="2" t="str">
        <f t="shared" si="403"/>
        <v xml:space="preserve"> Not Achieved</v>
      </c>
      <c r="T2833" s="2" t="str">
        <f t="shared" si="404"/>
        <v xml:space="preserve"> Excellent</v>
      </c>
      <c r="U2833" s="2"/>
    </row>
    <row r="2834" spans="1:21" x14ac:dyDescent="0.3">
      <c r="A2834">
        <v>2833</v>
      </c>
      <c r="B2834" t="s">
        <v>3905</v>
      </c>
      <c r="C2834" t="str">
        <f t="shared" si="396"/>
        <v>EMP_2833</v>
      </c>
      <c r="D2834" t="s">
        <v>11</v>
      </c>
      <c r="E2834" t="str">
        <f t="shared" si="397"/>
        <v>EMP_2833Finance</v>
      </c>
      <c r="F2834" t="s">
        <v>18</v>
      </c>
      <c r="G2834" t="s">
        <v>16</v>
      </c>
      <c r="H2834">
        <v>47354</v>
      </c>
      <c r="I2834">
        <v>6064</v>
      </c>
      <c r="J2834">
        <v>0</v>
      </c>
      <c r="K2834">
        <v>0</v>
      </c>
      <c r="L2834" s="4">
        <v>43688</v>
      </c>
      <c r="M2834" s="4" t="str">
        <f t="shared" si="398"/>
        <v>2019</v>
      </c>
      <c r="N2834" s="1">
        <f t="shared" ca="1" si="399"/>
        <v>46064</v>
      </c>
      <c r="O2834" s="6">
        <f t="shared" ca="1" si="400"/>
        <v>6</v>
      </c>
      <c r="P2834">
        <v>4</v>
      </c>
      <c r="Q2834">
        <f t="shared" si="401"/>
        <v>53418</v>
      </c>
      <c r="R2834" s="2">
        <f t="shared" si="402"/>
        <v>26709</v>
      </c>
      <c r="S2834" s="2" t="str">
        <f t="shared" si="403"/>
        <v xml:space="preserve"> Not Achieved</v>
      </c>
      <c r="T2834" s="2" t="str">
        <f t="shared" si="404"/>
        <v>Good</v>
      </c>
      <c r="U2834" s="2"/>
    </row>
    <row r="2835" spans="1:21" x14ac:dyDescent="0.3">
      <c r="A2835">
        <v>2834</v>
      </c>
      <c r="B2835" t="s">
        <v>3906</v>
      </c>
      <c r="C2835" t="str">
        <f t="shared" si="396"/>
        <v>EMP_2834</v>
      </c>
      <c r="D2835" t="s">
        <v>15</v>
      </c>
      <c r="E2835" t="str">
        <f t="shared" si="397"/>
        <v>EMP_2834Marketing</v>
      </c>
      <c r="F2835" t="s">
        <v>24</v>
      </c>
      <c r="G2835" t="s">
        <v>25</v>
      </c>
      <c r="H2835">
        <v>40352</v>
      </c>
      <c r="I2835">
        <v>10409</v>
      </c>
      <c r="J2835">
        <v>0</v>
      </c>
      <c r="K2835">
        <v>0</v>
      </c>
      <c r="L2835" s="4" t="s">
        <v>3659</v>
      </c>
      <c r="M2835" s="4" t="str">
        <f t="shared" si="398"/>
        <v>2/14/2023</v>
      </c>
      <c r="N2835" s="1">
        <f t="shared" ca="1" si="399"/>
        <v>46064</v>
      </c>
      <c r="O2835" s="6" t="e">
        <f t="shared" ca="1" si="400"/>
        <v>#VALUE!</v>
      </c>
      <c r="P2835">
        <v>2</v>
      </c>
      <c r="Q2835">
        <f t="shared" si="401"/>
        <v>50761</v>
      </c>
      <c r="R2835" s="2">
        <f t="shared" si="402"/>
        <v>25380.5</v>
      </c>
      <c r="S2835" s="2" t="str">
        <f t="shared" si="403"/>
        <v xml:space="preserve"> Not Achieved</v>
      </c>
      <c r="T2835" s="2" t="str">
        <f t="shared" si="404"/>
        <v>Good</v>
      </c>
      <c r="U2835" s="2"/>
    </row>
    <row r="2836" spans="1:21" x14ac:dyDescent="0.3">
      <c r="A2836">
        <v>2835</v>
      </c>
      <c r="B2836" t="s">
        <v>3907</v>
      </c>
      <c r="C2836" t="str">
        <f t="shared" si="396"/>
        <v>EMP_2835</v>
      </c>
      <c r="D2836" t="s">
        <v>15</v>
      </c>
      <c r="E2836" t="str">
        <f t="shared" si="397"/>
        <v>EMP_2835Sales</v>
      </c>
      <c r="F2836" t="s">
        <v>7</v>
      </c>
      <c r="G2836" t="s">
        <v>16</v>
      </c>
      <c r="H2836">
        <v>56307</v>
      </c>
      <c r="I2836">
        <v>5593</v>
      </c>
      <c r="J2836">
        <v>270731</v>
      </c>
      <c r="K2836">
        <v>123246</v>
      </c>
      <c r="L2836" s="4">
        <v>43508</v>
      </c>
      <c r="M2836" s="4" t="str">
        <f t="shared" si="398"/>
        <v>2019</v>
      </c>
      <c r="N2836" s="1">
        <f t="shared" ca="1" si="399"/>
        <v>46064</v>
      </c>
      <c r="O2836" s="6">
        <f t="shared" ca="1" si="400"/>
        <v>6</v>
      </c>
      <c r="P2836">
        <v>5</v>
      </c>
      <c r="Q2836">
        <f t="shared" si="401"/>
        <v>61900</v>
      </c>
      <c r="R2836" s="2">
        <f t="shared" si="402"/>
        <v>30950</v>
      </c>
      <c r="S2836" s="2" t="str">
        <f t="shared" si="403"/>
        <v>Achieved</v>
      </c>
      <c r="T2836" s="2" t="str">
        <f t="shared" si="404"/>
        <v xml:space="preserve"> Excellent</v>
      </c>
      <c r="U2836" s="2"/>
    </row>
    <row r="2837" spans="1:21" x14ac:dyDescent="0.3">
      <c r="A2837">
        <v>2836</v>
      </c>
      <c r="B2837" t="s">
        <v>3908</v>
      </c>
      <c r="C2837" t="str">
        <f t="shared" si="396"/>
        <v>EMP_2836</v>
      </c>
      <c r="D2837" t="s">
        <v>11</v>
      </c>
      <c r="E2837" t="str">
        <f t="shared" si="397"/>
        <v>EMP_2836Marketing</v>
      </c>
      <c r="F2837" t="s">
        <v>24</v>
      </c>
      <c r="G2837" t="s">
        <v>19</v>
      </c>
      <c r="H2837">
        <v>30335</v>
      </c>
      <c r="I2837">
        <v>11245</v>
      </c>
      <c r="J2837">
        <v>0</v>
      </c>
      <c r="K2837">
        <v>0</v>
      </c>
      <c r="L2837" s="4" t="s">
        <v>2172</v>
      </c>
      <c r="M2837" s="4" t="str">
        <f t="shared" si="398"/>
        <v>2/21/2022</v>
      </c>
      <c r="N2837" s="1">
        <f t="shared" ca="1" si="399"/>
        <v>46064</v>
      </c>
      <c r="O2837" s="6" t="e">
        <f t="shared" ca="1" si="400"/>
        <v>#VALUE!</v>
      </c>
      <c r="P2837">
        <v>3</v>
      </c>
      <c r="Q2837">
        <f t="shared" si="401"/>
        <v>41580</v>
      </c>
      <c r="R2837" s="2">
        <f t="shared" si="402"/>
        <v>20790</v>
      </c>
      <c r="S2837" s="2" t="str">
        <f t="shared" si="403"/>
        <v xml:space="preserve"> Not Achieved</v>
      </c>
      <c r="T2837" s="2" t="str">
        <f t="shared" si="404"/>
        <v>Average</v>
      </c>
      <c r="U2837" s="2"/>
    </row>
    <row r="2838" spans="1:21" x14ac:dyDescent="0.3">
      <c r="A2838">
        <v>2837</v>
      </c>
      <c r="B2838" t="s">
        <v>3909</v>
      </c>
      <c r="C2838" t="str">
        <f t="shared" si="396"/>
        <v>EMP_2837</v>
      </c>
      <c r="D2838" t="s">
        <v>11</v>
      </c>
      <c r="E2838" t="str">
        <f t="shared" si="397"/>
        <v>EMP_2837HR</v>
      </c>
      <c r="F2838" t="s">
        <v>12</v>
      </c>
      <c r="G2838" t="s">
        <v>19</v>
      </c>
      <c r="H2838">
        <v>20200</v>
      </c>
      <c r="I2838">
        <v>10671</v>
      </c>
      <c r="J2838">
        <v>0</v>
      </c>
      <c r="K2838">
        <v>0</v>
      </c>
      <c r="L2838" s="4">
        <v>43688</v>
      </c>
      <c r="M2838" s="4" t="str">
        <f t="shared" si="398"/>
        <v>2019</v>
      </c>
      <c r="N2838" s="1">
        <f t="shared" ca="1" si="399"/>
        <v>46064</v>
      </c>
      <c r="O2838" s="6">
        <f t="shared" ca="1" si="400"/>
        <v>6</v>
      </c>
      <c r="P2838">
        <v>2</v>
      </c>
      <c r="Q2838">
        <f t="shared" si="401"/>
        <v>30871</v>
      </c>
      <c r="R2838" s="2">
        <f t="shared" si="402"/>
        <v>15435.5</v>
      </c>
      <c r="S2838" s="2" t="str">
        <f t="shared" si="403"/>
        <v xml:space="preserve"> Not Achieved</v>
      </c>
      <c r="T2838" s="2" t="str">
        <f t="shared" si="404"/>
        <v>poor</v>
      </c>
      <c r="U2838" s="2"/>
    </row>
    <row r="2839" spans="1:21" x14ac:dyDescent="0.3">
      <c r="A2839">
        <v>2838</v>
      </c>
      <c r="B2839" t="s">
        <v>3910</v>
      </c>
      <c r="C2839" t="str">
        <f t="shared" si="396"/>
        <v>EMP_2838</v>
      </c>
      <c r="D2839" t="s">
        <v>15</v>
      </c>
      <c r="E2839" t="str">
        <f t="shared" si="397"/>
        <v>EMP_2838Finance</v>
      </c>
      <c r="F2839" t="s">
        <v>18</v>
      </c>
      <c r="G2839" t="s">
        <v>19</v>
      </c>
      <c r="H2839">
        <v>39471</v>
      </c>
      <c r="I2839">
        <v>14538</v>
      </c>
      <c r="J2839">
        <v>0</v>
      </c>
      <c r="K2839">
        <v>0</v>
      </c>
      <c r="L2839" s="4" t="s">
        <v>3890</v>
      </c>
      <c r="M2839" s="4" t="str">
        <f t="shared" si="398"/>
        <v>2/17/2022</v>
      </c>
      <c r="N2839" s="1">
        <f t="shared" ca="1" si="399"/>
        <v>46064</v>
      </c>
      <c r="O2839" s="6" t="e">
        <f t="shared" ca="1" si="400"/>
        <v>#VALUE!</v>
      </c>
      <c r="P2839">
        <v>2</v>
      </c>
      <c r="Q2839">
        <f t="shared" si="401"/>
        <v>54009</v>
      </c>
      <c r="R2839" s="2">
        <f t="shared" si="402"/>
        <v>27004.5</v>
      </c>
      <c r="S2839" s="2" t="str">
        <f t="shared" si="403"/>
        <v xml:space="preserve"> Not Achieved</v>
      </c>
      <c r="T2839" s="2" t="str">
        <f t="shared" si="404"/>
        <v>Average</v>
      </c>
      <c r="U2839" s="2"/>
    </row>
    <row r="2840" spans="1:21" x14ac:dyDescent="0.3">
      <c r="A2840">
        <v>2839</v>
      </c>
      <c r="B2840" t="s">
        <v>3911</v>
      </c>
      <c r="C2840" t="str">
        <f t="shared" si="396"/>
        <v>EMP_2839</v>
      </c>
      <c r="D2840" t="s">
        <v>11</v>
      </c>
      <c r="E2840" t="str">
        <f t="shared" si="397"/>
        <v>EMP_2839Marketing</v>
      </c>
      <c r="F2840" t="s">
        <v>24</v>
      </c>
      <c r="G2840" t="s">
        <v>22</v>
      </c>
      <c r="H2840">
        <v>34258</v>
      </c>
      <c r="I2840">
        <v>14667</v>
      </c>
      <c r="J2840">
        <v>0</v>
      </c>
      <c r="K2840">
        <v>0</v>
      </c>
      <c r="L2840" s="4" t="s">
        <v>1588</v>
      </c>
      <c r="M2840" s="4" t="str">
        <f t="shared" si="398"/>
        <v>9/22/2018</v>
      </c>
      <c r="N2840" s="1">
        <f t="shared" ca="1" si="399"/>
        <v>46064</v>
      </c>
      <c r="O2840" s="6" t="e">
        <f t="shared" ca="1" si="400"/>
        <v>#VALUE!</v>
      </c>
      <c r="P2840">
        <v>1</v>
      </c>
      <c r="Q2840">
        <f t="shared" si="401"/>
        <v>48925</v>
      </c>
      <c r="R2840" s="2">
        <f t="shared" si="402"/>
        <v>24462.5</v>
      </c>
      <c r="S2840" s="2" t="str">
        <f t="shared" si="403"/>
        <v xml:space="preserve"> Not Achieved</v>
      </c>
      <c r="T2840" s="2" t="str">
        <f t="shared" si="404"/>
        <v>Average</v>
      </c>
      <c r="U2840" s="2"/>
    </row>
    <row r="2841" spans="1:21" x14ac:dyDescent="0.3">
      <c r="A2841">
        <v>2840</v>
      </c>
      <c r="B2841" t="s">
        <v>3912</v>
      </c>
      <c r="C2841" t="str">
        <f t="shared" si="396"/>
        <v>EMP_2840</v>
      </c>
      <c r="D2841" t="s">
        <v>15</v>
      </c>
      <c r="E2841" t="str">
        <f t="shared" si="397"/>
        <v>EMP_2840Finance</v>
      </c>
      <c r="F2841" t="s">
        <v>18</v>
      </c>
      <c r="G2841" t="s">
        <v>25</v>
      </c>
      <c r="H2841">
        <v>37273</v>
      </c>
      <c r="I2841">
        <v>10288</v>
      </c>
      <c r="J2841">
        <v>0</v>
      </c>
      <c r="K2841">
        <v>0</v>
      </c>
      <c r="L2841" s="4" t="s">
        <v>2057</v>
      </c>
      <c r="M2841" s="4" t="str">
        <f t="shared" si="398"/>
        <v>12/22/2024</v>
      </c>
      <c r="N2841" s="1">
        <f t="shared" ca="1" si="399"/>
        <v>46064</v>
      </c>
      <c r="O2841" s="6" t="e">
        <f t="shared" ca="1" si="400"/>
        <v>#VALUE!</v>
      </c>
      <c r="P2841">
        <v>1</v>
      </c>
      <c r="Q2841">
        <f t="shared" si="401"/>
        <v>47561</v>
      </c>
      <c r="R2841" s="2">
        <f t="shared" si="402"/>
        <v>23780.5</v>
      </c>
      <c r="S2841" s="2" t="str">
        <f t="shared" si="403"/>
        <v xml:space="preserve"> Not Achieved</v>
      </c>
      <c r="T2841" s="2" t="str">
        <f t="shared" si="404"/>
        <v>Average</v>
      </c>
      <c r="U2841" s="2"/>
    </row>
    <row r="2842" spans="1:21" x14ac:dyDescent="0.3">
      <c r="A2842">
        <v>2841</v>
      </c>
      <c r="B2842" t="s">
        <v>3913</v>
      </c>
      <c r="C2842" t="str">
        <f t="shared" si="396"/>
        <v>EMP_2841</v>
      </c>
      <c r="D2842" t="s">
        <v>15</v>
      </c>
      <c r="E2842" t="str">
        <f t="shared" si="397"/>
        <v>EMP_2841Sales</v>
      </c>
      <c r="F2842" t="s">
        <v>7</v>
      </c>
      <c r="G2842" t="s">
        <v>16</v>
      </c>
      <c r="H2842">
        <v>27601</v>
      </c>
      <c r="I2842">
        <v>10178</v>
      </c>
      <c r="J2842">
        <v>254528</v>
      </c>
      <c r="K2842">
        <v>112030</v>
      </c>
      <c r="L2842" s="4" t="s">
        <v>3914</v>
      </c>
      <c r="M2842" s="4" t="str">
        <f t="shared" si="398"/>
        <v>2/15/2022</v>
      </c>
      <c r="N2842" s="1">
        <f t="shared" ca="1" si="399"/>
        <v>46064</v>
      </c>
      <c r="O2842" s="6" t="e">
        <f t="shared" ca="1" si="400"/>
        <v>#VALUE!</v>
      </c>
      <c r="P2842">
        <v>1</v>
      </c>
      <c r="Q2842">
        <f t="shared" si="401"/>
        <v>37779</v>
      </c>
      <c r="R2842" s="2">
        <f t="shared" si="402"/>
        <v>18889.5</v>
      </c>
      <c r="S2842" s="2" t="str">
        <f t="shared" si="403"/>
        <v>Achieved</v>
      </c>
      <c r="T2842" s="2" t="str">
        <f t="shared" si="404"/>
        <v>poor</v>
      </c>
      <c r="U2842" s="2"/>
    </row>
    <row r="2843" spans="1:21" x14ac:dyDescent="0.3">
      <c r="A2843">
        <v>2842</v>
      </c>
      <c r="B2843" t="s">
        <v>3915</v>
      </c>
      <c r="C2843" t="str">
        <f t="shared" si="396"/>
        <v>EMP_2842</v>
      </c>
      <c r="D2843" t="s">
        <v>15</v>
      </c>
      <c r="E2843" t="str">
        <f t="shared" si="397"/>
        <v>EMP_2842Finance</v>
      </c>
      <c r="F2843" t="s">
        <v>18</v>
      </c>
      <c r="G2843" t="s">
        <v>25</v>
      </c>
      <c r="H2843">
        <v>62729</v>
      </c>
      <c r="I2843">
        <v>11753</v>
      </c>
      <c r="J2843">
        <v>0</v>
      </c>
      <c r="K2843">
        <v>0</v>
      </c>
      <c r="L2843" s="4" t="s">
        <v>3916</v>
      </c>
      <c r="M2843" s="4" t="str">
        <f t="shared" si="398"/>
        <v>3/19/2019</v>
      </c>
      <c r="N2843" s="1">
        <f t="shared" ca="1" si="399"/>
        <v>46064</v>
      </c>
      <c r="O2843" s="6" t="e">
        <f t="shared" ca="1" si="400"/>
        <v>#VALUE!</v>
      </c>
      <c r="P2843">
        <v>1</v>
      </c>
      <c r="Q2843">
        <f t="shared" si="401"/>
        <v>74482</v>
      </c>
      <c r="R2843" s="2">
        <f t="shared" si="402"/>
        <v>37241</v>
      </c>
      <c r="S2843" s="2" t="str">
        <f t="shared" si="403"/>
        <v xml:space="preserve"> Not Achieved</v>
      </c>
      <c r="T2843" s="2" t="str">
        <f t="shared" si="404"/>
        <v xml:space="preserve"> Excellent</v>
      </c>
      <c r="U2843" s="2"/>
    </row>
    <row r="2844" spans="1:21" x14ac:dyDescent="0.3">
      <c r="A2844">
        <v>2843</v>
      </c>
      <c r="B2844" t="s">
        <v>3917</v>
      </c>
      <c r="C2844" t="str">
        <f t="shared" si="396"/>
        <v>EMP_2843</v>
      </c>
      <c r="D2844" t="s">
        <v>15</v>
      </c>
      <c r="E2844" t="str">
        <f t="shared" si="397"/>
        <v>EMP_2843Finance</v>
      </c>
      <c r="F2844" t="s">
        <v>18</v>
      </c>
      <c r="G2844" t="s">
        <v>19</v>
      </c>
      <c r="H2844">
        <v>58464</v>
      </c>
      <c r="I2844">
        <v>3743</v>
      </c>
      <c r="J2844">
        <v>0</v>
      </c>
      <c r="K2844">
        <v>0</v>
      </c>
      <c r="L2844" s="4" t="s">
        <v>3918</v>
      </c>
      <c r="M2844" s="4" t="str">
        <f t="shared" si="398"/>
        <v>5/27/2018</v>
      </c>
      <c r="N2844" s="1">
        <f t="shared" ca="1" si="399"/>
        <v>46064</v>
      </c>
      <c r="O2844" s="6" t="e">
        <f t="shared" ca="1" si="400"/>
        <v>#VALUE!</v>
      </c>
      <c r="P2844">
        <v>3</v>
      </c>
      <c r="Q2844">
        <f t="shared" si="401"/>
        <v>62207</v>
      </c>
      <c r="R2844" s="2">
        <f t="shared" si="402"/>
        <v>31103.5</v>
      </c>
      <c r="S2844" s="2" t="str">
        <f t="shared" si="403"/>
        <v xml:space="preserve"> Not Achieved</v>
      </c>
      <c r="T2844" s="2" t="str">
        <f t="shared" si="404"/>
        <v xml:space="preserve"> Excellent</v>
      </c>
      <c r="U2844" s="2"/>
    </row>
    <row r="2845" spans="1:21" x14ac:dyDescent="0.3">
      <c r="A2845">
        <v>2844</v>
      </c>
      <c r="B2845" t="s">
        <v>3919</v>
      </c>
      <c r="C2845" t="str">
        <f t="shared" si="396"/>
        <v>EMP_2844</v>
      </c>
      <c r="D2845" t="s">
        <v>15</v>
      </c>
      <c r="E2845" t="str">
        <f t="shared" si="397"/>
        <v>EMP_2844HR</v>
      </c>
      <c r="F2845" t="s">
        <v>12</v>
      </c>
      <c r="G2845" t="s">
        <v>16</v>
      </c>
      <c r="H2845">
        <v>53766</v>
      </c>
      <c r="I2845">
        <v>2950</v>
      </c>
      <c r="J2845">
        <v>0</v>
      </c>
      <c r="K2845">
        <v>0</v>
      </c>
      <c r="L2845" s="4">
        <v>44229</v>
      </c>
      <c r="M2845" s="4" t="str">
        <f t="shared" si="398"/>
        <v>2021</v>
      </c>
      <c r="N2845" s="1">
        <f t="shared" ca="1" si="399"/>
        <v>46064</v>
      </c>
      <c r="O2845" s="6">
        <f t="shared" ca="1" si="400"/>
        <v>5</v>
      </c>
      <c r="P2845">
        <v>3</v>
      </c>
      <c r="Q2845">
        <f t="shared" si="401"/>
        <v>56716</v>
      </c>
      <c r="R2845" s="2">
        <f t="shared" si="402"/>
        <v>28358</v>
      </c>
      <c r="S2845" s="2" t="str">
        <f t="shared" si="403"/>
        <v xml:space="preserve"> Not Achieved</v>
      </c>
      <c r="T2845" s="2" t="str">
        <f t="shared" si="404"/>
        <v xml:space="preserve"> Excellent</v>
      </c>
      <c r="U2845" s="2"/>
    </row>
    <row r="2846" spans="1:21" x14ac:dyDescent="0.3">
      <c r="A2846">
        <v>2845</v>
      </c>
      <c r="B2846" t="s">
        <v>3920</v>
      </c>
      <c r="C2846" t="str">
        <f t="shared" si="396"/>
        <v>EMP_2845</v>
      </c>
      <c r="D2846" t="s">
        <v>15</v>
      </c>
      <c r="E2846" t="str">
        <f t="shared" si="397"/>
        <v>EMP_2845Sales</v>
      </c>
      <c r="F2846" t="s">
        <v>7</v>
      </c>
      <c r="G2846" t="s">
        <v>25</v>
      </c>
      <c r="H2846">
        <v>36561</v>
      </c>
      <c r="I2846">
        <v>14830</v>
      </c>
      <c r="J2846">
        <v>99670</v>
      </c>
      <c r="K2846">
        <v>214990</v>
      </c>
      <c r="L2846" s="4">
        <v>44958</v>
      </c>
      <c r="M2846" s="4" t="str">
        <f t="shared" si="398"/>
        <v>2023</v>
      </c>
      <c r="N2846" s="1">
        <f t="shared" ca="1" si="399"/>
        <v>46064</v>
      </c>
      <c r="O2846" s="6">
        <f t="shared" ca="1" si="400"/>
        <v>3</v>
      </c>
      <c r="P2846">
        <v>5</v>
      </c>
      <c r="Q2846">
        <f t="shared" si="401"/>
        <v>51391</v>
      </c>
      <c r="R2846" s="2">
        <f t="shared" si="402"/>
        <v>25695.5</v>
      </c>
      <c r="S2846" s="2" t="str">
        <f t="shared" si="403"/>
        <v xml:space="preserve"> Not Achieved</v>
      </c>
      <c r="T2846" s="2" t="str">
        <f t="shared" si="404"/>
        <v>Average</v>
      </c>
      <c r="U2846" s="2"/>
    </row>
    <row r="2847" spans="1:21" x14ac:dyDescent="0.3">
      <c r="A2847">
        <v>2846</v>
      </c>
      <c r="B2847" t="s">
        <v>3921</v>
      </c>
      <c r="C2847" t="str">
        <f t="shared" si="396"/>
        <v>EMP_2846</v>
      </c>
      <c r="D2847" t="s">
        <v>15</v>
      </c>
      <c r="E2847" t="str">
        <f t="shared" si="397"/>
        <v>EMP_2846Sales</v>
      </c>
      <c r="F2847" t="s">
        <v>7</v>
      </c>
      <c r="G2847" t="s">
        <v>16</v>
      </c>
      <c r="H2847">
        <v>27269</v>
      </c>
      <c r="I2847">
        <v>12862</v>
      </c>
      <c r="J2847">
        <v>258308</v>
      </c>
      <c r="K2847">
        <v>107874</v>
      </c>
      <c r="L2847" s="4">
        <v>45331</v>
      </c>
      <c r="M2847" s="4" t="str">
        <f t="shared" si="398"/>
        <v>2024</v>
      </c>
      <c r="N2847" s="1">
        <f t="shared" ca="1" si="399"/>
        <v>46064</v>
      </c>
      <c r="O2847" s="6">
        <f t="shared" ca="1" si="400"/>
        <v>2</v>
      </c>
      <c r="P2847">
        <v>3</v>
      </c>
      <c r="Q2847">
        <f t="shared" si="401"/>
        <v>40131</v>
      </c>
      <c r="R2847" s="2">
        <f t="shared" si="402"/>
        <v>20065.5</v>
      </c>
      <c r="S2847" s="2" t="str">
        <f t="shared" si="403"/>
        <v>Achieved</v>
      </c>
      <c r="T2847" s="2" t="str">
        <f t="shared" si="404"/>
        <v>poor</v>
      </c>
      <c r="U2847" s="2"/>
    </row>
    <row r="2848" spans="1:21" x14ac:dyDescent="0.3">
      <c r="A2848">
        <v>2847</v>
      </c>
      <c r="B2848" t="s">
        <v>3922</v>
      </c>
      <c r="C2848" t="str">
        <f t="shared" si="396"/>
        <v>EMP_2847</v>
      </c>
      <c r="D2848" t="s">
        <v>15</v>
      </c>
      <c r="E2848" t="str">
        <f t="shared" si="397"/>
        <v>EMP_2847Finance</v>
      </c>
      <c r="F2848" t="s">
        <v>18</v>
      </c>
      <c r="G2848" t="s">
        <v>22</v>
      </c>
      <c r="H2848">
        <v>33898</v>
      </c>
      <c r="I2848">
        <v>3318</v>
      </c>
      <c r="J2848">
        <v>0</v>
      </c>
      <c r="K2848">
        <v>0</v>
      </c>
      <c r="L2848" s="4" t="s">
        <v>3586</v>
      </c>
      <c r="M2848" s="4" t="str">
        <f t="shared" si="398"/>
        <v>10/22/2024</v>
      </c>
      <c r="N2848" s="1">
        <f t="shared" ca="1" si="399"/>
        <v>46064</v>
      </c>
      <c r="O2848" s="6" t="e">
        <f t="shared" ca="1" si="400"/>
        <v>#VALUE!</v>
      </c>
      <c r="P2848">
        <v>3</v>
      </c>
      <c r="Q2848">
        <f t="shared" si="401"/>
        <v>37216</v>
      </c>
      <c r="R2848" s="2">
        <f t="shared" si="402"/>
        <v>18608</v>
      </c>
      <c r="S2848" s="2" t="str">
        <f t="shared" si="403"/>
        <v xml:space="preserve"> Not Achieved</v>
      </c>
      <c r="T2848" s="2" t="str">
        <f t="shared" si="404"/>
        <v>Average</v>
      </c>
      <c r="U2848" s="2"/>
    </row>
    <row r="2849" spans="1:21" x14ac:dyDescent="0.3">
      <c r="A2849">
        <v>2848</v>
      </c>
      <c r="B2849" t="s">
        <v>3923</v>
      </c>
      <c r="C2849" t="str">
        <f t="shared" si="396"/>
        <v>EMP_2848</v>
      </c>
      <c r="D2849" t="s">
        <v>11</v>
      </c>
      <c r="E2849" t="str">
        <f t="shared" si="397"/>
        <v>EMP_2848IT</v>
      </c>
      <c r="F2849" t="s">
        <v>21</v>
      </c>
      <c r="G2849" t="s">
        <v>22</v>
      </c>
      <c r="H2849">
        <v>33443</v>
      </c>
      <c r="I2849">
        <v>5255</v>
      </c>
      <c r="J2849">
        <v>0</v>
      </c>
      <c r="K2849">
        <v>0</v>
      </c>
      <c r="L2849" s="4" t="s">
        <v>1458</v>
      </c>
      <c r="M2849" s="4" t="str">
        <f t="shared" si="398"/>
        <v>11/17/2020</v>
      </c>
      <c r="N2849" s="1">
        <f t="shared" ca="1" si="399"/>
        <v>46064</v>
      </c>
      <c r="O2849" s="6" t="e">
        <f t="shared" ca="1" si="400"/>
        <v>#VALUE!</v>
      </c>
      <c r="P2849">
        <v>1</v>
      </c>
      <c r="Q2849">
        <f t="shared" si="401"/>
        <v>38698</v>
      </c>
      <c r="R2849" s="2">
        <f t="shared" si="402"/>
        <v>19349</v>
      </c>
      <c r="S2849" s="2" t="str">
        <f t="shared" si="403"/>
        <v xml:space="preserve"> Not Achieved</v>
      </c>
      <c r="T2849" s="2" t="str">
        <f t="shared" si="404"/>
        <v>Average</v>
      </c>
      <c r="U2849" s="2"/>
    </row>
    <row r="2850" spans="1:21" x14ac:dyDescent="0.3">
      <c r="A2850">
        <v>2849</v>
      </c>
      <c r="B2850" t="s">
        <v>3924</v>
      </c>
      <c r="C2850" t="str">
        <f t="shared" si="396"/>
        <v>EMP_2849</v>
      </c>
      <c r="D2850" t="s">
        <v>15</v>
      </c>
      <c r="E2850" t="str">
        <f t="shared" si="397"/>
        <v>EMP_2849Sales</v>
      </c>
      <c r="F2850" t="s">
        <v>7</v>
      </c>
      <c r="G2850" t="s">
        <v>22</v>
      </c>
      <c r="H2850">
        <v>73430</v>
      </c>
      <c r="I2850">
        <v>8977</v>
      </c>
      <c r="J2850">
        <v>109851</v>
      </c>
      <c r="K2850">
        <v>85688</v>
      </c>
      <c r="L2850" s="4">
        <v>44807</v>
      </c>
      <c r="M2850" s="4" t="str">
        <f t="shared" si="398"/>
        <v>2022</v>
      </c>
      <c r="N2850" s="1">
        <f t="shared" ca="1" si="399"/>
        <v>46064</v>
      </c>
      <c r="O2850" s="6">
        <f t="shared" ca="1" si="400"/>
        <v>3</v>
      </c>
      <c r="P2850">
        <v>2</v>
      </c>
      <c r="Q2850">
        <f t="shared" si="401"/>
        <v>82407</v>
      </c>
      <c r="R2850" s="2">
        <f t="shared" si="402"/>
        <v>41203.5</v>
      </c>
      <c r="S2850" s="2" t="str">
        <f t="shared" si="403"/>
        <v>Achieved</v>
      </c>
      <c r="T2850" s="2" t="str">
        <f t="shared" si="404"/>
        <v xml:space="preserve"> Excellent</v>
      </c>
      <c r="U2850" s="2"/>
    </row>
    <row r="2851" spans="1:21" x14ac:dyDescent="0.3">
      <c r="A2851">
        <v>2850</v>
      </c>
      <c r="B2851" t="s">
        <v>3925</v>
      </c>
      <c r="C2851" t="str">
        <f t="shared" si="396"/>
        <v>EMP_2850</v>
      </c>
      <c r="D2851" t="s">
        <v>15</v>
      </c>
      <c r="E2851" t="str">
        <f t="shared" si="397"/>
        <v>EMP_2850Finance</v>
      </c>
      <c r="F2851" t="s">
        <v>18</v>
      </c>
      <c r="G2851" t="s">
        <v>19</v>
      </c>
      <c r="H2851">
        <v>23786</v>
      </c>
      <c r="I2851">
        <v>12483</v>
      </c>
      <c r="J2851">
        <v>0</v>
      </c>
      <c r="K2851">
        <v>0</v>
      </c>
      <c r="L2851" s="4">
        <v>44050</v>
      </c>
      <c r="M2851" s="4" t="str">
        <f t="shared" si="398"/>
        <v>2020</v>
      </c>
      <c r="N2851" s="1">
        <f t="shared" ca="1" si="399"/>
        <v>46064</v>
      </c>
      <c r="O2851" s="6">
        <f t="shared" ca="1" si="400"/>
        <v>5</v>
      </c>
      <c r="P2851">
        <v>1</v>
      </c>
      <c r="Q2851">
        <f t="shared" si="401"/>
        <v>36269</v>
      </c>
      <c r="R2851" s="2">
        <f t="shared" si="402"/>
        <v>18134.5</v>
      </c>
      <c r="S2851" s="2" t="str">
        <f t="shared" si="403"/>
        <v xml:space="preserve"> Not Achieved</v>
      </c>
      <c r="T2851" s="2" t="str">
        <f t="shared" si="404"/>
        <v>poor</v>
      </c>
      <c r="U2851" s="2"/>
    </row>
    <row r="2852" spans="1:21" x14ac:dyDescent="0.3">
      <c r="A2852">
        <v>2851</v>
      </c>
      <c r="B2852" t="s">
        <v>3926</v>
      </c>
      <c r="C2852" t="str">
        <f t="shared" si="396"/>
        <v>EMP_2851</v>
      </c>
      <c r="D2852" t="s">
        <v>11</v>
      </c>
      <c r="E2852" t="str">
        <f t="shared" si="397"/>
        <v>EMP_2851HR</v>
      </c>
      <c r="F2852" t="s">
        <v>12</v>
      </c>
      <c r="G2852" t="s">
        <v>16</v>
      </c>
      <c r="H2852">
        <v>60812</v>
      </c>
      <c r="I2852">
        <v>3257</v>
      </c>
      <c r="J2852">
        <v>0</v>
      </c>
      <c r="K2852">
        <v>0</v>
      </c>
      <c r="L2852" s="4" t="s">
        <v>3927</v>
      </c>
      <c r="M2852" s="4" t="str">
        <f t="shared" si="398"/>
        <v>6/24/2023</v>
      </c>
      <c r="N2852" s="1">
        <f t="shared" ca="1" si="399"/>
        <v>46064</v>
      </c>
      <c r="O2852" s="6" t="e">
        <f t="shared" ca="1" si="400"/>
        <v>#VALUE!</v>
      </c>
      <c r="P2852">
        <v>3</v>
      </c>
      <c r="Q2852">
        <f t="shared" si="401"/>
        <v>64069</v>
      </c>
      <c r="R2852" s="2">
        <f t="shared" si="402"/>
        <v>32034.5</v>
      </c>
      <c r="S2852" s="2" t="str">
        <f t="shared" si="403"/>
        <v xml:space="preserve"> Not Achieved</v>
      </c>
      <c r="T2852" s="2" t="str">
        <f t="shared" si="404"/>
        <v xml:space="preserve"> Excellent</v>
      </c>
      <c r="U2852" s="2"/>
    </row>
    <row r="2853" spans="1:21" x14ac:dyDescent="0.3">
      <c r="A2853">
        <v>2852</v>
      </c>
      <c r="B2853" t="s">
        <v>3928</v>
      </c>
      <c r="C2853" t="str">
        <f t="shared" si="396"/>
        <v>EMP_2852</v>
      </c>
      <c r="D2853" t="s">
        <v>11</v>
      </c>
      <c r="E2853" t="str">
        <f t="shared" si="397"/>
        <v>EMP_2852Finance</v>
      </c>
      <c r="F2853" t="s">
        <v>18</v>
      </c>
      <c r="G2853" t="s">
        <v>22</v>
      </c>
      <c r="H2853">
        <v>76161</v>
      </c>
      <c r="I2853">
        <v>10222</v>
      </c>
      <c r="J2853">
        <v>0</v>
      </c>
      <c r="K2853">
        <v>0</v>
      </c>
      <c r="L2853" s="4" t="s">
        <v>2493</v>
      </c>
      <c r="M2853" s="4" t="str">
        <f t="shared" si="398"/>
        <v>2/22/2024</v>
      </c>
      <c r="N2853" s="1">
        <f t="shared" ca="1" si="399"/>
        <v>46064</v>
      </c>
      <c r="O2853" s="6" t="e">
        <f t="shared" ca="1" si="400"/>
        <v>#VALUE!</v>
      </c>
      <c r="P2853">
        <v>1</v>
      </c>
      <c r="Q2853">
        <f t="shared" si="401"/>
        <v>86383</v>
      </c>
      <c r="R2853" s="2">
        <f t="shared" si="402"/>
        <v>43191.5</v>
      </c>
      <c r="S2853" s="2" t="str">
        <f t="shared" si="403"/>
        <v xml:space="preserve"> Not Achieved</v>
      </c>
      <c r="T2853" s="2" t="str">
        <f t="shared" si="404"/>
        <v xml:space="preserve"> Excellent</v>
      </c>
      <c r="U2853" s="2"/>
    </row>
    <row r="2854" spans="1:21" x14ac:dyDescent="0.3">
      <c r="A2854">
        <v>2853</v>
      </c>
      <c r="B2854" t="s">
        <v>3929</v>
      </c>
      <c r="C2854" t="str">
        <f t="shared" si="396"/>
        <v>EMP_2853</v>
      </c>
      <c r="D2854" t="s">
        <v>15</v>
      </c>
      <c r="E2854" t="str">
        <f t="shared" si="397"/>
        <v>EMP_2853IT</v>
      </c>
      <c r="F2854" t="s">
        <v>21</v>
      </c>
      <c r="G2854" t="s">
        <v>13</v>
      </c>
      <c r="H2854">
        <v>74505</v>
      </c>
      <c r="I2854">
        <v>6662</v>
      </c>
      <c r="J2854">
        <v>0</v>
      </c>
      <c r="K2854">
        <v>0</v>
      </c>
      <c r="L2854" s="4">
        <v>44446</v>
      </c>
      <c r="M2854" s="4" t="str">
        <f t="shared" si="398"/>
        <v>2021</v>
      </c>
      <c r="N2854" s="1">
        <f t="shared" ca="1" si="399"/>
        <v>46064</v>
      </c>
      <c r="O2854" s="6">
        <f t="shared" ca="1" si="400"/>
        <v>4</v>
      </c>
      <c r="P2854">
        <v>3</v>
      </c>
      <c r="Q2854">
        <f t="shared" si="401"/>
        <v>81167</v>
      </c>
      <c r="R2854" s="2">
        <f t="shared" si="402"/>
        <v>40583.5</v>
      </c>
      <c r="S2854" s="2" t="str">
        <f t="shared" si="403"/>
        <v xml:space="preserve"> Not Achieved</v>
      </c>
      <c r="T2854" s="2" t="str">
        <f t="shared" si="404"/>
        <v xml:space="preserve"> Excellent</v>
      </c>
      <c r="U2854" s="2"/>
    </row>
    <row r="2855" spans="1:21" x14ac:dyDescent="0.3">
      <c r="A2855">
        <v>2854</v>
      </c>
      <c r="B2855" t="s">
        <v>3930</v>
      </c>
      <c r="C2855" t="str">
        <f t="shared" si="396"/>
        <v>EMP_2854</v>
      </c>
      <c r="D2855" t="s">
        <v>15</v>
      </c>
      <c r="E2855" t="str">
        <f t="shared" si="397"/>
        <v>EMP_2854IT</v>
      </c>
      <c r="F2855" t="s">
        <v>21</v>
      </c>
      <c r="G2855" t="s">
        <v>25</v>
      </c>
      <c r="H2855">
        <v>26708</v>
      </c>
      <c r="I2855">
        <v>9592</v>
      </c>
      <c r="J2855">
        <v>0</v>
      </c>
      <c r="K2855">
        <v>0</v>
      </c>
      <c r="L2855" s="4" t="s">
        <v>3931</v>
      </c>
      <c r="M2855" s="4" t="str">
        <f t="shared" si="398"/>
        <v>5/17/2019</v>
      </c>
      <c r="N2855" s="1">
        <f t="shared" ca="1" si="399"/>
        <v>46064</v>
      </c>
      <c r="O2855" s="6" t="e">
        <f t="shared" ca="1" si="400"/>
        <v>#VALUE!</v>
      </c>
      <c r="P2855">
        <v>5</v>
      </c>
      <c r="Q2855">
        <f t="shared" si="401"/>
        <v>36300</v>
      </c>
      <c r="R2855" s="2">
        <f t="shared" si="402"/>
        <v>18150</v>
      </c>
      <c r="S2855" s="2" t="str">
        <f t="shared" si="403"/>
        <v xml:space="preserve"> Not Achieved</v>
      </c>
      <c r="T2855" s="2" t="str">
        <f t="shared" si="404"/>
        <v>poor</v>
      </c>
      <c r="U2855" s="2"/>
    </row>
    <row r="2856" spans="1:21" x14ac:dyDescent="0.3">
      <c r="A2856">
        <v>2855</v>
      </c>
      <c r="B2856" t="s">
        <v>3932</v>
      </c>
      <c r="C2856" t="str">
        <f t="shared" si="396"/>
        <v>EMP_2855</v>
      </c>
      <c r="D2856" t="s">
        <v>11</v>
      </c>
      <c r="E2856" t="str">
        <f t="shared" si="397"/>
        <v>EMP_2855Sales</v>
      </c>
      <c r="F2856" t="s">
        <v>7</v>
      </c>
      <c r="G2856" t="s">
        <v>25</v>
      </c>
      <c r="H2856">
        <v>54284</v>
      </c>
      <c r="I2856">
        <v>6591</v>
      </c>
      <c r="J2856">
        <v>174595</v>
      </c>
      <c r="K2856">
        <v>114059</v>
      </c>
      <c r="L2856" s="4">
        <v>45172</v>
      </c>
      <c r="M2856" s="4" t="str">
        <f t="shared" si="398"/>
        <v>2023</v>
      </c>
      <c r="N2856" s="1">
        <f t="shared" ca="1" si="399"/>
        <v>46064</v>
      </c>
      <c r="O2856" s="6">
        <f t="shared" ca="1" si="400"/>
        <v>2</v>
      </c>
      <c r="P2856">
        <v>3</v>
      </c>
      <c r="Q2856">
        <f t="shared" si="401"/>
        <v>60875</v>
      </c>
      <c r="R2856" s="2">
        <f t="shared" si="402"/>
        <v>30437.5</v>
      </c>
      <c r="S2856" s="2" t="str">
        <f t="shared" si="403"/>
        <v>Achieved</v>
      </c>
      <c r="T2856" s="2" t="str">
        <f t="shared" si="404"/>
        <v xml:space="preserve"> Excellent</v>
      </c>
      <c r="U2856" s="2"/>
    </row>
    <row r="2857" spans="1:21" x14ac:dyDescent="0.3">
      <c r="A2857">
        <v>2856</v>
      </c>
      <c r="B2857" t="s">
        <v>3933</v>
      </c>
      <c r="C2857" t="str">
        <f t="shared" si="396"/>
        <v>EMP_2856</v>
      </c>
      <c r="D2857" t="s">
        <v>15</v>
      </c>
      <c r="E2857" t="str">
        <f t="shared" si="397"/>
        <v>EMP_2856Finance</v>
      </c>
      <c r="F2857" t="s">
        <v>18</v>
      </c>
      <c r="G2857" t="s">
        <v>25</v>
      </c>
      <c r="H2857">
        <v>64752</v>
      </c>
      <c r="I2857">
        <v>4586</v>
      </c>
      <c r="J2857">
        <v>0</v>
      </c>
      <c r="K2857">
        <v>0</v>
      </c>
      <c r="L2857" s="4">
        <v>45118</v>
      </c>
      <c r="M2857" s="4" t="str">
        <f t="shared" si="398"/>
        <v>2023</v>
      </c>
      <c r="N2857" s="1">
        <f t="shared" ca="1" si="399"/>
        <v>46064</v>
      </c>
      <c r="O2857" s="6">
        <f t="shared" ca="1" si="400"/>
        <v>2</v>
      </c>
      <c r="P2857">
        <v>5</v>
      </c>
      <c r="Q2857">
        <f t="shared" si="401"/>
        <v>69338</v>
      </c>
      <c r="R2857" s="2">
        <f t="shared" si="402"/>
        <v>34669</v>
      </c>
      <c r="S2857" s="2" t="str">
        <f t="shared" si="403"/>
        <v xml:space="preserve"> Not Achieved</v>
      </c>
      <c r="T2857" s="2" t="str">
        <f t="shared" si="404"/>
        <v xml:space="preserve"> Excellent</v>
      </c>
      <c r="U2857" s="2"/>
    </row>
    <row r="2858" spans="1:21" x14ac:dyDescent="0.3">
      <c r="A2858">
        <v>2857</v>
      </c>
      <c r="B2858" t="s">
        <v>3934</v>
      </c>
      <c r="C2858" t="str">
        <f t="shared" si="396"/>
        <v>EMP_2857</v>
      </c>
      <c r="D2858" t="s">
        <v>11</v>
      </c>
      <c r="E2858" t="str">
        <f t="shared" si="397"/>
        <v>EMP_2857Finance</v>
      </c>
      <c r="F2858" t="s">
        <v>18</v>
      </c>
      <c r="G2858" t="s">
        <v>16</v>
      </c>
      <c r="H2858">
        <v>68920</v>
      </c>
      <c r="I2858">
        <v>10234</v>
      </c>
      <c r="J2858">
        <v>0</v>
      </c>
      <c r="K2858">
        <v>0</v>
      </c>
      <c r="L2858" s="4">
        <v>43534</v>
      </c>
      <c r="M2858" s="4" t="str">
        <f t="shared" si="398"/>
        <v>2019</v>
      </c>
      <c r="N2858" s="1">
        <f t="shared" ca="1" si="399"/>
        <v>46064</v>
      </c>
      <c r="O2858" s="6">
        <f t="shared" ca="1" si="400"/>
        <v>6</v>
      </c>
      <c r="P2858">
        <v>3</v>
      </c>
      <c r="Q2858">
        <f t="shared" si="401"/>
        <v>79154</v>
      </c>
      <c r="R2858" s="2">
        <f t="shared" si="402"/>
        <v>39577</v>
      </c>
      <c r="S2858" s="2" t="str">
        <f t="shared" si="403"/>
        <v xml:space="preserve"> Not Achieved</v>
      </c>
      <c r="T2858" s="2" t="str">
        <f t="shared" si="404"/>
        <v xml:space="preserve"> Excellent</v>
      </c>
      <c r="U2858" s="2"/>
    </row>
    <row r="2859" spans="1:21" x14ac:dyDescent="0.3">
      <c r="A2859">
        <v>2858</v>
      </c>
      <c r="B2859" t="s">
        <v>3935</v>
      </c>
      <c r="C2859" t="str">
        <f t="shared" si="396"/>
        <v>EMP_2858</v>
      </c>
      <c r="D2859" t="s">
        <v>11</v>
      </c>
      <c r="E2859" t="str">
        <f t="shared" si="397"/>
        <v>EMP_2858Marketing</v>
      </c>
      <c r="F2859" t="s">
        <v>24</v>
      </c>
      <c r="G2859" t="s">
        <v>16</v>
      </c>
      <c r="H2859">
        <v>35807</v>
      </c>
      <c r="I2859">
        <v>9418</v>
      </c>
      <c r="J2859">
        <v>0</v>
      </c>
      <c r="K2859">
        <v>0</v>
      </c>
      <c r="L2859" s="4" t="s">
        <v>1779</v>
      </c>
      <c r="M2859" s="4" t="str">
        <f t="shared" si="398"/>
        <v>8/25/2021</v>
      </c>
      <c r="N2859" s="1">
        <f t="shared" ca="1" si="399"/>
        <v>46064</v>
      </c>
      <c r="O2859" s="6" t="e">
        <f t="shared" ca="1" si="400"/>
        <v>#VALUE!</v>
      </c>
      <c r="P2859">
        <v>2</v>
      </c>
      <c r="Q2859">
        <f t="shared" si="401"/>
        <v>45225</v>
      </c>
      <c r="R2859" s="2">
        <f t="shared" si="402"/>
        <v>22612.5</v>
      </c>
      <c r="S2859" s="2" t="str">
        <f t="shared" si="403"/>
        <v xml:space="preserve"> Not Achieved</v>
      </c>
      <c r="T2859" s="2" t="str">
        <f t="shared" si="404"/>
        <v>Average</v>
      </c>
      <c r="U2859" s="2"/>
    </row>
    <row r="2860" spans="1:21" x14ac:dyDescent="0.3">
      <c r="A2860">
        <v>2859</v>
      </c>
      <c r="B2860" t="s">
        <v>3936</v>
      </c>
      <c r="C2860" t="str">
        <f t="shared" si="396"/>
        <v>EMP_2859</v>
      </c>
      <c r="D2860" t="s">
        <v>11</v>
      </c>
      <c r="E2860" t="str">
        <f t="shared" si="397"/>
        <v>EMP_2859IT</v>
      </c>
      <c r="F2860" t="s">
        <v>21</v>
      </c>
      <c r="G2860" t="s">
        <v>22</v>
      </c>
      <c r="H2860">
        <v>39823</v>
      </c>
      <c r="I2860">
        <v>10695</v>
      </c>
      <c r="J2860">
        <v>0</v>
      </c>
      <c r="K2860">
        <v>0</v>
      </c>
      <c r="L2860" s="4">
        <v>45566</v>
      </c>
      <c r="M2860" s="4" t="str">
        <f t="shared" si="398"/>
        <v>2024</v>
      </c>
      <c r="N2860" s="1">
        <f t="shared" ca="1" si="399"/>
        <v>46064</v>
      </c>
      <c r="O2860" s="6">
        <f t="shared" ca="1" si="400"/>
        <v>1</v>
      </c>
      <c r="P2860">
        <v>5</v>
      </c>
      <c r="Q2860">
        <f t="shared" si="401"/>
        <v>50518</v>
      </c>
      <c r="R2860" s="2">
        <f t="shared" si="402"/>
        <v>25259</v>
      </c>
      <c r="S2860" s="2" t="str">
        <f t="shared" si="403"/>
        <v xml:space="preserve"> Not Achieved</v>
      </c>
      <c r="T2860" s="2" t="str">
        <f t="shared" si="404"/>
        <v>Average</v>
      </c>
      <c r="U2860" s="2"/>
    </row>
    <row r="2861" spans="1:21" x14ac:dyDescent="0.3">
      <c r="A2861">
        <v>2860</v>
      </c>
      <c r="B2861" t="s">
        <v>3937</v>
      </c>
      <c r="C2861" t="str">
        <f t="shared" si="396"/>
        <v>EMP_2860</v>
      </c>
      <c r="D2861" t="s">
        <v>11</v>
      </c>
      <c r="E2861" t="str">
        <f t="shared" si="397"/>
        <v>EMP_2860Sales</v>
      </c>
      <c r="F2861" t="s">
        <v>7</v>
      </c>
      <c r="G2861" t="s">
        <v>16</v>
      </c>
      <c r="H2861">
        <v>61402</v>
      </c>
      <c r="I2861">
        <v>5626</v>
      </c>
      <c r="J2861">
        <v>266707</v>
      </c>
      <c r="K2861">
        <v>81830</v>
      </c>
      <c r="L2861" s="4" t="s">
        <v>3938</v>
      </c>
      <c r="M2861" s="4" t="str">
        <f t="shared" si="398"/>
        <v>8/14/2020</v>
      </c>
      <c r="N2861" s="1">
        <f t="shared" ca="1" si="399"/>
        <v>46064</v>
      </c>
      <c r="O2861" s="6" t="e">
        <f t="shared" ca="1" si="400"/>
        <v>#VALUE!</v>
      </c>
      <c r="P2861">
        <v>4</v>
      </c>
      <c r="Q2861">
        <f t="shared" si="401"/>
        <v>67028</v>
      </c>
      <c r="R2861" s="2">
        <f t="shared" si="402"/>
        <v>33514</v>
      </c>
      <c r="S2861" s="2" t="str">
        <f t="shared" si="403"/>
        <v>Achieved</v>
      </c>
      <c r="T2861" s="2" t="str">
        <f t="shared" si="404"/>
        <v xml:space="preserve"> Excellent</v>
      </c>
      <c r="U2861" s="2"/>
    </row>
    <row r="2862" spans="1:21" x14ac:dyDescent="0.3">
      <c r="A2862">
        <v>2861</v>
      </c>
      <c r="B2862" t="s">
        <v>3939</v>
      </c>
      <c r="C2862" t="str">
        <f t="shared" si="396"/>
        <v>EMP_2861</v>
      </c>
      <c r="D2862" t="s">
        <v>15</v>
      </c>
      <c r="E2862" t="str">
        <f t="shared" si="397"/>
        <v>EMP_2861Finance</v>
      </c>
      <c r="F2862" t="s">
        <v>18</v>
      </c>
      <c r="G2862" t="s">
        <v>16</v>
      </c>
      <c r="H2862">
        <v>30461</v>
      </c>
      <c r="I2862">
        <v>10877</v>
      </c>
      <c r="J2862">
        <v>0</v>
      </c>
      <c r="K2862">
        <v>0</v>
      </c>
      <c r="L2862" s="4">
        <v>43171</v>
      </c>
      <c r="M2862" s="4" t="str">
        <f t="shared" si="398"/>
        <v>2018</v>
      </c>
      <c r="N2862" s="1">
        <f t="shared" ca="1" si="399"/>
        <v>46064</v>
      </c>
      <c r="O2862" s="6">
        <f t="shared" ca="1" si="400"/>
        <v>7</v>
      </c>
      <c r="P2862">
        <v>5</v>
      </c>
      <c r="Q2862">
        <f t="shared" si="401"/>
        <v>41338</v>
      </c>
      <c r="R2862" s="2">
        <f t="shared" si="402"/>
        <v>20669</v>
      </c>
      <c r="S2862" s="2" t="str">
        <f t="shared" si="403"/>
        <v xml:space="preserve"> Not Achieved</v>
      </c>
      <c r="T2862" s="2" t="str">
        <f t="shared" si="404"/>
        <v>Average</v>
      </c>
      <c r="U2862" s="2"/>
    </row>
    <row r="2863" spans="1:21" x14ac:dyDescent="0.3">
      <c r="A2863">
        <v>2862</v>
      </c>
      <c r="B2863" t="s">
        <v>3940</v>
      </c>
      <c r="C2863" t="str">
        <f t="shared" si="396"/>
        <v>EMP_2862</v>
      </c>
      <c r="D2863" t="s">
        <v>15</v>
      </c>
      <c r="E2863" t="str">
        <f t="shared" si="397"/>
        <v>EMP_2862IT</v>
      </c>
      <c r="F2863" t="s">
        <v>21</v>
      </c>
      <c r="G2863" t="s">
        <v>13</v>
      </c>
      <c r="H2863">
        <v>66705</v>
      </c>
      <c r="I2863">
        <v>9286</v>
      </c>
      <c r="J2863">
        <v>0</v>
      </c>
      <c r="K2863">
        <v>0</v>
      </c>
      <c r="L2863" s="4" t="s">
        <v>894</v>
      </c>
      <c r="M2863" s="4" t="str">
        <f t="shared" si="398"/>
        <v>8/26/2018</v>
      </c>
      <c r="N2863" s="1">
        <f t="shared" ca="1" si="399"/>
        <v>46064</v>
      </c>
      <c r="O2863" s="6" t="e">
        <f t="shared" ca="1" si="400"/>
        <v>#VALUE!</v>
      </c>
      <c r="P2863">
        <v>1</v>
      </c>
      <c r="Q2863">
        <f t="shared" si="401"/>
        <v>75991</v>
      </c>
      <c r="R2863" s="2">
        <f t="shared" si="402"/>
        <v>37995.5</v>
      </c>
      <c r="S2863" s="2" t="str">
        <f t="shared" si="403"/>
        <v xml:space="preserve"> Not Achieved</v>
      </c>
      <c r="T2863" s="2" t="str">
        <f t="shared" si="404"/>
        <v xml:space="preserve"> Excellent</v>
      </c>
      <c r="U2863" s="2"/>
    </row>
    <row r="2864" spans="1:21" x14ac:dyDescent="0.3">
      <c r="A2864">
        <v>2863</v>
      </c>
      <c r="B2864" t="s">
        <v>3941</v>
      </c>
      <c r="C2864" t="str">
        <f t="shared" si="396"/>
        <v>EMP_2863</v>
      </c>
      <c r="D2864" t="s">
        <v>11</v>
      </c>
      <c r="E2864" t="str">
        <f t="shared" si="397"/>
        <v>EMP_2863Marketing</v>
      </c>
      <c r="F2864" t="s">
        <v>24</v>
      </c>
      <c r="G2864" t="s">
        <v>13</v>
      </c>
      <c r="H2864">
        <v>47957</v>
      </c>
      <c r="I2864">
        <v>6235</v>
      </c>
      <c r="J2864">
        <v>0</v>
      </c>
      <c r="K2864">
        <v>0</v>
      </c>
      <c r="L2864" s="4">
        <v>45630</v>
      </c>
      <c r="M2864" s="4" t="str">
        <f t="shared" si="398"/>
        <v>2024</v>
      </c>
      <c r="N2864" s="1">
        <f t="shared" ca="1" si="399"/>
        <v>46064</v>
      </c>
      <c r="O2864" s="6">
        <f t="shared" ca="1" si="400"/>
        <v>1</v>
      </c>
      <c r="P2864">
        <v>3</v>
      </c>
      <c r="Q2864">
        <f t="shared" si="401"/>
        <v>54192</v>
      </c>
      <c r="R2864" s="2">
        <f t="shared" si="402"/>
        <v>27096</v>
      </c>
      <c r="S2864" s="2" t="str">
        <f t="shared" si="403"/>
        <v xml:space="preserve"> Not Achieved</v>
      </c>
      <c r="T2864" s="2" t="str">
        <f t="shared" si="404"/>
        <v>Good</v>
      </c>
      <c r="U2864" s="2"/>
    </row>
    <row r="2865" spans="1:21" x14ac:dyDescent="0.3">
      <c r="A2865">
        <v>2864</v>
      </c>
      <c r="B2865" t="s">
        <v>3942</v>
      </c>
      <c r="C2865" t="str">
        <f t="shared" si="396"/>
        <v>EMP_2864</v>
      </c>
      <c r="D2865" t="s">
        <v>15</v>
      </c>
      <c r="E2865" t="str">
        <f t="shared" si="397"/>
        <v>EMP_2864Sales</v>
      </c>
      <c r="F2865" t="s">
        <v>7</v>
      </c>
      <c r="G2865" t="s">
        <v>13</v>
      </c>
      <c r="H2865">
        <v>49109</v>
      </c>
      <c r="I2865">
        <v>9536</v>
      </c>
      <c r="J2865">
        <v>255097</v>
      </c>
      <c r="K2865">
        <v>201379</v>
      </c>
      <c r="L2865" s="4" t="s">
        <v>3769</v>
      </c>
      <c r="M2865" s="4" t="str">
        <f t="shared" si="398"/>
        <v>3/22/2024</v>
      </c>
      <c r="N2865" s="1">
        <f t="shared" ca="1" si="399"/>
        <v>46064</v>
      </c>
      <c r="O2865" s="6" t="e">
        <f t="shared" ca="1" si="400"/>
        <v>#VALUE!</v>
      </c>
      <c r="P2865">
        <v>1</v>
      </c>
      <c r="Q2865">
        <f t="shared" si="401"/>
        <v>58645</v>
      </c>
      <c r="R2865" s="2">
        <f t="shared" si="402"/>
        <v>29322.5</v>
      </c>
      <c r="S2865" s="2" t="str">
        <f t="shared" si="403"/>
        <v>Achieved</v>
      </c>
      <c r="T2865" s="2" t="str">
        <f t="shared" si="404"/>
        <v>Good</v>
      </c>
      <c r="U2865" s="2"/>
    </row>
    <row r="2866" spans="1:21" x14ac:dyDescent="0.3">
      <c r="A2866">
        <v>2865</v>
      </c>
      <c r="B2866" t="s">
        <v>3943</v>
      </c>
      <c r="C2866" t="str">
        <f t="shared" si="396"/>
        <v>EMP_2865</v>
      </c>
      <c r="D2866" t="s">
        <v>11</v>
      </c>
      <c r="E2866" t="str">
        <f t="shared" si="397"/>
        <v>EMP_2865Marketing</v>
      </c>
      <c r="F2866" t="s">
        <v>24</v>
      </c>
      <c r="G2866" t="s">
        <v>22</v>
      </c>
      <c r="H2866">
        <v>35203</v>
      </c>
      <c r="I2866">
        <v>9057</v>
      </c>
      <c r="J2866">
        <v>0</v>
      </c>
      <c r="K2866">
        <v>0</v>
      </c>
      <c r="L2866" s="4" t="s">
        <v>920</v>
      </c>
      <c r="M2866" s="4" t="str">
        <f t="shared" si="398"/>
        <v>9/25/2023</v>
      </c>
      <c r="N2866" s="1">
        <f t="shared" ca="1" si="399"/>
        <v>46064</v>
      </c>
      <c r="O2866" s="6" t="e">
        <f t="shared" ca="1" si="400"/>
        <v>#VALUE!</v>
      </c>
      <c r="P2866">
        <v>4</v>
      </c>
      <c r="Q2866">
        <f t="shared" si="401"/>
        <v>44260</v>
      </c>
      <c r="R2866" s="2">
        <f t="shared" si="402"/>
        <v>22130</v>
      </c>
      <c r="S2866" s="2" t="str">
        <f t="shared" si="403"/>
        <v xml:space="preserve"> Not Achieved</v>
      </c>
      <c r="T2866" s="2" t="str">
        <f t="shared" si="404"/>
        <v>Average</v>
      </c>
      <c r="U2866" s="2"/>
    </row>
    <row r="2867" spans="1:21" x14ac:dyDescent="0.3">
      <c r="A2867">
        <v>2866</v>
      </c>
      <c r="B2867" t="s">
        <v>3944</v>
      </c>
      <c r="C2867" t="str">
        <f t="shared" si="396"/>
        <v>EMP_2866</v>
      </c>
      <c r="D2867" t="s">
        <v>11</v>
      </c>
      <c r="E2867" t="str">
        <f t="shared" si="397"/>
        <v>EMP_2866HR</v>
      </c>
      <c r="F2867" t="s">
        <v>12</v>
      </c>
      <c r="G2867" t="s">
        <v>16</v>
      </c>
      <c r="H2867">
        <v>74751</v>
      </c>
      <c r="I2867">
        <v>5587</v>
      </c>
      <c r="J2867">
        <v>0</v>
      </c>
      <c r="K2867">
        <v>0</v>
      </c>
      <c r="L2867" s="4" t="s">
        <v>599</v>
      </c>
      <c r="M2867" s="4" t="str">
        <f t="shared" si="398"/>
        <v>10/19/2022</v>
      </c>
      <c r="N2867" s="1">
        <f t="shared" ca="1" si="399"/>
        <v>46064</v>
      </c>
      <c r="O2867" s="6" t="e">
        <f t="shared" ca="1" si="400"/>
        <v>#VALUE!</v>
      </c>
      <c r="P2867">
        <v>2</v>
      </c>
      <c r="Q2867">
        <f t="shared" si="401"/>
        <v>80338</v>
      </c>
      <c r="R2867" s="2">
        <f t="shared" si="402"/>
        <v>40169</v>
      </c>
      <c r="S2867" s="2" t="str">
        <f t="shared" si="403"/>
        <v xml:space="preserve"> Not Achieved</v>
      </c>
      <c r="T2867" s="2" t="str">
        <f t="shared" si="404"/>
        <v xml:space="preserve"> Excellent</v>
      </c>
      <c r="U2867" s="2"/>
    </row>
    <row r="2868" spans="1:21" x14ac:dyDescent="0.3">
      <c r="A2868">
        <v>2867</v>
      </c>
      <c r="B2868" t="s">
        <v>3945</v>
      </c>
      <c r="C2868" t="str">
        <f t="shared" si="396"/>
        <v>EMP_2867</v>
      </c>
      <c r="D2868" t="s">
        <v>15</v>
      </c>
      <c r="E2868" t="str">
        <f t="shared" si="397"/>
        <v>EMP_2867HR</v>
      </c>
      <c r="F2868" t="s">
        <v>12</v>
      </c>
      <c r="G2868" t="s">
        <v>13</v>
      </c>
      <c r="H2868">
        <v>55639</v>
      </c>
      <c r="I2868">
        <v>13751</v>
      </c>
      <c r="J2868">
        <v>0</v>
      </c>
      <c r="K2868">
        <v>0</v>
      </c>
      <c r="L2868" s="4" t="s">
        <v>292</v>
      </c>
      <c r="M2868" s="4" t="str">
        <f t="shared" si="398"/>
        <v>6/26/2021</v>
      </c>
      <c r="N2868" s="1">
        <f t="shared" ca="1" si="399"/>
        <v>46064</v>
      </c>
      <c r="O2868" s="6" t="e">
        <f t="shared" ca="1" si="400"/>
        <v>#VALUE!</v>
      </c>
      <c r="P2868">
        <v>2</v>
      </c>
      <c r="Q2868">
        <f t="shared" si="401"/>
        <v>69390</v>
      </c>
      <c r="R2868" s="2">
        <f t="shared" si="402"/>
        <v>34695</v>
      </c>
      <c r="S2868" s="2" t="str">
        <f t="shared" si="403"/>
        <v xml:space="preserve"> Not Achieved</v>
      </c>
      <c r="T2868" s="2" t="str">
        <f t="shared" si="404"/>
        <v xml:space="preserve"> Excellent</v>
      </c>
      <c r="U2868" s="2"/>
    </row>
    <row r="2869" spans="1:21" x14ac:dyDescent="0.3">
      <c r="A2869">
        <v>2868</v>
      </c>
      <c r="B2869" t="s">
        <v>3946</v>
      </c>
      <c r="C2869" t="str">
        <f t="shared" si="396"/>
        <v>EMP_2868</v>
      </c>
      <c r="D2869" t="s">
        <v>15</v>
      </c>
      <c r="E2869" t="str">
        <f t="shared" si="397"/>
        <v>EMP_2868HR</v>
      </c>
      <c r="F2869" t="s">
        <v>12</v>
      </c>
      <c r="G2869" t="s">
        <v>13</v>
      </c>
      <c r="H2869">
        <v>55977</v>
      </c>
      <c r="I2869">
        <v>12330</v>
      </c>
      <c r="J2869">
        <v>0</v>
      </c>
      <c r="K2869">
        <v>0</v>
      </c>
      <c r="L2869" s="4">
        <v>45302</v>
      </c>
      <c r="M2869" s="4" t="str">
        <f t="shared" si="398"/>
        <v>2024</v>
      </c>
      <c r="N2869" s="1">
        <f t="shared" ca="1" si="399"/>
        <v>46064</v>
      </c>
      <c r="O2869" s="6">
        <f t="shared" ca="1" si="400"/>
        <v>2</v>
      </c>
      <c r="P2869">
        <v>1</v>
      </c>
      <c r="Q2869">
        <f t="shared" si="401"/>
        <v>68307</v>
      </c>
      <c r="R2869" s="2">
        <f t="shared" si="402"/>
        <v>34153.5</v>
      </c>
      <c r="S2869" s="2" t="str">
        <f t="shared" si="403"/>
        <v xml:space="preserve"> Not Achieved</v>
      </c>
      <c r="T2869" s="2" t="str">
        <f t="shared" si="404"/>
        <v xml:space="preserve"> Excellent</v>
      </c>
      <c r="U2869" s="2"/>
    </row>
    <row r="2870" spans="1:21" x14ac:dyDescent="0.3">
      <c r="A2870">
        <v>2869</v>
      </c>
      <c r="B2870" t="s">
        <v>3947</v>
      </c>
      <c r="C2870" t="str">
        <f t="shared" si="396"/>
        <v>EMP_2869</v>
      </c>
      <c r="D2870" t="s">
        <v>11</v>
      </c>
      <c r="E2870" t="str">
        <f t="shared" si="397"/>
        <v>EMP_2869Sales</v>
      </c>
      <c r="F2870" t="s">
        <v>7</v>
      </c>
      <c r="G2870" t="s">
        <v>16</v>
      </c>
      <c r="H2870">
        <v>57035</v>
      </c>
      <c r="I2870">
        <v>10861</v>
      </c>
      <c r="J2870">
        <v>51000</v>
      </c>
      <c r="K2870">
        <v>216158</v>
      </c>
      <c r="L2870" s="4">
        <v>45170</v>
      </c>
      <c r="M2870" s="4" t="str">
        <f t="shared" si="398"/>
        <v>2023</v>
      </c>
      <c r="N2870" s="1">
        <f t="shared" ca="1" si="399"/>
        <v>46064</v>
      </c>
      <c r="O2870" s="6">
        <f t="shared" ca="1" si="400"/>
        <v>2</v>
      </c>
      <c r="P2870">
        <v>2</v>
      </c>
      <c r="Q2870">
        <f t="shared" si="401"/>
        <v>67896</v>
      </c>
      <c r="R2870" s="2">
        <f t="shared" si="402"/>
        <v>33948</v>
      </c>
      <c r="S2870" s="2" t="str">
        <f t="shared" si="403"/>
        <v xml:space="preserve"> Not Achieved</v>
      </c>
      <c r="T2870" s="2" t="str">
        <f t="shared" si="404"/>
        <v xml:space="preserve"> Excellent</v>
      </c>
      <c r="U2870" s="2"/>
    </row>
    <row r="2871" spans="1:21" x14ac:dyDescent="0.3">
      <c r="A2871">
        <v>2870</v>
      </c>
      <c r="B2871" t="s">
        <v>3948</v>
      </c>
      <c r="C2871" t="str">
        <f t="shared" si="396"/>
        <v>EMP_2870</v>
      </c>
      <c r="D2871" t="s">
        <v>11</v>
      </c>
      <c r="E2871" t="str">
        <f t="shared" si="397"/>
        <v>EMP_2870Sales</v>
      </c>
      <c r="F2871" t="s">
        <v>7</v>
      </c>
      <c r="G2871" t="s">
        <v>13</v>
      </c>
      <c r="H2871">
        <v>48212</v>
      </c>
      <c r="I2871">
        <v>10195</v>
      </c>
      <c r="J2871">
        <v>243668</v>
      </c>
      <c r="K2871">
        <v>133922</v>
      </c>
      <c r="L2871" s="4">
        <v>43718</v>
      </c>
      <c r="M2871" s="4" t="str">
        <f t="shared" si="398"/>
        <v>2019</v>
      </c>
      <c r="N2871" s="1">
        <f t="shared" ca="1" si="399"/>
        <v>46064</v>
      </c>
      <c r="O2871" s="6">
        <f t="shared" ca="1" si="400"/>
        <v>6</v>
      </c>
      <c r="P2871">
        <v>3</v>
      </c>
      <c r="Q2871">
        <f t="shared" si="401"/>
        <v>58407</v>
      </c>
      <c r="R2871" s="2">
        <f t="shared" si="402"/>
        <v>29203.5</v>
      </c>
      <c r="S2871" s="2" t="str">
        <f t="shared" si="403"/>
        <v>Achieved</v>
      </c>
      <c r="T2871" s="2" t="str">
        <f t="shared" si="404"/>
        <v>Good</v>
      </c>
      <c r="U2871" s="2"/>
    </row>
    <row r="2872" spans="1:21" x14ac:dyDescent="0.3">
      <c r="A2872">
        <v>2871</v>
      </c>
      <c r="B2872" t="s">
        <v>3949</v>
      </c>
      <c r="C2872" t="str">
        <f t="shared" si="396"/>
        <v>EMP_2871</v>
      </c>
      <c r="D2872" t="s">
        <v>11</v>
      </c>
      <c r="E2872" t="str">
        <f t="shared" si="397"/>
        <v>EMP_2871Finance</v>
      </c>
      <c r="F2872" t="s">
        <v>18</v>
      </c>
      <c r="G2872" t="s">
        <v>25</v>
      </c>
      <c r="H2872">
        <v>39045</v>
      </c>
      <c r="I2872">
        <v>7767</v>
      </c>
      <c r="J2872">
        <v>0</v>
      </c>
      <c r="K2872">
        <v>0</v>
      </c>
      <c r="L2872" s="4" t="s">
        <v>3950</v>
      </c>
      <c r="M2872" s="4" t="str">
        <f t="shared" si="398"/>
        <v>5/15/2020</v>
      </c>
      <c r="N2872" s="1">
        <f t="shared" ca="1" si="399"/>
        <v>46064</v>
      </c>
      <c r="O2872" s="6" t="e">
        <f t="shared" ca="1" si="400"/>
        <v>#VALUE!</v>
      </c>
      <c r="P2872">
        <v>4</v>
      </c>
      <c r="Q2872">
        <f t="shared" si="401"/>
        <v>46812</v>
      </c>
      <c r="R2872" s="2">
        <f t="shared" si="402"/>
        <v>23406</v>
      </c>
      <c r="S2872" s="2" t="str">
        <f t="shared" si="403"/>
        <v xml:space="preserve"> Not Achieved</v>
      </c>
      <c r="T2872" s="2" t="str">
        <f t="shared" si="404"/>
        <v>Average</v>
      </c>
      <c r="U2872" s="2"/>
    </row>
    <row r="2873" spans="1:21" x14ac:dyDescent="0.3">
      <c r="A2873">
        <v>2872</v>
      </c>
      <c r="B2873" t="s">
        <v>3951</v>
      </c>
      <c r="C2873" t="str">
        <f t="shared" si="396"/>
        <v>EMP_2872</v>
      </c>
      <c r="D2873" t="s">
        <v>15</v>
      </c>
      <c r="E2873" t="str">
        <f t="shared" si="397"/>
        <v>EMP_2872Marketing</v>
      </c>
      <c r="F2873" t="s">
        <v>24</v>
      </c>
      <c r="G2873" t="s">
        <v>22</v>
      </c>
      <c r="H2873">
        <v>30772</v>
      </c>
      <c r="I2873">
        <v>11613</v>
      </c>
      <c r="J2873">
        <v>0</v>
      </c>
      <c r="K2873">
        <v>0</v>
      </c>
      <c r="L2873" s="4">
        <v>44446</v>
      </c>
      <c r="M2873" s="4" t="str">
        <f t="shared" si="398"/>
        <v>2021</v>
      </c>
      <c r="N2873" s="1">
        <f t="shared" ca="1" si="399"/>
        <v>46064</v>
      </c>
      <c r="O2873" s="6">
        <f t="shared" ca="1" si="400"/>
        <v>4</v>
      </c>
      <c r="P2873">
        <v>5</v>
      </c>
      <c r="Q2873">
        <f t="shared" si="401"/>
        <v>42385</v>
      </c>
      <c r="R2873" s="2">
        <f t="shared" si="402"/>
        <v>21192.5</v>
      </c>
      <c r="S2873" s="2" t="str">
        <f t="shared" si="403"/>
        <v xml:space="preserve"> Not Achieved</v>
      </c>
      <c r="T2873" s="2" t="str">
        <f t="shared" si="404"/>
        <v>Average</v>
      </c>
      <c r="U2873" s="2"/>
    </row>
    <row r="2874" spans="1:21" x14ac:dyDescent="0.3">
      <c r="A2874">
        <v>2873</v>
      </c>
      <c r="B2874" t="s">
        <v>3952</v>
      </c>
      <c r="C2874" t="str">
        <f t="shared" si="396"/>
        <v>EMP_2873</v>
      </c>
      <c r="D2874" t="s">
        <v>15</v>
      </c>
      <c r="E2874" t="str">
        <f t="shared" si="397"/>
        <v>EMP_2873Marketing</v>
      </c>
      <c r="F2874" t="s">
        <v>24</v>
      </c>
      <c r="G2874" t="s">
        <v>13</v>
      </c>
      <c r="H2874">
        <v>62224</v>
      </c>
      <c r="I2874">
        <v>13905</v>
      </c>
      <c r="J2874">
        <v>0</v>
      </c>
      <c r="K2874">
        <v>0</v>
      </c>
      <c r="L2874" s="4">
        <v>45178</v>
      </c>
      <c r="M2874" s="4" t="str">
        <f t="shared" si="398"/>
        <v>2023</v>
      </c>
      <c r="N2874" s="1">
        <f t="shared" ca="1" si="399"/>
        <v>46064</v>
      </c>
      <c r="O2874" s="6">
        <f t="shared" ca="1" si="400"/>
        <v>2</v>
      </c>
      <c r="P2874">
        <v>1</v>
      </c>
      <c r="Q2874">
        <f t="shared" si="401"/>
        <v>76129</v>
      </c>
      <c r="R2874" s="2">
        <f t="shared" si="402"/>
        <v>38064.5</v>
      </c>
      <c r="S2874" s="2" t="str">
        <f t="shared" si="403"/>
        <v xml:space="preserve"> Not Achieved</v>
      </c>
      <c r="T2874" s="2" t="str">
        <f t="shared" si="404"/>
        <v xml:space="preserve"> Excellent</v>
      </c>
      <c r="U2874" s="2"/>
    </row>
    <row r="2875" spans="1:21" x14ac:dyDescent="0.3">
      <c r="A2875">
        <v>2874</v>
      </c>
      <c r="B2875" t="s">
        <v>3953</v>
      </c>
      <c r="C2875" t="str">
        <f t="shared" si="396"/>
        <v>EMP_2874</v>
      </c>
      <c r="D2875" t="s">
        <v>11</v>
      </c>
      <c r="E2875" t="str">
        <f t="shared" si="397"/>
        <v>EMP_2874Marketing</v>
      </c>
      <c r="F2875" t="s">
        <v>24</v>
      </c>
      <c r="G2875" t="s">
        <v>13</v>
      </c>
      <c r="H2875">
        <v>22777</v>
      </c>
      <c r="I2875">
        <v>12938</v>
      </c>
      <c r="J2875">
        <v>0</v>
      </c>
      <c r="K2875">
        <v>0</v>
      </c>
      <c r="L2875" s="4" t="s">
        <v>3201</v>
      </c>
      <c r="M2875" s="4" t="str">
        <f t="shared" si="398"/>
        <v>7/24/2024</v>
      </c>
      <c r="N2875" s="1">
        <f t="shared" ca="1" si="399"/>
        <v>46064</v>
      </c>
      <c r="O2875" s="6" t="e">
        <f t="shared" ca="1" si="400"/>
        <v>#VALUE!</v>
      </c>
      <c r="P2875">
        <v>1</v>
      </c>
      <c r="Q2875">
        <f t="shared" si="401"/>
        <v>35715</v>
      </c>
      <c r="R2875" s="2">
        <f t="shared" si="402"/>
        <v>17857.5</v>
      </c>
      <c r="S2875" s="2" t="str">
        <f t="shared" si="403"/>
        <v xml:space="preserve"> Not Achieved</v>
      </c>
      <c r="T2875" s="2" t="str">
        <f t="shared" si="404"/>
        <v>poor</v>
      </c>
      <c r="U2875" s="2"/>
    </row>
    <row r="2876" spans="1:21" x14ac:dyDescent="0.3">
      <c r="A2876">
        <v>2875</v>
      </c>
      <c r="B2876" t="s">
        <v>3954</v>
      </c>
      <c r="C2876" t="str">
        <f t="shared" si="396"/>
        <v>EMP_2875</v>
      </c>
      <c r="D2876" t="s">
        <v>15</v>
      </c>
      <c r="E2876" t="str">
        <f t="shared" si="397"/>
        <v>EMP_2875Marketing</v>
      </c>
      <c r="F2876" t="s">
        <v>24</v>
      </c>
      <c r="G2876" t="s">
        <v>22</v>
      </c>
      <c r="H2876">
        <v>38208</v>
      </c>
      <c r="I2876">
        <v>13778</v>
      </c>
      <c r="J2876">
        <v>0</v>
      </c>
      <c r="K2876">
        <v>0</v>
      </c>
      <c r="L2876" s="4" t="s">
        <v>1434</v>
      </c>
      <c r="M2876" s="4" t="str">
        <f t="shared" si="398"/>
        <v>7/22/2021</v>
      </c>
      <c r="N2876" s="1">
        <f t="shared" ca="1" si="399"/>
        <v>46064</v>
      </c>
      <c r="O2876" s="6" t="e">
        <f t="shared" ca="1" si="400"/>
        <v>#VALUE!</v>
      </c>
      <c r="P2876">
        <v>1</v>
      </c>
      <c r="Q2876">
        <f t="shared" si="401"/>
        <v>51986</v>
      </c>
      <c r="R2876" s="2">
        <f t="shared" si="402"/>
        <v>25993</v>
      </c>
      <c r="S2876" s="2" t="str">
        <f t="shared" si="403"/>
        <v xml:space="preserve"> Not Achieved</v>
      </c>
      <c r="T2876" s="2" t="str">
        <f t="shared" si="404"/>
        <v>Average</v>
      </c>
      <c r="U2876" s="2"/>
    </row>
    <row r="2877" spans="1:21" x14ac:dyDescent="0.3">
      <c r="A2877">
        <v>2876</v>
      </c>
      <c r="B2877" t="s">
        <v>3955</v>
      </c>
      <c r="C2877" t="str">
        <f t="shared" si="396"/>
        <v>EMP_2876</v>
      </c>
      <c r="D2877" t="s">
        <v>15</v>
      </c>
      <c r="E2877" t="str">
        <f t="shared" si="397"/>
        <v>EMP_2876Marketing</v>
      </c>
      <c r="F2877" t="s">
        <v>24</v>
      </c>
      <c r="G2877" t="s">
        <v>16</v>
      </c>
      <c r="H2877">
        <v>33226</v>
      </c>
      <c r="I2877">
        <v>13159</v>
      </c>
      <c r="J2877">
        <v>0</v>
      </c>
      <c r="K2877">
        <v>0</v>
      </c>
      <c r="L2877" s="4">
        <v>43261</v>
      </c>
      <c r="M2877" s="4" t="str">
        <f t="shared" si="398"/>
        <v>2018</v>
      </c>
      <c r="N2877" s="1">
        <f t="shared" ca="1" si="399"/>
        <v>46064</v>
      </c>
      <c r="O2877" s="6">
        <f t="shared" ca="1" si="400"/>
        <v>7</v>
      </c>
      <c r="P2877">
        <v>3</v>
      </c>
      <c r="Q2877">
        <f t="shared" si="401"/>
        <v>46385</v>
      </c>
      <c r="R2877" s="2">
        <f t="shared" si="402"/>
        <v>23192.5</v>
      </c>
      <c r="S2877" s="2" t="str">
        <f t="shared" si="403"/>
        <v xml:space="preserve"> Not Achieved</v>
      </c>
      <c r="T2877" s="2" t="str">
        <f t="shared" si="404"/>
        <v>Average</v>
      </c>
      <c r="U2877" s="2"/>
    </row>
    <row r="2878" spans="1:21" x14ac:dyDescent="0.3">
      <c r="A2878">
        <v>2877</v>
      </c>
      <c r="B2878" t="s">
        <v>3956</v>
      </c>
      <c r="C2878" t="str">
        <f t="shared" si="396"/>
        <v>EMP_2877</v>
      </c>
      <c r="D2878" t="s">
        <v>11</v>
      </c>
      <c r="E2878" t="str">
        <f t="shared" si="397"/>
        <v>EMP_2877Sales</v>
      </c>
      <c r="F2878" t="s">
        <v>7</v>
      </c>
      <c r="G2878" t="s">
        <v>19</v>
      </c>
      <c r="H2878">
        <v>64479</v>
      </c>
      <c r="I2878">
        <v>2804</v>
      </c>
      <c r="J2878">
        <v>226932</v>
      </c>
      <c r="K2878">
        <v>219060</v>
      </c>
      <c r="L2878" s="4" t="s">
        <v>1850</v>
      </c>
      <c r="M2878" s="4" t="str">
        <f t="shared" si="398"/>
        <v>11/30/2018</v>
      </c>
      <c r="N2878" s="1">
        <f t="shared" ca="1" si="399"/>
        <v>46064</v>
      </c>
      <c r="O2878" s="6" t="e">
        <f t="shared" ca="1" si="400"/>
        <v>#VALUE!</v>
      </c>
      <c r="P2878">
        <v>4</v>
      </c>
      <c r="Q2878">
        <f t="shared" si="401"/>
        <v>67283</v>
      </c>
      <c r="R2878" s="2">
        <f t="shared" si="402"/>
        <v>33641.5</v>
      </c>
      <c r="S2878" s="2" t="str">
        <f t="shared" si="403"/>
        <v>Achieved</v>
      </c>
      <c r="T2878" s="2" t="str">
        <f t="shared" si="404"/>
        <v xml:space="preserve"> Excellent</v>
      </c>
      <c r="U2878" s="2"/>
    </row>
    <row r="2879" spans="1:21" x14ac:dyDescent="0.3">
      <c r="A2879">
        <v>2878</v>
      </c>
      <c r="B2879" t="s">
        <v>3957</v>
      </c>
      <c r="C2879" t="str">
        <f t="shared" si="396"/>
        <v>EMP_2878</v>
      </c>
      <c r="D2879" t="s">
        <v>11</v>
      </c>
      <c r="E2879" t="str">
        <f t="shared" si="397"/>
        <v>EMP_2878IT</v>
      </c>
      <c r="F2879" t="s">
        <v>21</v>
      </c>
      <c r="G2879" t="s">
        <v>13</v>
      </c>
      <c r="H2879">
        <v>36169</v>
      </c>
      <c r="I2879">
        <v>7771</v>
      </c>
      <c r="J2879">
        <v>0</v>
      </c>
      <c r="K2879">
        <v>0</v>
      </c>
      <c r="L2879" s="4">
        <v>43773</v>
      </c>
      <c r="M2879" s="4" t="str">
        <f t="shared" si="398"/>
        <v>2019</v>
      </c>
      <c r="N2879" s="1">
        <f t="shared" ca="1" si="399"/>
        <v>46064</v>
      </c>
      <c r="O2879" s="6">
        <f t="shared" ca="1" si="400"/>
        <v>6</v>
      </c>
      <c r="P2879">
        <v>5</v>
      </c>
      <c r="Q2879">
        <f t="shared" si="401"/>
        <v>43940</v>
      </c>
      <c r="R2879" s="2">
        <f t="shared" si="402"/>
        <v>21970</v>
      </c>
      <c r="S2879" s="2" t="str">
        <f t="shared" si="403"/>
        <v xml:space="preserve"> Not Achieved</v>
      </c>
      <c r="T2879" s="2" t="str">
        <f t="shared" si="404"/>
        <v>Average</v>
      </c>
      <c r="U2879" s="2"/>
    </row>
    <row r="2880" spans="1:21" x14ac:dyDescent="0.3">
      <c r="A2880">
        <v>2879</v>
      </c>
      <c r="B2880" t="s">
        <v>3958</v>
      </c>
      <c r="C2880" t="str">
        <f t="shared" si="396"/>
        <v>EMP_2879</v>
      </c>
      <c r="D2880" t="s">
        <v>11</v>
      </c>
      <c r="E2880" t="str">
        <f t="shared" si="397"/>
        <v>EMP_2879IT</v>
      </c>
      <c r="F2880" t="s">
        <v>21</v>
      </c>
      <c r="G2880" t="s">
        <v>25</v>
      </c>
      <c r="H2880">
        <v>69264</v>
      </c>
      <c r="I2880">
        <v>13254</v>
      </c>
      <c r="J2880">
        <v>0</v>
      </c>
      <c r="K2880">
        <v>0</v>
      </c>
      <c r="L2880" s="4" t="s">
        <v>1043</v>
      </c>
      <c r="M2880" s="4" t="str">
        <f t="shared" si="398"/>
        <v>3/15/2021</v>
      </c>
      <c r="N2880" s="1">
        <f t="shared" ca="1" si="399"/>
        <v>46064</v>
      </c>
      <c r="O2880" s="6" t="e">
        <f t="shared" ca="1" si="400"/>
        <v>#VALUE!</v>
      </c>
      <c r="P2880">
        <v>3</v>
      </c>
      <c r="Q2880">
        <f t="shared" si="401"/>
        <v>82518</v>
      </c>
      <c r="R2880" s="2">
        <f t="shared" si="402"/>
        <v>41259</v>
      </c>
      <c r="S2880" s="2" t="str">
        <f t="shared" si="403"/>
        <v xml:space="preserve"> Not Achieved</v>
      </c>
      <c r="T2880" s="2" t="str">
        <f t="shared" si="404"/>
        <v xml:space="preserve"> Excellent</v>
      </c>
      <c r="U2880" s="2"/>
    </row>
    <row r="2881" spans="1:21" x14ac:dyDescent="0.3">
      <c r="A2881">
        <v>2880</v>
      </c>
      <c r="B2881" t="s">
        <v>3959</v>
      </c>
      <c r="C2881" t="str">
        <f t="shared" si="396"/>
        <v>EMP_2880</v>
      </c>
      <c r="D2881" t="s">
        <v>11</v>
      </c>
      <c r="E2881" t="str">
        <f t="shared" si="397"/>
        <v>EMP_2880HR</v>
      </c>
      <c r="F2881" t="s">
        <v>12</v>
      </c>
      <c r="G2881" t="s">
        <v>25</v>
      </c>
      <c r="H2881">
        <v>23795</v>
      </c>
      <c r="I2881">
        <v>7724</v>
      </c>
      <c r="J2881">
        <v>0</v>
      </c>
      <c r="K2881">
        <v>0</v>
      </c>
      <c r="L2881" s="4">
        <v>44323</v>
      </c>
      <c r="M2881" s="4" t="str">
        <f t="shared" si="398"/>
        <v>2021</v>
      </c>
      <c r="N2881" s="1">
        <f t="shared" ca="1" si="399"/>
        <v>46064</v>
      </c>
      <c r="O2881" s="6">
        <f t="shared" ca="1" si="400"/>
        <v>4</v>
      </c>
      <c r="P2881">
        <v>3</v>
      </c>
      <c r="Q2881">
        <f t="shared" si="401"/>
        <v>31519</v>
      </c>
      <c r="R2881" s="2">
        <f t="shared" si="402"/>
        <v>15759.5</v>
      </c>
      <c r="S2881" s="2" t="str">
        <f t="shared" si="403"/>
        <v xml:space="preserve"> Not Achieved</v>
      </c>
      <c r="T2881" s="2" t="str">
        <f t="shared" si="404"/>
        <v>poor</v>
      </c>
      <c r="U2881" s="2"/>
    </row>
    <row r="2882" spans="1:21" x14ac:dyDescent="0.3">
      <c r="A2882">
        <v>2881</v>
      </c>
      <c r="B2882" t="s">
        <v>3960</v>
      </c>
      <c r="C2882" t="str">
        <f t="shared" si="396"/>
        <v>EMP_2881</v>
      </c>
      <c r="D2882" t="s">
        <v>11</v>
      </c>
      <c r="E2882" t="str">
        <f t="shared" si="397"/>
        <v>EMP_2881Marketing</v>
      </c>
      <c r="F2882" t="s">
        <v>24</v>
      </c>
      <c r="G2882" t="s">
        <v>19</v>
      </c>
      <c r="H2882">
        <v>61545</v>
      </c>
      <c r="I2882">
        <v>12802</v>
      </c>
      <c r="J2882">
        <v>0</v>
      </c>
      <c r="K2882">
        <v>0</v>
      </c>
      <c r="L2882" s="4">
        <v>44624</v>
      </c>
      <c r="M2882" s="4" t="str">
        <f t="shared" si="398"/>
        <v>2022</v>
      </c>
      <c r="N2882" s="1">
        <f t="shared" ca="1" si="399"/>
        <v>46064</v>
      </c>
      <c r="O2882" s="6">
        <f t="shared" ca="1" si="400"/>
        <v>3</v>
      </c>
      <c r="P2882">
        <v>2</v>
      </c>
      <c r="Q2882">
        <f t="shared" si="401"/>
        <v>74347</v>
      </c>
      <c r="R2882" s="2">
        <f t="shared" si="402"/>
        <v>37173.5</v>
      </c>
      <c r="S2882" s="2" t="str">
        <f t="shared" si="403"/>
        <v xml:space="preserve"> Not Achieved</v>
      </c>
      <c r="T2882" s="2" t="str">
        <f t="shared" si="404"/>
        <v xml:space="preserve"> Excellent</v>
      </c>
      <c r="U2882" s="2"/>
    </row>
    <row r="2883" spans="1:21" x14ac:dyDescent="0.3">
      <c r="A2883">
        <v>2882</v>
      </c>
      <c r="B2883" t="s">
        <v>3961</v>
      </c>
      <c r="C2883" t="str">
        <f t="shared" ref="C2883:C2946" si="405">UPPER(B2883)</f>
        <v>EMP_2882</v>
      </c>
      <c r="D2883" t="s">
        <v>11</v>
      </c>
      <c r="E2883" t="str">
        <f t="shared" ref="E2883:E2946" si="406">_xlfn.CONCAT(C2883,F2883)</f>
        <v>EMP_2882Sales</v>
      </c>
      <c r="F2883" t="s">
        <v>7</v>
      </c>
      <c r="G2883" t="s">
        <v>19</v>
      </c>
      <c r="H2883">
        <v>37596</v>
      </c>
      <c r="I2883">
        <v>12080</v>
      </c>
      <c r="J2883">
        <v>104505</v>
      </c>
      <c r="K2883">
        <v>107299</v>
      </c>
      <c r="L2883" s="4">
        <v>44507</v>
      </c>
      <c r="M2883" s="4" t="str">
        <f t="shared" ref="M2883:M2946" si="407">TEXT(L2883,"yyyy")</f>
        <v>2021</v>
      </c>
      <c r="N2883" s="1">
        <f t="shared" ref="N2883:N2946" ca="1" si="408">TODAY()</f>
        <v>46064</v>
      </c>
      <c r="O2883" s="6">
        <f t="shared" ref="O2883:O2946" ca="1" si="409">DATEDIF(L2883, TODAY(), "y")</f>
        <v>4</v>
      </c>
      <c r="P2883">
        <v>1</v>
      </c>
      <c r="Q2883">
        <f t="shared" ref="Q2883:Q2946" si="410">SUM(H2883,I2883)</f>
        <v>49676</v>
      </c>
      <c r="R2883" s="2">
        <f t="shared" ref="R2883:R2946" si="411">AVERAGE(H2883,I2883)</f>
        <v>24838</v>
      </c>
      <c r="S2883" s="2" t="str">
        <f t="shared" ref="S2883:S2946" si="412">IF(J2883&gt;K2883,"Achieved"," Not Achieved")</f>
        <v xml:space="preserve"> Not Achieved</v>
      </c>
      <c r="T2883" s="2" t="str">
        <f t="shared" ref="T2883:T2946" si="413">_xlfn.IFS(H2883&gt;=50000," Excellent",H2883&gt;=40000,"Good",H2883&gt;=30000,"Average",H2883&lt;30000,"poor")</f>
        <v>Average</v>
      </c>
      <c r="U2883" s="2"/>
    </row>
    <row r="2884" spans="1:21" x14ac:dyDescent="0.3">
      <c r="A2884">
        <v>2883</v>
      </c>
      <c r="B2884" t="s">
        <v>3962</v>
      </c>
      <c r="C2884" t="str">
        <f t="shared" si="405"/>
        <v>EMP_2883</v>
      </c>
      <c r="D2884" t="s">
        <v>15</v>
      </c>
      <c r="E2884" t="str">
        <f t="shared" si="406"/>
        <v>EMP_2883IT</v>
      </c>
      <c r="F2884" t="s">
        <v>21</v>
      </c>
      <c r="G2884" t="s">
        <v>19</v>
      </c>
      <c r="H2884">
        <v>40137</v>
      </c>
      <c r="I2884">
        <v>14575</v>
      </c>
      <c r="J2884">
        <v>0</v>
      </c>
      <c r="K2884">
        <v>0</v>
      </c>
      <c r="L2884" s="4" t="s">
        <v>1180</v>
      </c>
      <c r="M2884" s="4" t="str">
        <f t="shared" si="407"/>
        <v>12/26/2018</v>
      </c>
      <c r="N2884" s="1">
        <f t="shared" ca="1" si="408"/>
        <v>46064</v>
      </c>
      <c r="O2884" s="6" t="e">
        <f t="shared" ca="1" si="409"/>
        <v>#VALUE!</v>
      </c>
      <c r="P2884">
        <v>3</v>
      </c>
      <c r="Q2884">
        <f t="shared" si="410"/>
        <v>54712</v>
      </c>
      <c r="R2884" s="2">
        <f t="shared" si="411"/>
        <v>27356</v>
      </c>
      <c r="S2884" s="2" t="str">
        <f t="shared" si="412"/>
        <v xml:space="preserve"> Not Achieved</v>
      </c>
      <c r="T2884" s="2" t="str">
        <f t="shared" si="413"/>
        <v>Good</v>
      </c>
      <c r="U2884" s="2"/>
    </row>
    <row r="2885" spans="1:21" x14ac:dyDescent="0.3">
      <c r="A2885">
        <v>2884</v>
      </c>
      <c r="B2885" t="s">
        <v>3963</v>
      </c>
      <c r="C2885" t="str">
        <f t="shared" si="405"/>
        <v>EMP_2884</v>
      </c>
      <c r="D2885" t="s">
        <v>15</v>
      </c>
      <c r="E2885" t="str">
        <f t="shared" si="406"/>
        <v>EMP_2884Marketing</v>
      </c>
      <c r="F2885" t="s">
        <v>24</v>
      </c>
      <c r="G2885" t="s">
        <v>22</v>
      </c>
      <c r="H2885">
        <v>53875</v>
      </c>
      <c r="I2885">
        <v>3314</v>
      </c>
      <c r="J2885">
        <v>0</v>
      </c>
      <c r="K2885">
        <v>0</v>
      </c>
      <c r="L2885" s="4" t="s">
        <v>1377</v>
      </c>
      <c r="M2885" s="4" t="str">
        <f t="shared" si="407"/>
        <v>2/13/2024</v>
      </c>
      <c r="N2885" s="1">
        <f t="shared" ca="1" si="408"/>
        <v>46064</v>
      </c>
      <c r="O2885" s="6" t="e">
        <f t="shared" ca="1" si="409"/>
        <v>#VALUE!</v>
      </c>
      <c r="P2885">
        <v>2</v>
      </c>
      <c r="Q2885">
        <f t="shared" si="410"/>
        <v>57189</v>
      </c>
      <c r="R2885" s="2">
        <f t="shared" si="411"/>
        <v>28594.5</v>
      </c>
      <c r="S2885" s="2" t="str">
        <f t="shared" si="412"/>
        <v xml:space="preserve"> Not Achieved</v>
      </c>
      <c r="T2885" s="2" t="str">
        <f t="shared" si="413"/>
        <v xml:space="preserve"> Excellent</v>
      </c>
      <c r="U2885" s="2"/>
    </row>
    <row r="2886" spans="1:21" x14ac:dyDescent="0.3">
      <c r="A2886">
        <v>2885</v>
      </c>
      <c r="B2886" t="s">
        <v>3964</v>
      </c>
      <c r="C2886" t="str">
        <f t="shared" si="405"/>
        <v>EMP_2885</v>
      </c>
      <c r="D2886" t="s">
        <v>15</v>
      </c>
      <c r="E2886" t="str">
        <f t="shared" si="406"/>
        <v>EMP_2885Sales</v>
      </c>
      <c r="F2886" t="s">
        <v>7</v>
      </c>
      <c r="G2886" t="s">
        <v>13</v>
      </c>
      <c r="H2886">
        <v>40679</v>
      </c>
      <c r="I2886">
        <v>12054</v>
      </c>
      <c r="J2886">
        <v>239826</v>
      </c>
      <c r="K2886">
        <v>108791</v>
      </c>
      <c r="L2886" s="4" t="s">
        <v>2294</v>
      </c>
      <c r="M2886" s="4" t="str">
        <f t="shared" si="407"/>
        <v>3/20/2022</v>
      </c>
      <c r="N2886" s="1">
        <f t="shared" ca="1" si="408"/>
        <v>46064</v>
      </c>
      <c r="O2886" s="6" t="e">
        <f t="shared" ca="1" si="409"/>
        <v>#VALUE!</v>
      </c>
      <c r="P2886">
        <v>5</v>
      </c>
      <c r="Q2886">
        <f t="shared" si="410"/>
        <v>52733</v>
      </c>
      <c r="R2886" s="2">
        <f t="shared" si="411"/>
        <v>26366.5</v>
      </c>
      <c r="S2886" s="2" t="str">
        <f t="shared" si="412"/>
        <v>Achieved</v>
      </c>
      <c r="T2886" s="2" t="str">
        <f t="shared" si="413"/>
        <v>Good</v>
      </c>
      <c r="U2886" s="2"/>
    </row>
    <row r="2887" spans="1:21" x14ac:dyDescent="0.3">
      <c r="A2887">
        <v>2886</v>
      </c>
      <c r="B2887" t="s">
        <v>3965</v>
      </c>
      <c r="C2887" t="str">
        <f t="shared" si="405"/>
        <v>EMP_2886</v>
      </c>
      <c r="D2887" t="s">
        <v>11</v>
      </c>
      <c r="E2887" t="str">
        <f t="shared" si="406"/>
        <v>EMP_2886HR</v>
      </c>
      <c r="F2887" t="s">
        <v>12</v>
      </c>
      <c r="G2887" t="s">
        <v>13</v>
      </c>
      <c r="H2887">
        <v>43167</v>
      </c>
      <c r="I2887">
        <v>8993</v>
      </c>
      <c r="J2887">
        <v>0</v>
      </c>
      <c r="K2887">
        <v>0</v>
      </c>
      <c r="L2887" s="4" t="s">
        <v>877</v>
      </c>
      <c r="M2887" s="4" t="str">
        <f t="shared" si="407"/>
        <v>3/20/2018</v>
      </c>
      <c r="N2887" s="1">
        <f t="shared" ca="1" si="408"/>
        <v>46064</v>
      </c>
      <c r="O2887" s="6" t="e">
        <f t="shared" ca="1" si="409"/>
        <v>#VALUE!</v>
      </c>
      <c r="P2887">
        <v>5</v>
      </c>
      <c r="Q2887">
        <f t="shared" si="410"/>
        <v>52160</v>
      </c>
      <c r="R2887" s="2">
        <f t="shared" si="411"/>
        <v>26080</v>
      </c>
      <c r="S2887" s="2" t="str">
        <f t="shared" si="412"/>
        <v xml:space="preserve"> Not Achieved</v>
      </c>
      <c r="T2887" s="2" t="str">
        <f t="shared" si="413"/>
        <v>Good</v>
      </c>
      <c r="U2887" s="2"/>
    </row>
    <row r="2888" spans="1:21" x14ac:dyDescent="0.3">
      <c r="A2888">
        <v>2887</v>
      </c>
      <c r="B2888" t="s">
        <v>3966</v>
      </c>
      <c r="C2888" t="str">
        <f t="shared" si="405"/>
        <v>EMP_2887</v>
      </c>
      <c r="D2888" t="s">
        <v>15</v>
      </c>
      <c r="E2888" t="str">
        <f t="shared" si="406"/>
        <v>EMP_2887Sales</v>
      </c>
      <c r="F2888" t="s">
        <v>7</v>
      </c>
      <c r="G2888" t="s">
        <v>13</v>
      </c>
      <c r="H2888">
        <v>55382</v>
      </c>
      <c r="I2888">
        <v>10429</v>
      </c>
      <c r="J2888">
        <v>293830</v>
      </c>
      <c r="K2888">
        <v>81966</v>
      </c>
      <c r="L2888" s="4" t="s">
        <v>3967</v>
      </c>
      <c r="M2888" s="4" t="str">
        <f t="shared" si="407"/>
        <v>9/16/2023</v>
      </c>
      <c r="N2888" s="1">
        <f t="shared" ca="1" si="408"/>
        <v>46064</v>
      </c>
      <c r="O2888" s="6" t="e">
        <f t="shared" ca="1" si="409"/>
        <v>#VALUE!</v>
      </c>
      <c r="P2888">
        <v>1</v>
      </c>
      <c r="Q2888">
        <f t="shared" si="410"/>
        <v>65811</v>
      </c>
      <c r="R2888" s="2">
        <f t="shared" si="411"/>
        <v>32905.5</v>
      </c>
      <c r="S2888" s="2" t="str">
        <f t="shared" si="412"/>
        <v>Achieved</v>
      </c>
      <c r="T2888" s="2" t="str">
        <f t="shared" si="413"/>
        <v xml:space="preserve"> Excellent</v>
      </c>
      <c r="U2888" s="2"/>
    </row>
    <row r="2889" spans="1:21" x14ac:dyDescent="0.3">
      <c r="A2889">
        <v>2888</v>
      </c>
      <c r="B2889" t="s">
        <v>3968</v>
      </c>
      <c r="C2889" t="str">
        <f t="shared" si="405"/>
        <v>EMP_2888</v>
      </c>
      <c r="D2889" t="s">
        <v>15</v>
      </c>
      <c r="E2889" t="str">
        <f t="shared" si="406"/>
        <v>EMP_2888Sales</v>
      </c>
      <c r="F2889" t="s">
        <v>7</v>
      </c>
      <c r="G2889" t="s">
        <v>19</v>
      </c>
      <c r="H2889">
        <v>75244</v>
      </c>
      <c r="I2889">
        <v>7409</v>
      </c>
      <c r="J2889">
        <v>244580</v>
      </c>
      <c r="K2889">
        <v>153622</v>
      </c>
      <c r="L2889" s="4">
        <v>43837</v>
      </c>
      <c r="M2889" s="4" t="str">
        <f t="shared" si="407"/>
        <v>2020</v>
      </c>
      <c r="N2889" s="1">
        <f t="shared" ca="1" si="408"/>
        <v>46064</v>
      </c>
      <c r="O2889" s="6">
        <f t="shared" ca="1" si="409"/>
        <v>6</v>
      </c>
      <c r="P2889">
        <v>1</v>
      </c>
      <c r="Q2889">
        <f t="shared" si="410"/>
        <v>82653</v>
      </c>
      <c r="R2889" s="2">
        <f t="shared" si="411"/>
        <v>41326.5</v>
      </c>
      <c r="S2889" s="2" t="str">
        <f t="shared" si="412"/>
        <v>Achieved</v>
      </c>
      <c r="T2889" s="2" t="str">
        <f t="shared" si="413"/>
        <v xml:space="preserve"> Excellent</v>
      </c>
      <c r="U2889" s="2"/>
    </row>
    <row r="2890" spans="1:21" x14ac:dyDescent="0.3">
      <c r="A2890">
        <v>2889</v>
      </c>
      <c r="B2890" t="s">
        <v>3969</v>
      </c>
      <c r="C2890" t="str">
        <f t="shared" si="405"/>
        <v>EMP_2889</v>
      </c>
      <c r="D2890" t="s">
        <v>11</v>
      </c>
      <c r="E2890" t="str">
        <f t="shared" si="406"/>
        <v>EMP_2889Finance</v>
      </c>
      <c r="F2890" t="s">
        <v>18</v>
      </c>
      <c r="G2890" t="s">
        <v>19</v>
      </c>
      <c r="H2890">
        <v>63945</v>
      </c>
      <c r="I2890">
        <v>12787</v>
      </c>
      <c r="J2890">
        <v>0</v>
      </c>
      <c r="K2890">
        <v>0</v>
      </c>
      <c r="L2890" s="4" t="s">
        <v>2028</v>
      </c>
      <c r="M2890" s="4" t="str">
        <f t="shared" si="407"/>
        <v>3/23/2019</v>
      </c>
      <c r="N2890" s="1">
        <f t="shared" ca="1" si="408"/>
        <v>46064</v>
      </c>
      <c r="O2890" s="6" t="e">
        <f t="shared" ca="1" si="409"/>
        <v>#VALUE!</v>
      </c>
      <c r="P2890">
        <v>5</v>
      </c>
      <c r="Q2890">
        <f t="shared" si="410"/>
        <v>76732</v>
      </c>
      <c r="R2890" s="2">
        <f t="shared" si="411"/>
        <v>38366</v>
      </c>
      <c r="S2890" s="2" t="str">
        <f t="shared" si="412"/>
        <v xml:space="preserve"> Not Achieved</v>
      </c>
      <c r="T2890" s="2" t="str">
        <f t="shared" si="413"/>
        <v xml:space="preserve"> Excellent</v>
      </c>
      <c r="U2890" s="2"/>
    </row>
    <row r="2891" spans="1:21" x14ac:dyDescent="0.3">
      <c r="A2891">
        <v>2890</v>
      </c>
      <c r="B2891" t="s">
        <v>3970</v>
      </c>
      <c r="C2891" t="str">
        <f t="shared" si="405"/>
        <v>EMP_2890</v>
      </c>
      <c r="D2891" t="s">
        <v>15</v>
      </c>
      <c r="E2891" t="str">
        <f t="shared" si="406"/>
        <v>EMP_2890HR</v>
      </c>
      <c r="F2891" t="s">
        <v>12</v>
      </c>
      <c r="G2891" t="s">
        <v>13</v>
      </c>
      <c r="H2891">
        <v>36692</v>
      </c>
      <c r="I2891">
        <v>9983</v>
      </c>
      <c r="J2891">
        <v>0</v>
      </c>
      <c r="K2891">
        <v>0</v>
      </c>
      <c r="L2891" s="4">
        <v>44599</v>
      </c>
      <c r="M2891" s="4" t="str">
        <f t="shared" si="407"/>
        <v>2022</v>
      </c>
      <c r="N2891" s="1">
        <f t="shared" ca="1" si="408"/>
        <v>46064</v>
      </c>
      <c r="O2891" s="6">
        <f t="shared" ca="1" si="409"/>
        <v>4</v>
      </c>
      <c r="P2891">
        <v>4</v>
      </c>
      <c r="Q2891">
        <f t="shared" si="410"/>
        <v>46675</v>
      </c>
      <c r="R2891" s="2">
        <f t="shared" si="411"/>
        <v>23337.5</v>
      </c>
      <c r="S2891" s="2" t="str">
        <f t="shared" si="412"/>
        <v xml:space="preserve"> Not Achieved</v>
      </c>
      <c r="T2891" s="2" t="str">
        <f t="shared" si="413"/>
        <v>Average</v>
      </c>
      <c r="U2891" s="2"/>
    </row>
    <row r="2892" spans="1:21" x14ac:dyDescent="0.3">
      <c r="A2892">
        <v>2891</v>
      </c>
      <c r="B2892" t="s">
        <v>3971</v>
      </c>
      <c r="C2892" t="str">
        <f t="shared" si="405"/>
        <v>EMP_2891</v>
      </c>
      <c r="D2892" t="s">
        <v>11</v>
      </c>
      <c r="E2892" t="str">
        <f t="shared" si="406"/>
        <v>EMP_2891IT</v>
      </c>
      <c r="F2892" t="s">
        <v>21</v>
      </c>
      <c r="G2892" t="s">
        <v>25</v>
      </c>
      <c r="H2892">
        <v>74026</v>
      </c>
      <c r="I2892">
        <v>6897</v>
      </c>
      <c r="J2892">
        <v>0</v>
      </c>
      <c r="K2892">
        <v>0</v>
      </c>
      <c r="L2892" s="4" t="s">
        <v>556</v>
      </c>
      <c r="M2892" s="4" t="str">
        <f t="shared" si="407"/>
        <v>9/30/2024</v>
      </c>
      <c r="N2892" s="1">
        <f t="shared" ca="1" si="408"/>
        <v>46064</v>
      </c>
      <c r="O2892" s="6" t="e">
        <f t="shared" ca="1" si="409"/>
        <v>#VALUE!</v>
      </c>
      <c r="P2892">
        <v>2</v>
      </c>
      <c r="Q2892">
        <f t="shared" si="410"/>
        <v>80923</v>
      </c>
      <c r="R2892" s="2">
        <f t="shared" si="411"/>
        <v>40461.5</v>
      </c>
      <c r="S2892" s="2" t="str">
        <f t="shared" si="412"/>
        <v xml:space="preserve"> Not Achieved</v>
      </c>
      <c r="T2892" s="2" t="str">
        <f t="shared" si="413"/>
        <v xml:space="preserve"> Excellent</v>
      </c>
      <c r="U2892" s="2"/>
    </row>
    <row r="2893" spans="1:21" x14ac:dyDescent="0.3">
      <c r="A2893">
        <v>2892</v>
      </c>
      <c r="B2893" t="s">
        <v>3972</v>
      </c>
      <c r="C2893" t="str">
        <f t="shared" si="405"/>
        <v>EMP_2892</v>
      </c>
      <c r="D2893" t="s">
        <v>11</v>
      </c>
      <c r="E2893" t="str">
        <f t="shared" si="406"/>
        <v>EMP_2892IT</v>
      </c>
      <c r="F2893" t="s">
        <v>21</v>
      </c>
      <c r="G2893" t="s">
        <v>25</v>
      </c>
      <c r="H2893">
        <v>35787</v>
      </c>
      <c r="I2893">
        <v>9663</v>
      </c>
      <c r="J2893">
        <v>0</v>
      </c>
      <c r="K2893">
        <v>0</v>
      </c>
      <c r="L2893" s="4" t="s">
        <v>3736</v>
      </c>
      <c r="M2893" s="4" t="str">
        <f t="shared" si="407"/>
        <v>5/21/2019</v>
      </c>
      <c r="N2893" s="1">
        <f t="shared" ca="1" si="408"/>
        <v>46064</v>
      </c>
      <c r="O2893" s="6" t="e">
        <f t="shared" ca="1" si="409"/>
        <v>#VALUE!</v>
      </c>
      <c r="P2893">
        <v>3</v>
      </c>
      <c r="Q2893">
        <f t="shared" si="410"/>
        <v>45450</v>
      </c>
      <c r="R2893" s="2">
        <f t="shared" si="411"/>
        <v>22725</v>
      </c>
      <c r="S2893" s="2" t="str">
        <f t="shared" si="412"/>
        <v xml:space="preserve"> Not Achieved</v>
      </c>
      <c r="T2893" s="2" t="str">
        <f t="shared" si="413"/>
        <v>Average</v>
      </c>
      <c r="U2893" s="2"/>
    </row>
    <row r="2894" spans="1:21" x14ac:dyDescent="0.3">
      <c r="A2894">
        <v>2893</v>
      </c>
      <c r="B2894" t="s">
        <v>3973</v>
      </c>
      <c r="C2894" t="str">
        <f t="shared" si="405"/>
        <v>EMP_2893</v>
      </c>
      <c r="D2894" t="s">
        <v>15</v>
      </c>
      <c r="E2894" t="str">
        <f t="shared" si="406"/>
        <v>EMP_2893HR</v>
      </c>
      <c r="F2894" t="s">
        <v>12</v>
      </c>
      <c r="G2894" t="s">
        <v>16</v>
      </c>
      <c r="H2894">
        <v>41762</v>
      </c>
      <c r="I2894">
        <v>5379</v>
      </c>
      <c r="J2894">
        <v>0</v>
      </c>
      <c r="K2894">
        <v>0</v>
      </c>
      <c r="L2894" s="4" t="s">
        <v>515</v>
      </c>
      <c r="M2894" s="4" t="str">
        <f t="shared" si="407"/>
        <v>10/18/2024</v>
      </c>
      <c r="N2894" s="1">
        <f t="shared" ca="1" si="408"/>
        <v>46064</v>
      </c>
      <c r="O2894" s="6" t="e">
        <f t="shared" ca="1" si="409"/>
        <v>#VALUE!</v>
      </c>
      <c r="P2894">
        <v>3</v>
      </c>
      <c r="Q2894">
        <f t="shared" si="410"/>
        <v>47141</v>
      </c>
      <c r="R2894" s="2">
        <f t="shared" si="411"/>
        <v>23570.5</v>
      </c>
      <c r="S2894" s="2" t="str">
        <f t="shared" si="412"/>
        <v xml:space="preserve"> Not Achieved</v>
      </c>
      <c r="T2894" s="2" t="str">
        <f t="shared" si="413"/>
        <v>Good</v>
      </c>
      <c r="U2894" s="2"/>
    </row>
    <row r="2895" spans="1:21" x14ac:dyDescent="0.3">
      <c r="A2895">
        <v>2894</v>
      </c>
      <c r="B2895" t="s">
        <v>3974</v>
      </c>
      <c r="C2895" t="str">
        <f t="shared" si="405"/>
        <v>EMP_2894</v>
      </c>
      <c r="D2895" t="s">
        <v>11</v>
      </c>
      <c r="E2895" t="str">
        <f t="shared" si="406"/>
        <v>EMP_2894Finance</v>
      </c>
      <c r="F2895" t="s">
        <v>18</v>
      </c>
      <c r="G2895" t="s">
        <v>16</v>
      </c>
      <c r="H2895">
        <v>22835</v>
      </c>
      <c r="I2895">
        <v>12509</v>
      </c>
      <c r="J2895">
        <v>0</v>
      </c>
      <c r="K2895">
        <v>0</v>
      </c>
      <c r="L2895" s="4">
        <v>43223</v>
      </c>
      <c r="M2895" s="4" t="str">
        <f t="shared" si="407"/>
        <v>2018</v>
      </c>
      <c r="N2895" s="1">
        <f t="shared" ca="1" si="408"/>
        <v>46064</v>
      </c>
      <c r="O2895" s="6">
        <f t="shared" ca="1" si="409"/>
        <v>7</v>
      </c>
      <c r="P2895">
        <v>4</v>
      </c>
      <c r="Q2895">
        <f t="shared" si="410"/>
        <v>35344</v>
      </c>
      <c r="R2895" s="2">
        <f t="shared" si="411"/>
        <v>17672</v>
      </c>
      <c r="S2895" s="2" t="str">
        <f t="shared" si="412"/>
        <v xml:space="preserve"> Not Achieved</v>
      </c>
      <c r="T2895" s="2" t="str">
        <f t="shared" si="413"/>
        <v>poor</v>
      </c>
      <c r="U2895" s="2"/>
    </row>
    <row r="2896" spans="1:21" x14ac:dyDescent="0.3">
      <c r="A2896">
        <v>2895</v>
      </c>
      <c r="B2896" t="s">
        <v>3975</v>
      </c>
      <c r="C2896" t="str">
        <f t="shared" si="405"/>
        <v>EMP_2895</v>
      </c>
      <c r="D2896" t="s">
        <v>15</v>
      </c>
      <c r="E2896" t="str">
        <f t="shared" si="406"/>
        <v>EMP_2895IT</v>
      </c>
      <c r="F2896" t="s">
        <v>21</v>
      </c>
      <c r="G2896" t="s">
        <v>19</v>
      </c>
      <c r="H2896">
        <v>63948</v>
      </c>
      <c r="I2896">
        <v>13085</v>
      </c>
      <c r="J2896">
        <v>0</v>
      </c>
      <c r="K2896">
        <v>0</v>
      </c>
      <c r="L2896" s="4" t="s">
        <v>3976</v>
      </c>
      <c r="M2896" s="4" t="str">
        <f t="shared" si="407"/>
        <v>4/15/2023</v>
      </c>
      <c r="N2896" s="1">
        <f t="shared" ca="1" si="408"/>
        <v>46064</v>
      </c>
      <c r="O2896" s="6" t="e">
        <f t="shared" ca="1" si="409"/>
        <v>#VALUE!</v>
      </c>
      <c r="P2896">
        <v>3</v>
      </c>
      <c r="Q2896">
        <f t="shared" si="410"/>
        <v>77033</v>
      </c>
      <c r="R2896" s="2">
        <f t="shared" si="411"/>
        <v>38516.5</v>
      </c>
      <c r="S2896" s="2" t="str">
        <f t="shared" si="412"/>
        <v xml:space="preserve"> Not Achieved</v>
      </c>
      <c r="T2896" s="2" t="str">
        <f t="shared" si="413"/>
        <v xml:space="preserve"> Excellent</v>
      </c>
      <c r="U2896" s="2"/>
    </row>
    <row r="2897" spans="1:21" x14ac:dyDescent="0.3">
      <c r="A2897">
        <v>2896</v>
      </c>
      <c r="B2897" t="s">
        <v>3977</v>
      </c>
      <c r="C2897" t="str">
        <f t="shared" si="405"/>
        <v>EMP_2896</v>
      </c>
      <c r="D2897" t="s">
        <v>15</v>
      </c>
      <c r="E2897" t="str">
        <f t="shared" si="406"/>
        <v>EMP_2896Sales</v>
      </c>
      <c r="F2897" t="s">
        <v>7</v>
      </c>
      <c r="G2897" t="s">
        <v>16</v>
      </c>
      <c r="H2897">
        <v>78559</v>
      </c>
      <c r="I2897">
        <v>3171</v>
      </c>
      <c r="J2897">
        <v>212383</v>
      </c>
      <c r="K2897">
        <v>180649</v>
      </c>
      <c r="L2897" s="4">
        <v>44537</v>
      </c>
      <c r="M2897" s="4" t="str">
        <f t="shared" si="407"/>
        <v>2021</v>
      </c>
      <c r="N2897" s="1">
        <f t="shared" ca="1" si="408"/>
        <v>46064</v>
      </c>
      <c r="O2897" s="6">
        <f t="shared" ca="1" si="409"/>
        <v>4</v>
      </c>
      <c r="P2897">
        <v>1</v>
      </c>
      <c r="Q2897">
        <f t="shared" si="410"/>
        <v>81730</v>
      </c>
      <c r="R2897" s="2">
        <f t="shared" si="411"/>
        <v>40865</v>
      </c>
      <c r="S2897" s="2" t="str">
        <f t="shared" si="412"/>
        <v>Achieved</v>
      </c>
      <c r="T2897" s="2" t="str">
        <f t="shared" si="413"/>
        <v xml:space="preserve"> Excellent</v>
      </c>
      <c r="U2897" s="2"/>
    </row>
    <row r="2898" spans="1:21" x14ac:dyDescent="0.3">
      <c r="A2898">
        <v>2897</v>
      </c>
      <c r="B2898" t="s">
        <v>3978</v>
      </c>
      <c r="C2898" t="str">
        <f t="shared" si="405"/>
        <v>EMP_2897</v>
      </c>
      <c r="D2898" t="s">
        <v>15</v>
      </c>
      <c r="E2898" t="str">
        <f t="shared" si="406"/>
        <v>EMP_2897Finance</v>
      </c>
      <c r="F2898" t="s">
        <v>18</v>
      </c>
      <c r="G2898" t="s">
        <v>22</v>
      </c>
      <c r="H2898">
        <v>20864</v>
      </c>
      <c r="I2898">
        <v>6155</v>
      </c>
      <c r="J2898">
        <v>0</v>
      </c>
      <c r="K2898">
        <v>0</v>
      </c>
      <c r="L2898" s="4" t="s">
        <v>2581</v>
      </c>
      <c r="M2898" s="4" t="str">
        <f t="shared" si="407"/>
        <v>3/21/2018</v>
      </c>
      <c r="N2898" s="1">
        <f t="shared" ca="1" si="408"/>
        <v>46064</v>
      </c>
      <c r="O2898" s="6" t="e">
        <f t="shared" ca="1" si="409"/>
        <v>#VALUE!</v>
      </c>
      <c r="P2898">
        <v>2</v>
      </c>
      <c r="Q2898">
        <f t="shared" si="410"/>
        <v>27019</v>
      </c>
      <c r="R2898" s="2">
        <f t="shared" si="411"/>
        <v>13509.5</v>
      </c>
      <c r="S2898" s="2" t="str">
        <f t="shared" si="412"/>
        <v xml:space="preserve"> Not Achieved</v>
      </c>
      <c r="T2898" s="2" t="str">
        <f t="shared" si="413"/>
        <v>poor</v>
      </c>
      <c r="U2898" s="2"/>
    </row>
    <row r="2899" spans="1:21" x14ac:dyDescent="0.3">
      <c r="A2899">
        <v>2898</v>
      </c>
      <c r="B2899" t="s">
        <v>3979</v>
      </c>
      <c r="C2899" t="str">
        <f t="shared" si="405"/>
        <v>EMP_2898</v>
      </c>
      <c r="D2899" t="s">
        <v>11</v>
      </c>
      <c r="E2899" t="str">
        <f t="shared" si="406"/>
        <v>EMP_2898Marketing</v>
      </c>
      <c r="F2899" t="s">
        <v>24</v>
      </c>
      <c r="G2899" t="s">
        <v>22</v>
      </c>
      <c r="H2899">
        <v>72684</v>
      </c>
      <c r="I2899">
        <v>7966</v>
      </c>
      <c r="J2899">
        <v>0</v>
      </c>
      <c r="K2899">
        <v>0</v>
      </c>
      <c r="L2899" s="4" t="s">
        <v>3980</v>
      </c>
      <c r="M2899" s="4" t="str">
        <f t="shared" si="407"/>
        <v>11/27/2021</v>
      </c>
      <c r="N2899" s="1">
        <f t="shared" ca="1" si="408"/>
        <v>46064</v>
      </c>
      <c r="O2899" s="6" t="e">
        <f t="shared" ca="1" si="409"/>
        <v>#VALUE!</v>
      </c>
      <c r="P2899">
        <v>3</v>
      </c>
      <c r="Q2899">
        <f t="shared" si="410"/>
        <v>80650</v>
      </c>
      <c r="R2899" s="2">
        <f t="shared" si="411"/>
        <v>40325</v>
      </c>
      <c r="S2899" s="2" t="str">
        <f t="shared" si="412"/>
        <v xml:space="preserve"> Not Achieved</v>
      </c>
      <c r="T2899" s="2" t="str">
        <f t="shared" si="413"/>
        <v xml:space="preserve"> Excellent</v>
      </c>
      <c r="U2899" s="2"/>
    </row>
    <row r="2900" spans="1:21" x14ac:dyDescent="0.3">
      <c r="A2900">
        <v>2899</v>
      </c>
      <c r="B2900" t="s">
        <v>3981</v>
      </c>
      <c r="C2900" t="str">
        <f t="shared" si="405"/>
        <v>EMP_2899</v>
      </c>
      <c r="D2900" t="s">
        <v>11</v>
      </c>
      <c r="E2900" t="str">
        <f t="shared" si="406"/>
        <v>EMP_2899Marketing</v>
      </c>
      <c r="F2900" t="s">
        <v>24</v>
      </c>
      <c r="G2900" t="s">
        <v>13</v>
      </c>
      <c r="H2900">
        <v>65498</v>
      </c>
      <c r="I2900">
        <v>9572</v>
      </c>
      <c r="J2900">
        <v>0</v>
      </c>
      <c r="K2900">
        <v>0</v>
      </c>
      <c r="L2900" s="4" t="s">
        <v>212</v>
      </c>
      <c r="M2900" s="4" t="str">
        <f t="shared" si="407"/>
        <v>11/15/2022</v>
      </c>
      <c r="N2900" s="1">
        <f t="shared" ca="1" si="408"/>
        <v>46064</v>
      </c>
      <c r="O2900" s="6" t="e">
        <f t="shared" ca="1" si="409"/>
        <v>#VALUE!</v>
      </c>
      <c r="P2900">
        <v>1</v>
      </c>
      <c r="Q2900">
        <f t="shared" si="410"/>
        <v>75070</v>
      </c>
      <c r="R2900" s="2">
        <f t="shared" si="411"/>
        <v>37535</v>
      </c>
      <c r="S2900" s="2" t="str">
        <f t="shared" si="412"/>
        <v xml:space="preserve"> Not Achieved</v>
      </c>
      <c r="T2900" s="2" t="str">
        <f t="shared" si="413"/>
        <v xml:space="preserve"> Excellent</v>
      </c>
      <c r="U2900" s="2"/>
    </row>
    <row r="2901" spans="1:21" x14ac:dyDescent="0.3">
      <c r="A2901">
        <v>2900</v>
      </c>
      <c r="B2901" t="s">
        <v>3982</v>
      </c>
      <c r="C2901" t="str">
        <f t="shared" si="405"/>
        <v>EMP_2900</v>
      </c>
      <c r="D2901" t="s">
        <v>15</v>
      </c>
      <c r="E2901" t="str">
        <f t="shared" si="406"/>
        <v>EMP_2900IT</v>
      </c>
      <c r="F2901" t="s">
        <v>21</v>
      </c>
      <c r="G2901" t="s">
        <v>22</v>
      </c>
      <c r="H2901">
        <v>35749</v>
      </c>
      <c r="I2901">
        <v>7059</v>
      </c>
      <c r="J2901">
        <v>0</v>
      </c>
      <c r="K2901">
        <v>0</v>
      </c>
      <c r="L2901" s="4">
        <v>45269</v>
      </c>
      <c r="M2901" s="4" t="str">
        <f t="shared" si="407"/>
        <v>2023</v>
      </c>
      <c r="N2901" s="1">
        <f t="shared" ca="1" si="408"/>
        <v>46064</v>
      </c>
      <c r="O2901" s="6">
        <f t="shared" ca="1" si="409"/>
        <v>2</v>
      </c>
      <c r="P2901">
        <v>3</v>
      </c>
      <c r="Q2901">
        <f t="shared" si="410"/>
        <v>42808</v>
      </c>
      <c r="R2901" s="2">
        <f t="shared" si="411"/>
        <v>21404</v>
      </c>
      <c r="S2901" s="2" t="str">
        <f t="shared" si="412"/>
        <v xml:space="preserve"> Not Achieved</v>
      </c>
      <c r="T2901" s="2" t="str">
        <f t="shared" si="413"/>
        <v>Average</v>
      </c>
      <c r="U2901" s="2"/>
    </row>
    <row r="2902" spans="1:21" x14ac:dyDescent="0.3">
      <c r="A2902">
        <v>2901</v>
      </c>
      <c r="B2902" t="s">
        <v>3983</v>
      </c>
      <c r="C2902" t="str">
        <f t="shared" si="405"/>
        <v>EMP_2901</v>
      </c>
      <c r="D2902" t="s">
        <v>11</v>
      </c>
      <c r="E2902" t="str">
        <f t="shared" si="406"/>
        <v>EMP_2901HR</v>
      </c>
      <c r="F2902" t="s">
        <v>12</v>
      </c>
      <c r="G2902" t="s">
        <v>19</v>
      </c>
      <c r="H2902">
        <v>52331</v>
      </c>
      <c r="I2902">
        <v>13926</v>
      </c>
      <c r="J2902">
        <v>0</v>
      </c>
      <c r="K2902">
        <v>0</v>
      </c>
      <c r="L2902" s="4" t="s">
        <v>3984</v>
      </c>
      <c r="M2902" s="4" t="str">
        <f t="shared" si="407"/>
        <v>1/25/2023</v>
      </c>
      <c r="N2902" s="1">
        <f t="shared" ca="1" si="408"/>
        <v>46064</v>
      </c>
      <c r="O2902" s="6" t="e">
        <f t="shared" ca="1" si="409"/>
        <v>#VALUE!</v>
      </c>
      <c r="P2902">
        <v>4</v>
      </c>
      <c r="Q2902">
        <f t="shared" si="410"/>
        <v>66257</v>
      </c>
      <c r="R2902" s="2">
        <f t="shared" si="411"/>
        <v>33128.5</v>
      </c>
      <c r="S2902" s="2" t="str">
        <f t="shared" si="412"/>
        <v xml:space="preserve"> Not Achieved</v>
      </c>
      <c r="T2902" s="2" t="str">
        <f t="shared" si="413"/>
        <v xml:space="preserve"> Excellent</v>
      </c>
      <c r="U2902" s="2"/>
    </row>
    <row r="2903" spans="1:21" x14ac:dyDescent="0.3">
      <c r="A2903">
        <v>2902</v>
      </c>
      <c r="B2903" t="s">
        <v>3985</v>
      </c>
      <c r="C2903" t="str">
        <f t="shared" si="405"/>
        <v>EMP_2902</v>
      </c>
      <c r="D2903" t="s">
        <v>11</v>
      </c>
      <c r="E2903" t="str">
        <f t="shared" si="406"/>
        <v>EMP_2902Sales</v>
      </c>
      <c r="F2903" t="s">
        <v>7</v>
      </c>
      <c r="G2903" t="s">
        <v>16</v>
      </c>
      <c r="H2903">
        <v>57429</v>
      </c>
      <c r="I2903">
        <v>2749</v>
      </c>
      <c r="J2903">
        <v>146270</v>
      </c>
      <c r="K2903">
        <v>167197</v>
      </c>
      <c r="L2903" s="4" t="s">
        <v>2774</v>
      </c>
      <c r="M2903" s="4" t="str">
        <f t="shared" si="407"/>
        <v>12/15/2021</v>
      </c>
      <c r="N2903" s="1">
        <f t="shared" ca="1" si="408"/>
        <v>46064</v>
      </c>
      <c r="O2903" s="6" t="e">
        <f t="shared" ca="1" si="409"/>
        <v>#VALUE!</v>
      </c>
      <c r="P2903">
        <v>3</v>
      </c>
      <c r="Q2903">
        <f t="shared" si="410"/>
        <v>60178</v>
      </c>
      <c r="R2903" s="2">
        <f t="shared" si="411"/>
        <v>30089</v>
      </c>
      <c r="S2903" s="2" t="str">
        <f t="shared" si="412"/>
        <v xml:space="preserve"> Not Achieved</v>
      </c>
      <c r="T2903" s="2" t="str">
        <f t="shared" si="413"/>
        <v xml:space="preserve"> Excellent</v>
      </c>
      <c r="U2903" s="2"/>
    </row>
    <row r="2904" spans="1:21" x14ac:dyDescent="0.3">
      <c r="A2904">
        <v>2903</v>
      </c>
      <c r="B2904" t="s">
        <v>3986</v>
      </c>
      <c r="C2904" t="str">
        <f t="shared" si="405"/>
        <v>EMP_2903</v>
      </c>
      <c r="D2904" t="s">
        <v>11</v>
      </c>
      <c r="E2904" t="str">
        <f t="shared" si="406"/>
        <v>EMP_2903Marketing</v>
      </c>
      <c r="F2904" t="s">
        <v>24</v>
      </c>
      <c r="G2904" t="s">
        <v>22</v>
      </c>
      <c r="H2904">
        <v>62071</v>
      </c>
      <c r="I2904">
        <v>9537</v>
      </c>
      <c r="J2904">
        <v>0</v>
      </c>
      <c r="K2904">
        <v>0</v>
      </c>
      <c r="L2904" s="4" t="s">
        <v>292</v>
      </c>
      <c r="M2904" s="4" t="str">
        <f t="shared" si="407"/>
        <v>6/26/2021</v>
      </c>
      <c r="N2904" s="1">
        <f t="shared" ca="1" si="408"/>
        <v>46064</v>
      </c>
      <c r="O2904" s="6" t="e">
        <f t="shared" ca="1" si="409"/>
        <v>#VALUE!</v>
      </c>
      <c r="P2904">
        <v>4</v>
      </c>
      <c r="Q2904">
        <f t="shared" si="410"/>
        <v>71608</v>
      </c>
      <c r="R2904" s="2">
        <f t="shared" si="411"/>
        <v>35804</v>
      </c>
      <c r="S2904" s="2" t="str">
        <f t="shared" si="412"/>
        <v xml:space="preserve"> Not Achieved</v>
      </c>
      <c r="T2904" s="2" t="str">
        <f t="shared" si="413"/>
        <v xml:space="preserve"> Excellent</v>
      </c>
      <c r="U2904" s="2"/>
    </row>
    <row r="2905" spans="1:21" x14ac:dyDescent="0.3">
      <c r="A2905">
        <v>2904</v>
      </c>
      <c r="B2905" t="s">
        <v>3987</v>
      </c>
      <c r="C2905" t="str">
        <f t="shared" si="405"/>
        <v>EMP_2904</v>
      </c>
      <c r="D2905" t="s">
        <v>15</v>
      </c>
      <c r="E2905" t="str">
        <f t="shared" si="406"/>
        <v>EMP_2904IT</v>
      </c>
      <c r="F2905" t="s">
        <v>21</v>
      </c>
      <c r="G2905" t="s">
        <v>25</v>
      </c>
      <c r="H2905">
        <v>51953</v>
      </c>
      <c r="I2905">
        <v>8232</v>
      </c>
      <c r="J2905">
        <v>0</v>
      </c>
      <c r="K2905">
        <v>0</v>
      </c>
      <c r="L2905" s="4" t="s">
        <v>2661</v>
      </c>
      <c r="M2905" s="4" t="str">
        <f t="shared" si="407"/>
        <v>5/14/2022</v>
      </c>
      <c r="N2905" s="1">
        <f t="shared" ca="1" si="408"/>
        <v>46064</v>
      </c>
      <c r="O2905" s="6" t="e">
        <f t="shared" ca="1" si="409"/>
        <v>#VALUE!</v>
      </c>
      <c r="P2905">
        <v>3</v>
      </c>
      <c r="Q2905">
        <f t="shared" si="410"/>
        <v>60185</v>
      </c>
      <c r="R2905" s="2">
        <f t="shared" si="411"/>
        <v>30092.5</v>
      </c>
      <c r="S2905" s="2" t="str">
        <f t="shared" si="412"/>
        <v xml:space="preserve"> Not Achieved</v>
      </c>
      <c r="T2905" s="2" t="str">
        <f t="shared" si="413"/>
        <v xml:space="preserve"> Excellent</v>
      </c>
      <c r="U2905" s="2"/>
    </row>
    <row r="2906" spans="1:21" x14ac:dyDescent="0.3">
      <c r="A2906">
        <v>2905</v>
      </c>
      <c r="B2906" t="s">
        <v>3988</v>
      </c>
      <c r="C2906" t="str">
        <f t="shared" si="405"/>
        <v>EMP_2905</v>
      </c>
      <c r="D2906" t="s">
        <v>11</v>
      </c>
      <c r="E2906" t="str">
        <f t="shared" si="406"/>
        <v>EMP_2905Sales</v>
      </c>
      <c r="F2906" t="s">
        <v>7</v>
      </c>
      <c r="G2906" t="s">
        <v>16</v>
      </c>
      <c r="H2906">
        <v>76743</v>
      </c>
      <c r="I2906">
        <v>11007</v>
      </c>
      <c r="J2906">
        <v>297560</v>
      </c>
      <c r="K2906">
        <v>160440</v>
      </c>
      <c r="L2906" s="4" t="s">
        <v>3989</v>
      </c>
      <c r="M2906" s="4" t="str">
        <f t="shared" si="407"/>
        <v>7/23/2020</v>
      </c>
      <c r="N2906" s="1">
        <f t="shared" ca="1" si="408"/>
        <v>46064</v>
      </c>
      <c r="O2906" s="6" t="e">
        <f t="shared" ca="1" si="409"/>
        <v>#VALUE!</v>
      </c>
      <c r="P2906">
        <v>5</v>
      </c>
      <c r="Q2906">
        <f t="shared" si="410"/>
        <v>87750</v>
      </c>
      <c r="R2906" s="2">
        <f t="shared" si="411"/>
        <v>43875</v>
      </c>
      <c r="S2906" s="2" t="str">
        <f t="shared" si="412"/>
        <v>Achieved</v>
      </c>
      <c r="T2906" s="2" t="str">
        <f t="shared" si="413"/>
        <v xml:space="preserve"> Excellent</v>
      </c>
      <c r="U2906" s="2"/>
    </row>
    <row r="2907" spans="1:21" x14ac:dyDescent="0.3">
      <c r="A2907">
        <v>2906</v>
      </c>
      <c r="B2907" t="s">
        <v>3990</v>
      </c>
      <c r="C2907" t="str">
        <f t="shared" si="405"/>
        <v>EMP_2906</v>
      </c>
      <c r="D2907" t="s">
        <v>11</v>
      </c>
      <c r="E2907" t="str">
        <f t="shared" si="406"/>
        <v>EMP_2906Marketing</v>
      </c>
      <c r="F2907" t="s">
        <v>24</v>
      </c>
      <c r="G2907" t="s">
        <v>22</v>
      </c>
      <c r="H2907">
        <v>50336</v>
      </c>
      <c r="I2907">
        <v>8059</v>
      </c>
      <c r="J2907">
        <v>0</v>
      </c>
      <c r="K2907">
        <v>0</v>
      </c>
      <c r="L2907" s="4">
        <v>43202</v>
      </c>
      <c r="M2907" s="4" t="str">
        <f t="shared" si="407"/>
        <v>2018</v>
      </c>
      <c r="N2907" s="1">
        <f t="shared" ca="1" si="408"/>
        <v>46064</v>
      </c>
      <c r="O2907" s="6">
        <f t="shared" ca="1" si="409"/>
        <v>7</v>
      </c>
      <c r="P2907">
        <v>5</v>
      </c>
      <c r="Q2907">
        <f t="shared" si="410"/>
        <v>58395</v>
      </c>
      <c r="R2907" s="2">
        <f t="shared" si="411"/>
        <v>29197.5</v>
      </c>
      <c r="S2907" s="2" t="str">
        <f t="shared" si="412"/>
        <v xml:space="preserve"> Not Achieved</v>
      </c>
      <c r="T2907" s="2" t="str">
        <f t="shared" si="413"/>
        <v xml:space="preserve"> Excellent</v>
      </c>
      <c r="U2907" s="2"/>
    </row>
    <row r="2908" spans="1:21" x14ac:dyDescent="0.3">
      <c r="A2908">
        <v>2907</v>
      </c>
      <c r="B2908" t="s">
        <v>3991</v>
      </c>
      <c r="C2908" t="str">
        <f t="shared" si="405"/>
        <v>EMP_2907</v>
      </c>
      <c r="D2908" t="s">
        <v>11</v>
      </c>
      <c r="E2908" t="str">
        <f t="shared" si="406"/>
        <v>EMP_2907Sales</v>
      </c>
      <c r="F2908" t="s">
        <v>7</v>
      </c>
      <c r="G2908" t="s">
        <v>25</v>
      </c>
      <c r="H2908">
        <v>38459</v>
      </c>
      <c r="I2908">
        <v>9616</v>
      </c>
      <c r="J2908">
        <v>183443</v>
      </c>
      <c r="K2908">
        <v>165955</v>
      </c>
      <c r="L2908" s="4" t="s">
        <v>169</v>
      </c>
      <c r="M2908" s="4" t="str">
        <f t="shared" si="407"/>
        <v>3/14/2022</v>
      </c>
      <c r="N2908" s="1">
        <f t="shared" ca="1" si="408"/>
        <v>46064</v>
      </c>
      <c r="O2908" s="6" t="e">
        <f t="shared" ca="1" si="409"/>
        <v>#VALUE!</v>
      </c>
      <c r="P2908">
        <v>2</v>
      </c>
      <c r="Q2908">
        <f t="shared" si="410"/>
        <v>48075</v>
      </c>
      <c r="R2908" s="2">
        <f t="shared" si="411"/>
        <v>24037.5</v>
      </c>
      <c r="S2908" s="2" t="str">
        <f t="shared" si="412"/>
        <v>Achieved</v>
      </c>
      <c r="T2908" s="2" t="str">
        <f t="shared" si="413"/>
        <v>Average</v>
      </c>
      <c r="U2908" s="2"/>
    </row>
    <row r="2909" spans="1:21" x14ac:dyDescent="0.3">
      <c r="A2909">
        <v>2908</v>
      </c>
      <c r="B2909" t="s">
        <v>3992</v>
      </c>
      <c r="C2909" t="str">
        <f t="shared" si="405"/>
        <v>EMP_2908</v>
      </c>
      <c r="D2909" t="s">
        <v>15</v>
      </c>
      <c r="E2909" t="str">
        <f t="shared" si="406"/>
        <v>EMP_2908Finance</v>
      </c>
      <c r="F2909" t="s">
        <v>18</v>
      </c>
      <c r="G2909" t="s">
        <v>16</v>
      </c>
      <c r="H2909">
        <v>33069</v>
      </c>
      <c r="I2909">
        <v>14552</v>
      </c>
      <c r="J2909">
        <v>0</v>
      </c>
      <c r="K2909">
        <v>0</v>
      </c>
      <c r="L2909" s="4" t="s">
        <v>3993</v>
      </c>
      <c r="M2909" s="4" t="str">
        <f t="shared" si="407"/>
        <v>4/28/2022</v>
      </c>
      <c r="N2909" s="1">
        <f t="shared" ca="1" si="408"/>
        <v>46064</v>
      </c>
      <c r="O2909" s="6" t="e">
        <f t="shared" ca="1" si="409"/>
        <v>#VALUE!</v>
      </c>
      <c r="P2909">
        <v>3</v>
      </c>
      <c r="Q2909">
        <f t="shared" si="410"/>
        <v>47621</v>
      </c>
      <c r="R2909" s="2">
        <f t="shared" si="411"/>
        <v>23810.5</v>
      </c>
      <c r="S2909" s="2" t="str">
        <f t="shared" si="412"/>
        <v xml:space="preserve"> Not Achieved</v>
      </c>
      <c r="T2909" s="2" t="str">
        <f t="shared" si="413"/>
        <v>Average</v>
      </c>
      <c r="U2909" s="2"/>
    </row>
    <row r="2910" spans="1:21" x14ac:dyDescent="0.3">
      <c r="A2910">
        <v>2909</v>
      </c>
      <c r="B2910" t="s">
        <v>3994</v>
      </c>
      <c r="C2910" t="str">
        <f t="shared" si="405"/>
        <v>EMP_2909</v>
      </c>
      <c r="D2910" t="s">
        <v>15</v>
      </c>
      <c r="E2910" t="str">
        <f t="shared" si="406"/>
        <v>EMP_2909HR</v>
      </c>
      <c r="F2910" t="s">
        <v>12</v>
      </c>
      <c r="G2910" t="s">
        <v>19</v>
      </c>
      <c r="H2910">
        <v>37388</v>
      </c>
      <c r="I2910">
        <v>4765</v>
      </c>
      <c r="J2910">
        <v>0</v>
      </c>
      <c r="K2910">
        <v>0</v>
      </c>
      <c r="L2910" s="4" t="s">
        <v>243</v>
      </c>
      <c r="M2910" s="4" t="str">
        <f t="shared" si="407"/>
        <v>8/24/2018</v>
      </c>
      <c r="N2910" s="1">
        <f t="shared" ca="1" si="408"/>
        <v>46064</v>
      </c>
      <c r="O2910" s="6" t="e">
        <f t="shared" ca="1" si="409"/>
        <v>#VALUE!</v>
      </c>
      <c r="P2910">
        <v>2</v>
      </c>
      <c r="Q2910">
        <f t="shared" si="410"/>
        <v>42153</v>
      </c>
      <c r="R2910" s="2">
        <f t="shared" si="411"/>
        <v>21076.5</v>
      </c>
      <c r="S2910" s="2" t="str">
        <f t="shared" si="412"/>
        <v xml:space="preserve"> Not Achieved</v>
      </c>
      <c r="T2910" s="2" t="str">
        <f t="shared" si="413"/>
        <v>Average</v>
      </c>
      <c r="U2910" s="2"/>
    </row>
    <row r="2911" spans="1:21" x14ac:dyDescent="0.3">
      <c r="A2911">
        <v>2910</v>
      </c>
      <c r="B2911" t="s">
        <v>3995</v>
      </c>
      <c r="C2911" t="str">
        <f t="shared" si="405"/>
        <v>EMP_2910</v>
      </c>
      <c r="D2911" t="s">
        <v>11</v>
      </c>
      <c r="E2911" t="str">
        <f t="shared" si="406"/>
        <v>EMP_2910IT</v>
      </c>
      <c r="F2911" t="s">
        <v>21</v>
      </c>
      <c r="G2911" t="s">
        <v>22</v>
      </c>
      <c r="H2911">
        <v>37370</v>
      </c>
      <c r="I2911">
        <v>8386</v>
      </c>
      <c r="J2911">
        <v>0</v>
      </c>
      <c r="K2911">
        <v>0</v>
      </c>
      <c r="L2911" s="4">
        <v>43315</v>
      </c>
      <c r="M2911" s="4" t="str">
        <f t="shared" si="407"/>
        <v>2018</v>
      </c>
      <c r="N2911" s="1">
        <f t="shared" ca="1" si="408"/>
        <v>46064</v>
      </c>
      <c r="O2911" s="6">
        <f t="shared" ca="1" si="409"/>
        <v>7</v>
      </c>
      <c r="P2911">
        <v>3</v>
      </c>
      <c r="Q2911">
        <f t="shared" si="410"/>
        <v>45756</v>
      </c>
      <c r="R2911" s="2">
        <f t="shared" si="411"/>
        <v>22878</v>
      </c>
      <c r="S2911" s="2" t="str">
        <f t="shared" si="412"/>
        <v xml:space="preserve"> Not Achieved</v>
      </c>
      <c r="T2911" s="2" t="str">
        <f t="shared" si="413"/>
        <v>Average</v>
      </c>
      <c r="U2911" s="2"/>
    </row>
    <row r="2912" spans="1:21" x14ac:dyDescent="0.3">
      <c r="A2912">
        <v>2911</v>
      </c>
      <c r="B2912" t="s">
        <v>3996</v>
      </c>
      <c r="C2912" t="str">
        <f t="shared" si="405"/>
        <v>EMP_2911</v>
      </c>
      <c r="D2912" t="s">
        <v>15</v>
      </c>
      <c r="E2912" t="str">
        <f t="shared" si="406"/>
        <v>EMP_2911Sales</v>
      </c>
      <c r="F2912" t="s">
        <v>7</v>
      </c>
      <c r="G2912" t="s">
        <v>25</v>
      </c>
      <c r="H2912">
        <v>30145</v>
      </c>
      <c r="I2912">
        <v>6723</v>
      </c>
      <c r="J2912">
        <v>159767</v>
      </c>
      <c r="K2912">
        <v>174368</v>
      </c>
      <c r="L2912" s="4" t="s">
        <v>3997</v>
      </c>
      <c r="M2912" s="4" t="str">
        <f t="shared" si="407"/>
        <v>1/24/2023</v>
      </c>
      <c r="N2912" s="1">
        <f t="shared" ca="1" si="408"/>
        <v>46064</v>
      </c>
      <c r="O2912" s="6" t="e">
        <f t="shared" ca="1" si="409"/>
        <v>#VALUE!</v>
      </c>
      <c r="P2912">
        <v>1</v>
      </c>
      <c r="Q2912">
        <f t="shared" si="410"/>
        <v>36868</v>
      </c>
      <c r="R2912" s="2">
        <f t="shared" si="411"/>
        <v>18434</v>
      </c>
      <c r="S2912" s="2" t="str">
        <f t="shared" si="412"/>
        <v xml:space="preserve"> Not Achieved</v>
      </c>
      <c r="T2912" s="2" t="str">
        <f t="shared" si="413"/>
        <v>Average</v>
      </c>
      <c r="U2912" s="2"/>
    </row>
    <row r="2913" spans="1:21" x14ac:dyDescent="0.3">
      <c r="A2913">
        <v>2912</v>
      </c>
      <c r="B2913" t="s">
        <v>3998</v>
      </c>
      <c r="C2913" t="str">
        <f t="shared" si="405"/>
        <v>EMP_2912</v>
      </c>
      <c r="D2913" t="s">
        <v>15</v>
      </c>
      <c r="E2913" t="str">
        <f t="shared" si="406"/>
        <v>EMP_2912Sales</v>
      </c>
      <c r="F2913" t="s">
        <v>7</v>
      </c>
      <c r="G2913" t="s">
        <v>16</v>
      </c>
      <c r="H2913">
        <v>30737</v>
      </c>
      <c r="I2913">
        <v>6413</v>
      </c>
      <c r="J2913">
        <v>110600</v>
      </c>
      <c r="K2913">
        <v>197837</v>
      </c>
      <c r="L2913" s="4">
        <v>43163</v>
      </c>
      <c r="M2913" s="4" t="str">
        <f t="shared" si="407"/>
        <v>2018</v>
      </c>
      <c r="N2913" s="1">
        <f t="shared" ca="1" si="408"/>
        <v>46064</v>
      </c>
      <c r="O2913" s="6">
        <f t="shared" ca="1" si="409"/>
        <v>7</v>
      </c>
      <c r="P2913">
        <v>5</v>
      </c>
      <c r="Q2913">
        <f t="shared" si="410"/>
        <v>37150</v>
      </c>
      <c r="R2913" s="2">
        <f t="shared" si="411"/>
        <v>18575</v>
      </c>
      <c r="S2913" s="2" t="str">
        <f t="shared" si="412"/>
        <v xml:space="preserve"> Not Achieved</v>
      </c>
      <c r="T2913" s="2" t="str">
        <f t="shared" si="413"/>
        <v>Average</v>
      </c>
      <c r="U2913" s="2"/>
    </row>
    <row r="2914" spans="1:21" x14ac:dyDescent="0.3">
      <c r="A2914">
        <v>2913</v>
      </c>
      <c r="B2914" t="s">
        <v>3999</v>
      </c>
      <c r="C2914" t="str">
        <f t="shared" si="405"/>
        <v>EMP_2913</v>
      </c>
      <c r="D2914" t="s">
        <v>11</v>
      </c>
      <c r="E2914" t="str">
        <f t="shared" si="406"/>
        <v>EMP_2913Finance</v>
      </c>
      <c r="F2914" t="s">
        <v>18</v>
      </c>
      <c r="G2914" t="s">
        <v>22</v>
      </c>
      <c r="H2914">
        <v>24966</v>
      </c>
      <c r="I2914">
        <v>12964</v>
      </c>
      <c r="J2914">
        <v>0</v>
      </c>
      <c r="K2914">
        <v>0</v>
      </c>
      <c r="L2914" s="4">
        <v>44661</v>
      </c>
      <c r="M2914" s="4" t="str">
        <f t="shared" si="407"/>
        <v>2022</v>
      </c>
      <c r="N2914" s="1">
        <f t="shared" ca="1" si="408"/>
        <v>46064</v>
      </c>
      <c r="O2914" s="6">
        <f t="shared" ca="1" si="409"/>
        <v>3</v>
      </c>
      <c r="P2914">
        <v>4</v>
      </c>
      <c r="Q2914">
        <f t="shared" si="410"/>
        <v>37930</v>
      </c>
      <c r="R2914" s="2">
        <f t="shared" si="411"/>
        <v>18965</v>
      </c>
      <c r="S2914" s="2" t="str">
        <f t="shared" si="412"/>
        <v xml:space="preserve"> Not Achieved</v>
      </c>
      <c r="T2914" s="2" t="str">
        <f t="shared" si="413"/>
        <v>poor</v>
      </c>
      <c r="U2914" s="2"/>
    </row>
    <row r="2915" spans="1:21" x14ac:dyDescent="0.3">
      <c r="A2915">
        <v>2914</v>
      </c>
      <c r="B2915" t="s">
        <v>4000</v>
      </c>
      <c r="C2915" t="str">
        <f t="shared" si="405"/>
        <v>EMP_2914</v>
      </c>
      <c r="D2915" t="s">
        <v>15</v>
      </c>
      <c r="E2915" t="str">
        <f t="shared" si="406"/>
        <v>EMP_2914Marketing</v>
      </c>
      <c r="F2915" t="s">
        <v>24</v>
      </c>
      <c r="G2915" t="s">
        <v>22</v>
      </c>
      <c r="H2915">
        <v>72289</v>
      </c>
      <c r="I2915">
        <v>4859</v>
      </c>
      <c r="J2915">
        <v>0</v>
      </c>
      <c r="K2915">
        <v>0</v>
      </c>
      <c r="L2915" s="4" t="s">
        <v>1544</v>
      </c>
      <c r="M2915" s="4" t="str">
        <f t="shared" si="407"/>
        <v>2/26/2019</v>
      </c>
      <c r="N2915" s="1">
        <f t="shared" ca="1" si="408"/>
        <v>46064</v>
      </c>
      <c r="O2915" s="6" t="e">
        <f t="shared" ca="1" si="409"/>
        <v>#VALUE!</v>
      </c>
      <c r="P2915">
        <v>5</v>
      </c>
      <c r="Q2915">
        <f t="shared" si="410"/>
        <v>77148</v>
      </c>
      <c r="R2915" s="2">
        <f t="shared" si="411"/>
        <v>38574</v>
      </c>
      <c r="S2915" s="2" t="str">
        <f t="shared" si="412"/>
        <v xml:space="preserve"> Not Achieved</v>
      </c>
      <c r="T2915" s="2" t="str">
        <f t="shared" si="413"/>
        <v xml:space="preserve"> Excellent</v>
      </c>
      <c r="U2915" s="2"/>
    </row>
    <row r="2916" spans="1:21" x14ac:dyDescent="0.3">
      <c r="A2916">
        <v>2915</v>
      </c>
      <c r="B2916" t="s">
        <v>4001</v>
      </c>
      <c r="C2916" t="str">
        <f t="shared" si="405"/>
        <v>EMP_2915</v>
      </c>
      <c r="D2916" t="s">
        <v>15</v>
      </c>
      <c r="E2916" t="str">
        <f t="shared" si="406"/>
        <v>EMP_2915HR</v>
      </c>
      <c r="F2916" t="s">
        <v>12</v>
      </c>
      <c r="G2916" t="s">
        <v>22</v>
      </c>
      <c r="H2916">
        <v>26494</v>
      </c>
      <c r="I2916">
        <v>7464</v>
      </c>
      <c r="J2916">
        <v>0</v>
      </c>
      <c r="K2916">
        <v>0</v>
      </c>
      <c r="L2916" s="4" t="s">
        <v>4002</v>
      </c>
      <c r="M2916" s="4" t="str">
        <f t="shared" si="407"/>
        <v>9/29/2019</v>
      </c>
      <c r="N2916" s="1">
        <f t="shared" ca="1" si="408"/>
        <v>46064</v>
      </c>
      <c r="O2916" s="6" t="e">
        <f t="shared" ca="1" si="409"/>
        <v>#VALUE!</v>
      </c>
      <c r="P2916">
        <v>2</v>
      </c>
      <c r="Q2916">
        <f t="shared" si="410"/>
        <v>33958</v>
      </c>
      <c r="R2916" s="2">
        <f t="shared" si="411"/>
        <v>16979</v>
      </c>
      <c r="S2916" s="2" t="str">
        <f t="shared" si="412"/>
        <v xml:space="preserve"> Not Achieved</v>
      </c>
      <c r="T2916" s="2" t="str">
        <f t="shared" si="413"/>
        <v>poor</v>
      </c>
      <c r="U2916" s="2"/>
    </row>
    <row r="2917" spans="1:21" x14ac:dyDescent="0.3">
      <c r="A2917">
        <v>2916</v>
      </c>
      <c r="B2917" t="s">
        <v>4003</v>
      </c>
      <c r="C2917" t="str">
        <f t="shared" si="405"/>
        <v>EMP_2916</v>
      </c>
      <c r="D2917" t="s">
        <v>15</v>
      </c>
      <c r="E2917" t="str">
        <f t="shared" si="406"/>
        <v>EMP_2916Sales</v>
      </c>
      <c r="F2917" t="s">
        <v>7</v>
      </c>
      <c r="G2917" t="s">
        <v>19</v>
      </c>
      <c r="H2917">
        <v>25417</v>
      </c>
      <c r="I2917">
        <v>14452</v>
      </c>
      <c r="J2917">
        <v>212652</v>
      </c>
      <c r="K2917">
        <v>196404</v>
      </c>
      <c r="L2917" s="4" t="s">
        <v>4004</v>
      </c>
      <c r="M2917" s="4" t="str">
        <f t="shared" si="407"/>
        <v>10/16/2020</v>
      </c>
      <c r="N2917" s="1">
        <f t="shared" ca="1" si="408"/>
        <v>46064</v>
      </c>
      <c r="O2917" s="6" t="e">
        <f t="shared" ca="1" si="409"/>
        <v>#VALUE!</v>
      </c>
      <c r="P2917">
        <v>1</v>
      </c>
      <c r="Q2917">
        <f t="shared" si="410"/>
        <v>39869</v>
      </c>
      <c r="R2917" s="2">
        <f t="shared" si="411"/>
        <v>19934.5</v>
      </c>
      <c r="S2917" s="2" t="str">
        <f t="shared" si="412"/>
        <v>Achieved</v>
      </c>
      <c r="T2917" s="2" t="str">
        <f t="shared" si="413"/>
        <v>poor</v>
      </c>
      <c r="U2917" s="2"/>
    </row>
    <row r="2918" spans="1:21" x14ac:dyDescent="0.3">
      <c r="A2918">
        <v>2917</v>
      </c>
      <c r="B2918" t="s">
        <v>4005</v>
      </c>
      <c r="C2918" t="str">
        <f t="shared" si="405"/>
        <v>EMP_2917</v>
      </c>
      <c r="D2918" t="s">
        <v>15</v>
      </c>
      <c r="E2918" t="str">
        <f t="shared" si="406"/>
        <v>EMP_2917Sales</v>
      </c>
      <c r="F2918" t="s">
        <v>7</v>
      </c>
      <c r="G2918" t="s">
        <v>19</v>
      </c>
      <c r="H2918">
        <v>55440</v>
      </c>
      <c r="I2918">
        <v>9993</v>
      </c>
      <c r="J2918">
        <v>122133</v>
      </c>
      <c r="K2918">
        <v>196135</v>
      </c>
      <c r="L2918" s="4">
        <v>43321</v>
      </c>
      <c r="M2918" s="4" t="str">
        <f t="shared" si="407"/>
        <v>2018</v>
      </c>
      <c r="N2918" s="1">
        <f t="shared" ca="1" si="408"/>
        <v>46064</v>
      </c>
      <c r="O2918" s="6">
        <f t="shared" ca="1" si="409"/>
        <v>7</v>
      </c>
      <c r="P2918">
        <v>4</v>
      </c>
      <c r="Q2918">
        <f t="shared" si="410"/>
        <v>65433</v>
      </c>
      <c r="R2918" s="2">
        <f t="shared" si="411"/>
        <v>32716.5</v>
      </c>
      <c r="S2918" s="2" t="str">
        <f t="shared" si="412"/>
        <v xml:space="preserve"> Not Achieved</v>
      </c>
      <c r="T2918" s="2" t="str">
        <f t="shared" si="413"/>
        <v xml:space="preserve"> Excellent</v>
      </c>
      <c r="U2918" s="2"/>
    </row>
    <row r="2919" spans="1:21" x14ac:dyDescent="0.3">
      <c r="A2919">
        <v>2918</v>
      </c>
      <c r="B2919" t="s">
        <v>4006</v>
      </c>
      <c r="C2919" t="str">
        <f t="shared" si="405"/>
        <v>EMP_2918</v>
      </c>
      <c r="D2919" t="s">
        <v>15</v>
      </c>
      <c r="E2919" t="str">
        <f t="shared" si="406"/>
        <v>EMP_2918Finance</v>
      </c>
      <c r="F2919" t="s">
        <v>18</v>
      </c>
      <c r="G2919" t="s">
        <v>25</v>
      </c>
      <c r="H2919">
        <v>79429</v>
      </c>
      <c r="I2919">
        <v>2920</v>
      </c>
      <c r="J2919">
        <v>0</v>
      </c>
      <c r="K2919">
        <v>0</v>
      </c>
      <c r="L2919" s="4" t="s">
        <v>3018</v>
      </c>
      <c r="M2919" s="4" t="str">
        <f t="shared" si="407"/>
        <v>6/16/2020</v>
      </c>
      <c r="N2919" s="1">
        <f t="shared" ca="1" si="408"/>
        <v>46064</v>
      </c>
      <c r="O2919" s="6" t="e">
        <f t="shared" ca="1" si="409"/>
        <v>#VALUE!</v>
      </c>
      <c r="P2919">
        <v>4</v>
      </c>
      <c r="Q2919">
        <f t="shared" si="410"/>
        <v>82349</v>
      </c>
      <c r="R2919" s="2">
        <f t="shared" si="411"/>
        <v>41174.5</v>
      </c>
      <c r="S2919" s="2" t="str">
        <f t="shared" si="412"/>
        <v xml:space="preserve"> Not Achieved</v>
      </c>
      <c r="T2919" s="2" t="str">
        <f t="shared" si="413"/>
        <v xml:space="preserve"> Excellent</v>
      </c>
      <c r="U2919" s="2"/>
    </row>
    <row r="2920" spans="1:21" x14ac:dyDescent="0.3">
      <c r="A2920">
        <v>2919</v>
      </c>
      <c r="B2920" t="s">
        <v>4007</v>
      </c>
      <c r="C2920" t="str">
        <f t="shared" si="405"/>
        <v>EMP_2919</v>
      </c>
      <c r="D2920" t="s">
        <v>11</v>
      </c>
      <c r="E2920" t="str">
        <f t="shared" si="406"/>
        <v>EMP_2919IT</v>
      </c>
      <c r="F2920" t="s">
        <v>21</v>
      </c>
      <c r="G2920" t="s">
        <v>25</v>
      </c>
      <c r="H2920">
        <v>40523</v>
      </c>
      <c r="I2920">
        <v>13562</v>
      </c>
      <c r="J2920">
        <v>0</v>
      </c>
      <c r="K2920">
        <v>0</v>
      </c>
      <c r="L2920" s="4">
        <v>43868</v>
      </c>
      <c r="M2920" s="4" t="str">
        <f t="shared" si="407"/>
        <v>2020</v>
      </c>
      <c r="N2920" s="1">
        <f t="shared" ca="1" si="408"/>
        <v>46064</v>
      </c>
      <c r="O2920" s="6">
        <f t="shared" ca="1" si="409"/>
        <v>6</v>
      </c>
      <c r="P2920">
        <v>3</v>
      </c>
      <c r="Q2920">
        <f t="shared" si="410"/>
        <v>54085</v>
      </c>
      <c r="R2920" s="2">
        <f t="shared" si="411"/>
        <v>27042.5</v>
      </c>
      <c r="S2920" s="2" t="str">
        <f t="shared" si="412"/>
        <v xml:space="preserve"> Not Achieved</v>
      </c>
      <c r="T2920" s="2" t="str">
        <f t="shared" si="413"/>
        <v>Good</v>
      </c>
      <c r="U2920" s="2"/>
    </row>
    <row r="2921" spans="1:21" x14ac:dyDescent="0.3">
      <c r="A2921">
        <v>2920</v>
      </c>
      <c r="B2921" t="s">
        <v>4008</v>
      </c>
      <c r="C2921" t="str">
        <f t="shared" si="405"/>
        <v>EMP_2920</v>
      </c>
      <c r="D2921" t="s">
        <v>11</v>
      </c>
      <c r="E2921" t="str">
        <f t="shared" si="406"/>
        <v>EMP_2920Finance</v>
      </c>
      <c r="F2921" t="s">
        <v>18</v>
      </c>
      <c r="G2921" t="s">
        <v>16</v>
      </c>
      <c r="H2921">
        <v>52139</v>
      </c>
      <c r="I2921">
        <v>14354</v>
      </c>
      <c r="J2921">
        <v>0</v>
      </c>
      <c r="K2921">
        <v>0</v>
      </c>
      <c r="L2921" s="4" t="s">
        <v>1614</v>
      </c>
      <c r="M2921" s="4" t="str">
        <f t="shared" si="407"/>
        <v>12/26/2023</v>
      </c>
      <c r="N2921" s="1">
        <f t="shared" ca="1" si="408"/>
        <v>46064</v>
      </c>
      <c r="O2921" s="6" t="e">
        <f t="shared" ca="1" si="409"/>
        <v>#VALUE!</v>
      </c>
      <c r="P2921">
        <v>5</v>
      </c>
      <c r="Q2921">
        <f t="shared" si="410"/>
        <v>66493</v>
      </c>
      <c r="R2921" s="2">
        <f t="shared" si="411"/>
        <v>33246.5</v>
      </c>
      <c r="S2921" s="2" t="str">
        <f t="shared" si="412"/>
        <v xml:space="preserve"> Not Achieved</v>
      </c>
      <c r="T2921" s="2" t="str">
        <f t="shared" si="413"/>
        <v xml:space="preserve"> Excellent</v>
      </c>
      <c r="U2921" s="2"/>
    </row>
    <row r="2922" spans="1:21" x14ac:dyDescent="0.3">
      <c r="A2922">
        <v>2921</v>
      </c>
      <c r="B2922" t="s">
        <v>4009</v>
      </c>
      <c r="C2922" t="str">
        <f t="shared" si="405"/>
        <v>EMP_2921</v>
      </c>
      <c r="D2922" t="s">
        <v>15</v>
      </c>
      <c r="E2922" t="str">
        <f t="shared" si="406"/>
        <v>EMP_2921Sales</v>
      </c>
      <c r="F2922" t="s">
        <v>7</v>
      </c>
      <c r="G2922" t="s">
        <v>16</v>
      </c>
      <c r="H2922">
        <v>23610</v>
      </c>
      <c r="I2922">
        <v>8661</v>
      </c>
      <c r="J2922">
        <v>171161</v>
      </c>
      <c r="K2922">
        <v>123410</v>
      </c>
      <c r="L2922" s="4" t="s">
        <v>2652</v>
      </c>
      <c r="M2922" s="4" t="str">
        <f t="shared" si="407"/>
        <v>6/28/2019</v>
      </c>
      <c r="N2922" s="1">
        <f t="shared" ca="1" si="408"/>
        <v>46064</v>
      </c>
      <c r="O2922" s="6" t="e">
        <f t="shared" ca="1" si="409"/>
        <v>#VALUE!</v>
      </c>
      <c r="P2922">
        <v>5</v>
      </c>
      <c r="Q2922">
        <f t="shared" si="410"/>
        <v>32271</v>
      </c>
      <c r="R2922" s="2">
        <f t="shared" si="411"/>
        <v>16135.5</v>
      </c>
      <c r="S2922" s="2" t="str">
        <f t="shared" si="412"/>
        <v>Achieved</v>
      </c>
      <c r="T2922" s="2" t="str">
        <f t="shared" si="413"/>
        <v>poor</v>
      </c>
      <c r="U2922" s="2"/>
    </row>
    <row r="2923" spans="1:21" x14ac:dyDescent="0.3">
      <c r="A2923">
        <v>2922</v>
      </c>
      <c r="B2923" t="s">
        <v>4010</v>
      </c>
      <c r="C2923" t="str">
        <f t="shared" si="405"/>
        <v>EMP_2922</v>
      </c>
      <c r="D2923" t="s">
        <v>15</v>
      </c>
      <c r="E2923" t="str">
        <f t="shared" si="406"/>
        <v>EMP_2922Finance</v>
      </c>
      <c r="F2923" t="s">
        <v>18</v>
      </c>
      <c r="G2923" t="s">
        <v>16</v>
      </c>
      <c r="H2923">
        <v>59993</v>
      </c>
      <c r="I2923">
        <v>9869</v>
      </c>
      <c r="J2923">
        <v>0</v>
      </c>
      <c r="K2923">
        <v>0</v>
      </c>
      <c r="L2923" s="4" t="s">
        <v>832</v>
      </c>
      <c r="M2923" s="4" t="str">
        <f t="shared" si="407"/>
        <v>4/13/2020</v>
      </c>
      <c r="N2923" s="1">
        <f t="shared" ca="1" si="408"/>
        <v>46064</v>
      </c>
      <c r="O2923" s="6" t="e">
        <f t="shared" ca="1" si="409"/>
        <v>#VALUE!</v>
      </c>
      <c r="P2923">
        <v>4</v>
      </c>
      <c r="Q2923">
        <f t="shared" si="410"/>
        <v>69862</v>
      </c>
      <c r="R2923" s="2">
        <f t="shared" si="411"/>
        <v>34931</v>
      </c>
      <c r="S2923" s="2" t="str">
        <f t="shared" si="412"/>
        <v xml:space="preserve"> Not Achieved</v>
      </c>
      <c r="T2923" s="2" t="str">
        <f t="shared" si="413"/>
        <v xml:space="preserve"> Excellent</v>
      </c>
      <c r="U2923" s="2"/>
    </row>
    <row r="2924" spans="1:21" x14ac:dyDescent="0.3">
      <c r="A2924">
        <v>2923</v>
      </c>
      <c r="B2924" t="s">
        <v>4011</v>
      </c>
      <c r="C2924" t="str">
        <f t="shared" si="405"/>
        <v>EMP_2923</v>
      </c>
      <c r="D2924" t="s">
        <v>11</v>
      </c>
      <c r="E2924" t="str">
        <f t="shared" si="406"/>
        <v>EMP_2923Sales</v>
      </c>
      <c r="F2924" t="s">
        <v>7</v>
      </c>
      <c r="G2924" t="s">
        <v>13</v>
      </c>
      <c r="H2924">
        <v>42545</v>
      </c>
      <c r="I2924">
        <v>12397</v>
      </c>
      <c r="J2924">
        <v>145360</v>
      </c>
      <c r="K2924">
        <v>195719</v>
      </c>
      <c r="L2924" s="4">
        <v>45536</v>
      </c>
      <c r="M2924" s="4" t="str">
        <f t="shared" si="407"/>
        <v>2024</v>
      </c>
      <c r="N2924" s="1">
        <f t="shared" ca="1" si="408"/>
        <v>46064</v>
      </c>
      <c r="O2924" s="6">
        <f t="shared" ca="1" si="409"/>
        <v>1</v>
      </c>
      <c r="P2924">
        <v>5</v>
      </c>
      <c r="Q2924">
        <f t="shared" si="410"/>
        <v>54942</v>
      </c>
      <c r="R2924" s="2">
        <f t="shared" si="411"/>
        <v>27471</v>
      </c>
      <c r="S2924" s="2" t="str">
        <f t="shared" si="412"/>
        <v xml:space="preserve"> Not Achieved</v>
      </c>
      <c r="T2924" s="2" t="str">
        <f t="shared" si="413"/>
        <v>Good</v>
      </c>
      <c r="U2924" s="2"/>
    </row>
    <row r="2925" spans="1:21" x14ac:dyDescent="0.3">
      <c r="A2925">
        <v>2924</v>
      </c>
      <c r="B2925" t="s">
        <v>4012</v>
      </c>
      <c r="C2925" t="str">
        <f t="shared" si="405"/>
        <v>EMP_2924</v>
      </c>
      <c r="D2925" t="s">
        <v>15</v>
      </c>
      <c r="E2925" t="str">
        <f t="shared" si="406"/>
        <v>EMP_2924Marketing</v>
      </c>
      <c r="F2925" t="s">
        <v>24</v>
      </c>
      <c r="G2925" t="s">
        <v>16</v>
      </c>
      <c r="H2925">
        <v>45907</v>
      </c>
      <c r="I2925">
        <v>13440</v>
      </c>
      <c r="J2925">
        <v>0</v>
      </c>
      <c r="K2925">
        <v>0</v>
      </c>
      <c r="L2925" s="4">
        <v>43838</v>
      </c>
      <c r="M2925" s="4" t="str">
        <f t="shared" si="407"/>
        <v>2020</v>
      </c>
      <c r="N2925" s="1">
        <f t="shared" ca="1" si="408"/>
        <v>46064</v>
      </c>
      <c r="O2925" s="6">
        <f t="shared" ca="1" si="409"/>
        <v>6</v>
      </c>
      <c r="P2925">
        <v>1</v>
      </c>
      <c r="Q2925">
        <f t="shared" si="410"/>
        <v>59347</v>
      </c>
      <c r="R2925" s="2">
        <f t="shared" si="411"/>
        <v>29673.5</v>
      </c>
      <c r="S2925" s="2" t="str">
        <f t="shared" si="412"/>
        <v xml:space="preserve"> Not Achieved</v>
      </c>
      <c r="T2925" s="2" t="str">
        <f t="shared" si="413"/>
        <v>Good</v>
      </c>
      <c r="U2925" s="2"/>
    </row>
    <row r="2926" spans="1:21" x14ac:dyDescent="0.3">
      <c r="A2926">
        <v>2925</v>
      </c>
      <c r="B2926" t="s">
        <v>4013</v>
      </c>
      <c r="C2926" t="str">
        <f t="shared" si="405"/>
        <v>EMP_2925</v>
      </c>
      <c r="D2926" t="s">
        <v>15</v>
      </c>
      <c r="E2926" t="str">
        <f t="shared" si="406"/>
        <v>EMP_2925IT</v>
      </c>
      <c r="F2926" t="s">
        <v>21</v>
      </c>
      <c r="G2926" t="s">
        <v>22</v>
      </c>
      <c r="H2926">
        <v>58342</v>
      </c>
      <c r="I2926">
        <v>6960</v>
      </c>
      <c r="J2926">
        <v>0</v>
      </c>
      <c r="K2926">
        <v>0</v>
      </c>
      <c r="L2926" s="4">
        <v>45242</v>
      </c>
      <c r="M2926" s="4" t="str">
        <f t="shared" si="407"/>
        <v>2023</v>
      </c>
      <c r="N2926" s="1">
        <f t="shared" ca="1" si="408"/>
        <v>46064</v>
      </c>
      <c r="O2926" s="6">
        <f t="shared" ca="1" si="409"/>
        <v>2</v>
      </c>
      <c r="P2926">
        <v>1</v>
      </c>
      <c r="Q2926">
        <f t="shared" si="410"/>
        <v>65302</v>
      </c>
      <c r="R2926" s="2">
        <f t="shared" si="411"/>
        <v>32651</v>
      </c>
      <c r="S2926" s="2" t="str">
        <f t="shared" si="412"/>
        <v xml:space="preserve"> Not Achieved</v>
      </c>
      <c r="T2926" s="2" t="str">
        <f t="shared" si="413"/>
        <v xml:space="preserve"> Excellent</v>
      </c>
      <c r="U2926" s="2"/>
    </row>
    <row r="2927" spans="1:21" x14ac:dyDescent="0.3">
      <c r="A2927">
        <v>2926</v>
      </c>
      <c r="B2927" t="s">
        <v>4014</v>
      </c>
      <c r="C2927" t="str">
        <f t="shared" si="405"/>
        <v>EMP_2926</v>
      </c>
      <c r="D2927" t="s">
        <v>15</v>
      </c>
      <c r="E2927" t="str">
        <f t="shared" si="406"/>
        <v>EMP_2926HR</v>
      </c>
      <c r="F2927" t="s">
        <v>12</v>
      </c>
      <c r="G2927" t="s">
        <v>19</v>
      </c>
      <c r="H2927">
        <v>68925</v>
      </c>
      <c r="I2927">
        <v>5080</v>
      </c>
      <c r="J2927">
        <v>0</v>
      </c>
      <c r="K2927">
        <v>0</v>
      </c>
      <c r="L2927" s="4" t="s">
        <v>2749</v>
      </c>
      <c r="M2927" s="4" t="str">
        <f t="shared" si="407"/>
        <v>8/16/2022</v>
      </c>
      <c r="N2927" s="1">
        <f t="shared" ca="1" si="408"/>
        <v>46064</v>
      </c>
      <c r="O2927" s="6" t="e">
        <f t="shared" ca="1" si="409"/>
        <v>#VALUE!</v>
      </c>
      <c r="P2927">
        <v>1</v>
      </c>
      <c r="Q2927">
        <f t="shared" si="410"/>
        <v>74005</v>
      </c>
      <c r="R2927" s="2">
        <f t="shared" si="411"/>
        <v>37002.5</v>
      </c>
      <c r="S2927" s="2" t="str">
        <f t="shared" si="412"/>
        <v xml:space="preserve"> Not Achieved</v>
      </c>
      <c r="T2927" s="2" t="str">
        <f t="shared" si="413"/>
        <v xml:space="preserve"> Excellent</v>
      </c>
      <c r="U2927" s="2"/>
    </row>
    <row r="2928" spans="1:21" x14ac:dyDescent="0.3">
      <c r="A2928">
        <v>2927</v>
      </c>
      <c r="B2928" t="s">
        <v>4015</v>
      </c>
      <c r="C2928" t="str">
        <f t="shared" si="405"/>
        <v>EMP_2927</v>
      </c>
      <c r="D2928" t="s">
        <v>15</v>
      </c>
      <c r="E2928" t="str">
        <f t="shared" si="406"/>
        <v>EMP_2927Marketing</v>
      </c>
      <c r="F2928" t="s">
        <v>24</v>
      </c>
      <c r="G2928" t="s">
        <v>19</v>
      </c>
      <c r="H2928">
        <v>23290</v>
      </c>
      <c r="I2928">
        <v>10807</v>
      </c>
      <c r="J2928">
        <v>0</v>
      </c>
      <c r="K2928">
        <v>0</v>
      </c>
      <c r="L2928" s="4" t="s">
        <v>3847</v>
      </c>
      <c r="M2928" s="4" t="str">
        <f t="shared" si="407"/>
        <v>1/18/2022</v>
      </c>
      <c r="N2928" s="1">
        <f t="shared" ca="1" si="408"/>
        <v>46064</v>
      </c>
      <c r="O2928" s="6" t="e">
        <f t="shared" ca="1" si="409"/>
        <v>#VALUE!</v>
      </c>
      <c r="P2928">
        <v>5</v>
      </c>
      <c r="Q2928">
        <f t="shared" si="410"/>
        <v>34097</v>
      </c>
      <c r="R2928" s="2">
        <f t="shared" si="411"/>
        <v>17048.5</v>
      </c>
      <c r="S2928" s="2" t="str">
        <f t="shared" si="412"/>
        <v xml:space="preserve"> Not Achieved</v>
      </c>
      <c r="T2928" s="2" t="str">
        <f t="shared" si="413"/>
        <v>poor</v>
      </c>
      <c r="U2928" s="2"/>
    </row>
    <row r="2929" spans="1:21" x14ac:dyDescent="0.3">
      <c r="A2929">
        <v>2928</v>
      </c>
      <c r="B2929" t="s">
        <v>4016</v>
      </c>
      <c r="C2929" t="str">
        <f t="shared" si="405"/>
        <v>EMP_2928</v>
      </c>
      <c r="D2929" t="s">
        <v>15</v>
      </c>
      <c r="E2929" t="str">
        <f t="shared" si="406"/>
        <v>EMP_2928IT</v>
      </c>
      <c r="F2929" t="s">
        <v>21</v>
      </c>
      <c r="G2929" t="s">
        <v>25</v>
      </c>
      <c r="H2929">
        <v>74047</v>
      </c>
      <c r="I2929">
        <v>5838</v>
      </c>
      <c r="J2929">
        <v>0</v>
      </c>
      <c r="K2929">
        <v>0</v>
      </c>
      <c r="L2929" s="4">
        <v>44779</v>
      </c>
      <c r="M2929" s="4" t="str">
        <f t="shared" si="407"/>
        <v>2022</v>
      </c>
      <c r="N2929" s="1">
        <f t="shared" ca="1" si="408"/>
        <v>46064</v>
      </c>
      <c r="O2929" s="6">
        <f t="shared" ca="1" si="409"/>
        <v>3</v>
      </c>
      <c r="P2929">
        <v>1</v>
      </c>
      <c r="Q2929">
        <f t="shared" si="410"/>
        <v>79885</v>
      </c>
      <c r="R2929" s="2">
        <f t="shared" si="411"/>
        <v>39942.5</v>
      </c>
      <c r="S2929" s="2" t="str">
        <f t="shared" si="412"/>
        <v xml:space="preserve"> Not Achieved</v>
      </c>
      <c r="T2929" s="2" t="str">
        <f t="shared" si="413"/>
        <v xml:space="preserve"> Excellent</v>
      </c>
      <c r="U2929" s="2"/>
    </row>
    <row r="2930" spans="1:21" x14ac:dyDescent="0.3">
      <c r="A2930">
        <v>2929</v>
      </c>
      <c r="B2930" t="s">
        <v>4017</v>
      </c>
      <c r="C2930" t="str">
        <f t="shared" si="405"/>
        <v>EMP_2929</v>
      </c>
      <c r="D2930" t="s">
        <v>15</v>
      </c>
      <c r="E2930" t="str">
        <f t="shared" si="406"/>
        <v>EMP_2929Finance</v>
      </c>
      <c r="F2930" t="s">
        <v>18</v>
      </c>
      <c r="G2930" t="s">
        <v>13</v>
      </c>
      <c r="H2930">
        <v>43611</v>
      </c>
      <c r="I2930">
        <v>7412</v>
      </c>
      <c r="J2930">
        <v>0</v>
      </c>
      <c r="K2930">
        <v>0</v>
      </c>
      <c r="L2930" s="4" t="s">
        <v>4018</v>
      </c>
      <c r="M2930" s="4" t="str">
        <f t="shared" si="407"/>
        <v>6/24/2018</v>
      </c>
      <c r="N2930" s="1">
        <f t="shared" ca="1" si="408"/>
        <v>46064</v>
      </c>
      <c r="O2930" s="6" t="e">
        <f t="shared" ca="1" si="409"/>
        <v>#VALUE!</v>
      </c>
      <c r="P2930">
        <v>3</v>
      </c>
      <c r="Q2930">
        <f t="shared" si="410"/>
        <v>51023</v>
      </c>
      <c r="R2930" s="2">
        <f t="shared" si="411"/>
        <v>25511.5</v>
      </c>
      <c r="S2930" s="2" t="str">
        <f t="shared" si="412"/>
        <v xml:space="preserve"> Not Achieved</v>
      </c>
      <c r="T2930" s="2" t="str">
        <f t="shared" si="413"/>
        <v>Good</v>
      </c>
      <c r="U2930" s="2"/>
    </row>
    <row r="2931" spans="1:21" x14ac:dyDescent="0.3">
      <c r="A2931">
        <v>2930</v>
      </c>
      <c r="B2931" t="s">
        <v>4019</v>
      </c>
      <c r="C2931" t="str">
        <f t="shared" si="405"/>
        <v>EMP_2930</v>
      </c>
      <c r="D2931" t="s">
        <v>11</v>
      </c>
      <c r="E2931" t="str">
        <f t="shared" si="406"/>
        <v>EMP_2930IT</v>
      </c>
      <c r="F2931" t="s">
        <v>21</v>
      </c>
      <c r="G2931" t="s">
        <v>22</v>
      </c>
      <c r="H2931">
        <v>36376</v>
      </c>
      <c r="I2931">
        <v>7474</v>
      </c>
      <c r="J2931">
        <v>0</v>
      </c>
      <c r="K2931">
        <v>0</v>
      </c>
      <c r="L2931" s="4" t="s">
        <v>2323</v>
      </c>
      <c r="M2931" s="4" t="str">
        <f t="shared" si="407"/>
        <v>6/13/2024</v>
      </c>
      <c r="N2931" s="1">
        <f t="shared" ca="1" si="408"/>
        <v>46064</v>
      </c>
      <c r="O2931" s="6" t="e">
        <f t="shared" ca="1" si="409"/>
        <v>#VALUE!</v>
      </c>
      <c r="P2931">
        <v>4</v>
      </c>
      <c r="Q2931">
        <f t="shared" si="410"/>
        <v>43850</v>
      </c>
      <c r="R2931" s="2">
        <f t="shared" si="411"/>
        <v>21925</v>
      </c>
      <c r="S2931" s="2" t="str">
        <f t="shared" si="412"/>
        <v xml:space="preserve"> Not Achieved</v>
      </c>
      <c r="T2931" s="2" t="str">
        <f t="shared" si="413"/>
        <v>Average</v>
      </c>
      <c r="U2931" s="2"/>
    </row>
    <row r="2932" spans="1:21" x14ac:dyDescent="0.3">
      <c r="A2932">
        <v>2931</v>
      </c>
      <c r="B2932" t="s">
        <v>4020</v>
      </c>
      <c r="C2932" t="str">
        <f t="shared" si="405"/>
        <v>EMP_2931</v>
      </c>
      <c r="D2932" t="s">
        <v>15</v>
      </c>
      <c r="E2932" t="str">
        <f t="shared" si="406"/>
        <v>EMP_2931Sales</v>
      </c>
      <c r="F2932" t="s">
        <v>7</v>
      </c>
      <c r="G2932" t="s">
        <v>13</v>
      </c>
      <c r="H2932">
        <v>76880</v>
      </c>
      <c r="I2932">
        <v>14501</v>
      </c>
      <c r="J2932">
        <v>168929</v>
      </c>
      <c r="K2932">
        <v>232845</v>
      </c>
      <c r="L2932" s="4" t="s">
        <v>1590</v>
      </c>
      <c r="M2932" s="4" t="str">
        <f t="shared" si="407"/>
        <v>8/26/2021</v>
      </c>
      <c r="N2932" s="1">
        <f t="shared" ca="1" si="408"/>
        <v>46064</v>
      </c>
      <c r="O2932" s="6" t="e">
        <f t="shared" ca="1" si="409"/>
        <v>#VALUE!</v>
      </c>
      <c r="P2932">
        <v>5</v>
      </c>
      <c r="Q2932">
        <f t="shared" si="410"/>
        <v>91381</v>
      </c>
      <c r="R2932" s="2">
        <f t="shared" si="411"/>
        <v>45690.5</v>
      </c>
      <c r="S2932" s="2" t="str">
        <f t="shared" si="412"/>
        <v xml:space="preserve"> Not Achieved</v>
      </c>
      <c r="T2932" s="2" t="str">
        <f t="shared" si="413"/>
        <v xml:space="preserve"> Excellent</v>
      </c>
      <c r="U2932" s="2"/>
    </row>
    <row r="2933" spans="1:21" x14ac:dyDescent="0.3">
      <c r="A2933">
        <v>2932</v>
      </c>
      <c r="B2933" t="s">
        <v>4021</v>
      </c>
      <c r="C2933" t="str">
        <f t="shared" si="405"/>
        <v>EMP_2932</v>
      </c>
      <c r="D2933" t="s">
        <v>11</v>
      </c>
      <c r="E2933" t="str">
        <f t="shared" si="406"/>
        <v>EMP_2932IT</v>
      </c>
      <c r="F2933" t="s">
        <v>21</v>
      </c>
      <c r="G2933" t="s">
        <v>22</v>
      </c>
      <c r="H2933">
        <v>75424</v>
      </c>
      <c r="I2933">
        <v>4649</v>
      </c>
      <c r="J2933">
        <v>0</v>
      </c>
      <c r="K2933">
        <v>0</v>
      </c>
      <c r="L2933" s="4">
        <v>44713</v>
      </c>
      <c r="M2933" s="4" t="str">
        <f t="shared" si="407"/>
        <v>2022</v>
      </c>
      <c r="N2933" s="1">
        <f t="shared" ca="1" si="408"/>
        <v>46064</v>
      </c>
      <c r="O2933" s="6">
        <f t="shared" ca="1" si="409"/>
        <v>3</v>
      </c>
      <c r="P2933">
        <v>1</v>
      </c>
      <c r="Q2933">
        <f t="shared" si="410"/>
        <v>80073</v>
      </c>
      <c r="R2933" s="2">
        <f t="shared" si="411"/>
        <v>40036.5</v>
      </c>
      <c r="S2933" s="2" t="str">
        <f t="shared" si="412"/>
        <v xml:space="preserve"> Not Achieved</v>
      </c>
      <c r="T2933" s="2" t="str">
        <f t="shared" si="413"/>
        <v xml:space="preserve"> Excellent</v>
      </c>
      <c r="U2933" s="2"/>
    </row>
    <row r="2934" spans="1:21" x14ac:dyDescent="0.3">
      <c r="A2934">
        <v>2933</v>
      </c>
      <c r="B2934" t="s">
        <v>4022</v>
      </c>
      <c r="C2934" t="str">
        <f t="shared" si="405"/>
        <v>EMP_2933</v>
      </c>
      <c r="D2934" t="s">
        <v>11</v>
      </c>
      <c r="E2934" t="str">
        <f t="shared" si="406"/>
        <v>EMP_2933Marketing</v>
      </c>
      <c r="F2934" t="s">
        <v>24</v>
      </c>
      <c r="G2934" t="s">
        <v>22</v>
      </c>
      <c r="H2934">
        <v>51752</v>
      </c>
      <c r="I2934">
        <v>4041</v>
      </c>
      <c r="J2934">
        <v>0</v>
      </c>
      <c r="K2934">
        <v>0</v>
      </c>
      <c r="L2934" s="4">
        <v>45637</v>
      </c>
      <c r="M2934" s="4" t="str">
        <f t="shared" si="407"/>
        <v>2024</v>
      </c>
      <c r="N2934" s="1">
        <f t="shared" ca="1" si="408"/>
        <v>46064</v>
      </c>
      <c r="O2934" s="6">
        <f t="shared" ca="1" si="409"/>
        <v>1</v>
      </c>
      <c r="P2934">
        <v>1</v>
      </c>
      <c r="Q2934">
        <f t="shared" si="410"/>
        <v>55793</v>
      </c>
      <c r="R2934" s="2">
        <f t="shared" si="411"/>
        <v>27896.5</v>
      </c>
      <c r="S2934" s="2" t="str">
        <f t="shared" si="412"/>
        <v xml:space="preserve"> Not Achieved</v>
      </c>
      <c r="T2934" s="2" t="str">
        <f t="shared" si="413"/>
        <v xml:space="preserve"> Excellent</v>
      </c>
      <c r="U2934" s="2"/>
    </row>
    <row r="2935" spans="1:21" x14ac:dyDescent="0.3">
      <c r="A2935">
        <v>2934</v>
      </c>
      <c r="B2935" t="s">
        <v>4023</v>
      </c>
      <c r="C2935" t="str">
        <f t="shared" si="405"/>
        <v>EMP_2934</v>
      </c>
      <c r="D2935" t="s">
        <v>15</v>
      </c>
      <c r="E2935" t="str">
        <f t="shared" si="406"/>
        <v>EMP_2934Marketing</v>
      </c>
      <c r="F2935" t="s">
        <v>24</v>
      </c>
      <c r="G2935" t="s">
        <v>22</v>
      </c>
      <c r="H2935">
        <v>27011</v>
      </c>
      <c r="I2935">
        <v>10227</v>
      </c>
      <c r="J2935">
        <v>0</v>
      </c>
      <c r="K2935">
        <v>0</v>
      </c>
      <c r="L2935" s="4" t="s">
        <v>3875</v>
      </c>
      <c r="M2935" s="4" t="str">
        <f t="shared" si="407"/>
        <v>7/30/2018</v>
      </c>
      <c r="N2935" s="1">
        <f t="shared" ca="1" si="408"/>
        <v>46064</v>
      </c>
      <c r="O2935" s="6" t="e">
        <f t="shared" ca="1" si="409"/>
        <v>#VALUE!</v>
      </c>
      <c r="P2935">
        <v>4</v>
      </c>
      <c r="Q2935">
        <f t="shared" si="410"/>
        <v>37238</v>
      </c>
      <c r="R2935" s="2">
        <f t="shared" si="411"/>
        <v>18619</v>
      </c>
      <c r="S2935" s="2" t="str">
        <f t="shared" si="412"/>
        <v xml:space="preserve"> Not Achieved</v>
      </c>
      <c r="T2935" s="2" t="str">
        <f t="shared" si="413"/>
        <v>poor</v>
      </c>
      <c r="U2935" s="2"/>
    </row>
    <row r="2936" spans="1:21" x14ac:dyDescent="0.3">
      <c r="A2936">
        <v>2935</v>
      </c>
      <c r="B2936" t="s">
        <v>4024</v>
      </c>
      <c r="C2936" t="str">
        <f t="shared" si="405"/>
        <v>EMP_2935</v>
      </c>
      <c r="D2936" t="s">
        <v>15</v>
      </c>
      <c r="E2936" t="str">
        <f t="shared" si="406"/>
        <v>EMP_2935HR</v>
      </c>
      <c r="F2936" t="s">
        <v>12</v>
      </c>
      <c r="G2936" t="s">
        <v>13</v>
      </c>
      <c r="H2936">
        <v>44753</v>
      </c>
      <c r="I2936">
        <v>11644</v>
      </c>
      <c r="J2936">
        <v>0</v>
      </c>
      <c r="K2936">
        <v>0</v>
      </c>
      <c r="L2936" s="4" t="s">
        <v>3506</v>
      </c>
      <c r="M2936" s="4" t="str">
        <f t="shared" si="407"/>
        <v>9/21/2021</v>
      </c>
      <c r="N2936" s="1">
        <f t="shared" ca="1" si="408"/>
        <v>46064</v>
      </c>
      <c r="O2936" s="6" t="e">
        <f t="shared" ca="1" si="409"/>
        <v>#VALUE!</v>
      </c>
      <c r="P2936">
        <v>2</v>
      </c>
      <c r="Q2936">
        <f t="shared" si="410"/>
        <v>56397</v>
      </c>
      <c r="R2936" s="2">
        <f t="shared" si="411"/>
        <v>28198.5</v>
      </c>
      <c r="S2936" s="2" t="str">
        <f t="shared" si="412"/>
        <v xml:space="preserve"> Not Achieved</v>
      </c>
      <c r="T2936" s="2" t="str">
        <f t="shared" si="413"/>
        <v>Good</v>
      </c>
      <c r="U2936" s="2"/>
    </row>
    <row r="2937" spans="1:21" x14ac:dyDescent="0.3">
      <c r="A2937">
        <v>2936</v>
      </c>
      <c r="B2937" t="s">
        <v>4025</v>
      </c>
      <c r="C2937" t="str">
        <f t="shared" si="405"/>
        <v>EMP_2936</v>
      </c>
      <c r="D2937" t="s">
        <v>11</v>
      </c>
      <c r="E2937" t="str">
        <f t="shared" si="406"/>
        <v>EMP_2936IT</v>
      </c>
      <c r="F2937" t="s">
        <v>21</v>
      </c>
      <c r="G2937" t="s">
        <v>13</v>
      </c>
      <c r="H2937">
        <v>56957</v>
      </c>
      <c r="I2937">
        <v>2675</v>
      </c>
      <c r="J2937">
        <v>0</v>
      </c>
      <c r="K2937">
        <v>0</v>
      </c>
      <c r="L2937" s="4" t="s">
        <v>3561</v>
      </c>
      <c r="M2937" s="4" t="str">
        <f t="shared" si="407"/>
        <v>6/28/2023</v>
      </c>
      <c r="N2937" s="1">
        <f t="shared" ca="1" si="408"/>
        <v>46064</v>
      </c>
      <c r="O2937" s="6" t="e">
        <f t="shared" ca="1" si="409"/>
        <v>#VALUE!</v>
      </c>
      <c r="P2937">
        <v>2</v>
      </c>
      <c r="Q2937">
        <f t="shared" si="410"/>
        <v>59632</v>
      </c>
      <c r="R2937" s="2">
        <f t="shared" si="411"/>
        <v>29816</v>
      </c>
      <c r="S2937" s="2" t="str">
        <f t="shared" si="412"/>
        <v xml:space="preserve"> Not Achieved</v>
      </c>
      <c r="T2937" s="2" t="str">
        <f t="shared" si="413"/>
        <v xml:space="preserve"> Excellent</v>
      </c>
      <c r="U2937" s="2"/>
    </row>
    <row r="2938" spans="1:21" x14ac:dyDescent="0.3">
      <c r="A2938">
        <v>2937</v>
      </c>
      <c r="B2938" t="s">
        <v>4026</v>
      </c>
      <c r="C2938" t="str">
        <f t="shared" si="405"/>
        <v>EMP_2937</v>
      </c>
      <c r="D2938" t="s">
        <v>15</v>
      </c>
      <c r="E2938" t="str">
        <f t="shared" si="406"/>
        <v>EMP_2937HR</v>
      </c>
      <c r="F2938" t="s">
        <v>12</v>
      </c>
      <c r="G2938" t="s">
        <v>16</v>
      </c>
      <c r="H2938">
        <v>60501</v>
      </c>
      <c r="I2938">
        <v>10827</v>
      </c>
      <c r="J2938">
        <v>0</v>
      </c>
      <c r="K2938">
        <v>0</v>
      </c>
      <c r="L2938" s="4" t="s">
        <v>287</v>
      </c>
      <c r="M2938" s="4" t="str">
        <f t="shared" si="407"/>
        <v>1/30/2018</v>
      </c>
      <c r="N2938" s="1">
        <f t="shared" ca="1" si="408"/>
        <v>46064</v>
      </c>
      <c r="O2938" s="6" t="e">
        <f t="shared" ca="1" si="409"/>
        <v>#VALUE!</v>
      </c>
      <c r="P2938">
        <v>2</v>
      </c>
      <c r="Q2938">
        <f t="shared" si="410"/>
        <v>71328</v>
      </c>
      <c r="R2938" s="2">
        <f t="shared" si="411"/>
        <v>35664</v>
      </c>
      <c r="S2938" s="2" t="str">
        <f t="shared" si="412"/>
        <v xml:space="preserve"> Not Achieved</v>
      </c>
      <c r="T2938" s="2" t="str">
        <f t="shared" si="413"/>
        <v xml:space="preserve"> Excellent</v>
      </c>
      <c r="U2938" s="2"/>
    </row>
    <row r="2939" spans="1:21" x14ac:dyDescent="0.3">
      <c r="A2939">
        <v>2938</v>
      </c>
      <c r="B2939" t="s">
        <v>4027</v>
      </c>
      <c r="C2939" t="str">
        <f t="shared" si="405"/>
        <v>EMP_2938</v>
      </c>
      <c r="D2939" t="s">
        <v>11</v>
      </c>
      <c r="E2939" t="str">
        <f t="shared" si="406"/>
        <v>EMP_2938Sales</v>
      </c>
      <c r="F2939" t="s">
        <v>7</v>
      </c>
      <c r="G2939" t="s">
        <v>16</v>
      </c>
      <c r="H2939">
        <v>74073</v>
      </c>
      <c r="I2939">
        <v>2778</v>
      </c>
      <c r="J2939">
        <v>145350</v>
      </c>
      <c r="K2939">
        <v>115686</v>
      </c>
      <c r="L2939" s="4" t="s">
        <v>4028</v>
      </c>
      <c r="M2939" s="4" t="str">
        <f t="shared" si="407"/>
        <v>5/16/2018</v>
      </c>
      <c r="N2939" s="1">
        <f t="shared" ca="1" si="408"/>
        <v>46064</v>
      </c>
      <c r="O2939" s="6" t="e">
        <f t="shared" ca="1" si="409"/>
        <v>#VALUE!</v>
      </c>
      <c r="P2939">
        <v>3</v>
      </c>
      <c r="Q2939">
        <f t="shared" si="410"/>
        <v>76851</v>
      </c>
      <c r="R2939" s="2">
        <f t="shared" si="411"/>
        <v>38425.5</v>
      </c>
      <c r="S2939" s="2" t="str">
        <f t="shared" si="412"/>
        <v>Achieved</v>
      </c>
      <c r="T2939" s="2" t="str">
        <f t="shared" si="413"/>
        <v xml:space="preserve"> Excellent</v>
      </c>
      <c r="U2939" s="2"/>
    </row>
    <row r="2940" spans="1:21" x14ac:dyDescent="0.3">
      <c r="A2940">
        <v>2939</v>
      </c>
      <c r="B2940" t="s">
        <v>4029</v>
      </c>
      <c r="C2940" t="str">
        <f t="shared" si="405"/>
        <v>EMP_2939</v>
      </c>
      <c r="D2940" t="s">
        <v>15</v>
      </c>
      <c r="E2940" t="str">
        <f t="shared" si="406"/>
        <v>EMP_2939Sales</v>
      </c>
      <c r="F2940" t="s">
        <v>7</v>
      </c>
      <c r="G2940" t="s">
        <v>13</v>
      </c>
      <c r="H2940">
        <v>47135</v>
      </c>
      <c r="I2940">
        <v>10445</v>
      </c>
      <c r="J2940">
        <v>186489</v>
      </c>
      <c r="K2940">
        <v>170227</v>
      </c>
      <c r="L2940" s="4">
        <v>45482</v>
      </c>
      <c r="M2940" s="4" t="str">
        <f t="shared" si="407"/>
        <v>2024</v>
      </c>
      <c r="N2940" s="1">
        <f t="shared" ca="1" si="408"/>
        <v>46064</v>
      </c>
      <c r="O2940" s="6">
        <f t="shared" ca="1" si="409"/>
        <v>1</v>
      </c>
      <c r="P2940">
        <v>2</v>
      </c>
      <c r="Q2940">
        <f t="shared" si="410"/>
        <v>57580</v>
      </c>
      <c r="R2940" s="2">
        <f t="shared" si="411"/>
        <v>28790</v>
      </c>
      <c r="S2940" s="2" t="str">
        <f t="shared" si="412"/>
        <v>Achieved</v>
      </c>
      <c r="T2940" s="2" t="str">
        <f t="shared" si="413"/>
        <v>Good</v>
      </c>
      <c r="U2940" s="2"/>
    </row>
    <row r="2941" spans="1:21" x14ac:dyDescent="0.3">
      <c r="A2941">
        <v>2940</v>
      </c>
      <c r="B2941" t="s">
        <v>4030</v>
      </c>
      <c r="C2941" t="str">
        <f t="shared" si="405"/>
        <v>EMP_2940</v>
      </c>
      <c r="D2941" t="s">
        <v>11</v>
      </c>
      <c r="E2941" t="str">
        <f t="shared" si="406"/>
        <v>EMP_2940Marketing</v>
      </c>
      <c r="F2941" t="s">
        <v>24</v>
      </c>
      <c r="G2941" t="s">
        <v>25</v>
      </c>
      <c r="H2941">
        <v>66999</v>
      </c>
      <c r="I2941">
        <v>8938</v>
      </c>
      <c r="J2941">
        <v>0</v>
      </c>
      <c r="K2941">
        <v>0</v>
      </c>
      <c r="L2941" s="4" t="s">
        <v>1178</v>
      </c>
      <c r="M2941" s="4" t="str">
        <f t="shared" si="407"/>
        <v>5/28/2019</v>
      </c>
      <c r="N2941" s="1">
        <f t="shared" ca="1" si="408"/>
        <v>46064</v>
      </c>
      <c r="O2941" s="6" t="e">
        <f t="shared" ca="1" si="409"/>
        <v>#VALUE!</v>
      </c>
      <c r="P2941">
        <v>1</v>
      </c>
      <c r="Q2941">
        <f t="shared" si="410"/>
        <v>75937</v>
      </c>
      <c r="R2941" s="2">
        <f t="shared" si="411"/>
        <v>37968.5</v>
      </c>
      <c r="S2941" s="2" t="str">
        <f t="shared" si="412"/>
        <v xml:space="preserve"> Not Achieved</v>
      </c>
      <c r="T2941" s="2" t="str">
        <f t="shared" si="413"/>
        <v xml:space="preserve"> Excellent</v>
      </c>
      <c r="U2941" s="2"/>
    </row>
    <row r="2942" spans="1:21" x14ac:dyDescent="0.3">
      <c r="A2942">
        <v>2941</v>
      </c>
      <c r="B2942" t="s">
        <v>4031</v>
      </c>
      <c r="C2942" t="str">
        <f t="shared" si="405"/>
        <v>EMP_2941</v>
      </c>
      <c r="D2942" t="s">
        <v>15</v>
      </c>
      <c r="E2942" t="str">
        <f t="shared" si="406"/>
        <v>EMP_2941HR</v>
      </c>
      <c r="F2942" t="s">
        <v>12</v>
      </c>
      <c r="G2942" t="s">
        <v>16</v>
      </c>
      <c r="H2942">
        <v>36259</v>
      </c>
      <c r="I2942">
        <v>6977</v>
      </c>
      <c r="J2942">
        <v>0</v>
      </c>
      <c r="K2942">
        <v>0</v>
      </c>
      <c r="L2942" s="4" t="s">
        <v>2059</v>
      </c>
      <c r="M2942" s="4" t="str">
        <f t="shared" si="407"/>
        <v>12/31/2019</v>
      </c>
      <c r="N2942" s="1">
        <f t="shared" ca="1" si="408"/>
        <v>46064</v>
      </c>
      <c r="O2942" s="6" t="e">
        <f t="shared" ca="1" si="409"/>
        <v>#VALUE!</v>
      </c>
      <c r="P2942">
        <v>1</v>
      </c>
      <c r="Q2942">
        <f t="shared" si="410"/>
        <v>43236</v>
      </c>
      <c r="R2942" s="2">
        <f t="shared" si="411"/>
        <v>21618</v>
      </c>
      <c r="S2942" s="2" t="str">
        <f t="shared" si="412"/>
        <v xml:space="preserve"> Not Achieved</v>
      </c>
      <c r="T2942" s="2" t="str">
        <f t="shared" si="413"/>
        <v>Average</v>
      </c>
      <c r="U2942" s="2"/>
    </row>
    <row r="2943" spans="1:21" x14ac:dyDescent="0.3">
      <c r="A2943">
        <v>2942</v>
      </c>
      <c r="B2943" t="s">
        <v>4032</v>
      </c>
      <c r="C2943" t="str">
        <f t="shared" si="405"/>
        <v>EMP_2942</v>
      </c>
      <c r="D2943" t="s">
        <v>15</v>
      </c>
      <c r="E2943" t="str">
        <f t="shared" si="406"/>
        <v>EMP_2942IT</v>
      </c>
      <c r="F2943" t="s">
        <v>21</v>
      </c>
      <c r="G2943" t="s">
        <v>16</v>
      </c>
      <c r="H2943">
        <v>76895</v>
      </c>
      <c r="I2943">
        <v>7431</v>
      </c>
      <c r="J2943">
        <v>0</v>
      </c>
      <c r="K2943">
        <v>0</v>
      </c>
      <c r="L2943" s="4" t="s">
        <v>2731</v>
      </c>
      <c r="M2943" s="4" t="str">
        <f t="shared" si="407"/>
        <v>12/15/2018</v>
      </c>
      <c r="N2943" s="1">
        <f t="shared" ca="1" si="408"/>
        <v>46064</v>
      </c>
      <c r="O2943" s="6" t="e">
        <f t="shared" ca="1" si="409"/>
        <v>#VALUE!</v>
      </c>
      <c r="P2943">
        <v>3</v>
      </c>
      <c r="Q2943">
        <f t="shared" si="410"/>
        <v>84326</v>
      </c>
      <c r="R2943" s="2">
        <f t="shared" si="411"/>
        <v>42163</v>
      </c>
      <c r="S2943" s="2" t="str">
        <f t="shared" si="412"/>
        <v xml:space="preserve"> Not Achieved</v>
      </c>
      <c r="T2943" s="2" t="str">
        <f t="shared" si="413"/>
        <v xml:space="preserve"> Excellent</v>
      </c>
      <c r="U2943" s="2"/>
    </row>
    <row r="2944" spans="1:21" x14ac:dyDescent="0.3">
      <c r="A2944">
        <v>2943</v>
      </c>
      <c r="B2944" t="s">
        <v>4033</v>
      </c>
      <c r="C2944" t="str">
        <f t="shared" si="405"/>
        <v>EMP_2943</v>
      </c>
      <c r="D2944" t="s">
        <v>11</v>
      </c>
      <c r="E2944" t="str">
        <f t="shared" si="406"/>
        <v>EMP_2943Marketing</v>
      </c>
      <c r="F2944" t="s">
        <v>24</v>
      </c>
      <c r="G2944" t="s">
        <v>13</v>
      </c>
      <c r="H2944">
        <v>34428</v>
      </c>
      <c r="I2944">
        <v>7090</v>
      </c>
      <c r="J2944">
        <v>0</v>
      </c>
      <c r="K2944">
        <v>0</v>
      </c>
      <c r="L2944" s="4" t="s">
        <v>4034</v>
      </c>
      <c r="M2944" s="4" t="str">
        <f t="shared" si="407"/>
        <v>5/14/2018</v>
      </c>
      <c r="N2944" s="1">
        <f t="shared" ca="1" si="408"/>
        <v>46064</v>
      </c>
      <c r="O2944" s="6" t="e">
        <f t="shared" ca="1" si="409"/>
        <v>#VALUE!</v>
      </c>
      <c r="P2944">
        <v>3</v>
      </c>
      <c r="Q2944">
        <f t="shared" si="410"/>
        <v>41518</v>
      </c>
      <c r="R2944" s="2">
        <f t="shared" si="411"/>
        <v>20759</v>
      </c>
      <c r="S2944" s="2" t="str">
        <f t="shared" si="412"/>
        <v xml:space="preserve"> Not Achieved</v>
      </c>
      <c r="T2944" s="2" t="str">
        <f t="shared" si="413"/>
        <v>Average</v>
      </c>
      <c r="U2944" s="2"/>
    </row>
    <row r="2945" spans="1:21" x14ac:dyDescent="0.3">
      <c r="A2945">
        <v>2944</v>
      </c>
      <c r="B2945" t="s">
        <v>4035</v>
      </c>
      <c r="C2945" t="str">
        <f t="shared" si="405"/>
        <v>EMP_2944</v>
      </c>
      <c r="D2945" t="s">
        <v>15</v>
      </c>
      <c r="E2945" t="str">
        <f t="shared" si="406"/>
        <v>EMP_2944Marketing</v>
      </c>
      <c r="F2945" t="s">
        <v>24</v>
      </c>
      <c r="G2945" t="s">
        <v>22</v>
      </c>
      <c r="H2945">
        <v>31467</v>
      </c>
      <c r="I2945">
        <v>14727</v>
      </c>
      <c r="J2945">
        <v>0</v>
      </c>
      <c r="K2945">
        <v>0</v>
      </c>
      <c r="L2945" s="4" t="s">
        <v>2535</v>
      </c>
      <c r="M2945" s="4" t="str">
        <f t="shared" si="407"/>
        <v>1/25/2020</v>
      </c>
      <c r="N2945" s="1">
        <f t="shared" ca="1" si="408"/>
        <v>46064</v>
      </c>
      <c r="O2945" s="6" t="e">
        <f t="shared" ca="1" si="409"/>
        <v>#VALUE!</v>
      </c>
      <c r="P2945">
        <v>4</v>
      </c>
      <c r="Q2945">
        <f t="shared" si="410"/>
        <v>46194</v>
      </c>
      <c r="R2945" s="2">
        <f t="shared" si="411"/>
        <v>23097</v>
      </c>
      <c r="S2945" s="2" t="str">
        <f t="shared" si="412"/>
        <v xml:space="preserve"> Not Achieved</v>
      </c>
      <c r="T2945" s="2" t="str">
        <f t="shared" si="413"/>
        <v>Average</v>
      </c>
      <c r="U2945" s="2"/>
    </row>
    <row r="2946" spans="1:21" x14ac:dyDescent="0.3">
      <c r="A2946">
        <v>2945</v>
      </c>
      <c r="B2946" t="s">
        <v>4036</v>
      </c>
      <c r="C2946" t="str">
        <f t="shared" si="405"/>
        <v>EMP_2945</v>
      </c>
      <c r="D2946" t="s">
        <v>15</v>
      </c>
      <c r="E2946" t="str">
        <f t="shared" si="406"/>
        <v>EMP_2945Marketing</v>
      </c>
      <c r="F2946" t="s">
        <v>24</v>
      </c>
      <c r="G2946" t="s">
        <v>16</v>
      </c>
      <c r="H2946">
        <v>20920</v>
      </c>
      <c r="I2946">
        <v>14524</v>
      </c>
      <c r="J2946">
        <v>0</v>
      </c>
      <c r="K2946">
        <v>0</v>
      </c>
      <c r="L2946" s="4" t="s">
        <v>2464</v>
      </c>
      <c r="M2946" s="4" t="str">
        <f t="shared" si="407"/>
        <v>4/22/2021</v>
      </c>
      <c r="N2946" s="1">
        <f t="shared" ca="1" si="408"/>
        <v>46064</v>
      </c>
      <c r="O2946" s="6" t="e">
        <f t="shared" ca="1" si="409"/>
        <v>#VALUE!</v>
      </c>
      <c r="P2946">
        <v>3</v>
      </c>
      <c r="Q2946">
        <f t="shared" si="410"/>
        <v>35444</v>
      </c>
      <c r="R2946" s="2">
        <f t="shared" si="411"/>
        <v>17722</v>
      </c>
      <c r="S2946" s="2" t="str">
        <f t="shared" si="412"/>
        <v xml:space="preserve"> Not Achieved</v>
      </c>
      <c r="T2946" s="2" t="str">
        <f t="shared" si="413"/>
        <v>poor</v>
      </c>
      <c r="U2946" s="2"/>
    </row>
    <row r="2947" spans="1:21" x14ac:dyDescent="0.3">
      <c r="A2947">
        <v>2946</v>
      </c>
      <c r="B2947" t="s">
        <v>4037</v>
      </c>
      <c r="C2947" t="str">
        <f t="shared" ref="C2947:C3001" si="414">UPPER(B2947)</f>
        <v>EMP_2946</v>
      </c>
      <c r="D2947" t="s">
        <v>15</v>
      </c>
      <c r="E2947" t="str">
        <f t="shared" ref="E2947:E3001" si="415">_xlfn.CONCAT(C2947,F2947)</f>
        <v>EMP_2946HR</v>
      </c>
      <c r="F2947" t="s">
        <v>12</v>
      </c>
      <c r="G2947" t="s">
        <v>13</v>
      </c>
      <c r="H2947">
        <v>78550</v>
      </c>
      <c r="I2947">
        <v>7503</v>
      </c>
      <c r="J2947">
        <v>0</v>
      </c>
      <c r="K2947">
        <v>0</v>
      </c>
      <c r="L2947" s="4" t="s">
        <v>1523</v>
      </c>
      <c r="M2947" s="4" t="str">
        <f t="shared" ref="M2947:M3001" si="416">TEXT(L2947,"yyyy")</f>
        <v>3/16/2023</v>
      </c>
      <c r="N2947" s="1">
        <f t="shared" ref="N2947:N3001" ca="1" si="417">TODAY()</f>
        <v>46064</v>
      </c>
      <c r="O2947" s="6" t="e">
        <f t="shared" ref="O2947:O3001" ca="1" si="418">DATEDIF(L2947, TODAY(), "y")</f>
        <v>#VALUE!</v>
      </c>
      <c r="P2947">
        <v>1</v>
      </c>
      <c r="Q2947">
        <f t="shared" ref="Q2947:Q3001" si="419">SUM(H2947,I2947)</f>
        <v>86053</v>
      </c>
      <c r="R2947" s="2">
        <f t="shared" ref="R2947:R3001" si="420">AVERAGE(H2947,I2947)</f>
        <v>43026.5</v>
      </c>
      <c r="S2947" s="2" t="str">
        <f t="shared" ref="S2947:S3001" si="421">IF(J2947&gt;K2947,"Achieved"," Not Achieved")</f>
        <v xml:space="preserve"> Not Achieved</v>
      </c>
      <c r="T2947" s="2" t="str">
        <f t="shared" ref="T2947:T3001" si="422">_xlfn.IFS(H2947&gt;=50000," Excellent",H2947&gt;=40000,"Good",H2947&gt;=30000,"Average",H2947&lt;30000,"poor")</f>
        <v xml:space="preserve"> Excellent</v>
      </c>
      <c r="U2947" s="2"/>
    </row>
    <row r="2948" spans="1:21" x14ac:dyDescent="0.3">
      <c r="A2948">
        <v>2947</v>
      </c>
      <c r="B2948" t="s">
        <v>4038</v>
      </c>
      <c r="C2948" t="str">
        <f t="shared" si="414"/>
        <v>EMP_2947</v>
      </c>
      <c r="D2948" t="s">
        <v>11</v>
      </c>
      <c r="E2948" t="str">
        <f t="shared" si="415"/>
        <v>EMP_2947IT</v>
      </c>
      <c r="F2948" t="s">
        <v>21</v>
      </c>
      <c r="G2948" t="s">
        <v>13</v>
      </c>
      <c r="H2948">
        <v>72856</v>
      </c>
      <c r="I2948">
        <v>3428</v>
      </c>
      <c r="J2948">
        <v>0</v>
      </c>
      <c r="K2948">
        <v>0</v>
      </c>
      <c r="L2948" s="4" t="s">
        <v>4039</v>
      </c>
      <c r="M2948" s="4" t="str">
        <f t="shared" si="416"/>
        <v>8/28/2023</v>
      </c>
      <c r="N2948" s="1">
        <f t="shared" ca="1" si="417"/>
        <v>46064</v>
      </c>
      <c r="O2948" s="6" t="e">
        <f t="shared" ca="1" si="418"/>
        <v>#VALUE!</v>
      </c>
      <c r="P2948">
        <v>5</v>
      </c>
      <c r="Q2948">
        <f t="shared" si="419"/>
        <v>76284</v>
      </c>
      <c r="R2948" s="2">
        <f t="shared" si="420"/>
        <v>38142</v>
      </c>
      <c r="S2948" s="2" t="str">
        <f t="shared" si="421"/>
        <v xml:space="preserve"> Not Achieved</v>
      </c>
      <c r="T2948" s="2" t="str">
        <f t="shared" si="422"/>
        <v xml:space="preserve"> Excellent</v>
      </c>
      <c r="U2948" s="2"/>
    </row>
    <row r="2949" spans="1:21" x14ac:dyDescent="0.3">
      <c r="A2949">
        <v>2948</v>
      </c>
      <c r="B2949" t="s">
        <v>4040</v>
      </c>
      <c r="C2949" t="str">
        <f t="shared" si="414"/>
        <v>EMP_2948</v>
      </c>
      <c r="D2949" t="s">
        <v>11</v>
      </c>
      <c r="E2949" t="str">
        <f t="shared" si="415"/>
        <v>EMP_2948Marketing</v>
      </c>
      <c r="F2949" t="s">
        <v>24</v>
      </c>
      <c r="G2949" t="s">
        <v>19</v>
      </c>
      <c r="H2949">
        <v>67457</v>
      </c>
      <c r="I2949">
        <v>6026</v>
      </c>
      <c r="J2949">
        <v>0</v>
      </c>
      <c r="K2949">
        <v>0</v>
      </c>
      <c r="L2949" s="4" t="s">
        <v>2301</v>
      </c>
      <c r="M2949" s="4" t="str">
        <f t="shared" si="416"/>
        <v>7/27/2019</v>
      </c>
      <c r="N2949" s="1">
        <f t="shared" ca="1" si="417"/>
        <v>46064</v>
      </c>
      <c r="O2949" s="6" t="e">
        <f t="shared" ca="1" si="418"/>
        <v>#VALUE!</v>
      </c>
      <c r="P2949">
        <v>2</v>
      </c>
      <c r="Q2949">
        <f t="shared" si="419"/>
        <v>73483</v>
      </c>
      <c r="R2949" s="2">
        <f t="shared" si="420"/>
        <v>36741.5</v>
      </c>
      <c r="S2949" s="2" t="str">
        <f t="shared" si="421"/>
        <v xml:space="preserve"> Not Achieved</v>
      </c>
      <c r="T2949" s="2" t="str">
        <f t="shared" si="422"/>
        <v xml:space="preserve"> Excellent</v>
      </c>
      <c r="U2949" s="2"/>
    </row>
    <row r="2950" spans="1:21" x14ac:dyDescent="0.3">
      <c r="A2950">
        <v>2949</v>
      </c>
      <c r="B2950" t="s">
        <v>4041</v>
      </c>
      <c r="C2950" t="str">
        <f t="shared" si="414"/>
        <v>EMP_2949</v>
      </c>
      <c r="D2950" t="s">
        <v>15</v>
      </c>
      <c r="E2950" t="str">
        <f t="shared" si="415"/>
        <v>EMP_2949Finance</v>
      </c>
      <c r="F2950" t="s">
        <v>18</v>
      </c>
      <c r="G2950" t="s">
        <v>16</v>
      </c>
      <c r="H2950">
        <v>57269</v>
      </c>
      <c r="I2950">
        <v>2024</v>
      </c>
      <c r="J2950">
        <v>0</v>
      </c>
      <c r="K2950">
        <v>0</v>
      </c>
      <c r="L2950" s="4" t="s">
        <v>1336</v>
      </c>
      <c r="M2950" s="4" t="str">
        <f t="shared" si="416"/>
        <v>7/18/2020</v>
      </c>
      <c r="N2950" s="1">
        <f t="shared" ca="1" si="417"/>
        <v>46064</v>
      </c>
      <c r="O2950" s="6" t="e">
        <f t="shared" ca="1" si="418"/>
        <v>#VALUE!</v>
      </c>
      <c r="P2950">
        <v>4</v>
      </c>
      <c r="Q2950">
        <f t="shared" si="419"/>
        <v>59293</v>
      </c>
      <c r="R2950" s="2">
        <f t="shared" si="420"/>
        <v>29646.5</v>
      </c>
      <c r="S2950" s="2" t="str">
        <f t="shared" si="421"/>
        <v xml:space="preserve"> Not Achieved</v>
      </c>
      <c r="T2950" s="2" t="str">
        <f t="shared" si="422"/>
        <v xml:space="preserve"> Excellent</v>
      </c>
      <c r="U2950" s="2"/>
    </row>
    <row r="2951" spans="1:21" x14ac:dyDescent="0.3">
      <c r="A2951">
        <v>2950</v>
      </c>
      <c r="B2951" t="s">
        <v>4042</v>
      </c>
      <c r="C2951" t="str">
        <f t="shared" si="414"/>
        <v>EMP_2950</v>
      </c>
      <c r="D2951" t="s">
        <v>15</v>
      </c>
      <c r="E2951" t="str">
        <f t="shared" si="415"/>
        <v>EMP_2950Finance</v>
      </c>
      <c r="F2951" t="s">
        <v>18</v>
      </c>
      <c r="G2951" t="s">
        <v>13</v>
      </c>
      <c r="H2951">
        <v>62581</v>
      </c>
      <c r="I2951">
        <v>4905</v>
      </c>
      <c r="J2951">
        <v>0</v>
      </c>
      <c r="K2951">
        <v>0</v>
      </c>
      <c r="L2951" s="4">
        <v>43377</v>
      </c>
      <c r="M2951" s="4" t="str">
        <f t="shared" si="416"/>
        <v>2018</v>
      </c>
      <c r="N2951" s="1">
        <f t="shared" ca="1" si="417"/>
        <v>46064</v>
      </c>
      <c r="O2951" s="6">
        <f t="shared" ca="1" si="418"/>
        <v>7</v>
      </c>
      <c r="P2951">
        <v>3</v>
      </c>
      <c r="Q2951">
        <f t="shared" si="419"/>
        <v>67486</v>
      </c>
      <c r="R2951" s="2">
        <f t="shared" si="420"/>
        <v>33743</v>
      </c>
      <c r="S2951" s="2" t="str">
        <f t="shared" si="421"/>
        <v xml:space="preserve"> Not Achieved</v>
      </c>
      <c r="T2951" s="2" t="str">
        <f t="shared" si="422"/>
        <v xml:space="preserve"> Excellent</v>
      </c>
      <c r="U2951" s="2"/>
    </row>
    <row r="2952" spans="1:21" x14ac:dyDescent="0.3">
      <c r="A2952">
        <v>2951</v>
      </c>
      <c r="B2952" t="s">
        <v>4043</v>
      </c>
      <c r="C2952" t="str">
        <f t="shared" si="414"/>
        <v>EMP_2951</v>
      </c>
      <c r="D2952" t="s">
        <v>11</v>
      </c>
      <c r="E2952" t="str">
        <f t="shared" si="415"/>
        <v>EMP_2951IT</v>
      </c>
      <c r="F2952" t="s">
        <v>21</v>
      </c>
      <c r="G2952" t="s">
        <v>25</v>
      </c>
      <c r="H2952">
        <v>23734</v>
      </c>
      <c r="I2952">
        <v>13335</v>
      </c>
      <c r="J2952">
        <v>0</v>
      </c>
      <c r="K2952">
        <v>0</v>
      </c>
      <c r="L2952" s="4" t="s">
        <v>4044</v>
      </c>
      <c r="M2952" s="4" t="str">
        <f t="shared" si="416"/>
        <v>8/14/2023</v>
      </c>
      <c r="N2952" s="1">
        <f t="shared" ca="1" si="417"/>
        <v>46064</v>
      </c>
      <c r="O2952" s="6" t="e">
        <f t="shared" ca="1" si="418"/>
        <v>#VALUE!</v>
      </c>
      <c r="P2952">
        <v>5</v>
      </c>
      <c r="Q2952">
        <f t="shared" si="419"/>
        <v>37069</v>
      </c>
      <c r="R2952" s="2">
        <f t="shared" si="420"/>
        <v>18534.5</v>
      </c>
      <c r="S2952" s="2" t="str">
        <f t="shared" si="421"/>
        <v xml:space="preserve"> Not Achieved</v>
      </c>
      <c r="T2952" s="2" t="str">
        <f t="shared" si="422"/>
        <v>poor</v>
      </c>
      <c r="U2952" s="2"/>
    </row>
    <row r="2953" spans="1:21" x14ac:dyDescent="0.3">
      <c r="A2953">
        <v>2952</v>
      </c>
      <c r="B2953" t="s">
        <v>4045</v>
      </c>
      <c r="C2953" t="str">
        <f t="shared" si="414"/>
        <v>EMP_2952</v>
      </c>
      <c r="D2953" t="s">
        <v>11</v>
      </c>
      <c r="E2953" t="str">
        <f t="shared" si="415"/>
        <v>EMP_2952Sales</v>
      </c>
      <c r="F2953" t="s">
        <v>7</v>
      </c>
      <c r="G2953" t="s">
        <v>25</v>
      </c>
      <c r="H2953">
        <v>38916</v>
      </c>
      <c r="I2953">
        <v>2883</v>
      </c>
      <c r="J2953">
        <v>166745</v>
      </c>
      <c r="K2953">
        <v>157772</v>
      </c>
      <c r="L2953" s="4">
        <v>43409</v>
      </c>
      <c r="M2953" s="4" t="str">
        <f t="shared" si="416"/>
        <v>2018</v>
      </c>
      <c r="N2953" s="1">
        <f t="shared" ca="1" si="417"/>
        <v>46064</v>
      </c>
      <c r="O2953" s="6">
        <f t="shared" ca="1" si="418"/>
        <v>7</v>
      </c>
      <c r="P2953">
        <v>5</v>
      </c>
      <c r="Q2953">
        <f t="shared" si="419"/>
        <v>41799</v>
      </c>
      <c r="R2953" s="2">
        <f t="shared" si="420"/>
        <v>20899.5</v>
      </c>
      <c r="S2953" s="2" t="str">
        <f t="shared" si="421"/>
        <v>Achieved</v>
      </c>
      <c r="T2953" s="2" t="str">
        <f t="shared" si="422"/>
        <v>Average</v>
      </c>
      <c r="U2953" s="2"/>
    </row>
    <row r="2954" spans="1:21" x14ac:dyDescent="0.3">
      <c r="A2954">
        <v>2953</v>
      </c>
      <c r="B2954" t="s">
        <v>4046</v>
      </c>
      <c r="C2954" t="str">
        <f t="shared" si="414"/>
        <v>EMP_2953</v>
      </c>
      <c r="D2954" t="s">
        <v>11</v>
      </c>
      <c r="E2954" t="str">
        <f t="shared" si="415"/>
        <v>EMP_2953HR</v>
      </c>
      <c r="F2954" t="s">
        <v>12</v>
      </c>
      <c r="G2954" t="s">
        <v>19</v>
      </c>
      <c r="H2954">
        <v>46924</v>
      </c>
      <c r="I2954">
        <v>10825</v>
      </c>
      <c r="J2954">
        <v>0</v>
      </c>
      <c r="K2954">
        <v>0</v>
      </c>
      <c r="L2954" s="4" t="s">
        <v>483</v>
      </c>
      <c r="M2954" s="4" t="str">
        <f t="shared" si="416"/>
        <v>9/29/2022</v>
      </c>
      <c r="N2954" s="1">
        <f t="shared" ca="1" si="417"/>
        <v>46064</v>
      </c>
      <c r="O2954" s="6" t="e">
        <f t="shared" ca="1" si="418"/>
        <v>#VALUE!</v>
      </c>
      <c r="P2954">
        <v>4</v>
      </c>
      <c r="Q2954">
        <f t="shared" si="419"/>
        <v>57749</v>
      </c>
      <c r="R2954" s="2">
        <f t="shared" si="420"/>
        <v>28874.5</v>
      </c>
      <c r="S2954" s="2" t="str">
        <f t="shared" si="421"/>
        <v xml:space="preserve"> Not Achieved</v>
      </c>
      <c r="T2954" s="2" t="str">
        <f t="shared" si="422"/>
        <v>Good</v>
      </c>
      <c r="U2954" s="2"/>
    </row>
    <row r="2955" spans="1:21" x14ac:dyDescent="0.3">
      <c r="A2955">
        <v>2954</v>
      </c>
      <c r="B2955" t="s">
        <v>4047</v>
      </c>
      <c r="C2955" t="str">
        <f t="shared" si="414"/>
        <v>EMP_2954</v>
      </c>
      <c r="D2955" t="s">
        <v>11</v>
      </c>
      <c r="E2955" t="str">
        <f t="shared" si="415"/>
        <v>EMP_2954Finance</v>
      </c>
      <c r="F2955" t="s">
        <v>18</v>
      </c>
      <c r="G2955" t="s">
        <v>19</v>
      </c>
      <c r="H2955">
        <v>62971</v>
      </c>
      <c r="I2955">
        <v>10096</v>
      </c>
      <c r="J2955">
        <v>0</v>
      </c>
      <c r="K2955">
        <v>0</v>
      </c>
      <c r="L2955" s="4">
        <v>45602</v>
      </c>
      <c r="M2955" s="4" t="str">
        <f t="shared" si="416"/>
        <v>2024</v>
      </c>
      <c r="N2955" s="1">
        <f t="shared" ca="1" si="417"/>
        <v>46064</v>
      </c>
      <c r="O2955" s="6">
        <f t="shared" ca="1" si="418"/>
        <v>1</v>
      </c>
      <c r="P2955">
        <v>5</v>
      </c>
      <c r="Q2955">
        <f t="shared" si="419"/>
        <v>73067</v>
      </c>
      <c r="R2955" s="2">
        <f t="shared" si="420"/>
        <v>36533.5</v>
      </c>
      <c r="S2955" s="2" t="str">
        <f t="shared" si="421"/>
        <v xml:space="preserve"> Not Achieved</v>
      </c>
      <c r="T2955" s="2" t="str">
        <f t="shared" si="422"/>
        <v xml:space="preserve"> Excellent</v>
      </c>
      <c r="U2955" s="2"/>
    </row>
    <row r="2956" spans="1:21" x14ac:dyDescent="0.3">
      <c r="A2956">
        <v>2955</v>
      </c>
      <c r="B2956" t="s">
        <v>4048</v>
      </c>
      <c r="C2956" t="str">
        <f t="shared" si="414"/>
        <v>EMP_2955</v>
      </c>
      <c r="D2956" t="s">
        <v>11</v>
      </c>
      <c r="E2956" t="str">
        <f t="shared" si="415"/>
        <v>EMP_2955HR</v>
      </c>
      <c r="F2956" t="s">
        <v>12</v>
      </c>
      <c r="G2956" t="s">
        <v>22</v>
      </c>
      <c r="H2956">
        <v>60426</v>
      </c>
      <c r="I2956">
        <v>5823</v>
      </c>
      <c r="J2956">
        <v>0</v>
      </c>
      <c r="K2956">
        <v>0</v>
      </c>
      <c r="L2956" s="4" t="s">
        <v>4049</v>
      </c>
      <c r="M2956" s="4" t="str">
        <f t="shared" si="416"/>
        <v>1/24/2024</v>
      </c>
      <c r="N2956" s="1">
        <f t="shared" ca="1" si="417"/>
        <v>46064</v>
      </c>
      <c r="O2956" s="6" t="e">
        <f t="shared" ca="1" si="418"/>
        <v>#VALUE!</v>
      </c>
      <c r="P2956">
        <v>2</v>
      </c>
      <c r="Q2956">
        <f t="shared" si="419"/>
        <v>66249</v>
      </c>
      <c r="R2956" s="2">
        <f t="shared" si="420"/>
        <v>33124.5</v>
      </c>
      <c r="S2956" s="2" t="str">
        <f t="shared" si="421"/>
        <v xml:space="preserve"> Not Achieved</v>
      </c>
      <c r="T2956" s="2" t="str">
        <f t="shared" si="422"/>
        <v xml:space="preserve"> Excellent</v>
      </c>
      <c r="U2956" s="2"/>
    </row>
    <row r="2957" spans="1:21" x14ac:dyDescent="0.3">
      <c r="A2957">
        <v>2956</v>
      </c>
      <c r="B2957" t="s">
        <v>4050</v>
      </c>
      <c r="C2957" t="str">
        <f t="shared" si="414"/>
        <v>EMP_2956</v>
      </c>
      <c r="D2957" t="s">
        <v>11</v>
      </c>
      <c r="E2957" t="str">
        <f t="shared" si="415"/>
        <v>EMP_2956Sales</v>
      </c>
      <c r="F2957" t="s">
        <v>7</v>
      </c>
      <c r="G2957" t="s">
        <v>13</v>
      </c>
      <c r="H2957">
        <v>26904</v>
      </c>
      <c r="I2957">
        <v>7669</v>
      </c>
      <c r="J2957">
        <v>180441</v>
      </c>
      <c r="K2957">
        <v>158389</v>
      </c>
      <c r="L2957" s="4" t="s">
        <v>1399</v>
      </c>
      <c r="M2957" s="4" t="str">
        <f t="shared" si="416"/>
        <v>12/13/2018</v>
      </c>
      <c r="N2957" s="1">
        <f t="shared" ca="1" si="417"/>
        <v>46064</v>
      </c>
      <c r="O2957" s="6" t="e">
        <f t="shared" ca="1" si="418"/>
        <v>#VALUE!</v>
      </c>
      <c r="P2957">
        <v>3</v>
      </c>
      <c r="Q2957">
        <f t="shared" si="419"/>
        <v>34573</v>
      </c>
      <c r="R2957" s="2">
        <f t="shared" si="420"/>
        <v>17286.5</v>
      </c>
      <c r="S2957" s="2" t="str">
        <f t="shared" si="421"/>
        <v>Achieved</v>
      </c>
      <c r="T2957" s="2" t="str">
        <f t="shared" si="422"/>
        <v>poor</v>
      </c>
      <c r="U2957" s="2"/>
    </row>
    <row r="2958" spans="1:21" x14ac:dyDescent="0.3">
      <c r="A2958">
        <v>2957</v>
      </c>
      <c r="B2958" t="s">
        <v>4051</v>
      </c>
      <c r="C2958" t="str">
        <f t="shared" si="414"/>
        <v>EMP_2957</v>
      </c>
      <c r="D2958" t="s">
        <v>11</v>
      </c>
      <c r="E2958" t="str">
        <f t="shared" si="415"/>
        <v>EMP_2957Finance</v>
      </c>
      <c r="F2958" t="s">
        <v>18</v>
      </c>
      <c r="G2958" t="s">
        <v>19</v>
      </c>
      <c r="H2958">
        <v>23276</v>
      </c>
      <c r="I2958">
        <v>10093</v>
      </c>
      <c r="J2958">
        <v>0</v>
      </c>
      <c r="K2958">
        <v>0</v>
      </c>
      <c r="L2958" s="4" t="s">
        <v>940</v>
      </c>
      <c r="M2958" s="4" t="str">
        <f t="shared" si="416"/>
        <v>6/16/2019</v>
      </c>
      <c r="N2958" s="1">
        <f t="shared" ca="1" si="417"/>
        <v>46064</v>
      </c>
      <c r="O2958" s="6" t="e">
        <f t="shared" ca="1" si="418"/>
        <v>#VALUE!</v>
      </c>
      <c r="P2958">
        <v>2</v>
      </c>
      <c r="Q2958">
        <f t="shared" si="419"/>
        <v>33369</v>
      </c>
      <c r="R2958" s="2">
        <f t="shared" si="420"/>
        <v>16684.5</v>
      </c>
      <c r="S2958" s="2" t="str">
        <f t="shared" si="421"/>
        <v xml:space="preserve"> Not Achieved</v>
      </c>
      <c r="T2958" s="2" t="str">
        <f t="shared" si="422"/>
        <v>poor</v>
      </c>
      <c r="U2958" s="2"/>
    </row>
    <row r="2959" spans="1:21" x14ac:dyDescent="0.3">
      <c r="A2959">
        <v>2958</v>
      </c>
      <c r="B2959" t="s">
        <v>4052</v>
      </c>
      <c r="C2959" t="str">
        <f t="shared" si="414"/>
        <v>EMP_2958</v>
      </c>
      <c r="D2959" t="s">
        <v>15</v>
      </c>
      <c r="E2959" t="str">
        <f t="shared" si="415"/>
        <v>EMP_2958Finance</v>
      </c>
      <c r="F2959" t="s">
        <v>18</v>
      </c>
      <c r="G2959" t="s">
        <v>13</v>
      </c>
      <c r="H2959">
        <v>63269</v>
      </c>
      <c r="I2959">
        <v>7009</v>
      </c>
      <c r="J2959">
        <v>0</v>
      </c>
      <c r="K2959">
        <v>0</v>
      </c>
      <c r="L2959" s="4" t="s">
        <v>2842</v>
      </c>
      <c r="M2959" s="4" t="str">
        <f t="shared" si="416"/>
        <v>3/29/2019</v>
      </c>
      <c r="N2959" s="1">
        <f t="shared" ca="1" si="417"/>
        <v>46064</v>
      </c>
      <c r="O2959" s="6" t="e">
        <f t="shared" ca="1" si="418"/>
        <v>#VALUE!</v>
      </c>
      <c r="P2959">
        <v>1</v>
      </c>
      <c r="Q2959">
        <f t="shared" si="419"/>
        <v>70278</v>
      </c>
      <c r="R2959" s="2">
        <f t="shared" si="420"/>
        <v>35139</v>
      </c>
      <c r="S2959" s="2" t="str">
        <f t="shared" si="421"/>
        <v xml:space="preserve"> Not Achieved</v>
      </c>
      <c r="T2959" s="2" t="str">
        <f t="shared" si="422"/>
        <v xml:space="preserve"> Excellent</v>
      </c>
      <c r="U2959" s="2"/>
    </row>
    <row r="2960" spans="1:21" x14ac:dyDescent="0.3">
      <c r="A2960">
        <v>2959</v>
      </c>
      <c r="B2960" t="s">
        <v>4053</v>
      </c>
      <c r="C2960" t="str">
        <f t="shared" si="414"/>
        <v>EMP_2959</v>
      </c>
      <c r="D2960" t="s">
        <v>11</v>
      </c>
      <c r="E2960" t="str">
        <f t="shared" si="415"/>
        <v>EMP_2959HR</v>
      </c>
      <c r="F2960" t="s">
        <v>12</v>
      </c>
      <c r="G2960" t="s">
        <v>16</v>
      </c>
      <c r="H2960">
        <v>67947</v>
      </c>
      <c r="I2960">
        <v>4740</v>
      </c>
      <c r="J2960">
        <v>0</v>
      </c>
      <c r="K2960">
        <v>0</v>
      </c>
      <c r="L2960" s="4" t="s">
        <v>3098</v>
      </c>
      <c r="M2960" s="4" t="str">
        <f t="shared" si="416"/>
        <v>11/24/2019</v>
      </c>
      <c r="N2960" s="1">
        <f t="shared" ca="1" si="417"/>
        <v>46064</v>
      </c>
      <c r="O2960" s="6" t="e">
        <f t="shared" ca="1" si="418"/>
        <v>#VALUE!</v>
      </c>
      <c r="P2960">
        <v>4</v>
      </c>
      <c r="Q2960">
        <f t="shared" si="419"/>
        <v>72687</v>
      </c>
      <c r="R2960" s="2">
        <f t="shared" si="420"/>
        <v>36343.5</v>
      </c>
      <c r="S2960" s="2" t="str">
        <f t="shared" si="421"/>
        <v xml:space="preserve"> Not Achieved</v>
      </c>
      <c r="T2960" s="2" t="str">
        <f t="shared" si="422"/>
        <v xml:space="preserve"> Excellent</v>
      </c>
      <c r="U2960" s="2"/>
    </row>
    <row r="2961" spans="1:21" x14ac:dyDescent="0.3">
      <c r="A2961">
        <v>2960</v>
      </c>
      <c r="B2961" t="s">
        <v>4054</v>
      </c>
      <c r="C2961" t="str">
        <f t="shared" si="414"/>
        <v>EMP_2960</v>
      </c>
      <c r="D2961" t="s">
        <v>15</v>
      </c>
      <c r="E2961" t="str">
        <f t="shared" si="415"/>
        <v>EMP_2960HR</v>
      </c>
      <c r="F2961" t="s">
        <v>12</v>
      </c>
      <c r="G2961" t="s">
        <v>16</v>
      </c>
      <c r="H2961">
        <v>28463</v>
      </c>
      <c r="I2961">
        <v>4131</v>
      </c>
      <c r="J2961">
        <v>0</v>
      </c>
      <c r="K2961">
        <v>0</v>
      </c>
      <c r="L2961" s="4" t="s">
        <v>3632</v>
      </c>
      <c r="M2961" s="4" t="str">
        <f t="shared" si="416"/>
        <v>6/20/2023</v>
      </c>
      <c r="N2961" s="1">
        <f t="shared" ca="1" si="417"/>
        <v>46064</v>
      </c>
      <c r="O2961" s="6" t="e">
        <f t="shared" ca="1" si="418"/>
        <v>#VALUE!</v>
      </c>
      <c r="P2961">
        <v>2</v>
      </c>
      <c r="Q2961">
        <f t="shared" si="419"/>
        <v>32594</v>
      </c>
      <c r="R2961" s="2">
        <f t="shared" si="420"/>
        <v>16297</v>
      </c>
      <c r="S2961" s="2" t="str">
        <f t="shared" si="421"/>
        <v xml:space="preserve"> Not Achieved</v>
      </c>
      <c r="T2961" s="2" t="str">
        <f t="shared" si="422"/>
        <v>poor</v>
      </c>
      <c r="U2961" s="2"/>
    </row>
    <row r="2962" spans="1:21" x14ac:dyDescent="0.3">
      <c r="A2962">
        <v>2961</v>
      </c>
      <c r="B2962" t="s">
        <v>4055</v>
      </c>
      <c r="C2962" t="str">
        <f t="shared" si="414"/>
        <v>EMP_2961</v>
      </c>
      <c r="D2962" t="s">
        <v>15</v>
      </c>
      <c r="E2962" t="str">
        <f t="shared" si="415"/>
        <v>EMP_2961Finance</v>
      </c>
      <c r="F2962" t="s">
        <v>18</v>
      </c>
      <c r="G2962" t="s">
        <v>16</v>
      </c>
      <c r="H2962">
        <v>67587</v>
      </c>
      <c r="I2962">
        <v>10385</v>
      </c>
      <c r="J2962">
        <v>0</v>
      </c>
      <c r="K2962">
        <v>0</v>
      </c>
      <c r="L2962" s="4">
        <v>44229</v>
      </c>
      <c r="M2962" s="4" t="str">
        <f t="shared" si="416"/>
        <v>2021</v>
      </c>
      <c r="N2962" s="1">
        <f t="shared" ca="1" si="417"/>
        <v>46064</v>
      </c>
      <c r="O2962" s="6">
        <f t="shared" ca="1" si="418"/>
        <v>5</v>
      </c>
      <c r="P2962">
        <v>5</v>
      </c>
      <c r="Q2962">
        <f t="shared" si="419"/>
        <v>77972</v>
      </c>
      <c r="R2962" s="2">
        <f t="shared" si="420"/>
        <v>38986</v>
      </c>
      <c r="S2962" s="2" t="str">
        <f t="shared" si="421"/>
        <v xml:space="preserve"> Not Achieved</v>
      </c>
      <c r="T2962" s="2" t="str">
        <f t="shared" si="422"/>
        <v xml:space="preserve"> Excellent</v>
      </c>
      <c r="U2962" s="2"/>
    </row>
    <row r="2963" spans="1:21" x14ac:dyDescent="0.3">
      <c r="A2963">
        <v>2962</v>
      </c>
      <c r="B2963" t="s">
        <v>4056</v>
      </c>
      <c r="C2963" t="str">
        <f t="shared" si="414"/>
        <v>EMP_2962</v>
      </c>
      <c r="D2963" t="s">
        <v>11</v>
      </c>
      <c r="E2963" t="str">
        <f t="shared" si="415"/>
        <v>EMP_2962Finance</v>
      </c>
      <c r="F2963" t="s">
        <v>18</v>
      </c>
      <c r="G2963" t="s">
        <v>19</v>
      </c>
      <c r="H2963">
        <v>25805</v>
      </c>
      <c r="I2963">
        <v>2150</v>
      </c>
      <c r="J2963">
        <v>0</v>
      </c>
      <c r="K2963">
        <v>0</v>
      </c>
      <c r="L2963" s="4">
        <v>44806</v>
      </c>
      <c r="M2963" s="4" t="str">
        <f t="shared" si="416"/>
        <v>2022</v>
      </c>
      <c r="N2963" s="1">
        <f t="shared" ca="1" si="417"/>
        <v>46064</v>
      </c>
      <c r="O2963" s="6">
        <f t="shared" ca="1" si="418"/>
        <v>3</v>
      </c>
      <c r="P2963">
        <v>5</v>
      </c>
      <c r="Q2963">
        <f t="shared" si="419"/>
        <v>27955</v>
      </c>
      <c r="R2963" s="2">
        <f t="shared" si="420"/>
        <v>13977.5</v>
      </c>
      <c r="S2963" s="2" t="str">
        <f t="shared" si="421"/>
        <v xml:space="preserve"> Not Achieved</v>
      </c>
      <c r="T2963" s="2" t="str">
        <f t="shared" si="422"/>
        <v>poor</v>
      </c>
      <c r="U2963" s="2"/>
    </row>
    <row r="2964" spans="1:21" x14ac:dyDescent="0.3">
      <c r="A2964">
        <v>2963</v>
      </c>
      <c r="B2964" t="s">
        <v>4057</v>
      </c>
      <c r="C2964" t="str">
        <f t="shared" si="414"/>
        <v>EMP_2963</v>
      </c>
      <c r="D2964" t="s">
        <v>11</v>
      </c>
      <c r="E2964" t="str">
        <f t="shared" si="415"/>
        <v>EMP_2963Sales</v>
      </c>
      <c r="F2964" t="s">
        <v>7</v>
      </c>
      <c r="G2964" t="s">
        <v>16</v>
      </c>
      <c r="H2964">
        <v>76174</v>
      </c>
      <c r="I2964">
        <v>10445</v>
      </c>
      <c r="J2964">
        <v>98444</v>
      </c>
      <c r="K2964">
        <v>184822</v>
      </c>
      <c r="L2964" s="4">
        <v>45176</v>
      </c>
      <c r="M2964" s="4" t="str">
        <f t="shared" si="416"/>
        <v>2023</v>
      </c>
      <c r="N2964" s="1">
        <f t="shared" ca="1" si="417"/>
        <v>46064</v>
      </c>
      <c r="O2964" s="6">
        <f t="shared" ca="1" si="418"/>
        <v>2</v>
      </c>
      <c r="P2964">
        <v>1</v>
      </c>
      <c r="Q2964">
        <f t="shared" si="419"/>
        <v>86619</v>
      </c>
      <c r="R2964" s="2">
        <f t="shared" si="420"/>
        <v>43309.5</v>
      </c>
      <c r="S2964" s="2" t="str">
        <f t="shared" si="421"/>
        <v xml:space="preserve"> Not Achieved</v>
      </c>
      <c r="T2964" s="2" t="str">
        <f t="shared" si="422"/>
        <v xml:space="preserve"> Excellent</v>
      </c>
      <c r="U2964" s="2"/>
    </row>
    <row r="2965" spans="1:21" x14ac:dyDescent="0.3">
      <c r="A2965">
        <v>2964</v>
      </c>
      <c r="B2965" t="s">
        <v>4058</v>
      </c>
      <c r="C2965" t="str">
        <f t="shared" si="414"/>
        <v>EMP_2964</v>
      </c>
      <c r="D2965" t="s">
        <v>11</v>
      </c>
      <c r="E2965" t="str">
        <f t="shared" si="415"/>
        <v>EMP_2964Finance</v>
      </c>
      <c r="F2965" t="s">
        <v>18</v>
      </c>
      <c r="G2965" t="s">
        <v>25</v>
      </c>
      <c r="H2965">
        <v>39553</v>
      </c>
      <c r="I2965">
        <v>7820</v>
      </c>
      <c r="J2965">
        <v>0</v>
      </c>
      <c r="K2965">
        <v>0</v>
      </c>
      <c r="L2965" s="4" t="s">
        <v>1874</v>
      </c>
      <c r="M2965" s="4" t="str">
        <f t="shared" si="416"/>
        <v>6/21/2019</v>
      </c>
      <c r="N2965" s="1">
        <f t="shared" ca="1" si="417"/>
        <v>46064</v>
      </c>
      <c r="O2965" s="6" t="e">
        <f t="shared" ca="1" si="418"/>
        <v>#VALUE!</v>
      </c>
      <c r="P2965">
        <v>1</v>
      </c>
      <c r="Q2965">
        <f t="shared" si="419"/>
        <v>47373</v>
      </c>
      <c r="R2965" s="2">
        <f t="shared" si="420"/>
        <v>23686.5</v>
      </c>
      <c r="S2965" s="2" t="str">
        <f t="shared" si="421"/>
        <v xml:space="preserve"> Not Achieved</v>
      </c>
      <c r="T2965" s="2" t="str">
        <f t="shared" si="422"/>
        <v>Average</v>
      </c>
      <c r="U2965" s="2"/>
    </row>
    <row r="2966" spans="1:21" x14ac:dyDescent="0.3">
      <c r="A2966">
        <v>2965</v>
      </c>
      <c r="B2966" t="s">
        <v>4059</v>
      </c>
      <c r="C2966" t="str">
        <f t="shared" si="414"/>
        <v>EMP_2965</v>
      </c>
      <c r="D2966" t="s">
        <v>15</v>
      </c>
      <c r="E2966" t="str">
        <f t="shared" si="415"/>
        <v>EMP_2965Sales</v>
      </c>
      <c r="F2966" t="s">
        <v>7</v>
      </c>
      <c r="G2966" t="s">
        <v>13</v>
      </c>
      <c r="H2966">
        <v>37446</v>
      </c>
      <c r="I2966">
        <v>11876</v>
      </c>
      <c r="J2966">
        <v>143949</v>
      </c>
      <c r="K2966">
        <v>167034</v>
      </c>
      <c r="L2966" s="4">
        <v>44960</v>
      </c>
      <c r="M2966" s="4" t="str">
        <f t="shared" si="416"/>
        <v>2023</v>
      </c>
      <c r="N2966" s="1">
        <f t="shared" ca="1" si="417"/>
        <v>46064</v>
      </c>
      <c r="O2966" s="6">
        <f t="shared" ca="1" si="418"/>
        <v>3</v>
      </c>
      <c r="P2966">
        <v>3</v>
      </c>
      <c r="Q2966">
        <f t="shared" si="419"/>
        <v>49322</v>
      </c>
      <c r="R2966" s="2">
        <f t="shared" si="420"/>
        <v>24661</v>
      </c>
      <c r="S2966" s="2" t="str">
        <f t="shared" si="421"/>
        <v xml:space="preserve"> Not Achieved</v>
      </c>
      <c r="T2966" s="2" t="str">
        <f t="shared" si="422"/>
        <v>Average</v>
      </c>
      <c r="U2966" s="2"/>
    </row>
    <row r="2967" spans="1:21" x14ac:dyDescent="0.3">
      <c r="A2967">
        <v>2966</v>
      </c>
      <c r="B2967" t="s">
        <v>4060</v>
      </c>
      <c r="C2967" t="str">
        <f t="shared" si="414"/>
        <v>EMP_2966</v>
      </c>
      <c r="D2967" t="s">
        <v>11</v>
      </c>
      <c r="E2967" t="str">
        <f t="shared" si="415"/>
        <v>EMP_2966Finance</v>
      </c>
      <c r="F2967" t="s">
        <v>18</v>
      </c>
      <c r="G2967" t="s">
        <v>16</v>
      </c>
      <c r="H2967">
        <v>71886</v>
      </c>
      <c r="I2967">
        <v>7010</v>
      </c>
      <c r="J2967">
        <v>0</v>
      </c>
      <c r="K2967">
        <v>0</v>
      </c>
      <c r="L2967" s="4">
        <v>43626</v>
      </c>
      <c r="M2967" s="4" t="str">
        <f t="shared" si="416"/>
        <v>2019</v>
      </c>
      <c r="N2967" s="1">
        <f t="shared" ca="1" si="417"/>
        <v>46064</v>
      </c>
      <c r="O2967" s="6">
        <f t="shared" ca="1" si="418"/>
        <v>6</v>
      </c>
      <c r="P2967">
        <v>2</v>
      </c>
      <c r="Q2967">
        <f t="shared" si="419"/>
        <v>78896</v>
      </c>
      <c r="R2967" s="2">
        <f t="shared" si="420"/>
        <v>39448</v>
      </c>
      <c r="S2967" s="2" t="str">
        <f t="shared" si="421"/>
        <v xml:space="preserve"> Not Achieved</v>
      </c>
      <c r="T2967" s="2" t="str">
        <f t="shared" si="422"/>
        <v xml:space="preserve"> Excellent</v>
      </c>
      <c r="U2967" s="2"/>
    </row>
    <row r="2968" spans="1:21" x14ac:dyDescent="0.3">
      <c r="A2968">
        <v>2967</v>
      </c>
      <c r="B2968" t="s">
        <v>4061</v>
      </c>
      <c r="C2968" t="str">
        <f t="shared" si="414"/>
        <v>EMP_2967</v>
      </c>
      <c r="D2968" t="s">
        <v>15</v>
      </c>
      <c r="E2968" t="str">
        <f t="shared" si="415"/>
        <v>EMP_2967Sales</v>
      </c>
      <c r="F2968" t="s">
        <v>7</v>
      </c>
      <c r="G2968" t="s">
        <v>25</v>
      </c>
      <c r="H2968">
        <v>30602</v>
      </c>
      <c r="I2968">
        <v>10147</v>
      </c>
      <c r="J2968">
        <v>268264</v>
      </c>
      <c r="K2968">
        <v>120477</v>
      </c>
      <c r="L2968" s="4">
        <v>43712</v>
      </c>
      <c r="M2968" s="4" t="str">
        <f t="shared" si="416"/>
        <v>2019</v>
      </c>
      <c r="N2968" s="1">
        <f t="shared" ca="1" si="417"/>
        <v>46064</v>
      </c>
      <c r="O2968" s="6">
        <f t="shared" ca="1" si="418"/>
        <v>6</v>
      </c>
      <c r="P2968">
        <v>2</v>
      </c>
      <c r="Q2968">
        <f t="shared" si="419"/>
        <v>40749</v>
      </c>
      <c r="R2968" s="2">
        <f t="shared" si="420"/>
        <v>20374.5</v>
      </c>
      <c r="S2968" s="2" t="str">
        <f t="shared" si="421"/>
        <v>Achieved</v>
      </c>
      <c r="T2968" s="2" t="str">
        <f t="shared" si="422"/>
        <v>Average</v>
      </c>
      <c r="U2968" s="2"/>
    </row>
    <row r="2969" spans="1:21" x14ac:dyDescent="0.3">
      <c r="A2969">
        <v>2968</v>
      </c>
      <c r="B2969" t="s">
        <v>4062</v>
      </c>
      <c r="C2969" t="str">
        <f t="shared" si="414"/>
        <v>EMP_2968</v>
      </c>
      <c r="D2969" t="s">
        <v>15</v>
      </c>
      <c r="E2969" t="str">
        <f t="shared" si="415"/>
        <v>EMP_2968Marketing</v>
      </c>
      <c r="F2969" t="s">
        <v>24</v>
      </c>
      <c r="G2969" t="s">
        <v>19</v>
      </c>
      <c r="H2969">
        <v>45051</v>
      </c>
      <c r="I2969">
        <v>7028</v>
      </c>
      <c r="J2969">
        <v>0</v>
      </c>
      <c r="K2969">
        <v>0</v>
      </c>
      <c r="L2969" s="4" t="s">
        <v>3702</v>
      </c>
      <c r="M2969" s="4" t="str">
        <f t="shared" si="416"/>
        <v>4/25/2021</v>
      </c>
      <c r="N2969" s="1">
        <f t="shared" ca="1" si="417"/>
        <v>46064</v>
      </c>
      <c r="O2969" s="6" t="e">
        <f t="shared" ca="1" si="418"/>
        <v>#VALUE!</v>
      </c>
      <c r="P2969">
        <v>3</v>
      </c>
      <c r="Q2969">
        <f t="shared" si="419"/>
        <v>52079</v>
      </c>
      <c r="R2969" s="2">
        <f t="shared" si="420"/>
        <v>26039.5</v>
      </c>
      <c r="S2969" s="2" t="str">
        <f t="shared" si="421"/>
        <v xml:space="preserve"> Not Achieved</v>
      </c>
      <c r="T2969" s="2" t="str">
        <f t="shared" si="422"/>
        <v>Good</v>
      </c>
      <c r="U2969" s="2"/>
    </row>
    <row r="2970" spans="1:21" x14ac:dyDescent="0.3">
      <c r="A2970">
        <v>2969</v>
      </c>
      <c r="B2970" t="s">
        <v>4063</v>
      </c>
      <c r="C2970" t="str">
        <f t="shared" si="414"/>
        <v>EMP_2969</v>
      </c>
      <c r="D2970" t="s">
        <v>15</v>
      </c>
      <c r="E2970" t="str">
        <f t="shared" si="415"/>
        <v>EMP_2969IT</v>
      </c>
      <c r="F2970" t="s">
        <v>21</v>
      </c>
      <c r="G2970" t="s">
        <v>25</v>
      </c>
      <c r="H2970">
        <v>74874</v>
      </c>
      <c r="I2970">
        <v>11734</v>
      </c>
      <c r="J2970">
        <v>0</v>
      </c>
      <c r="K2970">
        <v>0</v>
      </c>
      <c r="L2970" s="4" t="s">
        <v>4064</v>
      </c>
      <c r="M2970" s="4" t="str">
        <f t="shared" si="416"/>
        <v>4/27/2018</v>
      </c>
      <c r="N2970" s="1">
        <f t="shared" ca="1" si="417"/>
        <v>46064</v>
      </c>
      <c r="O2970" s="6" t="e">
        <f t="shared" ca="1" si="418"/>
        <v>#VALUE!</v>
      </c>
      <c r="P2970">
        <v>2</v>
      </c>
      <c r="Q2970">
        <f t="shared" si="419"/>
        <v>86608</v>
      </c>
      <c r="R2970" s="2">
        <f t="shared" si="420"/>
        <v>43304</v>
      </c>
      <c r="S2970" s="2" t="str">
        <f t="shared" si="421"/>
        <v xml:space="preserve"> Not Achieved</v>
      </c>
      <c r="T2970" s="2" t="str">
        <f t="shared" si="422"/>
        <v xml:space="preserve"> Excellent</v>
      </c>
      <c r="U2970" s="2"/>
    </row>
    <row r="2971" spans="1:21" x14ac:dyDescent="0.3">
      <c r="A2971">
        <v>2970</v>
      </c>
      <c r="B2971" t="s">
        <v>4065</v>
      </c>
      <c r="C2971" t="str">
        <f t="shared" si="414"/>
        <v>EMP_2970</v>
      </c>
      <c r="D2971" t="s">
        <v>11</v>
      </c>
      <c r="E2971" t="str">
        <f t="shared" si="415"/>
        <v>EMP_2970IT</v>
      </c>
      <c r="F2971" t="s">
        <v>21</v>
      </c>
      <c r="G2971" t="s">
        <v>16</v>
      </c>
      <c r="H2971">
        <v>59191</v>
      </c>
      <c r="I2971">
        <v>10370</v>
      </c>
      <c r="J2971">
        <v>0</v>
      </c>
      <c r="K2971">
        <v>0</v>
      </c>
      <c r="L2971" s="4" t="s">
        <v>4066</v>
      </c>
      <c r="M2971" s="4" t="str">
        <f t="shared" si="416"/>
        <v>6/25/2019</v>
      </c>
      <c r="N2971" s="1">
        <f t="shared" ca="1" si="417"/>
        <v>46064</v>
      </c>
      <c r="O2971" s="6" t="e">
        <f t="shared" ca="1" si="418"/>
        <v>#VALUE!</v>
      </c>
      <c r="P2971">
        <v>4</v>
      </c>
      <c r="Q2971">
        <f t="shared" si="419"/>
        <v>69561</v>
      </c>
      <c r="R2971" s="2">
        <f t="shared" si="420"/>
        <v>34780.5</v>
      </c>
      <c r="S2971" s="2" t="str">
        <f t="shared" si="421"/>
        <v xml:space="preserve"> Not Achieved</v>
      </c>
      <c r="T2971" s="2" t="str">
        <f t="shared" si="422"/>
        <v xml:space="preserve"> Excellent</v>
      </c>
      <c r="U2971" s="2"/>
    </row>
    <row r="2972" spans="1:21" x14ac:dyDescent="0.3">
      <c r="A2972">
        <v>2971</v>
      </c>
      <c r="B2972" t="s">
        <v>4067</v>
      </c>
      <c r="C2972" t="str">
        <f t="shared" si="414"/>
        <v>EMP_2971</v>
      </c>
      <c r="D2972" t="s">
        <v>15</v>
      </c>
      <c r="E2972" t="str">
        <f t="shared" si="415"/>
        <v>EMP_2971Finance</v>
      </c>
      <c r="F2972" t="s">
        <v>18</v>
      </c>
      <c r="G2972" t="s">
        <v>16</v>
      </c>
      <c r="H2972">
        <v>43468</v>
      </c>
      <c r="I2972">
        <v>10912</v>
      </c>
      <c r="J2972">
        <v>0</v>
      </c>
      <c r="K2972">
        <v>0</v>
      </c>
      <c r="L2972" s="4">
        <v>44410</v>
      </c>
      <c r="M2972" s="4" t="str">
        <f t="shared" si="416"/>
        <v>2021</v>
      </c>
      <c r="N2972" s="1">
        <f t="shared" ca="1" si="417"/>
        <v>46064</v>
      </c>
      <c r="O2972" s="6">
        <f t="shared" ca="1" si="418"/>
        <v>4</v>
      </c>
      <c r="P2972">
        <v>3</v>
      </c>
      <c r="Q2972">
        <f t="shared" si="419"/>
        <v>54380</v>
      </c>
      <c r="R2972" s="2">
        <f t="shared" si="420"/>
        <v>27190</v>
      </c>
      <c r="S2972" s="2" t="str">
        <f t="shared" si="421"/>
        <v xml:space="preserve"> Not Achieved</v>
      </c>
      <c r="T2972" s="2" t="str">
        <f t="shared" si="422"/>
        <v>Good</v>
      </c>
      <c r="U2972" s="2"/>
    </row>
    <row r="2973" spans="1:21" x14ac:dyDescent="0.3">
      <c r="A2973">
        <v>2972</v>
      </c>
      <c r="B2973" t="s">
        <v>4068</v>
      </c>
      <c r="C2973" t="str">
        <f t="shared" si="414"/>
        <v>EMP_2972</v>
      </c>
      <c r="D2973" t="s">
        <v>11</v>
      </c>
      <c r="E2973" t="str">
        <f t="shared" si="415"/>
        <v>EMP_2972IT</v>
      </c>
      <c r="F2973" t="s">
        <v>21</v>
      </c>
      <c r="G2973" t="s">
        <v>19</v>
      </c>
      <c r="H2973">
        <v>33233</v>
      </c>
      <c r="I2973">
        <v>10530</v>
      </c>
      <c r="J2973">
        <v>0</v>
      </c>
      <c r="K2973">
        <v>0</v>
      </c>
      <c r="L2973" s="4">
        <v>43954</v>
      </c>
      <c r="M2973" s="4" t="str">
        <f t="shared" si="416"/>
        <v>2020</v>
      </c>
      <c r="N2973" s="1">
        <f t="shared" ca="1" si="417"/>
        <v>46064</v>
      </c>
      <c r="O2973" s="6">
        <f t="shared" ca="1" si="418"/>
        <v>5</v>
      </c>
      <c r="P2973">
        <v>3</v>
      </c>
      <c r="Q2973">
        <f t="shared" si="419"/>
        <v>43763</v>
      </c>
      <c r="R2973" s="2">
        <f t="shared" si="420"/>
        <v>21881.5</v>
      </c>
      <c r="S2973" s="2" t="str">
        <f t="shared" si="421"/>
        <v xml:space="preserve"> Not Achieved</v>
      </c>
      <c r="T2973" s="2" t="str">
        <f t="shared" si="422"/>
        <v>Average</v>
      </c>
      <c r="U2973" s="2"/>
    </row>
    <row r="2974" spans="1:21" x14ac:dyDescent="0.3">
      <c r="A2974">
        <v>2973</v>
      </c>
      <c r="B2974" t="s">
        <v>4069</v>
      </c>
      <c r="C2974" t="str">
        <f t="shared" si="414"/>
        <v>EMP_2973</v>
      </c>
      <c r="D2974" t="s">
        <v>15</v>
      </c>
      <c r="E2974" t="str">
        <f t="shared" si="415"/>
        <v>EMP_2973HR</v>
      </c>
      <c r="F2974" t="s">
        <v>12</v>
      </c>
      <c r="G2974" t="s">
        <v>16</v>
      </c>
      <c r="H2974">
        <v>50944</v>
      </c>
      <c r="I2974">
        <v>14059</v>
      </c>
      <c r="J2974">
        <v>0</v>
      </c>
      <c r="K2974">
        <v>0</v>
      </c>
      <c r="L2974" s="4" t="s">
        <v>2515</v>
      </c>
      <c r="M2974" s="4" t="str">
        <f t="shared" si="416"/>
        <v>4/17/2018</v>
      </c>
      <c r="N2974" s="1">
        <f t="shared" ca="1" si="417"/>
        <v>46064</v>
      </c>
      <c r="O2974" s="6" t="e">
        <f t="shared" ca="1" si="418"/>
        <v>#VALUE!</v>
      </c>
      <c r="P2974">
        <v>3</v>
      </c>
      <c r="Q2974">
        <f t="shared" si="419"/>
        <v>65003</v>
      </c>
      <c r="R2974" s="2">
        <f t="shared" si="420"/>
        <v>32501.5</v>
      </c>
      <c r="S2974" s="2" t="str">
        <f t="shared" si="421"/>
        <v xml:space="preserve"> Not Achieved</v>
      </c>
      <c r="T2974" s="2" t="str">
        <f t="shared" si="422"/>
        <v xml:space="preserve"> Excellent</v>
      </c>
      <c r="U2974" s="2"/>
    </row>
    <row r="2975" spans="1:21" x14ac:dyDescent="0.3">
      <c r="A2975">
        <v>2974</v>
      </c>
      <c r="B2975" t="s">
        <v>4070</v>
      </c>
      <c r="C2975" t="str">
        <f t="shared" si="414"/>
        <v>EMP_2974</v>
      </c>
      <c r="D2975" t="s">
        <v>15</v>
      </c>
      <c r="E2975" t="str">
        <f t="shared" si="415"/>
        <v>EMP_2974Finance</v>
      </c>
      <c r="F2975" t="s">
        <v>18</v>
      </c>
      <c r="G2975" t="s">
        <v>19</v>
      </c>
      <c r="H2975">
        <v>58331</v>
      </c>
      <c r="I2975">
        <v>9970</v>
      </c>
      <c r="J2975">
        <v>0</v>
      </c>
      <c r="K2975">
        <v>0</v>
      </c>
      <c r="L2975" s="4" t="s">
        <v>980</v>
      </c>
      <c r="M2975" s="4" t="str">
        <f t="shared" si="416"/>
        <v>10/27/2019</v>
      </c>
      <c r="N2975" s="1">
        <f t="shared" ca="1" si="417"/>
        <v>46064</v>
      </c>
      <c r="O2975" s="6" t="e">
        <f t="shared" ca="1" si="418"/>
        <v>#VALUE!</v>
      </c>
      <c r="P2975">
        <v>4</v>
      </c>
      <c r="Q2975">
        <f t="shared" si="419"/>
        <v>68301</v>
      </c>
      <c r="R2975" s="2">
        <f t="shared" si="420"/>
        <v>34150.5</v>
      </c>
      <c r="S2975" s="2" t="str">
        <f t="shared" si="421"/>
        <v xml:space="preserve"> Not Achieved</v>
      </c>
      <c r="T2975" s="2" t="str">
        <f t="shared" si="422"/>
        <v xml:space="preserve"> Excellent</v>
      </c>
      <c r="U2975" s="2"/>
    </row>
    <row r="2976" spans="1:21" x14ac:dyDescent="0.3">
      <c r="A2976">
        <v>2975</v>
      </c>
      <c r="B2976" t="s">
        <v>4071</v>
      </c>
      <c r="C2976" t="str">
        <f t="shared" si="414"/>
        <v>EMP_2975</v>
      </c>
      <c r="D2976" t="s">
        <v>11</v>
      </c>
      <c r="E2976" t="str">
        <f t="shared" si="415"/>
        <v>EMP_2975Sales</v>
      </c>
      <c r="F2976" t="s">
        <v>7</v>
      </c>
      <c r="G2976" t="s">
        <v>16</v>
      </c>
      <c r="H2976">
        <v>33590</v>
      </c>
      <c r="I2976">
        <v>7634</v>
      </c>
      <c r="J2976">
        <v>142984</v>
      </c>
      <c r="K2976">
        <v>223814</v>
      </c>
      <c r="L2976" s="4" t="s">
        <v>501</v>
      </c>
      <c r="M2976" s="4" t="str">
        <f t="shared" si="416"/>
        <v>5/22/2018</v>
      </c>
      <c r="N2976" s="1">
        <f t="shared" ca="1" si="417"/>
        <v>46064</v>
      </c>
      <c r="O2976" s="6" t="e">
        <f t="shared" ca="1" si="418"/>
        <v>#VALUE!</v>
      </c>
      <c r="P2976">
        <v>4</v>
      </c>
      <c r="Q2976">
        <f t="shared" si="419"/>
        <v>41224</v>
      </c>
      <c r="R2976" s="2">
        <f t="shared" si="420"/>
        <v>20612</v>
      </c>
      <c r="S2976" s="2" t="str">
        <f t="shared" si="421"/>
        <v xml:space="preserve"> Not Achieved</v>
      </c>
      <c r="T2976" s="2" t="str">
        <f t="shared" si="422"/>
        <v>Average</v>
      </c>
      <c r="U2976" s="2"/>
    </row>
    <row r="2977" spans="1:21" x14ac:dyDescent="0.3">
      <c r="A2977">
        <v>2976</v>
      </c>
      <c r="B2977" t="s">
        <v>4072</v>
      </c>
      <c r="C2977" t="str">
        <f t="shared" si="414"/>
        <v>EMP_2976</v>
      </c>
      <c r="D2977" t="s">
        <v>11</v>
      </c>
      <c r="E2977" t="str">
        <f t="shared" si="415"/>
        <v>EMP_2976HR</v>
      </c>
      <c r="F2977" t="s">
        <v>12</v>
      </c>
      <c r="G2977" t="s">
        <v>16</v>
      </c>
      <c r="H2977">
        <v>42149</v>
      </c>
      <c r="I2977">
        <v>13662</v>
      </c>
      <c r="J2977">
        <v>0</v>
      </c>
      <c r="K2977">
        <v>0</v>
      </c>
      <c r="L2977" s="4" t="s">
        <v>4073</v>
      </c>
      <c r="M2977" s="4" t="str">
        <f t="shared" si="416"/>
        <v>1/31/2023</v>
      </c>
      <c r="N2977" s="1">
        <f t="shared" ca="1" si="417"/>
        <v>46064</v>
      </c>
      <c r="O2977" s="6" t="e">
        <f t="shared" ca="1" si="418"/>
        <v>#VALUE!</v>
      </c>
      <c r="P2977">
        <v>2</v>
      </c>
      <c r="Q2977">
        <f t="shared" si="419"/>
        <v>55811</v>
      </c>
      <c r="R2977" s="2">
        <f t="shared" si="420"/>
        <v>27905.5</v>
      </c>
      <c r="S2977" s="2" t="str">
        <f t="shared" si="421"/>
        <v xml:space="preserve"> Not Achieved</v>
      </c>
      <c r="T2977" s="2" t="str">
        <f t="shared" si="422"/>
        <v>Good</v>
      </c>
      <c r="U2977" s="2"/>
    </row>
    <row r="2978" spans="1:21" x14ac:dyDescent="0.3">
      <c r="A2978">
        <v>2977</v>
      </c>
      <c r="B2978" t="s">
        <v>4074</v>
      </c>
      <c r="C2978" t="str">
        <f t="shared" si="414"/>
        <v>EMP_2977</v>
      </c>
      <c r="D2978" t="s">
        <v>15</v>
      </c>
      <c r="E2978" t="str">
        <f t="shared" si="415"/>
        <v>EMP_2977HR</v>
      </c>
      <c r="F2978" t="s">
        <v>12</v>
      </c>
      <c r="G2978" t="s">
        <v>25</v>
      </c>
      <c r="H2978">
        <v>33983</v>
      </c>
      <c r="I2978">
        <v>8906</v>
      </c>
      <c r="J2978">
        <v>0</v>
      </c>
      <c r="K2978">
        <v>0</v>
      </c>
      <c r="L2978" s="4" t="s">
        <v>515</v>
      </c>
      <c r="M2978" s="4" t="str">
        <f t="shared" si="416"/>
        <v>10/18/2024</v>
      </c>
      <c r="N2978" s="1">
        <f t="shared" ca="1" si="417"/>
        <v>46064</v>
      </c>
      <c r="O2978" s="6" t="e">
        <f t="shared" ca="1" si="418"/>
        <v>#VALUE!</v>
      </c>
      <c r="P2978">
        <v>1</v>
      </c>
      <c r="Q2978">
        <f t="shared" si="419"/>
        <v>42889</v>
      </c>
      <c r="R2978" s="2">
        <f t="shared" si="420"/>
        <v>21444.5</v>
      </c>
      <c r="S2978" s="2" t="str">
        <f t="shared" si="421"/>
        <v xml:space="preserve"> Not Achieved</v>
      </c>
      <c r="T2978" s="2" t="str">
        <f t="shared" si="422"/>
        <v>Average</v>
      </c>
      <c r="U2978" s="2"/>
    </row>
    <row r="2979" spans="1:21" x14ac:dyDescent="0.3">
      <c r="A2979">
        <v>2978</v>
      </c>
      <c r="B2979" t="s">
        <v>4075</v>
      </c>
      <c r="C2979" t="str">
        <f t="shared" si="414"/>
        <v>EMP_2978</v>
      </c>
      <c r="D2979" t="s">
        <v>11</v>
      </c>
      <c r="E2979" t="str">
        <f t="shared" si="415"/>
        <v>EMP_2978HR</v>
      </c>
      <c r="F2979" t="s">
        <v>12</v>
      </c>
      <c r="G2979" t="s">
        <v>16</v>
      </c>
      <c r="H2979">
        <v>79234</v>
      </c>
      <c r="I2979">
        <v>7413</v>
      </c>
      <c r="J2979">
        <v>0</v>
      </c>
      <c r="K2979">
        <v>0</v>
      </c>
      <c r="L2979" s="4" t="s">
        <v>3702</v>
      </c>
      <c r="M2979" s="4" t="str">
        <f t="shared" si="416"/>
        <v>4/25/2021</v>
      </c>
      <c r="N2979" s="1">
        <f t="shared" ca="1" si="417"/>
        <v>46064</v>
      </c>
      <c r="O2979" s="6" t="e">
        <f t="shared" ca="1" si="418"/>
        <v>#VALUE!</v>
      </c>
      <c r="P2979">
        <v>1</v>
      </c>
      <c r="Q2979">
        <f t="shared" si="419"/>
        <v>86647</v>
      </c>
      <c r="R2979" s="2">
        <f t="shared" si="420"/>
        <v>43323.5</v>
      </c>
      <c r="S2979" s="2" t="str">
        <f t="shared" si="421"/>
        <v xml:space="preserve"> Not Achieved</v>
      </c>
      <c r="T2979" s="2" t="str">
        <f t="shared" si="422"/>
        <v xml:space="preserve"> Excellent</v>
      </c>
      <c r="U2979" s="2"/>
    </row>
    <row r="2980" spans="1:21" x14ac:dyDescent="0.3">
      <c r="A2980">
        <v>2979</v>
      </c>
      <c r="B2980" t="s">
        <v>4076</v>
      </c>
      <c r="C2980" t="str">
        <f t="shared" si="414"/>
        <v>EMP_2979</v>
      </c>
      <c r="D2980" t="s">
        <v>15</v>
      </c>
      <c r="E2980" t="str">
        <f t="shared" si="415"/>
        <v>EMP_2979HR</v>
      </c>
      <c r="F2980" t="s">
        <v>12</v>
      </c>
      <c r="G2980" t="s">
        <v>13</v>
      </c>
      <c r="H2980">
        <v>52746</v>
      </c>
      <c r="I2980">
        <v>7413</v>
      </c>
      <c r="J2980">
        <v>0</v>
      </c>
      <c r="K2980">
        <v>0</v>
      </c>
      <c r="L2980" s="4">
        <v>44691</v>
      </c>
      <c r="M2980" s="4" t="str">
        <f t="shared" si="416"/>
        <v>2022</v>
      </c>
      <c r="N2980" s="1">
        <f t="shared" ca="1" si="417"/>
        <v>46064</v>
      </c>
      <c r="O2980" s="6">
        <f t="shared" ca="1" si="418"/>
        <v>3</v>
      </c>
      <c r="P2980">
        <v>2</v>
      </c>
      <c r="Q2980">
        <f t="shared" si="419"/>
        <v>60159</v>
      </c>
      <c r="R2980" s="2">
        <f t="shared" si="420"/>
        <v>30079.5</v>
      </c>
      <c r="S2980" s="2" t="str">
        <f t="shared" si="421"/>
        <v xml:space="preserve"> Not Achieved</v>
      </c>
      <c r="T2980" s="2" t="str">
        <f t="shared" si="422"/>
        <v xml:space="preserve"> Excellent</v>
      </c>
      <c r="U2980" s="2"/>
    </row>
    <row r="2981" spans="1:21" x14ac:dyDescent="0.3">
      <c r="A2981">
        <v>2980</v>
      </c>
      <c r="B2981" t="s">
        <v>4077</v>
      </c>
      <c r="C2981" t="str">
        <f t="shared" si="414"/>
        <v>EMP_2980</v>
      </c>
      <c r="D2981" t="s">
        <v>15</v>
      </c>
      <c r="E2981" t="str">
        <f t="shared" si="415"/>
        <v>EMP_2980HR</v>
      </c>
      <c r="F2981" t="s">
        <v>12</v>
      </c>
      <c r="G2981" t="s">
        <v>22</v>
      </c>
      <c r="H2981">
        <v>44301</v>
      </c>
      <c r="I2981">
        <v>3913</v>
      </c>
      <c r="J2981">
        <v>0</v>
      </c>
      <c r="K2981">
        <v>0</v>
      </c>
      <c r="L2981" s="4" t="s">
        <v>3550</v>
      </c>
      <c r="M2981" s="4" t="str">
        <f t="shared" si="416"/>
        <v>12/14/2020</v>
      </c>
      <c r="N2981" s="1">
        <f t="shared" ca="1" si="417"/>
        <v>46064</v>
      </c>
      <c r="O2981" s="6" t="e">
        <f t="shared" ca="1" si="418"/>
        <v>#VALUE!</v>
      </c>
      <c r="P2981">
        <v>5</v>
      </c>
      <c r="Q2981">
        <f t="shared" si="419"/>
        <v>48214</v>
      </c>
      <c r="R2981" s="2">
        <f t="shared" si="420"/>
        <v>24107</v>
      </c>
      <c r="S2981" s="2" t="str">
        <f t="shared" si="421"/>
        <v xml:space="preserve"> Not Achieved</v>
      </c>
      <c r="T2981" s="2" t="str">
        <f t="shared" si="422"/>
        <v>Good</v>
      </c>
      <c r="U2981" s="2"/>
    </row>
    <row r="2982" spans="1:21" x14ac:dyDescent="0.3">
      <c r="A2982">
        <v>2981</v>
      </c>
      <c r="B2982" t="s">
        <v>4078</v>
      </c>
      <c r="C2982" t="str">
        <f t="shared" si="414"/>
        <v>EMP_2981</v>
      </c>
      <c r="D2982" t="s">
        <v>15</v>
      </c>
      <c r="E2982" t="str">
        <f t="shared" si="415"/>
        <v>EMP_2981Marketing</v>
      </c>
      <c r="F2982" t="s">
        <v>24</v>
      </c>
      <c r="G2982" t="s">
        <v>13</v>
      </c>
      <c r="H2982">
        <v>39939</v>
      </c>
      <c r="I2982">
        <v>9145</v>
      </c>
      <c r="J2982">
        <v>0</v>
      </c>
      <c r="K2982">
        <v>0</v>
      </c>
      <c r="L2982" s="4">
        <v>43994</v>
      </c>
      <c r="M2982" s="4" t="str">
        <f t="shared" si="416"/>
        <v>2020</v>
      </c>
      <c r="N2982" s="1">
        <f t="shared" ca="1" si="417"/>
        <v>46064</v>
      </c>
      <c r="O2982" s="6">
        <f t="shared" ca="1" si="418"/>
        <v>5</v>
      </c>
      <c r="P2982">
        <v>4</v>
      </c>
      <c r="Q2982">
        <f t="shared" si="419"/>
        <v>49084</v>
      </c>
      <c r="R2982" s="2">
        <f t="shared" si="420"/>
        <v>24542</v>
      </c>
      <c r="S2982" s="2" t="str">
        <f t="shared" si="421"/>
        <v xml:space="preserve"> Not Achieved</v>
      </c>
      <c r="T2982" s="2" t="str">
        <f t="shared" si="422"/>
        <v>Average</v>
      </c>
      <c r="U2982" s="2"/>
    </row>
    <row r="2983" spans="1:21" x14ac:dyDescent="0.3">
      <c r="A2983">
        <v>2982</v>
      </c>
      <c r="B2983" t="s">
        <v>4079</v>
      </c>
      <c r="C2983" t="str">
        <f t="shared" si="414"/>
        <v>EMP_2982</v>
      </c>
      <c r="D2983" t="s">
        <v>11</v>
      </c>
      <c r="E2983" t="str">
        <f t="shared" si="415"/>
        <v>EMP_2982Marketing</v>
      </c>
      <c r="F2983" t="s">
        <v>24</v>
      </c>
      <c r="G2983" t="s">
        <v>19</v>
      </c>
      <c r="H2983">
        <v>58047</v>
      </c>
      <c r="I2983">
        <v>8248</v>
      </c>
      <c r="J2983">
        <v>0</v>
      </c>
      <c r="K2983">
        <v>0</v>
      </c>
      <c r="L2983" s="4" t="s">
        <v>1725</v>
      </c>
      <c r="M2983" s="4" t="str">
        <f t="shared" si="416"/>
        <v>9/19/2022</v>
      </c>
      <c r="N2983" s="1">
        <f t="shared" ca="1" si="417"/>
        <v>46064</v>
      </c>
      <c r="O2983" s="6" t="e">
        <f t="shared" ca="1" si="418"/>
        <v>#VALUE!</v>
      </c>
      <c r="P2983">
        <v>1</v>
      </c>
      <c r="Q2983">
        <f t="shared" si="419"/>
        <v>66295</v>
      </c>
      <c r="R2983" s="2">
        <f t="shared" si="420"/>
        <v>33147.5</v>
      </c>
      <c r="S2983" s="2" t="str">
        <f t="shared" si="421"/>
        <v xml:space="preserve"> Not Achieved</v>
      </c>
      <c r="T2983" s="2" t="str">
        <f t="shared" si="422"/>
        <v xml:space="preserve"> Excellent</v>
      </c>
      <c r="U2983" s="2"/>
    </row>
    <row r="2984" spans="1:21" x14ac:dyDescent="0.3">
      <c r="A2984">
        <v>2983</v>
      </c>
      <c r="B2984" t="s">
        <v>4080</v>
      </c>
      <c r="C2984" t="str">
        <f t="shared" si="414"/>
        <v>EMP_2983</v>
      </c>
      <c r="D2984" t="s">
        <v>15</v>
      </c>
      <c r="E2984" t="str">
        <f t="shared" si="415"/>
        <v>EMP_2983Sales</v>
      </c>
      <c r="F2984" t="s">
        <v>7</v>
      </c>
      <c r="G2984" t="s">
        <v>19</v>
      </c>
      <c r="H2984">
        <v>34774</v>
      </c>
      <c r="I2984">
        <v>6141</v>
      </c>
      <c r="J2984">
        <v>259855</v>
      </c>
      <c r="K2984">
        <v>227562</v>
      </c>
      <c r="L2984" s="4">
        <v>43803</v>
      </c>
      <c r="M2984" s="4" t="str">
        <f t="shared" si="416"/>
        <v>2019</v>
      </c>
      <c r="N2984" s="1">
        <f t="shared" ca="1" si="417"/>
        <v>46064</v>
      </c>
      <c r="O2984" s="6">
        <f t="shared" ca="1" si="418"/>
        <v>6</v>
      </c>
      <c r="P2984">
        <v>2</v>
      </c>
      <c r="Q2984">
        <f t="shared" si="419"/>
        <v>40915</v>
      </c>
      <c r="R2984" s="2">
        <f t="shared" si="420"/>
        <v>20457.5</v>
      </c>
      <c r="S2984" s="2" t="str">
        <f t="shared" si="421"/>
        <v>Achieved</v>
      </c>
      <c r="T2984" s="2" t="str">
        <f t="shared" si="422"/>
        <v>Average</v>
      </c>
      <c r="U2984" s="2"/>
    </row>
    <row r="2985" spans="1:21" x14ac:dyDescent="0.3">
      <c r="A2985">
        <v>2984</v>
      </c>
      <c r="B2985" t="s">
        <v>4081</v>
      </c>
      <c r="C2985" t="str">
        <f t="shared" si="414"/>
        <v>EMP_2984</v>
      </c>
      <c r="D2985" t="s">
        <v>11</v>
      </c>
      <c r="E2985" t="str">
        <f t="shared" si="415"/>
        <v>EMP_2984Sales</v>
      </c>
      <c r="F2985" t="s">
        <v>7</v>
      </c>
      <c r="G2985" t="s">
        <v>19</v>
      </c>
      <c r="H2985">
        <v>27010</v>
      </c>
      <c r="I2985">
        <v>5300</v>
      </c>
      <c r="J2985">
        <v>274900</v>
      </c>
      <c r="K2985">
        <v>180841</v>
      </c>
      <c r="L2985" s="4" t="s">
        <v>4082</v>
      </c>
      <c r="M2985" s="4" t="str">
        <f t="shared" si="416"/>
        <v>4/13/2024</v>
      </c>
      <c r="N2985" s="1">
        <f t="shared" ca="1" si="417"/>
        <v>46064</v>
      </c>
      <c r="O2985" s="6" t="e">
        <f t="shared" ca="1" si="418"/>
        <v>#VALUE!</v>
      </c>
      <c r="P2985">
        <v>3</v>
      </c>
      <c r="Q2985">
        <f t="shared" si="419"/>
        <v>32310</v>
      </c>
      <c r="R2985" s="2">
        <f t="shared" si="420"/>
        <v>16155</v>
      </c>
      <c r="S2985" s="2" t="str">
        <f t="shared" si="421"/>
        <v>Achieved</v>
      </c>
      <c r="T2985" s="2" t="str">
        <f t="shared" si="422"/>
        <v>poor</v>
      </c>
      <c r="U2985" s="2"/>
    </row>
    <row r="2986" spans="1:21" x14ac:dyDescent="0.3">
      <c r="A2986">
        <v>2985</v>
      </c>
      <c r="B2986" t="s">
        <v>4083</v>
      </c>
      <c r="C2986" t="str">
        <f t="shared" si="414"/>
        <v>EMP_2985</v>
      </c>
      <c r="D2986" t="s">
        <v>15</v>
      </c>
      <c r="E2986" t="str">
        <f t="shared" si="415"/>
        <v>EMP_2985IT</v>
      </c>
      <c r="F2986" t="s">
        <v>21</v>
      </c>
      <c r="G2986" t="s">
        <v>13</v>
      </c>
      <c r="H2986">
        <v>35525</v>
      </c>
      <c r="I2986">
        <v>10605</v>
      </c>
      <c r="J2986">
        <v>0</v>
      </c>
      <c r="K2986">
        <v>0</v>
      </c>
      <c r="L2986" s="4">
        <v>44471</v>
      </c>
      <c r="M2986" s="4" t="str">
        <f t="shared" si="416"/>
        <v>2021</v>
      </c>
      <c r="N2986" s="1">
        <f t="shared" ca="1" si="417"/>
        <v>46064</v>
      </c>
      <c r="O2986" s="6">
        <f t="shared" ca="1" si="418"/>
        <v>4</v>
      </c>
      <c r="P2986">
        <v>2</v>
      </c>
      <c r="Q2986">
        <f t="shared" si="419"/>
        <v>46130</v>
      </c>
      <c r="R2986" s="2">
        <f t="shared" si="420"/>
        <v>23065</v>
      </c>
      <c r="S2986" s="2" t="str">
        <f t="shared" si="421"/>
        <v xml:space="preserve"> Not Achieved</v>
      </c>
      <c r="T2986" s="2" t="str">
        <f t="shared" si="422"/>
        <v>Average</v>
      </c>
      <c r="U2986" s="2"/>
    </row>
    <row r="2987" spans="1:21" x14ac:dyDescent="0.3">
      <c r="A2987">
        <v>2986</v>
      </c>
      <c r="B2987" t="s">
        <v>4084</v>
      </c>
      <c r="C2987" t="str">
        <f t="shared" si="414"/>
        <v>EMP_2986</v>
      </c>
      <c r="D2987" t="s">
        <v>11</v>
      </c>
      <c r="E2987" t="str">
        <f t="shared" si="415"/>
        <v>EMP_2986Finance</v>
      </c>
      <c r="F2987" t="s">
        <v>18</v>
      </c>
      <c r="G2987" t="s">
        <v>19</v>
      </c>
      <c r="H2987">
        <v>34644</v>
      </c>
      <c r="I2987">
        <v>6228</v>
      </c>
      <c r="J2987">
        <v>0</v>
      </c>
      <c r="K2987">
        <v>0</v>
      </c>
      <c r="L2987" s="4" t="s">
        <v>89</v>
      </c>
      <c r="M2987" s="4" t="str">
        <f t="shared" si="416"/>
        <v>7/25/2020</v>
      </c>
      <c r="N2987" s="1">
        <f t="shared" ca="1" si="417"/>
        <v>46064</v>
      </c>
      <c r="O2987" s="6" t="e">
        <f t="shared" ca="1" si="418"/>
        <v>#VALUE!</v>
      </c>
      <c r="P2987">
        <v>3</v>
      </c>
      <c r="Q2987">
        <f t="shared" si="419"/>
        <v>40872</v>
      </c>
      <c r="R2987" s="2">
        <f t="shared" si="420"/>
        <v>20436</v>
      </c>
      <c r="S2987" s="2" t="str">
        <f t="shared" si="421"/>
        <v xml:space="preserve"> Not Achieved</v>
      </c>
      <c r="T2987" s="2" t="str">
        <f t="shared" si="422"/>
        <v>Average</v>
      </c>
      <c r="U2987" s="2"/>
    </row>
    <row r="2988" spans="1:21" x14ac:dyDescent="0.3">
      <c r="A2988">
        <v>2987</v>
      </c>
      <c r="B2988" t="s">
        <v>4085</v>
      </c>
      <c r="C2988" t="str">
        <f t="shared" si="414"/>
        <v>EMP_2987</v>
      </c>
      <c r="D2988" t="s">
        <v>11</v>
      </c>
      <c r="E2988" t="str">
        <f t="shared" si="415"/>
        <v>EMP_2987Sales</v>
      </c>
      <c r="F2988" t="s">
        <v>7</v>
      </c>
      <c r="G2988" t="s">
        <v>19</v>
      </c>
      <c r="H2988">
        <v>42020</v>
      </c>
      <c r="I2988">
        <v>9920</v>
      </c>
      <c r="J2988">
        <v>53834</v>
      </c>
      <c r="K2988">
        <v>220114</v>
      </c>
      <c r="L2988" s="4" t="s">
        <v>4086</v>
      </c>
      <c r="M2988" s="4" t="str">
        <f t="shared" si="416"/>
        <v>10/25/2024</v>
      </c>
      <c r="N2988" s="1">
        <f t="shared" ca="1" si="417"/>
        <v>46064</v>
      </c>
      <c r="O2988" s="6" t="e">
        <f t="shared" ca="1" si="418"/>
        <v>#VALUE!</v>
      </c>
      <c r="P2988">
        <v>3</v>
      </c>
      <c r="Q2988">
        <f t="shared" si="419"/>
        <v>51940</v>
      </c>
      <c r="R2988" s="2">
        <f t="shared" si="420"/>
        <v>25970</v>
      </c>
      <c r="S2988" s="2" t="str">
        <f t="shared" si="421"/>
        <v xml:space="preserve"> Not Achieved</v>
      </c>
      <c r="T2988" s="2" t="str">
        <f t="shared" si="422"/>
        <v>Good</v>
      </c>
      <c r="U2988" s="2"/>
    </row>
    <row r="2989" spans="1:21" x14ac:dyDescent="0.3">
      <c r="A2989">
        <v>2988</v>
      </c>
      <c r="B2989" t="s">
        <v>4087</v>
      </c>
      <c r="C2989" t="str">
        <f t="shared" si="414"/>
        <v>EMP_2988</v>
      </c>
      <c r="D2989" t="s">
        <v>15</v>
      </c>
      <c r="E2989" t="str">
        <f t="shared" si="415"/>
        <v>EMP_2988Sales</v>
      </c>
      <c r="F2989" t="s">
        <v>7</v>
      </c>
      <c r="G2989" t="s">
        <v>25</v>
      </c>
      <c r="H2989">
        <v>55974</v>
      </c>
      <c r="I2989">
        <v>2847</v>
      </c>
      <c r="J2989">
        <v>127470</v>
      </c>
      <c r="K2989">
        <v>122139</v>
      </c>
      <c r="L2989" s="4" t="s">
        <v>1264</v>
      </c>
      <c r="M2989" s="4" t="str">
        <f t="shared" si="416"/>
        <v>4/20/2021</v>
      </c>
      <c r="N2989" s="1">
        <f t="shared" ca="1" si="417"/>
        <v>46064</v>
      </c>
      <c r="O2989" s="6" t="e">
        <f t="shared" ca="1" si="418"/>
        <v>#VALUE!</v>
      </c>
      <c r="P2989">
        <v>1</v>
      </c>
      <c r="Q2989">
        <f t="shared" si="419"/>
        <v>58821</v>
      </c>
      <c r="R2989" s="2">
        <f t="shared" si="420"/>
        <v>29410.5</v>
      </c>
      <c r="S2989" s="2" t="str">
        <f t="shared" si="421"/>
        <v>Achieved</v>
      </c>
      <c r="T2989" s="2" t="str">
        <f t="shared" si="422"/>
        <v xml:space="preserve"> Excellent</v>
      </c>
      <c r="U2989" s="2"/>
    </row>
    <row r="2990" spans="1:21" x14ac:dyDescent="0.3">
      <c r="A2990">
        <v>2989</v>
      </c>
      <c r="B2990" t="s">
        <v>4088</v>
      </c>
      <c r="C2990" t="str">
        <f t="shared" si="414"/>
        <v>EMP_2989</v>
      </c>
      <c r="D2990" t="s">
        <v>15</v>
      </c>
      <c r="E2990" t="str">
        <f t="shared" si="415"/>
        <v>EMP_2989Finance</v>
      </c>
      <c r="F2990" t="s">
        <v>18</v>
      </c>
      <c r="G2990" t="s">
        <v>13</v>
      </c>
      <c r="H2990">
        <v>42881</v>
      </c>
      <c r="I2990">
        <v>10873</v>
      </c>
      <c r="J2990">
        <v>0</v>
      </c>
      <c r="K2990">
        <v>0</v>
      </c>
      <c r="L2990" s="4">
        <v>43527</v>
      </c>
      <c r="M2990" s="4" t="str">
        <f t="shared" si="416"/>
        <v>2019</v>
      </c>
      <c r="N2990" s="1">
        <f t="shared" ca="1" si="417"/>
        <v>46064</v>
      </c>
      <c r="O2990" s="6">
        <f t="shared" ca="1" si="418"/>
        <v>6</v>
      </c>
      <c r="P2990">
        <v>4</v>
      </c>
      <c r="Q2990">
        <f t="shared" si="419"/>
        <v>53754</v>
      </c>
      <c r="R2990" s="2">
        <f t="shared" si="420"/>
        <v>26877</v>
      </c>
      <c r="S2990" s="2" t="str">
        <f t="shared" si="421"/>
        <v xml:space="preserve"> Not Achieved</v>
      </c>
      <c r="T2990" s="2" t="str">
        <f t="shared" si="422"/>
        <v>Good</v>
      </c>
      <c r="U2990" s="2"/>
    </row>
    <row r="2991" spans="1:21" x14ac:dyDescent="0.3">
      <c r="A2991">
        <v>2990</v>
      </c>
      <c r="B2991" t="s">
        <v>4089</v>
      </c>
      <c r="C2991" t="str">
        <f t="shared" si="414"/>
        <v>EMP_2990</v>
      </c>
      <c r="D2991" t="s">
        <v>11</v>
      </c>
      <c r="E2991" t="str">
        <f t="shared" si="415"/>
        <v>EMP_2990Finance</v>
      </c>
      <c r="F2991" t="s">
        <v>18</v>
      </c>
      <c r="G2991" t="s">
        <v>22</v>
      </c>
      <c r="H2991">
        <v>46426</v>
      </c>
      <c r="I2991">
        <v>10246</v>
      </c>
      <c r="J2991">
        <v>0</v>
      </c>
      <c r="K2991">
        <v>0</v>
      </c>
      <c r="L2991" s="4">
        <v>45452</v>
      </c>
      <c r="M2991" s="4" t="str">
        <f t="shared" si="416"/>
        <v>2024</v>
      </c>
      <c r="N2991" s="1">
        <f t="shared" ca="1" si="417"/>
        <v>46064</v>
      </c>
      <c r="O2991" s="6">
        <f t="shared" ca="1" si="418"/>
        <v>1</v>
      </c>
      <c r="P2991">
        <v>3</v>
      </c>
      <c r="Q2991">
        <f t="shared" si="419"/>
        <v>56672</v>
      </c>
      <c r="R2991" s="2">
        <f t="shared" si="420"/>
        <v>28336</v>
      </c>
      <c r="S2991" s="2" t="str">
        <f t="shared" si="421"/>
        <v xml:space="preserve"> Not Achieved</v>
      </c>
      <c r="T2991" s="2" t="str">
        <f t="shared" si="422"/>
        <v>Good</v>
      </c>
      <c r="U2991" s="2"/>
    </row>
    <row r="2992" spans="1:21" x14ac:dyDescent="0.3">
      <c r="A2992">
        <v>2991</v>
      </c>
      <c r="B2992" t="s">
        <v>4090</v>
      </c>
      <c r="C2992" t="str">
        <f t="shared" si="414"/>
        <v>EMP_2991</v>
      </c>
      <c r="D2992" t="s">
        <v>15</v>
      </c>
      <c r="E2992" t="str">
        <f t="shared" si="415"/>
        <v>EMP_2991Finance</v>
      </c>
      <c r="F2992" t="s">
        <v>18</v>
      </c>
      <c r="G2992" t="s">
        <v>25</v>
      </c>
      <c r="H2992">
        <v>40703</v>
      </c>
      <c r="I2992">
        <v>7075</v>
      </c>
      <c r="J2992">
        <v>0</v>
      </c>
      <c r="K2992">
        <v>0</v>
      </c>
      <c r="L2992" s="4">
        <v>44660</v>
      </c>
      <c r="M2992" s="4" t="str">
        <f t="shared" si="416"/>
        <v>2022</v>
      </c>
      <c r="N2992" s="1">
        <f t="shared" ca="1" si="417"/>
        <v>46064</v>
      </c>
      <c r="O2992" s="6">
        <f t="shared" ca="1" si="418"/>
        <v>3</v>
      </c>
      <c r="P2992">
        <v>4</v>
      </c>
      <c r="Q2992">
        <f t="shared" si="419"/>
        <v>47778</v>
      </c>
      <c r="R2992" s="2">
        <f t="shared" si="420"/>
        <v>23889</v>
      </c>
      <c r="S2992" s="2" t="str">
        <f t="shared" si="421"/>
        <v xml:space="preserve"> Not Achieved</v>
      </c>
      <c r="T2992" s="2" t="str">
        <f t="shared" si="422"/>
        <v>Good</v>
      </c>
      <c r="U2992" s="2"/>
    </row>
    <row r="2993" spans="1:21" x14ac:dyDescent="0.3">
      <c r="A2993">
        <v>2992</v>
      </c>
      <c r="B2993" t="s">
        <v>4091</v>
      </c>
      <c r="C2993" t="str">
        <f t="shared" si="414"/>
        <v>EMP_2992</v>
      </c>
      <c r="D2993" t="s">
        <v>11</v>
      </c>
      <c r="E2993" t="str">
        <f t="shared" si="415"/>
        <v>EMP_2992Marketing</v>
      </c>
      <c r="F2993" t="s">
        <v>24</v>
      </c>
      <c r="G2993" t="s">
        <v>19</v>
      </c>
      <c r="H2993">
        <v>40229</v>
      </c>
      <c r="I2993">
        <v>14094</v>
      </c>
      <c r="J2993">
        <v>0</v>
      </c>
      <c r="K2993">
        <v>0</v>
      </c>
      <c r="L2993" s="4">
        <v>44116</v>
      </c>
      <c r="M2993" s="4" t="str">
        <f t="shared" si="416"/>
        <v>2020</v>
      </c>
      <c r="N2993" s="1">
        <f t="shared" ca="1" si="417"/>
        <v>46064</v>
      </c>
      <c r="O2993" s="6">
        <f t="shared" ca="1" si="418"/>
        <v>5</v>
      </c>
      <c r="P2993">
        <v>1</v>
      </c>
      <c r="Q2993">
        <f t="shared" si="419"/>
        <v>54323</v>
      </c>
      <c r="R2993" s="2">
        <f t="shared" si="420"/>
        <v>27161.5</v>
      </c>
      <c r="S2993" s="2" t="str">
        <f t="shared" si="421"/>
        <v xml:space="preserve"> Not Achieved</v>
      </c>
      <c r="T2993" s="2" t="str">
        <f t="shared" si="422"/>
        <v>Good</v>
      </c>
      <c r="U2993" s="2"/>
    </row>
    <row r="2994" spans="1:21" x14ac:dyDescent="0.3">
      <c r="A2994">
        <v>2993</v>
      </c>
      <c r="B2994" t="s">
        <v>4092</v>
      </c>
      <c r="C2994" t="str">
        <f t="shared" si="414"/>
        <v>EMP_2993</v>
      </c>
      <c r="D2994" t="s">
        <v>11</v>
      </c>
      <c r="E2994" t="str">
        <f t="shared" si="415"/>
        <v>EMP_2993Finance</v>
      </c>
      <c r="F2994" t="s">
        <v>18</v>
      </c>
      <c r="G2994" t="s">
        <v>25</v>
      </c>
      <c r="H2994">
        <v>34243</v>
      </c>
      <c r="I2994">
        <v>7970</v>
      </c>
      <c r="J2994">
        <v>0</v>
      </c>
      <c r="K2994">
        <v>0</v>
      </c>
      <c r="L2994" s="4" t="s">
        <v>1246</v>
      </c>
      <c r="M2994" s="4" t="str">
        <f t="shared" si="416"/>
        <v>4/15/2019</v>
      </c>
      <c r="N2994" s="1">
        <f t="shared" ca="1" si="417"/>
        <v>46064</v>
      </c>
      <c r="O2994" s="6" t="e">
        <f t="shared" ca="1" si="418"/>
        <v>#VALUE!</v>
      </c>
      <c r="P2994">
        <v>5</v>
      </c>
      <c r="Q2994">
        <f t="shared" si="419"/>
        <v>42213</v>
      </c>
      <c r="R2994" s="2">
        <f t="shared" si="420"/>
        <v>21106.5</v>
      </c>
      <c r="S2994" s="2" t="str">
        <f t="shared" si="421"/>
        <v xml:space="preserve"> Not Achieved</v>
      </c>
      <c r="T2994" s="2" t="str">
        <f t="shared" si="422"/>
        <v>Average</v>
      </c>
      <c r="U2994" s="2"/>
    </row>
    <row r="2995" spans="1:21" x14ac:dyDescent="0.3">
      <c r="A2995">
        <v>2994</v>
      </c>
      <c r="B2995" t="s">
        <v>4093</v>
      </c>
      <c r="C2995" t="str">
        <f t="shared" si="414"/>
        <v>EMP_2994</v>
      </c>
      <c r="D2995" t="s">
        <v>11</v>
      </c>
      <c r="E2995" t="str">
        <f t="shared" si="415"/>
        <v>EMP_2994Finance</v>
      </c>
      <c r="F2995" t="s">
        <v>18</v>
      </c>
      <c r="G2995" t="s">
        <v>25</v>
      </c>
      <c r="H2995">
        <v>74212</v>
      </c>
      <c r="I2995">
        <v>11072</v>
      </c>
      <c r="J2995">
        <v>0</v>
      </c>
      <c r="K2995">
        <v>0</v>
      </c>
      <c r="L2995" s="4">
        <v>45266</v>
      </c>
      <c r="M2995" s="4" t="str">
        <f t="shared" si="416"/>
        <v>2023</v>
      </c>
      <c r="N2995" s="1">
        <f t="shared" ca="1" si="417"/>
        <v>46064</v>
      </c>
      <c r="O2995" s="6">
        <f t="shared" ca="1" si="418"/>
        <v>2</v>
      </c>
      <c r="P2995">
        <v>4</v>
      </c>
      <c r="Q2995">
        <f t="shared" si="419"/>
        <v>85284</v>
      </c>
      <c r="R2995" s="2">
        <f t="shared" si="420"/>
        <v>42642</v>
      </c>
      <c r="S2995" s="2" t="str">
        <f t="shared" si="421"/>
        <v xml:space="preserve"> Not Achieved</v>
      </c>
      <c r="T2995" s="2" t="str">
        <f t="shared" si="422"/>
        <v xml:space="preserve"> Excellent</v>
      </c>
      <c r="U2995" s="2"/>
    </row>
    <row r="2996" spans="1:21" x14ac:dyDescent="0.3">
      <c r="A2996">
        <v>2995</v>
      </c>
      <c r="B2996" t="s">
        <v>4094</v>
      </c>
      <c r="C2996" t="str">
        <f t="shared" si="414"/>
        <v>EMP_2995</v>
      </c>
      <c r="D2996" t="s">
        <v>11</v>
      </c>
      <c r="E2996" t="str">
        <f t="shared" si="415"/>
        <v>EMP_2995HR</v>
      </c>
      <c r="F2996" t="s">
        <v>12</v>
      </c>
      <c r="G2996" t="s">
        <v>16</v>
      </c>
      <c r="H2996">
        <v>28264</v>
      </c>
      <c r="I2996">
        <v>5641</v>
      </c>
      <c r="J2996">
        <v>0</v>
      </c>
      <c r="K2996">
        <v>0</v>
      </c>
      <c r="L2996" s="4" t="s">
        <v>3383</v>
      </c>
      <c r="M2996" s="4" t="str">
        <f t="shared" si="416"/>
        <v>11/23/2022</v>
      </c>
      <c r="N2996" s="1">
        <f t="shared" ca="1" si="417"/>
        <v>46064</v>
      </c>
      <c r="O2996" s="6" t="e">
        <f t="shared" ca="1" si="418"/>
        <v>#VALUE!</v>
      </c>
      <c r="P2996">
        <v>1</v>
      </c>
      <c r="Q2996">
        <f t="shared" si="419"/>
        <v>33905</v>
      </c>
      <c r="R2996" s="2">
        <f t="shared" si="420"/>
        <v>16952.5</v>
      </c>
      <c r="S2996" s="2" t="str">
        <f t="shared" si="421"/>
        <v xml:space="preserve"> Not Achieved</v>
      </c>
      <c r="T2996" s="2" t="str">
        <f t="shared" si="422"/>
        <v>poor</v>
      </c>
      <c r="U2996" s="2"/>
    </row>
    <row r="2997" spans="1:21" x14ac:dyDescent="0.3">
      <c r="A2997">
        <v>2996</v>
      </c>
      <c r="B2997" t="s">
        <v>4095</v>
      </c>
      <c r="C2997" t="str">
        <f t="shared" si="414"/>
        <v>EMP_2996</v>
      </c>
      <c r="D2997" t="s">
        <v>15</v>
      </c>
      <c r="E2997" t="str">
        <f t="shared" si="415"/>
        <v>EMP_2996HR</v>
      </c>
      <c r="F2997" t="s">
        <v>12</v>
      </c>
      <c r="G2997" t="s">
        <v>25</v>
      </c>
      <c r="H2997">
        <v>27569</v>
      </c>
      <c r="I2997">
        <v>8794</v>
      </c>
      <c r="J2997">
        <v>0</v>
      </c>
      <c r="K2997">
        <v>0</v>
      </c>
      <c r="L2997" s="4" t="s">
        <v>246</v>
      </c>
      <c r="M2997" s="4" t="str">
        <f t="shared" si="416"/>
        <v>12/22/2023</v>
      </c>
      <c r="N2997" s="1">
        <f t="shared" ca="1" si="417"/>
        <v>46064</v>
      </c>
      <c r="O2997" s="6" t="e">
        <f t="shared" ca="1" si="418"/>
        <v>#VALUE!</v>
      </c>
      <c r="P2997">
        <v>5</v>
      </c>
      <c r="Q2997">
        <f t="shared" si="419"/>
        <v>36363</v>
      </c>
      <c r="R2997" s="2">
        <f t="shared" si="420"/>
        <v>18181.5</v>
      </c>
      <c r="S2997" s="2" t="str">
        <f t="shared" si="421"/>
        <v xml:space="preserve"> Not Achieved</v>
      </c>
      <c r="T2997" s="2" t="str">
        <f t="shared" si="422"/>
        <v>poor</v>
      </c>
      <c r="U2997" s="2"/>
    </row>
    <row r="2998" spans="1:21" x14ac:dyDescent="0.3">
      <c r="A2998">
        <v>2997</v>
      </c>
      <c r="B2998" t="s">
        <v>4096</v>
      </c>
      <c r="C2998" t="str">
        <f t="shared" si="414"/>
        <v>EMP_2997</v>
      </c>
      <c r="D2998" t="s">
        <v>11</v>
      </c>
      <c r="E2998" t="str">
        <f t="shared" si="415"/>
        <v>EMP_2997IT</v>
      </c>
      <c r="F2998" t="s">
        <v>21</v>
      </c>
      <c r="G2998" t="s">
        <v>16</v>
      </c>
      <c r="H2998">
        <v>60714</v>
      </c>
      <c r="I2998">
        <v>4186</v>
      </c>
      <c r="J2998">
        <v>0</v>
      </c>
      <c r="K2998">
        <v>0</v>
      </c>
      <c r="L2998" s="4" t="s">
        <v>3145</v>
      </c>
      <c r="M2998" s="4" t="str">
        <f t="shared" si="416"/>
        <v>2/21/2020</v>
      </c>
      <c r="N2998" s="1">
        <f t="shared" ca="1" si="417"/>
        <v>46064</v>
      </c>
      <c r="O2998" s="6" t="e">
        <f t="shared" ca="1" si="418"/>
        <v>#VALUE!</v>
      </c>
      <c r="P2998">
        <v>4</v>
      </c>
      <c r="Q2998">
        <f t="shared" si="419"/>
        <v>64900</v>
      </c>
      <c r="R2998" s="2">
        <f t="shared" si="420"/>
        <v>32450</v>
      </c>
      <c r="S2998" s="2" t="str">
        <f t="shared" si="421"/>
        <v xml:space="preserve"> Not Achieved</v>
      </c>
      <c r="T2998" s="2" t="str">
        <f t="shared" si="422"/>
        <v xml:space="preserve"> Excellent</v>
      </c>
      <c r="U2998" s="2"/>
    </row>
    <row r="2999" spans="1:21" x14ac:dyDescent="0.3">
      <c r="A2999">
        <v>2998</v>
      </c>
      <c r="B2999" t="s">
        <v>4097</v>
      </c>
      <c r="C2999" t="str">
        <f t="shared" si="414"/>
        <v>EMP_2998</v>
      </c>
      <c r="D2999" t="s">
        <v>15</v>
      </c>
      <c r="E2999" t="str">
        <f t="shared" si="415"/>
        <v>EMP_2998HR</v>
      </c>
      <c r="F2999" t="s">
        <v>12</v>
      </c>
      <c r="G2999" t="s">
        <v>22</v>
      </c>
      <c r="H2999">
        <v>46055</v>
      </c>
      <c r="I2999">
        <v>11210</v>
      </c>
      <c r="J2999">
        <v>0</v>
      </c>
      <c r="K2999">
        <v>0</v>
      </c>
      <c r="L2999" s="4">
        <v>45177</v>
      </c>
      <c r="M2999" s="4" t="str">
        <f t="shared" si="416"/>
        <v>2023</v>
      </c>
      <c r="N2999" s="1">
        <f t="shared" ca="1" si="417"/>
        <v>46064</v>
      </c>
      <c r="O2999" s="6">
        <f t="shared" ca="1" si="418"/>
        <v>2</v>
      </c>
      <c r="P2999">
        <v>2</v>
      </c>
      <c r="Q2999">
        <f t="shared" si="419"/>
        <v>57265</v>
      </c>
      <c r="R2999" s="2">
        <f t="shared" si="420"/>
        <v>28632.5</v>
      </c>
      <c r="S2999" s="2" t="str">
        <f t="shared" si="421"/>
        <v xml:space="preserve"> Not Achieved</v>
      </c>
      <c r="T2999" s="2" t="str">
        <f t="shared" si="422"/>
        <v>Good</v>
      </c>
      <c r="U2999" s="2"/>
    </row>
    <row r="3000" spans="1:21" x14ac:dyDescent="0.3">
      <c r="A3000">
        <v>2999</v>
      </c>
      <c r="B3000" t="s">
        <v>4098</v>
      </c>
      <c r="C3000" t="str">
        <f t="shared" si="414"/>
        <v>EMP_2999</v>
      </c>
      <c r="D3000" t="s">
        <v>11</v>
      </c>
      <c r="E3000" t="str">
        <f t="shared" si="415"/>
        <v>EMP_2999Finance</v>
      </c>
      <c r="F3000" t="s">
        <v>18</v>
      </c>
      <c r="G3000" t="s">
        <v>25</v>
      </c>
      <c r="H3000">
        <v>22097</v>
      </c>
      <c r="I3000">
        <v>3473</v>
      </c>
      <c r="J3000">
        <v>0</v>
      </c>
      <c r="K3000">
        <v>0</v>
      </c>
      <c r="L3000" s="4" t="s">
        <v>379</v>
      </c>
      <c r="M3000" s="4" t="str">
        <f t="shared" si="416"/>
        <v>5/23/2023</v>
      </c>
      <c r="N3000" s="1">
        <f t="shared" ca="1" si="417"/>
        <v>46064</v>
      </c>
      <c r="O3000" s="6" t="e">
        <f t="shared" ca="1" si="418"/>
        <v>#VALUE!</v>
      </c>
      <c r="P3000">
        <v>4</v>
      </c>
      <c r="Q3000">
        <f t="shared" si="419"/>
        <v>25570</v>
      </c>
      <c r="R3000" s="2">
        <f t="shared" si="420"/>
        <v>12785</v>
      </c>
      <c r="S3000" s="2" t="str">
        <f t="shared" si="421"/>
        <v xml:space="preserve"> Not Achieved</v>
      </c>
      <c r="T3000" s="2" t="str">
        <f t="shared" si="422"/>
        <v>poor</v>
      </c>
      <c r="U3000" s="2"/>
    </row>
    <row r="3001" spans="1:21" x14ac:dyDescent="0.3">
      <c r="A3001">
        <v>3000</v>
      </c>
      <c r="B3001" t="s">
        <v>4099</v>
      </c>
      <c r="C3001" t="str">
        <f t="shared" si="414"/>
        <v>EMP_3000</v>
      </c>
      <c r="D3001" t="s">
        <v>15</v>
      </c>
      <c r="E3001" t="str">
        <f t="shared" si="415"/>
        <v>EMP_3000Marketing</v>
      </c>
      <c r="F3001" t="s">
        <v>24</v>
      </c>
      <c r="G3001" t="s">
        <v>19</v>
      </c>
      <c r="H3001">
        <v>36594</v>
      </c>
      <c r="I3001">
        <v>12527</v>
      </c>
      <c r="J3001">
        <v>0</v>
      </c>
      <c r="K3001">
        <v>0</v>
      </c>
      <c r="L3001" s="4" t="s">
        <v>1485</v>
      </c>
      <c r="M3001" s="4" t="str">
        <f t="shared" si="416"/>
        <v>9/28/2021</v>
      </c>
      <c r="N3001" s="1">
        <f t="shared" ca="1" si="417"/>
        <v>46064</v>
      </c>
      <c r="O3001" s="6" t="e">
        <f t="shared" ca="1" si="418"/>
        <v>#VALUE!</v>
      </c>
      <c r="P3001">
        <v>5</v>
      </c>
      <c r="Q3001">
        <f t="shared" si="419"/>
        <v>49121</v>
      </c>
      <c r="R3001" s="2">
        <f t="shared" si="420"/>
        <v>24560.5</v>
      </c>
      <c r="S3001" s="2" t="str">
        <f t="shared" si="421"/>
        <v xml:space="preserve"> Not Achieved</v>
      </c>
      <c r="T3001" s="2" t="str">
        <f t="shared" si="422"/>
        <v>Average</v>
      </c>
      <c r="U3001" s="2"/>
    </row>
  </sheetData>
  <autoFilter ref="A1:T1" xr:uid="{4F5E842D-7E5E-4B01-8EC9-50A36592BB7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8FBC2-822C-478A-A3DB-4DDB6FA4AE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employee_sales_dataset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Nishikant Giri</cp:lastModifiedBy>
  <dcterms:created xsi:type="dcterms:W3CDTF">2026-02-11T06:10:39Z</dcterms:created>
  <dcterms:modified xsi:type="dcterms:W3CDTF">2026-02-11T14:54:08Z</dcterms:modified>
</cp:coreProperties>
</file>